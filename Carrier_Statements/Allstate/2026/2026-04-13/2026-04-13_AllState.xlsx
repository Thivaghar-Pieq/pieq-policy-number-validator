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6\2026-04-13\"/>
    </mc:Choice>
  </mc:AlternateContent>
  <xr:revisionPtr revIDLastSave="0" documentId="13_ncr:1_{35ED0E0D-8A75-4000-8711-9EB8ABCE8D74}" xr6:coauthVersionLast="47" xr6:coauthVersionMax="47" xr10:uidLastSave="{00000000-0000-0000-0000-000000000000}"/>
  <bookViews>
    <workbookView xWindow="28680" yWindow="-30" windowWidth="29040" windowHeight="16440" activeTab="3" xr2:uid="{90B04F3A-D7E6-4BC0-8847-C828D0B653CB}"/>
  </bookViews>
  <sheets>
    <sheet name="20411454 - Main Line Benefits L" sheetId="1" r:id="rId1"/>
    <sheet name="RN" sheetId="2" r:id="rId2"/>
    <sheet name="CB" sheetId="4" r:id="rId3"/>
    <sheet name="NB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2" i="3" l="1"/>
  <c r="D33" i="3"/>
  <c r="D18" i="3"/>
  <c r="D19" i="3"/>
  <c r="D7" i="3"/>
  <c r="D20" i="3"/>
  <c r="D21" i="3"/>
  <c r="D22" i="3"/>
  <c r="D23" i="3"/>
  <c r="D14" i="3"/>
  <c r="D15" i="3"/>
  <c r="D6" i="3"/>
  <c r="D2" i="3"/>
  <c r="D24" i="3"/>
  <c r="D25" i="3"/>
  <c r="D3" i="3"/>
  <c r="D4" i="3"/>
  <c r="D16" i="3"/>
  <c r="D26" i="3"/>
  <c r="D27" i="3"/>
  <c r="D8" i="3"/>
  <c r="D59" i="3"/>
  <c r="D28" i="3"/>
  <c r="D29" i="3"/>
  <c r="D60" i="3"/>
  <c r="D9" i="3"/>
  <c r="D5" i="3"/>
  <c r="D10" i="3"/>
  <c r="D11" i="3"/>
  <c r="D30" i="3"/>
  <c r="D31" i="3"/>
  <c r="D12" i="3"/>
  <c r="D13" i="3"/>
  <c r="D44" i="3"/>
  <c r="D34" i="3"/>
  <c r="D41" i="3"/>
  <c r="D45" i="3"/>
  <c r="D46" i="3"/>
  <c r="D47" i="3"/>
  <c r="D48" i="3"/>
  <c r="D35" i="3"/>
  <c r="D36" i="3"/>
  <c r="D49" i="3"/>
  <c r="D50" i="3"/>
  <c r="D51" i="3"/>
  <c r="D52" i="3"/>
  <c r="D37" i="3"/>
  <c r="D38" i="3"/>
  <c r="D39" i="3"/>
  <c r="D42" i="3"/>
  <c r="D61" i="3"/>
  <c r="D53" i="3"/>
  <c r="D54" i="3"/>
  <c r="D55" i="3"/>
  <c r="D56" i="3"/>
  <c r="D57" i="3"/>
  <c r="D43" i="3"/>
  <c r="D40" i="3"/>
  <c r="D58" i="3"/>
  <c r="D17" i="3"/>
  <c r="M36" i="3" l="1"/>
  <c r="M35" i="3"/>
  <c r="M38" i="3"/>
  <c r="M4" i="3"/>
  <c r="M34" i="3"/>
  <c r="M5" i="3"/>
  <c r="M37" i="3"/>
  <c r="M3" i="3"/>
  <c r="M40" i="3"/>
  <c r="M39" i="3"/>
  <c r="M41" i="3"/>
  <c r="M6" i="3"/>
  <c r="M42" i="3"/>
  <c r="M8" i="3"/>
  <c r="M13" i="3"/>
  <c r="M43" i="3"/>
  <c r="M12" i="3"/>
  <c r="M10" i="3"/>
  <c r="M11" i="3"/>
  <c r="M7" i="3"/>
  <c r="M9" i="3"/>
  <c r="M44" i="3"/>
  <c r="M14" i="3"/>
  <c r="M15" i="3"/>
  <c r="M16" i="3"/>
  <c r="M49" i="3"/>
  <c r="M50" i="3"/>
  <c r="M51" i="3"/>
  <c r="M53" i="3"/>
  <c r="M17" i="3"/>
  <c r="M18" i="3"/>
  <c r="M20" i="3"/>
  <c r="M52" i="3"/>
  <c r="M26" i="3"/>
  <c r="M54" i="3"/>
  <c r="M31" i="3"/>
  <c r="M23" i="3"/>
  <c r="M45" i="3"/>
  <c r="M46" i="3"/>
  <c r="M28" i="3"/>
  <c r="M30" i="3"/>
  <c r="M58" i="3"/>
  <c r="M48" i="3"/>
  <c r="M55" i="3"/>
  <c r="M47" i="3"/>
  <c r="M19" i="3"/>
  <c r="M27" i="3"/>
  <c r="M29" i="3"/>
  <c r="M56" i="3"/>
  <c r="M57" i="3"/>
  <c r="M22" i="3"/>
  <c r="M21" i="3"/>
  <c r="M25" i="3"/>
  <c r="M24" i="3"/>
  <c r="M59" i="3"/>
  <c r="M60" i="3"/>
  <c r="M61" i="3"/>
  <c r="M33" i="3"/>
  <c r="M32" i="3"/>
  <c r="M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2" i="2"/>
  <c r="Q273" i="2"/>
  <c r="Q58" i="2"/>
  <c r="Q274" i="2"/>
  <c r="Q264" i="2"/>
  <c r="Q265" i="2"/>
  <c r="Q108" i="2"/>
  <c r="Q266" i="2"/>
  <c r="Q109" i="2"/>
  <c r="Q110" i="2"/>
  <c r="Q111" i="2"/>
  <c r="Q112" i="2"/>
  <c r="Q275" i="2"/>
  <c r="Q113" i="2"/>
  <c r="Q276" i="2"/>
  <c r="Q277" i="2"/>
  <c r="Q205" i="2"/>
  <c r="Q2" i="2"/>
  <c r="Q3" i="2"/>
  <c r="Q4" i="2"/>
  <c r="Q5" i="2"/>
  <c r="Q38" i="2"/>
  <c r="Q39" i="2"/>
  <c r="Q278" i="2"/>
  <c r="Q40" i="2"/>
  <c r="Q244" i="2"/>
  <c r="Q59" i="2"/>
  <c r="Q245" i="2"/>
  <c r="Q155" i="2"/>
  <c r="Q60" i="2"/>
  <c r="Q156" i="2"/>
  <c r="Q6" i="2"/>
  <c r="Q61" i="2"/>
  <c r="Q62" i="2"/>
  <c r="Q7" i="2"/>
  <c r="Q8" i="2"/>
  <c r="Q157" i="2"/>
  <c r="Q9" i="2"/>
  <c r="Q63" i="2"/>
  <c r="Q64" i="2"/>
  <c r="Q158" i="2"/>
  <c r="Q159" i="2"/>
  <c r="Q65" i="2"/>
  <c r="Q66" i="2"/>
  <c r="Q10" i="2"/>
  <c r="Q67" i="2"/>
  <c r="Q11" i="2"/>
  <c r="Q68" i="2"/>
  <c r="Q114" i="2"/>
  <c r="Q220" i="2"/>
  <c r="Q206" i="2"/>
  <c r="Q246" i="2"/>
  <c r="Q247" i="2"/>
  <c r="Q248" i="2"/>
  <c r="Q249" i="2"/>
  <c r="Q115" i="2"/>
  <c r="Q116" i="2"/>
  <c r="Q160" i="2"/>
  <c r="Q117" i="2"/>
  <c r="Q69" i="2"/>
  <c r="Q118" i="2"/>
  <c r="Q207" i="2"/>
  <c r="Q70" i="2"/>
  <c r="Q12" i="2"/>
  <c r="Q71" i="2"/>
  <c r="Q72" i="2"/>
  <c r="Q13" i="2"/>
  <c r="Q180" i="2"/>
  <c r="Q119" i="2"/>
  <c r="Q41" i="2"/>
  <c r="Q42" i="2"/>
  <c r="Q43" i="2"/>
  <c r="Q14" i="2"/>
  <c r="Q44" i="2"/>
  <c r="Q15" i="2"/>
  <c r="Q16" i="2"/>
  <c r="Q45" i="2"/>
  <c r="Q267" i="2"/>
  <c r="Q268" i="2"/>
  <c r="Q269" i="2"/>
  <c r="Q181" i="2"/>
  <c r="Q182" i="2"/>
  <c r="Q221" i="2"/>
  <c r="Q73" i="2"/>
  <c r="Q183" i="2"/>
  <c r="Q222" i="2"/>
  <c r="Q184" i="2"/>
  <c r="Q74" i="2"/>
  <c r="Q270" i="2"/>
  <c r="Q185" i="2"/>
  <c r="Q186" i="2"/>
  <c r="Q187" i="2"/>
  <c r="Q75" i="2"/>
  <c r="Q46" i="2"/>
  <c r="Q47" i="2"/>
  <c r="Q223" i="2"/>
  <c r="Q76" i="2"/>
  <c r="Q17" i="2"/>
  <c r="Q18" i="2"/>
  <c r="Q120" i="2"/>
  <c r="Q121" i="2"/>
  <c r="Q77" i="2"/>
  <c r="Q208" i="2"/>
  <c r="Q78" i="2"/>
  <c r="Q122" i="2"/>
  <c r="Q79" i="2"/>
  <c r="Q123" i="2"/>
  <c r="Q302" i="2"/>
  <c r="Q303" i="2"/>
  <c r="Q304" i="2"/>
  <c r="Q48" i="2"/>
  <c r="Q209" i="2"/>
  <c r="Q80" i="2"/>
  <c r="Q124" i="2"/>
  <c r="Q125" i="2"/>
  <c r="Q224" i="2"/>
  <c r="Q210" i="2"/>
  <c r="Q126" i="2"/>
  <c r="Q127" i="2"/>
  <c r="Q128" i="2"/>
  <c r="Q81" i="2"/>
  <c r="Q82" i="2"/>
  <c r="Q49" i="2"/>
  <c r="Q19" i="2"/>
  <c r="Q20" i="2"/>
  <c r="Q129" i="2"/>
  <c r="Q83" i="2"/>
  <c r="Q84" i="2"/>
  <c r="Q305" i="2"/>
  <c r="Q306" i="2"/>
  <c r="Q307" i="2"/>
  <c r="Q279" i="2"/>
  <c r="Q280" i="2"/>
  <c r="Q225" i="2"/>
  <c r="Q211" i="2"/>
  <c r="Q85" i="2"/>
  <c r="Q130" i="2"/>
  <c r="Q21" i="2"/>
  <c r="Q86" i="2"/>
  <c r="Q87" i="2"/>
  <c r="Q22" i="2"/>
  <c r="Q88" i="2"/>
  <c r="Q131" i="2"/>
  <c r="Q281" i="2"/>
  <c r="Q282" i="2"/>
  <c r="Q212" i="2"/>
  <c r="Q132" i="2"/>
  <c r="Q89" i="2"/>
  <c r="Q213" i="2"/>
  <c r="Q133" i="2"/>
  <c r="Q90" i="2"/>
  <c r="Q91" i="2"/>
  <c r="Q23" i="2"/>
  <c r="Q92" i="2"/>
  <c r="Q50" i="2"/>
  <c r="Q161" i="2"/>
  <c r="Q162" i="2"/>
  <c r="Q134" i="2"/>
  <c r="Q235" i="2"/>
  <c r="Q226" i="2"/>
  <c r="Q188" i="2"/>
  <c r="Q135" i="2"/>
  <c r="Q227" i="2"/>
  <c r="Q236" i="2"/>
  <c r="Q163" i="2"/>
  <c r="Q259" i="2"/>
  <c r="Q164" i="2"/>
  <c r="Q260" i="2"/>
  <c r="Q287" i="2"/>
  <c r="Q288" i="2"/>
  <c r="Q93" i="2"/>
  <c r="Q289" i="2"/>
  <c r="Q94" i="2"/>
  <c r="Q313" i="2"/>
  <c r="Q290" i="2"/>
  <c r="Q291" i="2"/>
  <c r="Q314" i="2"/>
  <c r="Q165" i="2"/>
  <c r="Q166" i="2"/>
  <c r="Q167" i="2"/>
  <c r="Q24" i="2"/>
  <c r="Q25" i="2"/>
  <c r="Q214" i="2"/>
  <c r="Q26" i="2"/>
  <c r="Q215" i="2"/>
  <c r="Q27" i="2"/>
  <c r="Q28" i="2"/>
  <c r="Q29" i="2"/>
  <c r="Q30" i="2"/>
  <c r="Q31" i="2"/>
  <c r="Q195" i="2"/>
  <c r="Q32" i="2"/>
  <c r="Q33" i="2"/>
  <c r="Q261" i="2"/>
  <c r="Q250" i="2"/>
  <c r="Q262" i="2"/>
  <c r="Q251" i="2"/>
  <c r="Q252" i="2"/>
  <c r="Q263" i="2"/>
  <c r="Q95" i="2"/>
  <c r="Q196" i="2"/>
  <c r="Q197" i="2"/>
  <c r="Q198" i="2"/>
  <c r="Q228" i="2"/>
  <c r="Q199" i="2"/>
  <c r="Q237" i="2"/>
  <c r="Q238" i="2"/>
  <c r="Q229" i="2"/>
  <c r="Q200" i="2"/>
  <c r="Q230" i="2"/>
  <c r="Q168" i="2"/>
  <c r="Q169" i="2"/>
  <c r="Q170" i="2"/>
  <c r="Q283" i="2"/>
  <c r="Q284" i="2"/>
  <c r="Q231" i="2"/>
  <c r="Q201" i="2"/>
  <c r="Q189" i="2"/>
  <c r="Q239" i="2"/>
  <c r="Q136" i="2"/>
  <c r="Q171" i="2"/>
  <c r="Q172" i="2"/>
  <c r="Q137" i="2"/>
  <c r="Q173" i="2"/>
  <c r="Q51" i="2"/>
  <c r="Q253" i="2"/>
  <c r="Q240" i="2"/>
  <c r="Q96" i="2"/>
  <c r="Q97" i="2"/>
  <c r="Q216" i="2"/>
  <c r="Q344" i="2"/>
  <c r="Q343" i="2"/>
  <c r="Q138" i="2"/>
  <c r="Q139" i="2"/>
  <c r="Q140" i="2"/>
  <c r="Q141" i="2"/>
  <c r="Q142" i="2"/>
  <c r="Q143" i="2"/>
  <c r="Q144" i="2"/>
  <c r="Q52" i="2"/>
  <c r="Q53" i="2"/>
  <c r="Q232" i="2"/>
  <c r="Q98" i="2"/>
  <c r="Q99" i="2"/>
  <c r="Q34" i="2"/>
  <c r="Q100" i="2"/>
  <c r="Q35" i="2"/>
  <c r="Q174" i="2"/>
  <c r="Q202" i="2"/>
  <c r="Q145" i="2"/>
  <c r="Q146" i="2"/>
  <c r="Q175" i="2"/>
  <c r="Q101" i="2"/>
  <c r="Q233" i="2"/>
  <c r="Q203" i="2"/>
  <c r="Q254" i="2"/>
  <c r="Q241" i="2"/>
  <c r="Q147" i="2"/>
  <c r="Q148" i="2"/>
  <c r="Q149" i="2"/>
  <c r="Q176" i="2"/>
  <c r="Q177" i="2"/>
  <c r="Q102" i="2"/>
  <c r="Q242" i="2"/>
  <c r="Q234" i="2"/>
  <c r="Q204" i="2"/>
  <c r="Q178" i="2"/>
  <c r="Q150" i="2"/>
  <c r="Q103" i="2"/>
  <c r="Q243" i="2"/>
  <c r="Q342" i="2"/>
  <c r="Q341" i="2"/>
  <c r="Q179" i="2"/>
  <c r="Q292" i="2"/>
  <c r="Q321" i="2"/>
  <c r="Q217" i="2"/>
  <c r="Q335" i="2"/>
  <c r="Q322" i="2"/>
  <c r="Q323" i="2"/>
  <c r="Q293" i="2"/>
  <c r="Q218" i="2"/>
  <c r="Q54" i="2"/>
  <c r="Q151" i="2"/>
  <c r="Q339" i="2"/>
  <c r="Q336" i="2"/>
  <c r="Q324" i="2"/>
  <c r="Q325" i="2"/>
  <c r="Q326" i="2"/>
  <c r="Q308" i="2"/>
  <c r="Q294" i="2"/>
  <c r="Q295" i="2"/>
  <c r="Q296" i="2"/>
  <c r="Q271" i="2"/>
  <c r="Q219" i="2"/>
  <c r="Q190" i="2"/>
  <c r="Q191" i="2"/>
  <c r="Q192" i="2"/>
  <c r="Q152" i="2"/>
  <c r="Q36" i="2"/>
  <c r="Q153" i="2"/>
  <c r="Q104" i="2"/>
  <c r="Q55" i="2"/>
  <c r="Q340" i="2"/>
  <c r="Q337" i="2"/>
  <c r="Q338" i="2"/>
  <c r="Q327" i="2"/>
  <c r="Q328" i="2"/>
  <c r="Q315" i="2"/>
  <c r="Q309" i="2"/>
  <c r="Q297" i="2"/>
  <c r="Q298" i="2"/>
  <c r="Q299" i="2"/>
  <c r="Q193" i="2"/>
  <c r="Q37" i="2"/>
  <c r="Q154" i="2"/>
  <c r="Q329" i="2"/>
  <c r="Q330" i="2"/>
  <c r="Q331" i="2"/>
  <c r="Q316" i="2"/>
  <c r="Q317" i="2"/>
  <c r="Q272" i="2"/>
  <c r="Q255" i="2"/>
  <c r="Q256" i="2"/>
  <c r="Q257" i="2"/>
  <c r="Q258" i="2"/>
  <c r="Q300" i="2"/>
  <c r="Q301" i="2"/>
  <c r="Q285" i="2"/>
  <c r="Q286" i="2"/>
  <c r="Q56" i="2"/>
  <c r="Q332" i="2"/>
  <c r="Q318" i="2"/>
  <c r="Q333" i="2"/>
  <c r="Q319" i="2"/>
  <c r="Q310" i="2"/>
  <c r="Q311" i="2"/>
  <c r="Q194" i="2"/>
  <c r="Q105" i="2"/>
  <c r="Q334" i="2"/>
  <c r="Q320" i="2"/>
  <c r="Q312" i="2"/>
  <c r="Q106" i="2"/>
  <c r="Q107" i="2"/>
  <c r="Q345" i="2"/>
  <c r="Q346" i="2"/>
  <c r="Q490" i="2"/>
  <c r="Q601" i="2"/>
  <c r="Q491" i="2"/>
  <c r="Q492" i="2"/>
  <c r="Q385" i="2"/>
  <c r="Q602" i="2"/>
  <c r="Q522" i="2"/>
  <c r="Q448" i="2"/>
  <c r="Q517" i="2"/>
  <c r="Q582" i="2"/>
  <c r="Q612" i="2"/>
  <c r="Q605" i="2"/>
  <c r="Q374" i="2"/>
  <c r="Q523" i="2"/>
  <c r="Q524" i="2"/>
  <c r="Q449" i="2"/>
  <c r="Q386" i="2"/>
  <c r="Q430" i="2"/>
  <c r="Q450" i="2"/>
  <c r="Q431" i="2"/>
  <c r="Q567" i="2"/>
  <c r="Q525" i="2"/>
  <c r="Q526" i="2"/>
  <c r="Q375" i="2"/>
  <c r="Q451" i="2"/>
  <c r="Q387" i="2"/>
  <c r="Q452" i="2"/>
  <c r="Q432" i="2"/>
  <c r="Q586" i="2"/>
  <c r="Q577" i="2"/>
  <c r="Q547" i="2"/>
  <c r="Q478" i="2"/>
  <c r="Q433" i="2"/>
  <c r="Q587" i="2"/>
  <c r="Q583" i="2"/>
  <c r="Q578" i="2"/>
  <c r="Q576" i="2"/>
  <c r="Q568" i="2"/>
  <c r="Q569" i="2"/>
  <c r="Q570" i="2"/>
  <c r="Q548" i="2"/>
  <c r="Q579" i="2"/>
  <c r="Q549" i="2"/>
  <c r="Q580" i="2"/>
  <c r="Q550" i="2"/>
  <c r="Q584" i="2"/>
  <c r="Q571" i="2"/>
  <c r="Q572" i="2"/>
  <c r="Q483" i="2"/>
  <c r="Q434" i="2"/>
  <c r="Q388" i="2"/>
  <c r="Q551" i="2"/>
  <c r="Q347" i="2"/>
  <c r="Q453" i="2"/>
  <c r="Q527" i="2"/>
  <c r="Q454" i="2"/>
  <c r="Q455" i="2"/>
  <c r="Q348" i="2"/>
  <c r="Q456" i="2"/>
  <c r="Q349" i="2"/>
  <c r="Q457" i="2"/>
  <c r="Q350" i="2"/>
  <c r="Q351" i="2"/>
  <c r="Q352" i="2"/>
  <c r="Q585" i="2"/>
  <c r="Q493" i="2"/>
  <c r="Q353" i="2"/>
  <c r="Q528" i="2"/>
  <c r="Q354" i="2"/>
  <c r="Q389" i="2"/>
  <c r="Q564" i="2"/>
  <c r="Q561" i="2"/>
  <c r="Q458" i="2"/>
  <c r="Q459" i="2"/>
  <c r="Q460" i="2"/>
  <c r="Q503" i="2"/>
  <c r="Q461" i="2"/>
  <c r="Q529" i="2"/>
  <c r="Q390" i="2"/>
  <c r="Q435" i="2"/>
  <c r="Q436" i="2"/>
  <c r="Q391" i="2"/>
  <c r="Q565" i="2"/>
  <c r="Q518" i="2"/>
  <c r="Q392" i="2"/>
  <c r="Q599" i="2"/>
  <c r="Q376" i="2"/>
  <c r="Q355" i="2"/>
  <c r="Q377" i="2"/>
  <c r="Q356" i="2"/>
  <c r="Q393" i="2"/>
  <c r="Q479" i="2"/>
  <c r="Q394" i="2"/>
  <c r="Q538" i="2"/>
  <c r="Q484" i="2"/>
  <c r="Q462" i="2"/>
  <c r="Q357" i="2"/>
  <c r="Q463" i="2"/>
  <c r="Q485" i="2"/>
  <c r="Q486" i="2"/>
  <c r="Q464" i="2"/>
  <c r="Q555" i="2"/>
  <c r="Q556" i="2"/>
  <c r="Q358" i="2"/>
  <c r="Q504" i="2"/>
  <c r="Q487" i="2"/>
  <c r="Q378" i="2"/>
  <c r="Q465" i="2"/>
  <c r="Q359" i="2"/>
  <c r="Q379" i="2"/>
  <c r="Q395" i="2"/>
  <c r="Q360" i="2"/>
  <c r="Q396" i="2"/>
  <c r="Q466" i="2"/>
  <c r="Q505" i="2"/>
  <c r="Q488" i="2"/>
  <c r="Q380" i="2"/>
  <c r="Q361" i="2"/>
  <c r="Q566" i="2"/>
  <c r="Q480" i="2"/>
  <c r="Q362" i="2"/>
  <c r="Q607" i="2"/>
  <c r="Q606" i="2"/>
  <c r="Q600" i="2"/>
  <c r="Q519" i="2"/>
  <c r="Q397" i="2"/>
  <c r="Q552" i="2"/>
  <c r="Q553" i="2"/>
  <c r="Q539" i="2"/>
  <c r="Q611" i="2"/>
  <c r="Q398" i="2"/>
  <c r="Q467" i="2"/>
  <c r="Q468" i="2"/>
  <c r="Q469" i="2"/>
  <c r="Q399" i="2"/>
  <c r="Q400" i="2"/>
  <c r="Q401" i="2"/>
  <c r="Q437" i="2"/>
  <c r="Q588" i="2"/>
  <c r="Q592" i="2"/>
  <c r="Q593" i="2"/>
  <c r="Q594" i="2"/>
  <c r="Q562" i="2"/>
  <c r="Q589" i="2"/>
  <c r="Q595" i="2"/>
  <c r="Q596" i="2"/>
  <c r="Q402" i="2"/>
  <c r="Q403" i="2"/>
  <c r="Q590" i="2"/>
  <c r="Q597" i="2"/>
  <c r="Q598" i="2"/>
  <c r="Q563" i="2"/>
  <c r="Q613" i="2"/>
  <c r="Q609" i="2"/>
  <c r="Q608" i="2"/>
  <c r="Q610" i="2"/>
  <c r="Q604" i="2"/>
  <c r="Q438" i="2"/>
  <c r="Q439" i="2"/>
  <c r="Q404" i="2"/>
  <c r="Q405" i="2"/>
  <c r="Q440" i="2"/>
  <c r="Q406" i="2"/>
  <c r="Q530" i="2"/>
  <c r="Q363" i="2"/>
  <c r="Q407" i="2"/>
  <c r="Q408" i="2"/>
  <c r="Q557" i="2"/>
  <c r="Q409" i="2"/>
  <c r="Q410" i="2"/>
  <c r="Q470" i="2"/>
  <c r="Q411" i="2"/>
  <c r="Q412" i="2"/>
  <c r="Q413" i="2"/>
  <c r="Q414" i="2"/>
  <c r="Q415" i="2"/>
  <c r="Q494" i="2"/>
  <c r="Q416" i="2"/>
  <c r="Q417" i="2"/>
  <c r="Q495" i="2"/>
  <c r="Q471" i="2"/>
  <c r="Q418" i="2"/>
  <c r="Q419" i="2"/>
  <c r="Q420" i="2"/>
  <c r="Q421" i="2"/>
  <c r="Q573" i="2"/>
  <c r="Q472" i="2"/>
  <c r="Q422" i="2"/>
  <c r="Q364" i="2"/>
  <c r="Q381" i="2"/>
  <c r="Q473" i="2"/>
  <c r="Q365" i="2"/>
  <c r="Q506" i="2"/>
  <c r="Q496" i="2"/>
  <c r="Q481" i="2"/>
  <c r="Q474" i="2"/>
  <c r="Q441" i="2"/>
  <c r="Q423" i="2"/>
  <c r="Q424" i="2"/>
  <c r="Q507" i="2"/>
  <c r="Q497" i="2"/>
  <c r="Q482" i="2"/>
  <c r="Q425" i="2"/>
  <c r="Q442" i="2"/>
  <c r="Q475" i="2"/>
  <c r="Q426" i="2"/>
  <c r="Q508" i="2"/>
  <c r="Q498" i="2"/>
  <c r="Q443" i="2"/>
  <c r="Q476" i="2"/>
  <c r="Q499" i="2"/>
  <c r="Q366" i="2"/>
  <c r="Q558" i="2"/>
  <c r="Q574" i="2"/>
  <c r="Q540" i="2"/>
  <c r="Q541" i="2"/>
  <c r="Q520" i="2"/>
  <c r="Q500" i="2"/>
  <c r="Q559" i="2"/>
  <c r="Q531" i="2"/>
  <c r="Q367" i="2"/>
  <c r="Q368" i="2"/>
  <c r="Q542" i="2"/>
  <c r="Q543" i="2"/>
  <c r="Q544" i="2"/>
  <c r="Q489" i="2"/>
  <c r="Q382" i="2"/>
  <c r="Q427" i="2"/>
  <c r="Q532" i="2"/>
  <c r="Q533" i="2"/>
  <c r="Q428" i="2"/>
  <c r="Q383" i="2"/>
  <c r="Q501" i="2"/>
  <c r="Q502" i="2"/>
  <c r="Q534" i="2"/>
  <c r="Q521" i="2"/>
  <c r="Q369" i="2"/>
  <c r="Q370" i="2"/>
  <c r="Q384" i="2"/>
  <c r="Q581" i="2"/>
  <c r="Q560" i="2"/>
  <c r="Q554" i="2"/>
  <c r="Q545" i="2"/>
  <c r="Q371" i="2"/>
  <c r="Q372" i="2"/>
  <c r="Q429" i="2"/>
  <c r="Q373" i="2"/>
  <c r="Q603" i="2"/>
  <c r="Q575" i="2"/>
  <c r="Q546" i="2"/>
  <c r="Q591" i="2"/>
  <c r="Q444" i="2"/>
  <c r="Q445" i="2"/>
  <c r="Q446" i="2"/>
  <c r="Q447" i="2"/>
  <c r="Q509" i="2"/>
  <c r="Q510" i="2"/>
  <c r="Q511" i="2"/>
  <c r="Q512" i="2"/>
  <c r="Q477" i="2"/>
  <c r="Q513" i="2"/>
  <c r="Q535" i="2"/>
  <c r="Q514" i="2"/>
  <c r="Q515" i="2"/>
  <c r="Q536" i="2"/>
  <c r="Q537" i="2"/>
  <c r="Q516" i="2"/>
  <c r="Q57" i="2"/>
  <c r="M376" i="2"/>
  <c r="M355" i="2"/>
  <c r="M50" i="2"/>
  <c r="M377" i="2"/>
  <c r="M57" i="2"/>
  <c r="M174" i="2"/>
  <c r="M356" i="2"/>
  <c r="M393" i="2"/>
  <c r="M244" i="2"/>
  <c r="M255" i="2"/>
  <c r="M256" i="2"/>
  <c r="M520" i="2"/>
  <c r="M510" i="2"/>
  <c r="M223" i="2"/>
  <c r="M500" i="2"/>
  <c r="M202" i="2"/>
  <c r="M479" i="2"/>
  <c r="M76" i="2"/>
  <c r="M145" i="2"/>
  <c r="M59" i="2"/>
  <c r="M17" i="2"/>
  <c r="M18" i="2"/>
  <c r="M114" i="2"/>
  <c r="M161" i="2"/>
  <c r="M89" i="2"/>
  <c r="M394" i="2"/>
  <c r="M146" i="2"/>
  <c r="M409" i="2"/>
  <c r="M120" i="2"/>
  <c r="M162" i="2"/>
  <c r="M134" i="2"/>
  <c r="M121" i="2"/>
  <c r="M175" i="2"/>
  <c r="M410" i="2"/>
  <c r="M77" i="2"/>
  <c r="M101" i="2"/>
  <c r="M321" i="2"/>
  <c r="M559" i="2"/>
  <c r="M538" i="2"/>
  <c r="M261" i="2"/>
  <c r="M208" i="2"/>
  <c r="M78" i="2"/>
  <c r="M122" i="2"/>
  <c r="M79" i="2"/>
  <c r="M24" i="2"/>
  <c r="M123" i="2"/>
  <c r="M333" i="2"/>
  <c r="M319" i="2"/>
  <c r="M310" i="2"/>
  <c r="M302" i="2"/>
  <c r="M303" i="2"/>
  <c r="M304" i="2"/>
  <c r="M535" i="2"/>
  <c r="M531" i="2"/>
  <c r="M507" i="2"/>
  <c r="M491" i="2"/>
  <c r="M484" i="2"/>
  <c r="M217" i="2"/>
  <c r="M497" i="2"/>
  <c r="M492" i="2"/>
  <c r="M196" i="2"/>
  <c r="M482" i="2"/>
  <c r="M42" i="2"/>
  <c r="M347" i="2"/>
  <c r="M367" i="2"/>
  <c r="M7" i="2"/>
  <c r="M8" i="2"/>
  <c r="M385" i="2"/>
  <c r="M425" i="2"/>
  <c r="M111" i="2"/>
  <c r="M48" i="2"/>
  <c r="M462" i="2"/>
  <c r="M470" i="2"/>
  <c r="M442" i="2"/>
  <c r="M475" i="2"/>
  <c r="M368" i="2"/>
  <c r="M381" i="2"/>
  <c r="M411" i="2"/>
  <c r="M426" i="2"/>
  <c r="M412" i="2"/>
  <c r="M413" i="2"/>
  <c r="M602" i="2"/>
  <c r="M335" i="2"/>
  <c r="M322" i="2"/>
  <c r="M323" i="2"/>
  <c r="M293" i="2"/>
  <c r="M273" i="2"/>
  <c r="M542" i="2"/>
  <c r="M508" i="2"/>
  <c r="M221" i="2"/>
  <c r="M216" i="2"/>
  <c r="M498" i="2"/>
  <c r="M235" i="2"/>
  <c r="M453" i="2"/>
  <c r="M157" i="2"/>
  <c r="M9" i="2"/>
  <c r="M73" i="2"/>
  <c r="M473" i="2"/>
  <c r="M468" i="2"/>
  <c r="M345" i="2"/>
  <c r="M183" i="2"/>
  <c r="M112" i="2"/>
  <c r="M63" i="2"/>
  <c r="M53" i="2"/>
  <c r="M4" i="2"/>
  <c r="M5" i="2"/>
  <c r="M543" i="2"/>
  <c r="M585" i="2"/>
  <c r="M275" i="2"/>
  <c r="M544" i="2"/>
  <c r="M489" i="2"/>
  <c r="M185" i="2"/>
  <c r="M461" i="2"/>
  <c r="M414" i="2"/>
  <c r="M382" i="2"/>
  <c r="M197" i="2"/>
  <c r="M458" i="2"/>
  <c r="M43" i="2"/>
  <c r="M357" i="2"/>
  <c r="M14" i="2"/>
  <c r="M138" i="2"/>
  <c r="M432" i="2"/>
  <c r="M139" i="2"/>
  <c r="M427" i="2"/>
  <c r="M28" i="2"/>
  <c r="M29" i="2"/>
  <c r="M586" i="2"/>
  <c r="M577" i="2"/>
  <c r="M288" i="2"/>
  <c r="M547" i="2"/>
  <c r="M532" i="2"/>
  <c r="M533" i="2"/>
  <c r="M517" i="2"/>
  <c r="M398" i="2"/>
  <c r="M611" i="2"/>
  <c r="M604" i="2"/>
  <c r="M582" i="2"/>
  <c r="M270" i="2"/>
  <c r="M267" i="2"/>
  <c r="M209" i="2"/>
  <c r="M478" i="2"/>
  <c r="M80" i="2"/>
  <c r="M428" i="2"/>
  <c r="M93" i="2"/>
  <c r="M124" i="2"/>
  <c r="M444" i="2"/>
  <c r="M140" i="2"/>
  <c r="M25" i="2"/>
  <c r="M399" i="2"/>
  <c r="M400" i="2"/>
  <c r="M64" i="2"/>
  <c r="M125" i="2"/>
  <c r="M30" i="2"/>
  <c r="M31" i="2"/>
  <c r="M401" i="2"/>
  <c r="M141" i="2"/>
  <c r="M433" i="2"/>
  <c r="M437" i="2"/>
  <c r="M588" i="2"/>
  <c r="M592" i="2"/>
  <c r="M593" i="2"/>
  <c r="M594" i="2"/>
  <c r="M587" i="2"/>
  <c r="M583" i="2"/>
  <c r="M578" i="2"/>
  <c r="M576" i="2"/>
  <c r="M568" i="2"/>
  <c r="M569" i="2"/>
  <c r="M570" i="2"/>
  <c r="M311" i="2"/>
  <c r="M289" i="2"/>
  <c r="M562" i="2"/>
  <c r="M548" i="2"/>
  <c r="M463" i="2"/>
  <c r="M485" i="2"/>
  <c r="M486" i="2"/>
  <c r="M464" i="2"/>
  <c r="M555" i="2"/>
  <c r="M556" i="2"/>
  <c r="M198" i="2"/>
  <c r="M459" i="2"/>
  <c r="M358" i="2"/>
  <c r="M44" i="2"/>
  <c r="M15" i="2"/>
  <c r="M16" i="2"/>
  <c r="M493" i="2"/>
  <c r="M186" i="2"/>
  <c r="M383" i="2"/>
  <c r="M415" i="2"/>
  <c r="M187" i="2"/>
  <c r="M158" i="2"/>
  <c r="M159" i="2"/>
  <c r="M65" i="2"/>
  <c r="M66" i="2"/>
  <c r="M504" i="2"/>
  <c r="M226" i="2"/>
  <c r="M514" i="2"/>
  <c r="M511" i="2"/>
  <c r="M228" i="2"/>
  <c r="M231" i="2"/>
  <c r="M222" i="2"/>
  <c r="M224" i="2"/>
  <c r="M515" i="2"/>
  <c r="M232" i="2"/>
  <c r="M501" i="2"/>
  <c r="M233" i="2"/>
  <c r="M220" i="2"/>
  <c r="M218" i="2"/>
  <c r="M487" i="2"/>
  <c r="M206" i="2"/>
  <c r="M494" i="2"/>
  <c r="M214" i="2"/>
  <c r="M210" i="2"/>
  <c r="M213" i="2"/>
  <c r="M502" i="2"/>
  <c r="M195" i="2"/>
  <c r="M203" i="2"/>
  <c r="M199" i="2"/>
  <c r="M483" i="2"/>
  <c r="M201" i="2"/>
  <c r="M188" i="2"/>
  <c r="M189" i="2"/>
  <c r="M194" i="2"/>
  <c r="M184" i="2"/>
  <c r="M70" i="2"/>
  <c r="M378" i="2"/>
  <c r="M374" i="2"/>
  <c r="M527" i="2"/>
  <c r="M529" i="2"/>
  <c r="M254" i="2"/>
  <c r="M246" i="2"/>
  <c r="M247" i="2"/>
  <c r="M245" i="2"/>
  <c r="M248" i="2"/>
  <c r="M536" i="2"/>
  <c r="M249" i="2"/>
  <c r="M534" i="2"/>
  <c r="M523" i="2"/>
  <c r="M524" i="2"/>
  <c r="M257" i="2"/>
  <c r="M258" i="2"/>
  <c r="M250" i="2"/>
  <c r="M521" i="2"/>
  <c r="M241" i="2"/>
  <c r="M236" i="2"/>
  <c r="M239" i="2"/>
  <c r="M519" i="2"/>
  <c r="M237" i="2"/>
  <c r="M512" i="2"/>
  <c r="M126" i="2"/>
  <c r="M127" i="2"/>
  <c r="M128" i="2"/>
  <c r="M81" i="2"/>
  <c r="M105" i="2"/>
  <c r="M82" i="2"/>
  <c r="M49" i="2"/>
  <c r="M19" i="2"/>
  <c r="M20" i="2"/>
  <c r="M26" i="2"/>
  <c r="M449" i="2"/>
  <c r="M390" i="2"/>
  <c r="M147" i="2"/>
  <c r="M386" i="2"/>
  <c r="M465" i="2"/>
  <c r="M10" i="2"/>
  <c r="M45" i="2"/>
  <c r="M129" i="2"/>
  <c r="M438" i="2"/>
  <c r="M439" i="2"/>
  <c r="M115" i="2"/>
  <c r="M420" i="2"/>
  <c r="M32" i="2"/>
  <c r="M33" i="2"/>
  <c r="M83" i="2"/>
  <c r="M84" i="2"/>
  <c r="M113" i="2"/>
  <c r="M67" i="2"/>
  <c r="M404" i="2"/>
  <c r="M133" i="2"/>
  <c r="M56" i="2"/>
  <c r="M136" i="2"/>
  <c r="M369" i="2"/>
  <c r="M116" i="2"/>
  <c r="M163" i="2"/>
  <c r="M454" i="2"/>
  <c r="M416" i="2"/>
  <c r="M165" i="2"/>
  <c r="M359" i="2"/>
  <c r="M379" i="2"/>
  <c r="M171" i="2"/>
  <c r="M12" i="2"/>
  <c r="M395" i="2"/>
  <c r="M430" i="2"/>
  <c r="M405" i="2"/>
  <c r="M360" i="2"/>
  <c r="M435" i="2"/>
  <c r="M155" i="2"/>
  <c r="M436" i="2"/>
  <c r="M98" i="2"/>
  <c r="M391" i="2"/>
  <c r="M97" i="2"/>
  <c r="M455" i="2"/>
  <c r="M99" i="2"/>
  <c r="M172" i="2"/>
  <c r="M142" i="2"/>
  <c r="M90" i="2"/>
  <c r="M434" i="2"/>
  <c r="M137" i="2"/>
  <c r="M58" i="2"/>
  <c r="M160" i="2"/>
  <c r="M148" i="2"/>
  <c r="M38" i="2"/>
  <c r="M54" i="2"/>
  <c r="M440" i="2"/>
  <c r="M91" i="2"/>
  <c r="M23" i="2"/>
  <c r="M450" i="2"/>
  <c r="M431" i="2"/>
  <c r="M348" i="2"/>
  <c r="M477" i="2"/>
  <c r="M173" i="2"/>
  <c r="M353" i="2"/>
  <c r="M94" i="2"/>
  <c r="M370" i="2"/>
  <c r="M74" i="2"/>
  <c r="M384" i="2"/>
  <c r="M51" i="2"/>
  <c r="M143" i="2"/>
  <c r="M149" i="2"/>
  <c r="M456" i="2"/>
  <c r="M396" i="2"/>
  <c r="M95" i="2"/>
  <c r="M117" i="2"/>
  <c r="M346" i="2"/>
  <c r="M176" i="2"/>
  <c r="M466" i="2"/>
  <c r="M60" i="2"/>
  <c r="M177" i="2"/>
  <c r="M34" i="2"/>
  <c r="M397" i="2"/>
  <c r="M349" i="2"/>
  <c r="M417" i="2"/>
  <c r="M135" i="2"/>
  <c r="M151" i="2"/>
  <c r="M388" i="2"/>
  <c r="M71" i="2"/>
  <c r="M69" i="2"/>
  <c r="M102" i="2"/>
  <c r="M608" i="2"/>
  <c r="M339" i="2"/>
  <c r="M581" i="2"/>
  <c r="M336" i="2"/>
  <c r="M579" i="2"/>
  <c r="M324" i="2"/>
  <c r="M334" i="2"/>
  <c r="M325" i="2"/>
  <c r="M326" i="2"/>
  <c r="M573" i="2"/>
  <c r="M320" i="2"/>
  <c r="M313" i="2"/>
  <c r="M567" i="2"/>
  <c r="M312" i="2"/>
  <c r="M305" i="2"/>
  <c r="M565" i="2"/>
  <c r="M306" i="2"/>
  <c r="M307" i="2"/>
  <c r="M308" i="2"/>
  <c r="M292" i="2"/>
  <c r="M300" i="2"/>
  <c r="M290" i="2"/>
  <c r="M291" i="2"/>
  <c r="M294" i="2"/>
  <c r="M301" i="2"/>
  <c r="M295" i="2"/>
  <c r="M296" i="2"/>
  <c r="M283" i="2"/>
  <c r="M279" i="2"/>
  <c r="M276" i="2"/>
  <c r="M560" i="2"/>
  <c r="M280" i="2"/>
  <c r="M285" i="2"/>
  <c r="M274" i="2"/>
  <c r="M554" i="2"/>
  <c r="M264" i="2"/>
  <c r="M265" i="2"/>
  <c r="M552" i="2"/>
  <c r="M271" i="2"/>
  <c r="M268" i="2"/>
  <c r="M549" i="2"/>
  <c r="M259" i="2"/>
  <c r="M545" i="2"/>
  <c r="M262" i="2"/>
  <c r="M525" i="2"/>
  <c r="M537" i="2"/>
  <c r="M253" i="2"/>
  <c r="M528" i="2"/>
  <c r="M526" i="2"/>
  <c r="M251" i="2"/>
  <c r="M252" i="2"/>
  <c r="M242" i="2"/>
  <c r="M518" i="2"/>
  <c r="M238" i="2"/>
  <c r="M505" i="2"/>
  <c r="M227" i="2"/>
  <c r="M513" i="2"/>
  <c r="M229" i="2"/>
  <c r="M225" i="2"/>
  <c r="M516" i="2"/>
  <c r="M234" i="2"/>
  <c r="M219" i="2"/>
  <c r="M495" i="2"/>
  <c r="M215" i="2"/>
  <c r="M211" i="2"/>
  <c r="M204" i="2"/>
  <c r="M488" i="2"/>
  <c r="M200" i="2"/>
  <c r="M190" i="2"/>
  <c r="M191" i="2"/>
  <c r="M192" i="2"/>
  <c r="M72" i="2"/>
  <c r="M375" i="2"/>
  <c r="M152" i="2"/>
  <c r="M406" i="2"/>
  <c r="M36" i="2"/>
  <c r="M371" i="2"/>
  <c r="M153" i="2"/>
  <c r="M85" i="2"/>
  <c r="M104" i="2"/>
  <c r="M457" i="2"/>
  <c r="M445" i="2"/>
  <c r="M11" i="2"/>
  <c r="M372" i="2"/>
  <c r="M451" i="2"/>
  <c r="M380" i="2"/>
  <c r="M130" i="2"/>
  <c r="M106" i="2"/>
  <c r="M21" i="2"/>
  <c r="M86" i="2"/>
  <c r="M361" i="2"/>
  <c r="M118" i="2"/>
  <c r="M387" i="2"/>
  <c r="M354" i="2"/>
  <c r="M166" i="2"/>
  <c r="M108" i="2"/>
  <c r="M92" i="2"/>
  <c r="M429" i="2"/>
  <c r="M460" i="2"/>
  <c r="M373" i="2"/>
  <c r="M452" i="2"/>
  <c r="M471" i="2"/>
  <c r="M87" i="2"/>
  <c r="M22" i="2"/>
  <c r="M27" i="2"/>
  <c r="M418" i="2"/>
  <c r="M178" i="2"/>
  <c r="M150" i="2"/>
  <c r="M392" i="2"/>
  <c r="M421" i="2"/>
  <c r="M39" i="2"/>
  <c r="M100" i="2"/>
  <c r="M13" i="2"/>
  <c r="M55" i="2"/>
  <c r="M419" i="2"/>
  <c r="M389" i="2"/>
  <c r="M88" i="2"/>
  <c r="M164" i="2"/>
  <c r="M131" i="2"/>
  <c r="M103" i="2"/>
  <c r="M107" i="2"/>
  <c r="M344" i="2"/>
  <c r="M343" i="2"/>
  <c r="M612" i="2"/>
  <c r="M610" i="2"/>
  <c r="M605" i="2"/>
  <c r="M342" i="2"/>
  <c r="M603" i="2"/>
  <c r="M341" i="2"/>
  <c r="M589" i="2"/>
  <c r="M595" i="2"/>
  <c r="M340" i="2"/>
  <c r="M337" i="2"/>
  <c r="M580" i="2"/>
  <c r="M338" i="2"/>
  <c r="M327" i="2"/>
  <c r="M328" i="2"/>
  <c r="M314" i="2"/>
  <c r="M315" i="2"/>
  <c r="M575" i="2"/>
  <c r="M566" i="2"/>
  <c r="M564" i="2"/>
  <c r="M309" i="2"/>
  <c r="M561" i="2"/>
  <c r="M297" i="2"/>
  <c r="M298" i="2"/>
  <c r="M299" i="2"/>
  <c r="M284" i="2"/>
  <c r="M281" i="2"/>
  <c r="M277" i="2"/>
  <c r="M282" i="2"/>
  <c r="M286" i="2"/>
  <c r="M278" i="2"/>
  <c r="M266" i="2"/>
  <c r="M553" i="2"/>
  <c r="M269" i="2"/>
  <c r="M551" i="2"/>
  <c r="M550" i="2"/>
  <c r="M260" i="2"/>
  <c r="M546" i="2"/>
  <c r="M263" i="2"/>
  <c r="M539" i="2"/>
  <c r="M350" i="2"/>
  <c r="M351" i="2"/>
  <c r="M352" i="2"/>
  <c r="M230" i="2"/>
  <c r="M207" i="2"/>
  <c r="M212" i="2"/>
  <c r="M205" i="2"/>
  <c r="M480" i="2"/>
  <c r="M180" i="2"/>
  <c r="M193" i="2"/>
  <c r="M522" i="2"/>
  <c r="M243" i="2"/>
  <c r="M240" i="2"/>
  <c r="M40" i="2"/>
  <c r="M96" i="2"/>
  <c r="M362" i="2"/>
  <c r="M448" i="2"/>
  <c r="M144" i="2"/>
  <c r="M68" i="2"/>
  <c r="M168" i="2"/>
  <c r="M132" i="2"/>
  <c r="M119" i="2"/>
  <c r="M469" i="2"/>
  <c r="M37" i="2"/>
  <c r="M169" i="2"/>
  <c r="M443" i="2"/>
  <c r="M154" i="2"/>
  <c r="M179" i="2"/>
  <c r="M476" i="2"/>
  <c r="M41" i="2"/>
  <c r="M365" i="2"/>
  <c r="M35" i="2"/>
  <c r="M607" i="2"/>
  <c r="M606" i="2"/>
  <c r="M600" i="2"/>
  <c r="M591" i="2"/>
  <c r="M329" i="2"/>
  <c r="M330" i="2"/>
  <c r="M331" i="2"/>
  <c r="M316" i="2"/>
  <c r="M317" i="2"/>
  <c r="M272" i="2"/>
  <c r="M596" i="2"/>
  <c r="M402" i="2"/>
  <c r="M403" i="2"/>
  <c r="M446" i="2"/>
  <c r="M167" i="2"/>
  <c r="M447" i="2"/>
  <c r="M170" i="2"/>
  <c r="M590" i="2"/>
  <c r="M597" i="2"/>
  <c r="M598" i="2"/>
  <c r="M584" i="2"/>
  <c r="M571" i="2"/>
  <c r="M572" i="2"/>
  <c r="M563" i="2"/>
  <c r="M509" i="2"/>
  <c r="M506" i="2"/>
  <c r="M503" i="2"/>
  <c r="M496" i="2"/>
  <c r="M490" i="2"/>
  <c r="M481" i="2"/>
  <c r="M75" i="2"/>
  <c r="M474" i="2"/>
  <c r="M472" i="2"/>
  <c r="M467" i="2"/>
  <c r="M156" i="2"/>
  <c r="M441" i="2"/>
  <c r="M422" i="2"/>
  <c r="M423" i="2"/>
  <c r="M6" i="2"/>
  <c r="M364" i="2"/>
  <c r="M366" i="2"/>
  <c r="M424" i="2"/>
  <c r="M332" i="2"/>
  <c r="M318" i="2"/>
  <c r="M558" i="2"/>
  <c r="M613" i="2"/>
  <c r="M609" i="2"/>
  <c r="M601" i="2"/>
  <c r="M599" i="2"/>
  <c r="M574" i="2"/>
  <c r="M287" i="2"/>
  <c r="M181" i="2"/>
  <c r="M52" i="2"/>
  <c r="M109" i="2"/>
  <c r="M61" i="2"/>
  <c r="M46" i="2"/>
  <c r="M2" i="2"/>
  <c r="M182" i="2"/>
  <c r="M110" i="2"/>
  <c r="M62" i="2"/>
  <c r="M47" i="2"/>
  <c r="M3" i="2"/>
  <c r="M540" i="2"/>
  <c r="M541" i="2"/>
  <c r="M499" i="2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2" i="4"/>
  <c r="X70" i="4"/>
  <c r="X69" i="4"/>
  <c r="X68" i="4"/>
  <c r="X67" i="4"/>
  <c r="X66" i="4"/>
  <c r="X65" i="4"/>
  <c r="X64" i="4"/>
  <c r="X63" i="4"/>
  <c r="X62" i="4"/>
  <c r="X61" i="4"/>
  <c r="M76" i="4"/>
  <c r="M105" i="4"/>
  <c r="M106" i="4"/>
  <c r="M98" i="4"/>
  <c r="M99" i="4"/>
  <c r="M86" i="4"/>
  <c r="M114" i="4"/>
  <c r="M103" i="4"/>
  <c r="M77" i="4"/>
  <c r="M107" i="4"/>
  <c r="M108" i="4"/>
  <c r="M109" i="4"/>
  <c r="M110" i="4"/>
  <c r="M87" i="4"/>
  <c r="M88" i="4"/>
  <c r="M89" i="4"/>
  <c r="M84" i="4"/>
  <c r="M104" i="4"/>
  <c r="M100" i="4"/>
  <c r="M67" i="4"/>
  <c r="M90" i="4"/>
  <c r="M68" i="4"/>
  <c r="M83" i="4"/>
  <c r="M61" i="4"/>
  <c r="M62" i="4"/>
  <c r="M63" i="4"/>
  <c r="M78" i="4"/>
  <c r="M79" i="4"/>
  <c r="M80" i="4"/>
  <c r="M69" i="4"/>
  <c r="M81" i="4"/>
  <c r="M82" i="4"/>
  <c r="M85" i="4"/>
  <c r="M70" i="4"/>
  <c r="M57" i="4"/>
  <c r="M58" i="4"/>
  <c r="M74" i="4"/>
  <c r="M64" i="4"/>
  <c r="M65" i="4"/>
  <c r="M66" i="4"/>
  <c r="M111" i="4"/>
  <c r="M112" i="4"/>
  <c r="M113" i="4"/>
  <c r="M115" i="4"/>
  <c r="M93" i="4"/>
  <c r="M94" i="4"/>
  <c r="M95" i="4"/>
  <c r="M96" i="4"/>
  <c r="M97" i="4"/>
  <c r="M91" i="4"/>
  <c r="M92" i="4"/>
  <c r="M59" i="4"/>
  <c r="M60" i="4"/>
  <c r="M101" i="4"/>
  <c r="M102" i="4"/>
  <c r="M71" i="4"/>
  <c r="M72" i="4"/>
  <c r="M73" i="4"/>
  <c r="M75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2" i="4"/>
</calcChain>
</file>

<file path=xl/sharedStrings.xml><?xml version="1.0" encoding="utf-8"?>
<sst xmlns="http://schemas.openxmlformats.org/spreadsheetml/2006/main" count="21616" uniqueCount="1042">
  <si>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</si>
  <si>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</si>
  <si>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</si>
  <si>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</si>
  <si>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</si>
  <si>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</si>
  <si>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</si>
  <si>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</si>
  <si>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</si>
  <si>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</si>
  <si>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</si>
  <si>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</si>
  <si>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</si>
  <si>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</si>
  <si>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</si>
  <si>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</si>
  <si>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</si>
  <si>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</si>
  <si>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</si>
  <si>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</si>
  <si>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</si>
  <si>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</si>
  <si>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</si>
  <si>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</si>
  <si>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</si>
  <si>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</si>
  <si>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</si>
  <si>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</si>
  <si>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</si>
  <si>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</si>
  <si>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</si>
  <si>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</si>
  <si>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</si>
  <si>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</si>
  <si>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</si>
  <si>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</si>
  <si>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</si>
  <si>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</si>
  <si>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</si>
  <si>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</si>
  <si>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</si>
  <si>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</si>
  <si>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</si>
  <si>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</si>
  <si>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</si>
  <si>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</si>
  <si>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</si>
  <si>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</si>
  <si>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</si>
  <si>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AMIT</t>
  </si>
  <si>
    <t>BELANI</t>
  </si>
  <si>
    <t>Allstate Health Solutions</t>
  </si>
  <si>
    <t>FL</t>
  </si>
  <si>
    <t>Other</t>
  </si>
  <si>
    <t>Plan Enhancer 20214</t>
  </si>
  <si>
    <t>TEIPEL</t>
  </si>
  <si>
    <t>GREGORY</t>
  </si>
  <si>
    <t>Active</t>
  </si>
  <si>
    <t xml:space="preserve">Monthly </t>
  </si>
  <si>
    <t>Converted</t>
  </si>
  <si>
    <t>FY</t>
  </si>
  <si>
    <t>N</t>
  </si>
  <si>
    <t>JULIE</t>
  </si>
  <si>
    <t>JENSEN</t>
  </si>
  <si>
    <t>IN</t>
  </si>
  <si>
    <t>Term Life 21673</t>
  </si>
  <si>
    <t>Sanderock</t>
  </si>
  <si>
    <t>Marsha</t>
  </si>
  <si>
    <t>ZABRINA</t>
  </si>
  <si>
    <t>LINN</t>
  </si>
  <si>
    <t>TX</t>
  </si>
  <si>
    <t>Shulman</t>
  </si>
  <si>
    <t>Jake</t>
  </si>
  <si>
    <t>PALAZZO</t>
  </si>
  <si>
    <t>TERRIE</t>
  </si>
  <si>
    <t>WI</t>
  </si>
  <si>
    <t>Hodgman</t>
  </si>
  <si>
    <t>Timothy</t>
  </si>
  <si>
    <t>MARTINEZ</t>
  </si>
  <si>
    <t>URIEL</t>
  </si>
  <si>
    <t>IL</t>
  </si>
  <si>
    <t>Abdul</t>
  </si>
  <si>
    <t>Saadia</t>
  </si>
  <si>
    <t>ESTER</t>
  </si>
  <si>
    <t>PELEGCOHEN</t>
  </si>
  <si>
    <t>AK</t>
  </si>
  <si>
    <t>Chargeback</t>
  </si>
  <si>
    <t>TUMENBAYAR</t>
  </si>
  <si>
    <t>BATTSETSEG</t>
  </si>
  <si>
    <t>ZANA</t>
  </si>
  <si>
    <t>NASANDELGER</t>
  </si>
  <si>
    <t>QURESHI</t>
  </si>
  <si>
    <t>SEMAB</t>
  </si>
  <si>
    <t>MD</t>
  </si>
  <si>
    <t>Dental Indemnity 21618</t>
  </si>
  <si>
    <t>Max</t>
  </si>
  <si>
    <t>Ronald</t>
  </si>
  <si>
    <t>Accident Fixed-Benefit 21044</t>
  </si>
  <si>
    <t>THOMAS</t>
  </si>
  <si>
    <t>LISKOVEC</t>
  </si>
  <si>
    <t>FRANK</t>
  </si>
  <si>
    <t>DUNCAN</t>
  </si>
  <si>
    <t>STEPHEN</t>
  </si>
  <si>
    <t>CO</t>
  </si>
  <si>
    <t>Geske</t>
  </si>
  <si>
    <t>Heather</t>
  </si>
  <si>
    <t>HODGMAN</t>
  </si>
  <si>
    <t>TIMOTHY</t>
  </si>
  <si>
    <t>TOBIAS</t>
  </si>
  <si>
    <t>ROBERT</t>
  </si>
  <si>
    <t>SANTOS</t>
  </si>
  <si>
    <t>RICARDO</t>
  </si>
  <si>
    <t>RHONDA</t>
  </si>
  <si>
    <t>STALLKAMP</t>
  </si>
  <si>
    <t>OH</t>
  </si>
  <si>
    <t>CALTAGIRONE</t>
  </si>
  <si>
    <t>RYAN</t>
  </si>
  <si>
    <t>Accident Fixed Benefit</t>
  </si>
  <si>
    <t>SHERYL</t>
  </si>
  <si>
    <t>SLOAN</t>
  </si>
  <si>
    <t>Yale</t>
  </si>
  <si>
    <t>Richard</t>
  </si>
  <si>
    <t>ACHIMAS</t>
  </si>
  <si>
    <t>ANDREA</t>
  </si>
  <si>
    <t>GIBSON</t>
  </si>
  <si>
    <t>STACIE</t>
  </si>
  <si>
    <t>SC</t>
  </si>
  <si>
    <t>TAUGNER</t>
  </si>
  <si>
    <t>CHRISTIAN</t>
  </si>
  <si>
    <t>LOVING</t>
  </si>
  <si>
    <t>Solivan</t>
  </si>
  <si>
    <t>Erica</t>
  </si>
  <si>
    <t>DAWN</t>
  </si>
  <si>
    <t>THORNTON</t>
  </si>
  <si>
    <t>PARDUE</t>
  </si>
  <si>
    <t>HTOO</t>
  </si>
  <si>
    <t>PAUL</t>
  </si>
  <si>
    <t>THANADABOUTH</t>
  </si>
  <si>
    <t>PATSAMON</t>
  </si>
  <si>
    <t>SLOSS</t>
  </si>
  <si>
    <t>LAUREN</t>
  </si>
  <si>
    <t>AL</t>
  </si>
  <si>
    <t>CURTIS</t>
  </si>
  <si>
    <t>JOHNSON</t>
  </si>
  <si>
    <t>MANSFIELD</t>
  </si>
  <si>
    <t>SANDRA</t>
  </si>
  <si>
    <t>DAUGHERTY</t>
  </si>
  <si>
    <t>MATTHEW</t>
  </si>
  <si>
    <t>ANDERSON</t>
  </si>
  <si>
    <t>JOHN</t>
  </si>
  <si>
    <t>Lee</t>
  </si>
  <si>
    <t>Joel</t>
  </si>
  <si>
    <t>TROUT</t>
  </si>
  <si>
    <t>JASON</t>
  </si>
  <si>
    <t>PITTMAN</t>
  </si>
  <si>
    <t>AMY</t>
  </si>
  <si>
    <t>Berg</t>
  </si>
  <si>
    <t>Ines</t>
  </si>
  <si>
    <t>SOTIRI</t>
  </si>
  <si>
    <t>RISTAN</t>
  </si>
  <si>
    <t>BARNES</t>
  </si>
  <si>
    <t>KAI</t>
  </si>
  <si>
    <t>LEWIS</t>
  </si>
  <si>
    <t>JAMES</t>
  </si>
  <si>
    <t>RICHTER</t>
  </si>
  <si>
    <t>ADAM</t>
  </si>
  <si>
    <t>BIBA</t>
  </si>
  <si>
    <t>Choi</t>
  </si>
  <si>
    <t>Andrew</t>
  </si>
  <si>
    <t>RODGERS</t>
  </si>
  <si>
    <t>GARRETT</t>
  </si>
  <si>
    <t>PORTUGAL</t>
  </si>
  <si>
    <t>GARY</t>
  </si>
  <si>
    <t>Default</t>
  </si>
  <si>
    <t>ITURBE</t>
  </si>
  <si>
    <t>MICHAEL</t>
  </si>
  <si>
    <t>TORRES</t>
  </si>
  <si>
    <t>JOSE</t>
  </si>
  <si>
    <t>ELMAN</t>
  </si>
  <si>
    <t>STUART</t>
  </si>
  <si>
    <t>DECKARD</t>
  </si>
  <si>
    <t>ORT</t>
  </si>
  <si>
    <t>NC</t>
  </si>
  <si>
    <t>Chad</t>
  </si>
  <si>
    <t>NYAMJAV</t>
  </si>
  <si>
    <t>ENKHJARGAL</t>
  </si>
  <si>
    <t>REUTER</t>
  </si>
  <si>
    <t>SHEILA</t>
  </si>
  <si>
    <t>MT</t>
  </si>
  <si>
    <t>LOIGEROT</t>
  </si>
  <si>
    <t>ETHAN</t>
  </si>
  <si>
    <t>BATTULGA</t>
  </si>
  <si>
    <t>NARMANDAKH</t>
  </si>
  <si>
    <t>ROTILI</t>
  </si>
  <si>
    <t>LILIENTHAL</t>
  </si>
  <si>
    <t>Jerger</t>
  </si>
  <si>
    <t>Colleen</t>
  </si>
  <si>
    <t>GREEN</t>
  </si>
  <si>
    <t>EMILY</t>
  </si>
  <si>
    <t>GESKE</t>
  </si>
  <si>
    <t>WILLIAM</t>
  </si>
  <si>
    <t>WHITE</t>
  </si>
  <si>
    <t>DAVID</t>
  </si>
  <si>
    <t>STROUP</t>
  </si>
  <si>
    <t>PEYTTON</t>
  </si>
  <si>
    <t>RANDALL</t>
  </si>
  <si>
    <t>JA'NET</t>
  </si>
  <si>
    <t>WILLAMS</t>
  </si>
  <si>
    <t>DWAYNE</t>
  </si>
  <si>
    <t>RITCHEY</t>
  </si>
  <si>
    <t>RENEE</t>
  </si>
  <si>
    <t>GWALTNEY</t>
  </si>
  <si>
    <t>DESIREE</t>
  </si>
  <si>
    <t>Adcock</t>
  </si>
  <si>
    <t>Robert</t>
  </si>
  <si>
    <t>SODNOMPIL</t>
  </si>
  <si>
    <t>ALTANTUYA</t>
  </si>
  <si>
    <t>PADILLA</t>
  </si>
  <si>
    <t>DESEREE</t>
  </si>
  <si>
    <t>Brousseau</t>
  </si>
  <si>
    <t>Christopher</t>
  </si>
  <si>
    <t>DANIELS</t>
  </si>
  <si>
    <t>HEATHER</t>
  </si>
  <si>
    <t>AZ</t>
  </si>
  <si>
    <t>YALE</t>
  </si>
  <si>
    <t>JACOB</t>
  </si>
  <si>
    <t>RUSSOW</t>
  </si>
  <si>
    <t>KIMBERLY</t>
  </si>
  <si>
    <t>Allen</t>
  </si>
  <si>
    <t>James</t>
  </si>
  <si>
    <t>DALY</t>
  </si>
  <si>
    <t>CHRISTY</t>
  </si>
  <si>
    <t>VURA</t>
  </si>
  <si>
    <t>LAURA</t>
  </si>
  <si>
    <t>Schumann</t>
  </si>
  <si>
    <t>Barry</t>
  </si>
  <si>
    <t>PITZAFERRO</t>
  </si>
  <si>
    <t>NICOLE</t>
  </si>
  <si>
    <t>RESZLER</t>
  </si>
  <si>
    <t>EDWARD</t>
  </si>
  <si>
    <t>ROSENBERG</t>
  </si>
  <si>
    <t>RACHEL</t>
  </si>
  <si>
    <t>THOMPKINS</t>
  </si>
  <si>
    <t>JOHNNA</t>
  </si>
  <si>
    <t>Hess</t>
  </si>
  <si>
    <t>Jennifer</t>
  </si>
  <si>
    <t>WILLSTEAD</t>
  </si>
  <si>
    <t>KRISTY</t>
  </si>
  <si>
    <t>Sherman</t>
  </si>
  <si>
    <t>Matthew</t>
  </si>
  <si>
    <t>SCOTT</t>
  </si>
  <si>
    <t>MATHEW</t>
  </si>
  <si>
    <t>JOSEPH</t>
  </si>
  <si>
    <t>BOSSOV</t>
  </si>
  <si>
    <t>BERTUCCI</t>
  </si>
  <si>
    <t>DOROTHY</t>
  </si>
  <si>
    <t>PA</t>
  </si>
  <si>
    <t>AGUGLIA</t>
  </si>
  <si>
    <t>AUGUSTIN</t>
  </si>
  <si>
    <t>SANDLINE</t>
  </si>
  <si>
    <t>GIGLIO</t>
  </si>
  <si>
    <t>CHRIS</t>
  </si>
  <si>
    <t>BRENNER</t>
  </si>
  <si>
    <t>BARRY</t>
  </si>
  <si>
    <t>CORTHRON</t>
  </si>
  <si>
    <t>KORI</t>
  </si>
  <si>
    <t>Karns</t>
  </si>
  <si>
    <t>John</t>
  </si>
  <si>
    <t>SCHAENZER</t>
  </si>
  <si>
    <t>ERIC</t>
  </si>
  <si>
    <t>OR</t>
  </si>
  <si>
    <t>TSERENGOMBO</t>
  </si>
  <si>
    <t>BOLORMAA</t>
  </si>
  <si>
    <t>MYAGMARSUREN</t>
  </si>
  <si>
    <t>SELENGE</t>
  </si>
  <si>
    <t>CAMPAGNA</t>
  </si>
  <si>
    <t>KRISTINA</t>
  </si>
  <si>
    <t>STOZEK</t>
  </si>
  <si>
    <t>JOANNA</t>
  </si>
  <si>
    <t>KENAH</t>
  </si>
  <si>
    <t>FRANKLINE</t>
  </si>
  <si>
    <t>Oliver</t>
  </si>
  <si>
    <t>Brittany</t>
  </si>
  <si>
    <t>GALLIMORE</t>
  </si>
  <si>
    <t>NIKEITA</t>
  </si>
  <si>
    <t>HALVEY</t>
  </si>
  <si>
    <t>KATHY</t>
  </si>
  <si>
    <t>ESTANDA</t>
  </si>
  <si>
    <t>FIDEL</t>
  </si>
  <si>
    <t>DILLON</t>
  </si>
  <si>
    <t>SHANNON</t>
  </si>
  <si>
    <t>RESURRECCION</t>
  </si>
  <si>
    <t>FRISCH</t>
  </si>
  <si>
    <t>GORMAN</t>
  </si>
  <si>
    <t>BRIDGET</t>
  </si>
  <si>
    <t>OK</t>
  </si>
  <si>
    <t>GJIDODA</t>
  </si>
  <si>
    <t>GJON</t>
  </si>
  <si>
    <t>MI</t>
  </si>
  <si>
    <t>Cheregi</t>
  </si>
  <si>
    <t>Raluca</t>
  </si>
  <si>
    <t>BEMORAS</t>
  </si>
  <si>
    <t>CHARLIE</t>
  </si>
  <si>
    <t>TENZINGER</t>
  </si>
  <si>
    <t>DIANE</t>
  </si>
  <si>
    <t>WALENGA</t>
  </si>
  <si>
    <t>DALE</t>
  </si>
  <si>
    <t>Walenga</t>
  </si>
  <si>
    <t>Dale</t>
  </si>
  <si>
    <t>GALVEZ</t>
  </si>
  <si>
    <t>JORGE</t>
  </si>
  <si>
    <t>Weitzman</t>
  </si>
  <si>
    <t>Kenneth</t>
  </si>
  <si>
    <t>BOHNE</t>
  </si>
  <si>
    <t>SYDNEY</t>
  </si>
  <si>
    <t>MAX</t>
  </si>
  <si>
    <t>RONALD</t>
  </si>
  <si>
    <t>MCGOVERN</t>
  </si>
  <si>
    <t>CHAD</t>
  </si>
  <si>
    <t>EMS</t>
  </si>
  <si>
    <t>LISA</t>
  </si>
  <si>
    <t>PLAYER</t>
  </si>
  <si>
    <t>LENA</t>
  </si>
  <si>
    <t>MAYBIN</t>
  </si>
  <si>
    <t>CAROL</t>
  </si>
  <si>
    <t>MENDEZ</t>
  </si>
  <si>
    <t>ANA</t>
  </si>
  <si>
    <t>GUERRA</t>
  </si>
  <si>
    <t>MARICEL</t>
  </si>
  <si>
    <t>BAUNE</t>
  </si>
  <si>
    <t>WADE</t>
  </si>
  <si>
    <t>REYNA</t>
  </si>
  <si>
    <t>MARIA</t>
  </si>
  <si>
    <t>KUCHAR</t>
  </si>
  <si>
    <t>SALL</t>
  </si>
  <si>
    <t>AWA</t>
  </si>
  <si>
    <t>BRYAN</t>
  </si>
  <si>
    <t>JEREMY</t>
  </si>
  <si>
    <t>CASTILLO</t>
  </si>
  <si>
    <t>KOREY</t>
  </si>
  <si>
    <t>TOPEL</t>
  </si>
  <si>
    <t>IVY</t>
  </si>
  <si>
    <t>STAUP</t>
  </si>
  <si>
    <t>NEIL</t>
  </si>
  <si>
    <t>BADARCH</t>
  </si>
  <si>
    <t>BOLD</t>
  </si>
  <si>
    <t>CHAO</t>
  </si>
  <si>
    <t>BAVUUDORJ</t>
  </si>
  <si>
    <t>BATTUYA</t>
  </si>
  <si>
    <t>MONAGHAN</t>
  </si>
  <si>
    <t>GREENWELL</t>
  </si>
  <si>
    <t>JUSTIN</t>
  </si>
  <si>
    <t>TILLEY</t>
  </si>
  <si>
    <t>ANGELA</t>
  </si>
  <si>
    <t>MOURILLON</t>
  </si>
  <si>
    <t>SANDOVAL</t>
  </si>
  <si>
    <t>NIKKI</t>
  </si>
  <si>
    <t>DARRINGTON</t>
  </si>
  <si>
    <t>ALAN</t>
  </si>
  <si>
    <t>CERRICK</t>
  </si>
  <si>
    <t>STEVE</t>
  </si>
  <si>
    <t>Weller</t>
  </si>
  <si>
    <t>Nathan</t>
  </si>
  <si>
    <t>LAKE</t>
  </si>
  <si>
    <t>RAQUEL</t>
  </si>
  <si>
    <t>CULTON</t>
  </si>
  <si>
    <t>CARLA</t>
  </si>
  <si>
    <t>MONBRUM</t>
  </si>
  <si>
    <t>TAYLOR</t>
  </si>
  <si>
    <t>DOANE</t>
  </si>
  <si>
    <t>PATRICK</t>
  </si>
  <si>
    <t>KS</t>
  </si>
  <si>
    <t>KESTLER</t>
  </si>
  <si>
    <t>APRIL</t>
  </si>
  <si>
    <t>Dionesotes</t>
  </si>
  <si>
    <t>Noah</t>
  </si>
  <si>
    <t>DASHNYAM</t>
  </si>
  <si>
    <t>MUNKHTUUL</t>
  </si>
  <si>
    <t>WILLIE</t>
  </si>
  <si>
    <t>MERISSA</t>
  </si>
  <si>
    <t>MOTZKIN</t>
  </si>
  <si>
    <t>STAVLAS</t>
  </si>
  <si>
    <t>DELABAR</t>
  </si>
  <si>
    <t>JOAN</t>
  </si>
  <si>
    <t>HARTIGAN</t>
  </si>
  <si>
    <t>BRAYDEN</t>
  </si>
  <si>
    <t>NELSON</t>
  </si>
  <si>
    <t>JOHANNA</t>
  </si>
  <si>
    <t>LAZZARA</t>
  </si>
  <si>
    <t>MICHELE</t>
  </si>
  <si>
    <t>THIBEAU</t>
  </si>
  <si>
    <t>DANE'T</t>
  </si>
  <si>
    <t>FERRELL</t>
  </si>
  <si>
    <t>ALEC</t>
  </si>
  <si>
    <t>LINTOW</t>
  </si>
  <si>
    <t>TANYA</t>
  </si>
  <si>
    <t>PRADZIAD</t>
  </si>
  <si>
    <t>CROWLEY</t>
  </si>
  <si>
    <t>HAILEY</t>
  </si>
  <si>
    <t>UT</t>
  </si>
  <si>
    <t>KINYUA</t>
  </si>
  <si>
    <t>JARED</t>
  </si>
  <si>
    <t>LUNDGREN</t>
  </si>
  <si>
    <t>JORDIS</t>
  </si>
  <si>
    <t>MO</t>
  </si>
  <si>
    <t>BASS</t>
  </si>
  <si>
    <t>BRIAN</t>
  </si>
  <si>
    <t>RUIZ-TOVAR</t>
  </si>
  <si>
    <t>MAURICIO</t>
  </si>
  <si>
    <t>RUFF</t>
  </si>
  <si>
    <t>ALEXANDRA</t>
  </si>
  <si>
    <t>GUZMAN</t>
  </si>
  <si>
    <t>AUDERA</t>
  </si>
  <si>
    <t>Rose</t>
  </si>
  <si>
    <t>Latesha</t>
  </si>
  <si>
    <t>KEAYS</t>
  </si>
  <si>
    <t>LAURALEA</t>
  </si>
  <si>
    <t>BIRCH</t>
  </si>
  <si>
    <t>LEUBBERS</t>
  </si>
  <si>
    <t>CHARLES</t>
  </si>
  <si>
    <t>TN</t>
  </si>
  <si>
    <t>TOMPKINS</t>
  </si>
  <si>
    <t>TIRION</t>
  </si>
  <si>
    <t>HINTON</t>
  </si>
  <si>
    <t>EMMALINE</t>
  </si>
  <si>
    <t>PETRUNGARO</t>
  </si>
  <si>
    <t>TONIA</t>
  </si>
  <si>
    <t>MERRELL</t>
  </si>
  <si>
    <t>EDDIE</t>
  </si>
  <si>
    <t>KEENE</t>
  </si>
  <si>
    <t>JOE</t>
  </si>
  <si>
    <t>MCBRIDE</t>
  </si>
  <si>
    <t>TIFFANY</t>
  </si>
  <si>
    <t>YOUNG</t>
  </si>
  <si>
    <t>MARYANN</t>
  </si>
  <si>
    <t>GALIINDO</t>
  </si>
  <si>
    <t>SERGIO</t>
  </si>
  <si>
    <t>LEVASSEUR</t>
  </si>
  <si>
    <t>PAULA</t>
  </si>
  <si>
    <t>KLIS</t>
  </si>
  <si>
    <t>OSCAR</t>
  </si>
  <si>
    <t>Hunsberger</t>
  </si>
  <si>
    <t>Anthony</t>
  </si>
  <si>
    <t>O'BRIEN</t>
  </si>
  <si>
    <t>Ancillary</t>
  </si>
  <si>
    <t>Allstate Health Cancer Only 5035</t>
  </si>
  <si>
    <t>Green</t>
  </si>
  <si>
    <t>Danna</t>
  </si>
  <si>
    <t>Y</t>
  </si>
  <si>
    <t>THOMPSON</t>
  </si>
  <si>
    <t>EVAN</t>
  </si>
  <si>
    <t>Cancer and Heart/Stroke GI 20231</t>
  </si>
  <si>
    <t>TERPSTRA</t>
  </si>
  <si>
    <t>KATHERINE</t>
  </si>
  <si>
    <t>Cancer and Heart/Stroke 20231</t>
  </si>
  <si>
    <t>STOFFEL</t>
  </si>
  <si>
    <t>HAROLD</t>
  </si>
  <si>
    <t>IA</t>
  </si>
  <si>
    <t>VALDEZ</t>
  </si>
  <si>
    <t>PHILIP</t>
  </si>
  <si>
    <t>MYERS</t>
  </si>
  <si>
    <t>BRADFORD</t>
  </si>
  <si>
    <t>CAUSIE</t>
  </si>
  <si>
    <t>REBECCA</t>
  </si>
  <si>
    <t>CARSPECKEN</t>
  </si>
  <si>
    <t>KEHOE</t>
  </si>
  <si>
    <t>Cancer and Heart/Stroke 20231 CO-FL-MN-MI</t>
  </si>
  <si>
    <t>SHEPARD</t>
  </si>
  <si>
    <t>JILL</t>
  </si>
  <si>
    <t>Shepard</t>
  </si>
  <si>
    <t>Ryan</t>
  </si>
  <si>
    <t>STEVENSON</t>
  </si>
  <si>
    <t>ELIZABETH</t>
  </si>
  <si>
    <t>WERNER</t>
  </si>
  <si>
    <t>BRETT</t>
  </si>
  <si>
    <t>Association</t>
  </si>
  <si>
    <t>Life Association Access</t>
  </si>
  <si>
    <t>A6</t>
  </si>
  <si>
    <t>MCKAY</t>
  </si>
  <si>
    <t>MARY</t>
  </si>
  <si>
    <t>CHRIST</t>
  </si>
  <si>
    <t>TANNER</t>
  </si>
  <si>
    <t>LIFE Association Membership - C 14956 PPO</t>
  </si>
  <si>
    <t>Dental</t>
  </si>
  <si>
    <t>SELECT DENTAL 29304</t>
  </si>
  <si>
    <t>SIGNE</t>
  </si>
  <si>
    <t>DURAND</t>
  </si>
  <si>
    <t>GANDEE</t>
  </si>
  <si>
    <t>KIM</t>
  </si>
  <si>
    <t>SLINEY</t>
  </si>
  <si>
    <t>SPIELHAGEN</t>
  </si>
  <si>
    <t>GENEVIEVE</t>
  </si>
  <si>
    <t>AMOAH</t>
  </si>
  <si>
    <t>ANNA</t>
  </si>
  <si>
    <t>EARLEY</t>
  </si>
  <si>
    <t>HEINE</t>
  </si>
  <si>
    <t>NE</t>
  </si>
  <si>
    <t>Berthelsen</t>
  </si>
  <si>
    <t>Heidi</t>
  </si>
  <si>
    <t>Fixed Indemnity</t>
  </si>
  <si>
    <t>Allstate Health Access</t>
  </si>
  <si>
    <t>Allstate Recuro RX Discount Card</t>
  </si>
  <si>
    <t>NHIC LM 2021 Hospital Expense Protection U65</t>
  </si>
  <si>
    <t>RAHMANI</t>
  </si>
  <si>
    <t>ZAHRA</t>
  </si>
  <si>
    <t>HEINSOHN</t>
  </si>
  <si>
    <t>JOY</t>
  </si>
  <si>
    <t>NOORDZIJ</t>
  </si>
  <si>
    <t>JACCO</t>
  </si>
  <si>
    <t>KEIVAN</t>
  </si>
  <si>
    <t>JOSEF</t>
  </si>
  <si>
    <t>PETERSEN</t>
  </si>
  <si>
    <t>TRISTEN</t>
  </si>
  <si>
    <t>GEZING</t>
  </si>
  <si>
    <t>CHRISTINE</t>
  </si>
  <si>
    <t>ABDUL</t>
  </si>
  <si>
    <t>HAMEED</t>
  </si>
  <si>
    <t>WOODRUFF</t>
  </si>
  <si>
    <t>SHAWN</t>
  </si>
  <si>
    <t>FOSTER</t>
  </si>
  <si>
    <t>VANESSA</t>
  </si>
  <si>
    <t>WATKINS</t>
  </si>
  <si>
    <t>BETTE</t>
  </si>
  <si>
    <t>PAOLELLI</t>
  </si>
  <si>
    <t>Short Term Medical</t>
  </si>
  <si>
    <t>NHIC STM PPO NE Renewable</t>
  </si>
  <si>
    <t>A10</t>
  </si>
  <si>
    <t>Recuro PPO NE Renewable</t>
  </si>
  <si>
    <t>NHIC STM PPO All Other States</t>
  </si>
  <si>
    <t>Supplement</t>
  </si>
  <si>
    <t>NHIC LM 2021 SENIOR INDEMNITY 65+</t>
  </si>
  <si>
    <t>Life Association Standalone Bundled wLM</t>
  </si>
  <si>
    <t>GRICK</t>
  </si>
  <si>
    <t>Accident</t>
  </si>
  <si>
    <t>TrioMED Accident and CI 14939</t>
  </si>
  <si>
    <t>ROKEN</t>
  </si>
  <si>
    <t>RN</t>
  </si>
  <si>
    <t>SURRATT</t>
  </si>
  <si>
    <t>VOLZ</t>
  </si>
  <si>
    <t>NATALIA</t>
  </si>
  <si>
    <t>TrioMED 30k 15307</t>
  </si>
  <si>
    <t>CAMPBELL</t>
  </si>
  <si>
    <t>LUDDY</t>
  </si>
  <si>
    <t>SARAH</t>
  </si>
  <si>
    <t>FOLEY</t>
  </si>
  <si>
    <t>BARBIERI-SANTUS</t>
  </si>
  <si>
    <t>DONNA</t>
  </si>
  <si>
    <t>CLOUSE</t>
  </si>
  <si>
    <t>KEVIN</t>
  </si>
  <si>
    <t>WHITLOCK</t>
  </si>
  <si>
    <t>PETTINE</t>
  </si>
  <si>
    <t>GEOFFREY</t>
  </si>
  <si>
    <t>KABEL</t>
  </si>
  <si>
    <t>POWERS</t>
  </si>
  <si>
    <t>BUCKLEY</t>
  </si>
  <si>
    <t>PATRICIA</t>
  </si>
  <si>
    <t>PONTA</t>
  </si>
  <si>
    <t>JESSE</t>
  </si>
  <si>
    <t>PELLECHIA</t>
  </si>
  <si>
    <t>Stocker</t>
  </si>
  <si>
    <t>ANILO</t>
  </si>
  <si>
    <t>TERRY</t>
  </si>
  <si>
    <t>JAYLA</t>
  </si>
  <si>
    <t>DEVITO</t>
  </si>
  <si>
    <t>DANICA</t>
  </si>
  <si>
    <t>JEROUSEK</t>
  </si>
  <si>
    <t>DENISE</t>
  </si>
  <si>
    <t>Critical Illness w/ Term Life 21677</t>
  </si>
  <si>
    <t>PHILLIPS</t>
  </si>
  <si>
    <t>DICKINSON</t>
  </si>
  <si>
    <t>KRISTIN</t>
  </si>
  <si>
    <t>DARCY</t>
  </si>
  <si>
    <t>JEFFRIES</t>
  </si>
  <si>
    <t>ZARIYAH</t>
  </si>
  <si>
    <t>ROWELL</t>
  </si>
  <si>
    <t>JORDAN</t>
  </si>
  <si>
    <t>KONKOL</t>
  </si>
  <si>
    <t>HINTZICKER</t>
  </si>
  <si>
    <t>DOBSCH</t>
  </si>
  <si>
    <t>CARRIE</t>
  </si>
  <si>
    <t>FELOSA</t>
  </si>
  <si>
    <t>CARROLL</t>
  </si>
  <si>
    <t>GOOD</t>
  </si>
  <si>
    <t>CLEAVE</t>
  </si>
  <si>
    <t>MADELYN</t>
  </si>
  <si>
    <t>SHELLEY</t>
  </si>
  <si>
    <t>BRECK</t>
  </si>
  <si>
    <t>ALEXIS</t>
  </si>
  <si>
    <t>SHOCKLEY</t>
  </si>
  <si>
    <t>CONNIE</t>
  </si>
  <si>
    <t>Tigue</t>
  </si>
  <si>
    <t>Kirk</t>
  </si>
  <si>
    <t>SINGH</t>
  </si>
  <si>
    <t>JUANITA</t>
  </si>
  <si>
    <t>WILLIAMS</t>
  </si>
  <si>
    <t>DUSTIN</t>
  </si>
  <si>
    <t>WRING</t>
  </si>
  <si>
    <t>FUENTES</t>
  </si>
  <si>
    <t>MELISSA</t>
  </si>
  <si>
    <t>VICTOR</t>
  </si>
  <si>
    <t>LA</t>
  </si>
  <si>
    <t>MCKEE</t>
  </si>
  <si>
    <t>BODIE</t>
  </si>
  <si>
    <t>DEUSER</t>
  </si>
  <si>
    <t>BROOKS</t>
  </si>
  <si>
    <t>DC</t>
  </si>
  <si>
    <t>LATONYS</t>
  </si>
  <si>
    <t>SANTILLAN</t>
  </si>
  <si>
    <t>DESTANIE</t>
  </si>
  <si>
    <t>WORTHEY</t>
  </si>
  <si>
    <t>LAFROMBOIS</t>
  </si>
  <si>
    <t>DEANNA</t>
  </si>
  <si>
    <t>WA</t>
  </si>
  <si>
    <t>PASHE</t>
  </si>
  <si>
    <t>FREDRIC</t>
  </si>
  <si>
    <t>GREENE</t>
  </si>
  <si>
    <t>LYNDA</t>
  </si>
  <si>
    <t>RICHARDSON</t>
  </si>
  <si>
    <t>CHRISTOPHER</t>
  </si>
  <si>
    <t>BACHVAROV</t>
  </si>
  <si>
    <t>VALENTIN</t>
  </si>
  <si>
    <t>SMITH</t>
  </si>
  <si>
    <t>FELICIA</t>
  </si>
  <si>
    <t>CEZAR</t>
  </si>
  <si>
    <t>ENGELSKIRCH</t>
  </si>
  <si>
    <t>MICHELLE</t>
  </si>
  <si>
    <t>BERRY</t>
  </si>
  <si>
    <t>SAVANNAH</t>
  </si>
  <si>
    <t>RENGGLI</t>
  </si>
  <si>
    <t>OLAGUE</t>
  </si>
  <si>
    <t>DANIEL</t>
  </si>
  <si>
    <t>DAWSON</t>
  </si>
  <si>
    <t>DESERREA</t>
  </si>
  <si>
    <t>MADDOX</t>
  </si>
  <si>
    <t>BREANNA</t>
  </si>
  <si>
    <t>CARMYIA</t>
  </si>
  <si>
    <t>MURLEY</t>
  </si>
  <si>
    <t>SUSAN</t>
  </si>
  <si>
    <t>RAPP</t>
  </si>
  <si>
    <t>KRISTEN</t>
  </si>
  <si>
    <t>DOBELBOWER</t>
  </si>
  <si>
    <t>TYLER</t>
  </si>
  <si>
    <t>KILEY</t>
  </si>
  <si>
    <t>DYBEL</t>
  </si>
  <si>
    <t>GA</t>
  </si>
  <si>
    <t>TITUS</t>
  </si>
  <si>
    <t>KOPPMEIER</t>
  </si>
  <si>
    <t>GONZALEZ-GARCIA</t>
  </si>
  <si>
    <t>MCALISTER</t>
  </si>
  <si>
    <t>CONNER</t>
  </si>
  <si>
    <t>AR</t>
  </si>
  <si>
    <t>JULIAN</t>
  </si>
  <si>
    <t>LIFE Association Membership - C 14956 LM</t>
  </si>
  <si>
    <t>BRITT</t>
  </si>
  <si>
    <t>LANDON</t>
  </si>
  <si>
    <t>FINNIGAN</t>
  </si>
  <si>
    <t>COLLEEN</t>
  </si>
  <si>
    <t>CARVALHO</t>
  </si>
  <si>
    <t>BERNARDO</t>
  </si>
  <si>
    <t>ROBERTS</t>
  </si>
  <si>
    <t>TORI</t>
  </si>
  <si>
    <t>MS</t>
  </si>
  <si>
    <t>JARGALSAIKHAN</t>
  </si>
  <si>
    <t>MUNKHJARGAL</t>
  </si>
  <si>
    <t>JAO</t>
  </si>
  <si>
    <t>YU</t>
  </si>
  <si>
    <t>FLORES</t>
  </si>
  <si>
    <t>ALEXANDER</t>
  </si>
  <si>
    <t>SHALABY</t>
  </si>
  <si>
    <t>DINA</t>
  </si>
  <si>
    <t>Sorrentino</t>
  </si>
  <si>
    <t>Wendy</t>
  </si>
  <si>
    <t>HALL</t>
  </si>
  <si>
    <t>ABBIE</t>
  </si>
  <si>
    <t>Hall</t>
  </si>
  <si>
    <t>Abbie</t>
  </si>
  <si>
    <t>JONES</t>
  </si>
  <si>
    <t>ISAIAH</t>
  </si>
  <si>
    <t>WINN</t>
  </si>
  <si>
    <t>AZELETE</t>
  </si>
  <si>
    <t>BROUSSARD</t>
  </si>
  <si>
    <t>DAIMAN</t>
  </si>
  <si>
    <t>LARA</t>
  </si>
  <si>
    <t>MARICELA</t>
  </si>
  <si>
    <t>RAY</t>
  </si>
  <si>
    <t>TRENT</t>
  </si>
  <si>
    <t>Powers</t>
  </si>
  <si>
    <t>MORRELL</t>
  </si>
  <si>
    <t>ABEL</t>
  </si>
  <si>
    <t>RAMOS</t>
  </si>
  <si>
    <t>MONALISA</t>
  </si>
  <si>
    <t>DIANA</t>
  </si>
  <si>
    <t>CASTELLANOS</t>
  </si>
  <si>
    <t>AXEL</t>
  </si>
  <si>
    <t>NHIC STM 2022 IN Renewable</t>
  </si>
  <si>
    <t>PAGET</t>
  </si>
  <si>
    <t>SETH</t>
  </si>
  <si>
    <t>Allan</t>
  </si>
  <si>
    <t>H</t>
  </si>
  <si>
    <t>Recuro PPO All Other States</t>
  </si>
  <si>
    <t>RIDER</t>
  </si>
  <si>
    <t>Lytle</t>
  </si>
  <si>
    <t>Dominic</t>
  </si>
  <si>
    <t>Recuro CO-CT-IA-KS-MD-MO-ND-OR-SD</t>
  </si>
  <si>
    <t>A3</t>
  </si>
  <si>
    <t>DANNA</t>
  </si>
  <si>
    <t>NHIC STM 2022 IN, UT Single Term</t>
  </si>
  <si>
    <t>SAQLAIN</t>
  </si>
  <si>
    <t>MUHAMMAD</t>
  </si>
  <si>
    <t>GILLILAND</t>
  </si>
  <si>
    <t>TONYA</t>
  </si>
  <si>
    <t>NHIC STM 2022 OH Single Term</t>
  </si>
  <si>
    <t>Recuro 2022 OH Single Term</t>
  </si>
  <si>
    <t>WEST</t>
  </si>
  <si>
    <t>LOGAN</t>
  </si>
  <si>
    <t>Allstate Health Solutions STM 4x3 AL, AZ, FL, GA, KY, LA, MS, SC, TX</t>
  </si>
  <si>
    <t>Recuro 4x3</t>
  </si>
  <si>
    <t>NHIC STM 2022 IN, UT Renewable</t>
  </si>
  <si>
    <t>BARKETT</t>
  </si>
  <si>
    <t>NICHOLAS</t>
  </si>
  <si>
    <t>NHIC STM PPO All Other States Renewable</t>
  </si>
  <si>
    <t>As Earned</t>
  </si>
  <si>
    <t>Recuro PPO All Other States Renewable</t>
  </si>
  <si>
    <t>ELLIS</t>
  </si>
  <si>
    <t>LARRY</t>
  </si>
  <si>
    <t>NHIC Dental 2020 DVH 65+</t>
  </si>
  <si>
    <t>HOFFMANN</t>
  </si>
  <si>
    <t>BARTON</t>
  </si>
  <si>
    <t>TRACI</t>
  </si>
  <si>
    <t>CARRYER</t>
  </si>
  <si>
    <t>KELLY</t>
  </si>
  <si>
    <t>DUBACH</t>
  </si>
  <si>
    <t>HELAINE</t>
  </si>
  <si>
    <t>KOZACHECK</t>
  </si>
  <si>
    <t>ANNE MARIE</t>
  </si>
  <si>
    <t>ENDRES</t>
  </si>
  <si>
    <t>GAYLE</t>
  </si>
  <si>
    <t>BENDER</t>
  </si>
  <si>
    <t>EVELYN</t>
  </si>
  <si>
    <t>HANSFORD</t>
  </si>
  <si>
    <t>VALE</t>
  </si>
  <si>
    <t>EMMA</t>
  </si>
  <si>
    <t>HERRERA-LARSEN</t>
  </si>
  <si>
    <t>ESTHER</t>
  </si>
  <si>
    <t>HADDAD</t>
  </si>
  <si>
    <t>RAYMOND</t>
  </si>
  <si>
    <t>MCADOO</t>
  </si>
  <si>
    <t>INSKIPT</t>
  </si>
  <si>
    <t>DEBORAH</t>
  </si>
  <si>
    <t>GOTTLIEB</t>
  </si>
  <si>
    <t>SHIRLEY</t>
  </si>
  <si>
    <t>Jill</t>
  </si>
  <si>
    <t>TUBAUGH</t>
  </si>
  <si>
    <t>HANNAH</t>
  </si>
  <si>
    <t>STOCKTON</t>
  </si>
  <si>
    <t>VA</t>
  </si>
  <si>
    <t>GALLARELLO</t>
  </si>
  <si>
    <t>NV</t>
  </si>
  <si>
    <t>DIXON</t>
  </si>
  <si>
    <t>DE</t>
  </si>
  <si>
    <t>NOVAC</t>
  </si>
  <si>
    <t>GYORGYI</t>
  </si>
  <si>
    <t>Life Association Access (GI)</t>
  </si>
  <si>
    <t>ROSANGELA</t>
  </si>
  <si>
    <t>VALLE</t>
  </si>
  <si>
    <t>Life Association C IN</t>
  </si>
  <si>
    <t>A1</t>
  </si>
  <si>
    <t>HARDING</t>
  </si>
  <si>
    <t>COURTNEY</t>
  </si>
  <si>
    <t>BEVERIDGE</t>
  </si>
  <si>
    <t>HUNTER</t>
  </si>
  <si>
    <t>SMITHSON</t>
  </si>
  <si>
    <t>ALPIZAR</t>
  </si>
  <si>
    <t>DANIELA</t>
  </si>
  <si>
    <t>DULCE</t>
  </si>
  <si>
    <t>LUIS</t>
  </si>
  <si>
    <t>Life Association C OH</t>
  </si>
  <si>
    <t>Life Association Membership C_14956_TX</t>
  </si>
  <si>
    <t>GUTIERREZ</t>
  </si>
  <si>
    <t>MAGDALENA</t>
  </si>
  <si>
    <t>NHIC Specified Care Association</t>
  </si>
  <si>
    <t>RISING</t>
  </si>
  <si>
    <t>PETER</t>
  </si>
  <si>
    <t>DIGREGORIO</t>
  </si>
  <si>
    <t>GOVENAR</t>
  </si>
  <si>
    <t>BREEA</t>
  </si>
  <si>
    <t>CARLSON</t>
  </si>
  <si>
    <t>ARTHUR</t>
  </si>
  <si>
    <t>KATELENN</t>
  </si>
  <si>
    <t>FRISHKORN</t>
  </si>
  <si>
    <t>BRITTANY</t>
  </si>
  <si>
    <t>SCHAAL</t>
  </si>
  <si>
    <t>CHANTAL</t>
  </si>
  <si>
    <t>STANIECH</t>
  </si>
  <si>
    <t>KAPANGA</t>
  </si>
  <si>
    <t>SEAN</t>
  </si>
  <si>
    <t>JENNINGS</t>
  </si>
  <si>
    <t>HURSEY</t>
  </si>
  <si>
    <t>MOREAU</t>
  </si>
  <si>
    <t>MASON</t>
  </si>
  <si>
    <t>RODECK</t>
  </si>
  <si>
    <t>KEITH</t>
  </si>
  <si>
    <t>GRAY</t>
  </si>
  <si>
    <t>LINDA</t>
  </si>
  <si>
    <t>HUSSAIN</t>
  </si>
  <si>
    <t>NIDA</t>
  </si>
  <si>
    <t>MACCARELLI</t>
  </si>
  <si>
    <t>VINCE</t>
  </si>
  <si>
    <t>BURRI</t>
  </si>
  <si>
    <t>TODD</t>
  </si>
  <si>
    <t>LIBERATORE</t>
  </si>
  <si>
    <t>LAMBERT</t>
  </si>
  <si>
    <t>GALLOWAY</t>
  </si>
  <si>
    <t>WALKER</t>
  </si>
  <si>
    <t>ELDON</t>
  </si>
  <si>
    <t>CALDERON</t>
  </si>
  <si>
    <t>SARAI</t>
  </si>
  <si>
    <t>RECTOR</t>
  </si>
  <si>
    <t>ANDREW</t>
  </si>
  <si>
    <t>DUNAVANT</t>
  </si>
  <si>
    <t>HEGARTY</t>
  </si>
  <si>
    <t>AARON</t>
  </si>
  <si>
    <t>NGUYEN</t>
  </si>
  <si>
    <t>VAN</t>
  </si>
  <si>
    <t>CARSON</t>
  </si>
  <si>
    <t>JACKSON</t>
  </si>
  <si>
    <t>DOWDY</t>
  </si>
  <si>
    <t>WESCOTT</t>
  </si>
  <si>
    <t>DIAKITE</t>
  </si>
  <si>
    <t>FATOUMATA</t>
  </si>
  <si>
    <t>HUDZIK</t>
  </si>
  <si>
    <t>CASTELAN</t>
  </si>
  <si>
    <t>ANTONIO</t>
  </si>
  <si>
    <t>LARSEN</t>
  </si>
  <si>
    <t>BLAKE</t>
  </si>
  <si>
    <t>PETERS</t>
  </si>
  <si>
    <t>JAMIE</t>
  </si>
  <si>
    <t>HOWARD</t>
  </si>
  <si>
    <t>TAMEKA</t>
  </si>
  <si>
    <t>KARAS</t>
  </si>
  <si>
    <t>BARTLOMIEJ</t>
  </si>
  <si>
    <t>CHIMEDTSEREN</t>
  </si>
  <si>
    <t>AMARJARGAL</t>
  </si>
  <si>
    <t>SANSONE</t>
  </si>
  <si>
    <t>NINO</t>
  </si>
  <si>
    <t>WEBSTER</t>
  </si>
  <si>
    <t>COKISHA</t>
  </si>
  <si>
    <t>CLIFTON</t>
  </si>
  <si>
    <t>VINITSKI</t>
  </si>
  <si>
    <t>MADISON</t>
  </si>
  <si>
    <t>FLATT</t>
  </si>
  <si>
    <t>AMBER</t>
  </si>
  <si>
    <t>ZAVERI</t>
  </si>
  <si>
    <t>RAJIV</t>
  </si>
  <si>
    <t>SHEFFIELD</t>
  </si>
  <si>
    <t>KLAY</t>
  </si>
  <si>
    <t>EICK</t>
  </si>
  <si>
    <t>DARRIN</t>
  </si>
  <si>
    <t>PEPIC</t>
  </si>
  <si>
    <t>NEDELJKA</t>
  </si>
  <si>
    <t>THEODORE</t>
  </si>
  <si>
    <t>HERRERA</t>
  </si>
  <si>
    <t>ANDRES</t>
  </si>
  <si>
    <t>TREVOR</t>
  </si>
  <si>
    <t>AVENT</t>
  </si>
  <si>
    <t>JOSHUA</t>
  </si>
  <si>
    <t>NGUM</t>
  </si>
  <si>
    <t>MARGARET</t>
  </si>
  <si>
    <t>GARETH</t>
  </si>
  <si>
    <t>PINA</t>
  </si>
  <si>
    <t>ORALIA</t>
  </si>
  <si>
    <t>DUNN</t>
  </si>
  <si>
    <t>FUSCHETTO</t>
  </si>
  <si>
    <t>MULLER</t>
  </si>
  <si>
    <t>JESSICA</t>
  </si>
  <si>
    <t>GIRGENTI</t>
  </si>
  <si>
    <t>MARONSKI</t>
  </si>
  <si>
    <t>Allstate Health Access (GI)</t>
  </si>
  <si>
    <t>SPROAT</t>
  </si>
  <si>
    <t>WIGGINS</t>
  </si>
  <si>
    <t>SCZEPKOWSKI</t>
  </si>
  <si>
    <t>JON</t>
  </si>
  <si>
    <t>KURTEN</t>
  </si>
  <si>
    <t>Henry</t>
  </si>
  <si>
    <t>Michael</t>
  </si>
  <si>
    <t>BROMUND</t>
  </si>
  <si>
    <t>AMATA</t>
  </si>
  <si>
    <t>LAURIE</t>
  </si>
  <si>
    <t>HIGGINS</t>
  </si>
  <si>
    <t>PHELPS</t>
  </si>
  <si>
    <t>HAZEN</t>
  </si>
  <si>
    <t>RESS</t>
  </si>
  <si>
    <t>VACILIKI</t>
  </si>
  <si>
    <t>LOIS</t>
  </si>
  <si>
    <t>KY</t>
  </si>
  <si>
    <t>BADRAA</t>
  </si>
  <si>
    <t>BURMAN</t>
  </si>
  <si>
    <t>LYNNA</t>
  </si>
  <si>
    <t>BAKER</t>
  </si>
  <si>
    <t>AUSTIN</t>
  </si>
  <si>
    <t>OCHIR</t>
  </si>
  <si>
    <t>MUNKHSAIKHAN</t>
  </si>
  <si>
    <t>ENKHTUR</t>
  </si>
  <si>
    <t>ODMAA</t>
  </si>
  <si>
    <t>PANGAN</t>
  </si>
  <si>
    <t>GLORIA</t>
  </si>
  <si>
    <t>CARLTON</t>
  </si>
  <si>
    <t>TAMMY</t>
  </si>
  <si>
    <t>KEGHAN</t>
  </si>
  <si>
    <t>PRUNCZAK</t>
  </si>
  <si>
    <t>ROMAN</t>
  </si>
  <si>
    <t>NOBILE</t>
  </si>
  <si>
    <t>GABRIELLA</t>
  </si>
  <si>
    <t>STEVEN</t>
  </si>
  <si>
    <t>MENDOZA</t>
  </si>
  <si>
    <t>MARLENE</t>
  </si>
  <si>
    <t>KIMBRUE</t>
  </si>
  <si>
    <t>BUSH</t>
  </si>
  <si>
    <t>VIVIANA</t>
  </si>
  <si>
    <t>KAUR</t>
  </si>
  <si>
    <t>MANJIT</t>
  </si>
  <si>
    <t>MARRUFO</t>
  </si>
  <si>
    <t>FERNANDO</t>
  </si>
  <si>
    <t>KEE</t>
  </si>
  <si>
    <t>LESLIE</t>
  </si>
  <si>
    <t>NORA</t>
  </si>
  <si>
    <t>II</t>
  </si>
  <si>
    <t>COOPER</t>
  </si>
  <si>
    <t>CORAL</t>
  </si>
  <si>
    <t>BURI</t>
  </si>
  <si>
    <t>STAMPER</t>
  </si>
  <si>
    <t>HOLLY</t>
  </si>
  <si>
    <t>PARKER</t>
  </si>
  <si>
    <t>WAYNE</t>
  </si>
  <si>
    <t>PANTEL</t>
  </si>
  <si>
    <t>GAGE</t>
  </si>
  <si>
    <t>PATTEN</t>
  </si>
  <si>
    <t>JENNIFER</t>
  </si>
  <si>
    <t>FUENTES-DIETSCH</t>
  </si>
  <si>
    <t>OLIVIA</t>
  </si>
  <si>
    <t>DICKSON</t>
  </si>
  <si>
    <t>TOREY</t>
  </si>
  <si>
    <t>BOWSER</t>
  </si>
  <si>
    <t>FARIA</t>
  </si>
  <si>
    <t>MARIELLE</t>
  </si>
  <si>
    <t>DORJKHAND</t>
  </si>
  <si>
    <t>TSENGELMAA</t>
  </si>
  <si>
    <t>BALLARD</t>
  </si>
  <si>
    <t>GANBOLD</t>
  </si>
  <si>
    <t>OYUNTSETSEG</t>
  </si>
  <si>
    <t>CBK</t>
  </si>
  <si>
    <t>BARTRAM</t>
  </si>
  <si>
    <t>DONALD</t>
  </si>
  <si>
    <t>BAASANJAV</t>
  </si>
  <si>
    <t>ERDENECHIMEG</t>
  </si>
  <si>
    <t>BURNS</t>
  </si>
  <si>
    <t>CODY</t>
  </si>
  <si>
    <t>BLACKWELL</t>
  </si>
  <si>
    <t>CORTNEY</t>
  </si>
  <si>
    <t>DIONESOTES</t>
  </si>
  <si>
    <t>NOAH</t>
  </si>
  <si>
    <t>GILE</t>
  </si>
  <si>
    <t>Life</t>
  </si>
  <si>
    <t>NHIC Life 2023 Level - 5029 Final Expense</t>
  </si>
  <si>
    <t>Serio</t>
  </si>
  <si>
    <t>Tom</t>
  </si>
  <si>
    <t>Life Association C All Other States</t>
  </si>
  <si>
    <t>EVANGELISTA</t>
  </si>
  <si>
    <t>COLETTE</t>
  </si>
  <si>
    <t>AGUINAGA</t>
  </si>
  <si>
    <t>JULIA</t>
  </si>
  <si>
    <t>HORACE</t>
  </si>
  <si>
    <t>SIR-DERRICK</t>
  </si>
  <si>
    <t>BALTIMORE</t>
  </si>
  <si>
    <t>KOLTKO</t>
  </si>
  <si>
    <t>WILSON</t>
  </si>
  <si>
    <t>LOPEZ</t>
  </si>
  <si>
    <t>DANIELLE</t>
  </si>
  <si>
    <t>IVERY</t>
  </si>
  <si>
    <t>ALMAZ</t>
  </si>
  <si>
    <t>Cancer and Heart-Stroke 20231</t>
  </si>
  <si>
    <t>Critical Illness with Term Life 21677</t>
  </si>
  <si>
    <t>NHIC STM 2022 IN Single Term</t>
  </si>
  <si>
    <t>National General GI Access Plan-All States</t>
  </si>
  <si>
    <t>16633294AV6</t>
  </si>
  <si>
    <t>19200754AV6</t>
  </si>
  <si>
    <t>18201929L2</t>
  </si>
  <si>
    <t>17554531AV6</t>
  </si>
  <si>
    <t>17528908N</t>
  </si>
  <si>
    <t>8325282AV6</t>
  </si>
  <si>
    <t>7146581AV6</t>
  </si>
  <si>
    <t>371819L4</t>
  </si>
  <si>
    <t>Allstate OVR</t>
  </si>
  <si>
    <t>Cancer and Heart-Stroke 20231 CO-FL-MN-MI</t>
  </si>
  <si>
    <t>Life Association C</t>
  </si>
  <si>
    <t>NHIC STM PPO IA</t>
  </si>
  <si>
    <t>STM and Association (where applicable) UT, VA</t>
  </si>
  <si>
    <t>20724564AV6</t>
  </si>
  <si>
    <t>18201929AV6old</t>
  </si>
  <si>
    <t>20220688AV6</t>
  </si>
  <si>
    <t>8814784AV6</t>
  </si>
  <si>
    <t>16865615AV6</t>
  </si>
  <si>
    <t>19681796AV6</t>
  </si>
  <si>
    <t>371819L4AV6</t>
  </si>
  <si>
    <t>8405446AV6</t>
  </si>
  <si>
    <t>6634327AV6</t>
  </si>
  <si>
    <t>17117649AV6</t>
  </si>
  <si>
    <t>7470776AV6</t>
  </si>
  <si>
    <t>20212926AV6</t>
  </si>
  <si>
    <t>20003537old</t>
  </si>
  <si>
    <t>21313588AV6</t>
  </si>
  <si>
    <t>17143996AV6</t>
  </si>
  <si>
    <t>19586992AV6</t>
  </si>
  <si>
    <t>17740520AV6</t>
  </si>
  <si>
    <t>8812322AV6L3</t>
  </si>
  <si>
    <t>7565575AV6old</t>
  </si>
  <si>
    <t>8971826N</t>
  </si>
  <si>
    <t>21348299old</t>
  </si>
  <si>
    <t>3333476AV6</t>
  </si>
  <si>
    <t>21648482AV6</t>
  </si>
  <si>
    <t>18201929AV6</t>
  </si>
  <si>
    <t>19219478AV6</t>
  </si>
  <si>
    <t>19279958AV6</t>
  </si>
  <si>
    <t>21436172AV6</t>
  </si>
  <si>
    <t>16912722AV6</t>
  </si>
  <si>
    <t>18781057N</t>
  </si>
  <si>
    <t>21421111AV6</t>
  </si>
  <si>
    <t>21283956old</t>
  </si>
  <si>
    <t>16849453LAV6</t>
  </si>
  <si>
    <t>371819AV6</t>
  </si>
  <si>
    <t>21744152AV6</t>
  </si>
  <si>
    <t>21621622S</t>
  </si>
  <si>
    <t>16849453L5</t>
  </si>
  <si>
    <t>19278370old</t>
  </si>
  <si>
    <t>19279958old</t>
  </si>
  <si>
    <t>Main Line Benefits</t>
  </si>
  <si>
    <t>AV1</t>
  </si>
  <si>
    <t>AE</t>
  </si>
  <si>
    <t>16849453AV6</t>
  </si>
  <si>
    <t>19617796AV6</t>
  </si>
  <si>
    <t>NB</t>
  </si>
  <si>
    <t>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</si>
</sst>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  <xf numFmtId="22" fontId="0" fillId="0" borderId="0" xfId="0" applyNumberFormat="1"/>
    <xf numFmtId="0" fontId="0" fillId="0" borderId="0" xfId="0" applyAlignment="1">
      <alignment horizontal="left"/>
    </xf>
    <xf numFmtId="9" fontId="0" fillId="0" borderId="0" xfId="0" applyNumberFormat="1" applyFill="1"/>
    <xf numFmtId="22" fontId="0" fillId="0" borderId="0" xfId="0" applyNumberFormat="1" applyFill="1"/>
    <xf numFmtId="0" fontId="0" fillId="0" borderId="0" xfId="0" applyFill="1" applyAlignment="1">
      <alignment horizontal="left"/>
    </xf>
    <xf numFmtId="10" fontId="0" fillId="0" borderId="0" xfId="0" applyNumberFormat="1" applyFill="1"/>
    <xf numFmtId="9" fontId="0" fillId="33" borderId="0" xfId="0" applyNumberFormat="1" applyFill="1"/>
    <xf numFmtId="22" fontId="0" fillId="33" borderId="0" xfId="0" applyNumberFormat="1" applyFill="1"/>
    <xf numFmtId="0" fontId="0" fillId="33" borderId="0" xfId="0" applyFill="1" applyAlignment="1">
      <alignment horizontal="left"/>
    </xf>
    <xf numFmtId="10" fontId="0" fillId="33" borderId="0" xfId="0" applyNumberFormat="1" applyFill="1"/>
    <xf numFmtId="0" fontId="0" fillId="0" borderId="0" xfId="0" applyNumberFormat="1"/>
    <xf numFmtId="0" fontId="0" fillId="33" borderId="0" xfId="0" applyNumberFormat="1" applyFill="1"/>
    <xf numFmtId="0" fontId="0" fillId="0" borderId="0" xfId="0" applyNumberFormat="1" applyFill="1"/>
    <xf numFmtId="0" fontId="18" fillId="33" borderId="0" xfId="0" applyFont="1" applyFill="1"/>
    <xf numFmtId="9" fontId="18" fillId="33" borderId="0" xfId="0" applyNumberFormat="1" applyFont="1" applyFill="1"/>
    <xf numFmtId="22" fontId="18" fillId="33" borderId="0" xfId="0" applyNumberFormat="1" applyFont="1" applyFill="1"/>
    <xf numFmtId="0" fontId="18" fillId="33" borderId="0" xfId="0" applyFont="1" applyFill="1" applyAlignment="1">
      <alignment horizontal="left"/>
    </xf>
    <xf numFmtId="14" fontId="18" fillId="33" borderId="0" xfId="0" applyNumberFormat="1" applyFont="1" applyFill="1"/>
    <xf numFmtId="0" fontId="18" fillId="33" borderId="0" xfId="0" applyNumberFormat="1" applyFont="1" applyFill="1"/>
    <xf numFmtId="8" fontId="18" fillId="33" borderId="0" xfId="0" applyNumberFormat="1" applyFont="1" applyFill="1"/>
    <xf numFmtId="0" fontId="18" fillId="0" borderId="0" xfId="0" applyFont="1"/>
    <xf numFmtId="10" fontId="18" fillId="33" borderId="0" xfId="0" applyNumberFormat="1" applyFont="1" applyFill="1"/>
    <xf numFmtId="14" fontId="18" fillId="0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BFEEE-F4D9-4562-A978-1299461BE1B5}">
  <dimension ref="A1:AV784"/>
  <sheetViews>
    <sheetView workbookViewId="0">
      <selection sqref="A1:XFD1048576"/>
    </sheetView>
  </sheetViews>
  <sheetFormatPr defaultRowHeight="14.4" x14ac:dyDescent="0.3"/>
  <cols>
    <col min="1" max="1" width="26.88671875" bestFit="1" customWidth="1"/>
    <col min="2" max="2" width="5.33203125" bestFit="1" customWidth="1"/>
    <col min="3" max="3" width="25.88671875" bestFit="1" customWidth="1"/>
    <col min="4" max="4" width="11" bestFit="1" customWidth="1"/>
    <col min="5" max="5" width="22.109375" bestFit="1" customWidth="1"/>
    <col min="6" max="6" width="22.5546875" bestFit="1" customWidth="1"/>
    <col min="7" max="7" width="23.33203125" bestFit="1" customWidth="1"/>
    <col min="8" max="8" width="5.5546875" bestFit="1" customWidth="1"/>
    <col min="9" max="9" width="18.44140625" bestFit="1" customWidth="1"/>
    <col min="10" max="10" width="60.6640625" bestFit="1" customWidth="1"/>
    <col min="11" max="11" width="15.6640625" bestFit="1" customWidth="1"/>
    <col min="12" max="12" width="16.5546875" bestFit="1" customWidth="1"/>
    <col min="13" max="13" width="14.109375" bestFit="1" customWidth="1"/>
    <col min="14" max="14" width="12.109375" bestFit="1" customWidth="1"/>
    <col min="15" max="15" width="13.5546875" bestFit="1" customWidth="1"/>
    <col min="16" max="16" width="10.109375" bestFit="1" customWidth="1"/>
    <col min="17" max="17" width="12" bestFit="1" customWidth="1"/>
    <col min="18" max="18" width="16" bestFit="1" customWidth="1"/>
    <col min="19" max="19" width="7.44140625" bestFit="1" customWidth="1"/>
    <col min="20" max="20" width="12.6640625" bestFit="1" customWidth="1"/>
    <col min="21" max="21" width="10.33203125" bestFit="1" customWidth="1"/>
    <col min="22" max="22" width="11.33203125" bestFit="1" customWidth="1"/>
    <col min="23" max="23" width="10.33203125" bestFit="1" customWidth="1"/>
    <col min="24" max="24" width="14.44140625" bestFit="1" customWidth="1"/>
    <col min="25" max="25" width="8.33203125" bestFit="1" customWidth="1"/>
    <col min="26" max="26" width="15.5546875" bestFit="1" customWidth="1"/>
    <col min="27" max="27" width="12.44140625" bestFit="1" customWidth="1"/>
    <col min="28" max="28" width="16" bestFit="1" customWidth="1"/>
    <col min="29" max="29" width="10.33203125" bestFit="1" customWidth="1"/>
    <col min="30" max="30" width="15.109375" bestFit="1" customWidth="1"/>
    <col min="31" max="31" width="10.5546875" bestFit="1" customWidth="1"/>
    <col min="32" max="32" width="12" bestFit="1" customWidth="1"/>
    <col min="33" max="33" width="14" bestFit="1" customWidth="1"/>
    <col min="34" max="34" width="14.5546875" bestFit="1" customWidth="1"/>
    <col min="35" max="35" width="16.44140625" bestFit="1" customWidth="1"/>
    <col min="36" max="36" width="14.6640625" bestFit="1" customWidth="1"/>
    <col min="37" max="37" width="17.33203125" bestFit="1" customWidth="1"/>
    <col min="38" max="38" width="13.6640625" bestFit="1" customWidth="1"/>
    <col min="39" max="39" width="18.6640625" bestFit="1" customWidth="1"/>
    <col min="40" max="40" width="21.88671875" bestFit="1" customWidth="1"/>
    <col min="41" max="41" width="16.33203125" bestFit="1" customWidth="1"/>
    <col min="42" max="42" width="20.88671875" bestFit="1" customWidth="1"/>
    <col min="43" max="43" width="22.5546875" bestFit="1" customWidth="1"/>
    <col min="44" max="44" width="14.44140625" bestFit="1" customWidth="1"/>
    <col min="45" max="45" width="22.44140625" bestFit="1" customWidth="1"/>
    <col min="46" max="46" width="21.88671875" bestFit="1" customWidth="1"/>
    <col min="47" max="47" width="18.109375" bestFit="1" customWidth="1"/>
    <col min="48" max="48" width="12.109375" bestFit="1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 s="1">
        <v>46125</v>
      </c>
      <c r="B2" t="s">
        <v>48</v>
      </c>
      <c r="C2">
        <v>649163</v>
      </c>
      <c r="D2">
        <v>2029904976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651818</v>
      </c>
      <c r="L2" t="s">
        <v>55</v>
      </c>
      <c r="M2" t="s">
        <v>56</v>
      </c>
      <c r="N2" t="s">
        <v>57</v>
      </c>
      <c r="O2" s="1">
        <v>45850</v>
      </c>
      <c r="Q2" s="1">
        <v>46154</v>
      </c>
      <c r="R2" s="2">
        <v>10.35</v>
      </c>
      <c r="S2">
        <v>1</v>
      </c>
      <c r="T2" t="s">
        <v>58</v>
      </c>
      <c r="U2" t="s">
        <v>59</v>
      </c>
      <c r="V2" s="3">
        <v>0.7</v>
      </c>
      <c r="W2" s="2">
        <v>0</v>
      </c>
      <c r="X2">
        <v>0</v>
      </c>
      <c r="Y2" t="s">
        <v>60</v>
      </c>
      <c r="Z2" t="s">
        <v>61</v>
      </c>
      <c r="AA2">
        <v>0</v>
      </c>
      <c r="AB2" s="2">
        <v>0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7.24</v>
      </c>
      <c r="AN2" s="2">
        <v>7.24</v>
      </c>
      <c r="AO2" s="2">
        <v>0</v>
      </c>
      <c r="AP2" s="2">
        <v>0</v>
      </c>
      <c r="AQ2" s="2">
        <v>0</v>
      </c>
    </row>
    <row r="3" spans="1:48" x14ac:dyDescent="0.3">
      <c r="A3" s="1">
        <v>46125</v>
      </c>
      <c r="B3" t="s">
        <v>48</v>
      </c>
      <c r="C3">
        <v>649163</v>
      </c>
      <c r="D3">
        <v>2029907849</v>
      </c>
      <c r="E3" t="s">
        <v>62</v>
      </c>
      <c r="F3" t="s">
        <v>63</v>
      </c>
      <c r="G3" t="s">
        <v>51</v>
      </c>
      <c r="H3" t="s">
        <v>64</v>
      </c>
      <c r="I3" t="s">
        <v>53</v>
      </c>
      <c r="J3" t="s">
        <v>65</v>
      </c>
      <c r="K3">
        <v>877790</v>
      </c>
      <c r="L3" t="s">
        <v>66</v>
      </c>
      <c r="M3" t="s">
        <v>67</v>
      </c>
      <c r="N3" t="s">
        <v>57</v>
      </c>
      <c r="O3" s="1">
        <v>45850</v>
      </c>
      <c r="Q3" s="1">
        <v>46154</v>
      </c>
      <c r="R3" s="2">
        <v>14.75</v>
      </c>
      <c r="S3">
        <v>1</v>
      </c>
      <c r="T3" t="s">
        <v>58</v>
      </c>
      <c r="U3" t="s">
        <v>59</v>
      </c>
      <c r="V3" s="3">
        <v>0.9</v>
      </c>
      <c r="W3" s="2">
        <v>0</v>
      </c>
      <c r="X3">
        <v>0</v>
      </c>
      <c r="Y3" t="s">
        <v>60</v>
      </c>
      <c r="Z3" t="s">
        <v>61</v>
      </c>
      <c r="AA3">
        <v>0</v>
      </c>
      <c r="AB3" s="2">
        <v>0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13.28</v>
      </c>
      <c r="AN3" s="2">
        <v>13.28</v>
      </c>
      <c r="AO3" s="2">
        <v>0</v>
      </c>
      <c r="AP3" s="2">
        <v>0</v>
      </c>
      <c r="AQ3" s="2">
        <v>0</v>
      </c>
    </row>
    <row r="4" spans="1:48" x14ac:dyDescent="0.3">
      <c r="A4" s="1">
        <v>46125</v>
      </c>
      <c r="B4" t="s">
        <v>48</v>
      </c>
      <c r="C4">
        <v>649163</v>
      </c>
      <c r="D4">
        <v>2029910891</v>
      </c>
      <c r="E4" t="s">
        <v>68</v>
      </c>
      <c r="F4" t="s">
        <v>69</v>
      </c>
      <c r="G4" t="s">
        <v>51</v>
      </c>
      <c r="H4" t="s">
        <v>70</v>
      </c>
      <c r="I4" t="s">
        <v>53</v>
      </c>
      <c r="J4" t="s">
        <v>54</v>
      </c>
      <c r="K4">
        <v>856824</v>
      </c>
      <c r="L4" t="s">
        <v>71</v>
      </c>
      <c r="M4" t="s">
        <v>72</v>
      </c>
      <c r="N4" t="s">
        <v>57</v>
      </c>
      <c r="O4" s="1">
        <v>45850</v>
      </c>
      <c r="Q4" s="1">
        <v>46154</v>
      </c>
      <c r="R4" s="2">
        <v>44.15</v>
      </c>
      <c r="S4">
        <v>1</v>
      </c>
      <c r="T4" t="s">
        <v>58</v>
      </c>
      <c r="U4" t="s">
        <v>59</v>
      </c>
      <c r="V4" s="3">
        <v>0.7</v>
      </c>
      <c r="W4" s="2">
        <v>0</v>
      </c>
      <c r="X4">
        <v>0</v>
      </c>
      <c r="Y4" t="s">
        <v>60</v>
      </c>
      <c r="Z4" t="s">
        <v>61</v>
      </c>
      <c r="AA4">
        <v>0</v>
      </c>
      <c r="AB4" s="2">
        <v>0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30.9</v>
      </c>
      <c r="AN4" s="2">
        <v>30.9</v>
      </c>
      <c r="AO4" s="2">
        <v>0</v>
      </c>
      <c r="AP4" s="2">
        <v>0</v>
      </c>
      <c r="AQ4" s="2">
        <v>0</v>
      </c>
    </row>
    <row r="5" spans="1:48" x14ac:dyDescent="0.3">
      <c r="A5" s="1">
        <v>46125</v>
      </c>
      <c r="B5" t="s">
        <v>48</v>
      </c>
      <c r="C5">
        <v>649163</v>
      </c>
      <c r="D5">
        <v>2029935514</v>
      </c>
      <c r="E5" t="s">
        <v>73</v>
      </c>
      <c r="F5" t="s">
        <v>74</v>
      </c>
      <c r="G5" t="s">
        <v>51</v>
      </c>
      <c r="H5" t="s">
        <v>75</v>
      </c>
      <c r="I5" t="s">
        <v>53</v>
      </c>
      <c r="J5" t="s">
        <v>54</v>
      </c>
      <c r="K5">
        <v>822723</v>
      </c>
      <c r="L5" t="s">
        <v>76</v>
      </c>
      <c r="M5" t="s">
        <v>77</v>
      </c>
      <c r="N5" t="s">
        <v>57</v>
      </c>
      <c r="O5" s="1">
        <v>45853</v>
      </c>
      <c r="Q5" s="1">
        <v>46157</v>
      </c>
      <c r="R5" s="2">
        <v>155.81</v>
      </c>
      <c r="S5">
        <v>1</v>
      </c>
      <c r="T5" t="s">
        <v>58</v>
      </c>
      <c r="U5" t="s">
        <v>59</v>
      </c>
      <c r="V5" s="3">
        <v>0.7</v>
      </c>
      <c r="W5" s="2">
        <v>0</v>
      </c>
      <c r="X5">
        <v>0</v>
      </c>
      <c r="Y5" t="s">
        <v>60</v>
      </c>
      <c r="Z5" t="s">
        <v>61</v>
      </c>
      <c r="AA5">
        <v>0</v>
      </c>
      <c r="AB5" s="2">
        <v>0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109.07</v>
      </c>
      <c r="AN5" s="2">
        <v>109.07</v>
      </c>
      <c r="AO5" s="2">
        <v>0</v>
      </c>
      <c r="AP5" s="2">
        <v>0</v>
      </c>
      <c r="AQ5" s="2">
        <v>0</v>
      </c>
    </row>
    <row r="6" spans="1:48" x14ac:dyDescent="0.3">
      <c r="A6" s="1">
        <v>46125</v>
      </c>
      <c r="B6" t="s">
        <v>48</v>
      </c>
      <c r="C6">
        <v>649163</v>
      </c>
      <c r="D6">
        <v>2029951924</v>
      </c>
      <c r="E6" t="s">
        <v>78</v>
      </c>
      <c r="F6" t="s">
        <v>79</v>
      </c>
      <c r="G6" t="s">
        <v>51</v>
      </c>
      <c r="H6" t="s">
        <v>80</v>
      </c>
      <c r="I6" t="s">
        <v>53</v>
      </c>
      <c r="J6" t="s">
        <v>54</v>
      </c>
      <c r="K6">
        <v>824076</v>
      </c>
      <c r="L6" t="s">
        <v>81</v>
      </c>
      <c r="M6" t="s">
        <v>82</v>
      </c>
      <c r="N6" t="s">
        <v>57</v>
      </c>
      <c r="O6" s="1">
        <v>45853</v>
      </c>
      <c r="Q6" s="1">
        <v>46157</v>
      </c>
      <c r="R6" s="2">
        <v>41.5</v>
      </c>
      <c r="S6">
        <v>1</v>
      </c>
      <c r="T6" t="s">
        <v>58</v>
      </c>
      <c r="U6" t="s">
        <v>59</v>
      </c>
      <c r="V6" s="3">
        <v>0.7</v>
      </c>
      <c r="W6" s="2">
        <v>0</v>
      </c>
      <c r="X6">
        <v>0</v>
      </c>
      <c r="Y6" t="s">
        <v>60</v>
      </c>
      <c r="Z6" t="s">
        <v>61</v>
      </c>
      <c r="AA6">
        <v>0</v>
      </c>
      <c r="AB6" s="2">
        <v>0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29.05</v>
      </c>
      <c r="AN6" s="2">
        <v>29.05</v>
      </c>
      <c r="AO6" s="2">
        <v>0</v>
      </c>
      <c r="AP6" s="2">
        <v>0</v>
      </c>
      <c r="AQ6" s="2">
        <v>0</v>
      </c>
    </row>
    <row r="7" spans="1:48" x14ac:dyDescent="0.3">
      <c r="A7" s="1">
        <v>46125</v>
      </c>
      <c r="B7" t="s">
        <v>48</v>
      </c>
      <c r="C7">
        <v>649163</v>
      </c>
      <c r="D7">
        <v>2029957806</v>
      </c>
      <c r="E7" t="s">
        <v>63</v>
      </c>
      <c r="F7" t="s">
        <v>62</v>
      </c>
      <c r="G7" t="s">
        <v>51</v>
      </c>
      <c r="H7" t="s">
        <v>64</v>
      </c>
      <c r="I7" t="s">
        <v>53</v>
      </c>
      <c r="J7" t="s">
        <v>54</v>
      </c>
      <c r="K7">
        <v>877790</v>
      </c>
      <c r="L7" t="s">
        <v>66</v>
      </c>
      <c r="M7" t="s">
        <v>67</v>
      </c>
      <c r="N7" t="s">
        <v>57</v>
      </c>
      <c r="O7" s="1">
        <v>45854</v>
      </c>
      <c r="Q7" s="1">
        <v>46158</v>
      </c>
      <c r="R7" s="2">
        <v>12.4</v>
      </c>
      <c r="S7">
        <v>1</v>
      </c>
      <c r="T7" t="s">
        <v>58</v>
      </c>
      <c r="U7" t="s">
        <v>59</v>
      </c>
      <c r="V7" s="3">
        <v>0.7</v>
      </c>
      <c r="W7" s="2">
        <v>0</v>
      </c>
      <c r="X7">
        <v>0</v>
      </c>
      <c r="Y7" t="s">
        <v>60</v>
      </c>
      <c r="Z7" t="s">
        <v>61</v>
      </c>
      <c r="AA7">
        <v>0</v>
      </c>
      <c r="AB7" s="2">
        <v>0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8.68</v>
      </c>
      <c r="AN7" s="2">
        <v>8.68</v>
      </c>
      <c r="AO7" s="2">
        <v>0</v>
      </c>
      <c r="AP7" s="2">
        <v>0</v>
      </c>
      <c r="AQ7" s="2">
        <v>0</v>
      </c>
    </row>
    <row r="8" spans="1:48" x14ac:dyDescent="0.3">
      <c r="A8" s="1">
        <v>46125</v>
      </c>
      <c r="B8" t="s">
        <v>48</v>
      </c>
      <c r="C8">
        <v>649163</v>
      </c>
      <c r="D8">
        <v>2029959147</v>
      </c>
      <c r="E8" t="s">
        <v>83</v>
      </c>
      <c r="F8" t="s">
        <v>84</v>
      </c>
      <c r="G8" t="s">
        <v>51</v>
      </c>
      <c r="H8" t="s">
        <v>85</v>
      </c>
      <c r="I8" t="s">
        <v>53</v>
      </c>
      <c r="J8" t="s">
        <v>54</v>
      </c>
      <c r="K8">
        <v>651818</v>
      </c>
      <c r="L8" t="s">
        <v>55</v>
      </c>
      <c r="M8" t="s">
        <v>56</v>
      </c>
      <c r="N8" t="s">
        <v>86</v>
      </c>
      <c r="O8" s="1">
        <v>45876</v>
      </c>
      <c r="P8" s="1">
        <v>46125</v>
      </c>
      <c r="Q8" s="1">
        <v>46149</v>
      </c>
      <c r="R8" s="2">
        <v>-118.24</v>
      </c>
      <c r="S8">
        <v>1</v>
      </c>
      <c r="T8" t="s">
        <v>58</v>
      </c>
      <c r="U8" t="s">
        <v>59</v>
      </c>
      <c r="V8" s="3">
        <v>0.7</v>
      </c>
      <c r="W8" s="2">
        <v>0</v>
      </c>
      <c r="X8">
        <v>-1</v>
      </c>
      <c r="Y8" t="s">
        <v>60</v>
      </c>
      <c r="Z8" t="s">
        <v>61</v>
      </c>
      <c r="AA8">
        <v>0</v>
      </c>
      <c r="AB8" s="2">
        <v>0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-82.77</v>
      </c>
      <c r="AN8" s="2">
        <v>-82.77</v>
      </c>
      <c r="AO8" s="2">
        <v>0</v>
      </c>
      <c r="AP8" s="2">
        <v>0</v>
      </c>
      <c r="AQ8" s="2">
        <v>0</v>
      </c>
    </row>
    <row r="9" spans="1:48" x14ac:dyDescent="0.3">
      <c r="A9" s="1">
        <v>46125</v>
      </c>
      <c r="B9" t="s">
        <v>48</v>
      </c>
      <c r="C9">
        <v>649163</v>
      </c>
      <c r="D9">
        <v>2029963379</v>
      </c>
      <c r="E9" t="s">
        <v>87</v>
      </c>
      <c r="F9" t="s">
        <v>88</v>
      </c>
      <c r="G9" t="s">
        <v>51</v>
      </c>
      <c r="H9" t="s">
        <v>80</v>
      </c>
      <c r="I9" t="s">
        <v>53</v>
      </c>
      <c r="J9" t="s">
        <v>54</v>
      </c>
      <c r="K9">
        <v>807212</v>
      </c>
      <c r="L9" t="s">
        <v>89</v>
      </c>
      <c r="M9" t="s">
        <v>90</v>
      </c>
      <c r="N9" t="s">
        <v>57</v>
      </c>
      <c r="O9" s="1">
        <v>45854</v>
      </c>
      <c r="Q9" s="1">
        <v>46158</v>
      </c>
      <c r="R9" s="2">
        <v>20.56</v>
      </c>
      <c r="S9">
        <v>1</v>
      </c>
      <c r="T9" t="s">
        <v>58</v>
      </c>
      <c r="U9" t="s">
        <v>59</v>
      </c>
      <c r="V9" s="3">
        <v>0.7</v>
      </c>
      <c r="W9" s="2">
        <v>0</v>
      </c>
      <c r="X9">
        <v>0</v>
      </c>
      <c r="Y9" t="s">
        <v>60</v>
      </c>
      <c r="Z9" t="s">
        <v>61</v>
      </c>
      <c r="AA9">
        <v>0</v>
      </c>
      <c r="AB9" s="2">
        <v>0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14.39</v>
      </c>
      <c r="AN9" s="2">
        <v>14.39</v>
      </c>
      <c r="AO9" s="2">
        <v>0</v>
      </c>
      <c r="AP9" s="2">
        <v>0</v>
      </c>
      <c r="AQ9" s="2">
        <v>0</v>
      </c>
    </row>
    <row r="10" spans="1:48" x14ac:dyDescent="0.3">
      <c r="A10" s="1">
        <v>46125</v>
      </c>
      <c r="B10" t="s">
        <v>48</v>
      </c>
      <c r="C10">
        <v>649163</v>
      </c>
      <c r="D10">
        <v>2029967973</v>
      </c>
      <c r="E10" t="s">
        <v>91</v>
      </c>
      <c r="F10" t="s">
        <v>92</v>
      </c>
      <c r="G10" t="s">
        <v>51</v>
      </c>
      <c r="H10" t="s">
        <v>93</v>
      </c>
      <c r="I10" t="s">
        <v>53</v>
      </c>
      <c r="J10" t="s">
        <v>94</v>
      </c>
      <c r="K10">
        <v>823068</v>
      </c>
      <c r="L10" t="s">
        <v>95</v>
      </c>
      <c r="M10" t="s">
        <v>96</v>
      </c>
      <c r="N10" t="s">
        <v>57</v>
      </c>
      <c r="O10" s="1">
        <v>45854</v>
      </c>
      <c r="Q10" s="1">
        <v>46158</v>
      </c>
      <c r="R10" s="2">
        <v>32.81</v>
      </c>
      <c r="S10">
        <v>1</v>
      </c>
      <c r="T10" t="s">
        <v>58</v>
      </c>
      <c r="U10" t="s">
        <v>59</v>
      </c>
      <c r="V10" s="3">
        <v>0.42</v>
      </c>
      <c r="W10" s="2">
        <v>0</v>
      </c>
      <c r="X10">
        <v>0</v>
      </c>
      <c r="Y10" t="s">
        <v>60</v>
      </c>
      <c r="Z10" t="s">
        <v>61</v>
      </c>
      <c r="AA10">
        <v>0</v>
      </c>
      <c r="AB10" s="2">
        <v>0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13.78</v>
      </c>
      <c r="AN10" s="2">
        <v>13.78</v>
      </c>
      <c r="AO10" s="2">
        <v>0</v>
      </c>
      <c r="AP10" s="2">
        <v>0</v>
      </c>
      <c r="AQ10" s="2">
        <v>0</v>
      </c>
    </row>
    <row r="11" spans="1:48" x14ac:dyDescent="0.3">
      <c r="A11" s="1">
        <v>46125</v>
      </c>
      <c r="B11" t="s">
        <v>48</v>
      </c>
      <c r="D11">
        <v>2029967974</v>
      </c>
      <c r="E11" t="s">
        <v>91</v>
      </c>
      <c r="F11" t="s">
        <v>92</v>
      </c>
      <c r="G11" t="s">
        <v>51</v>
      </c>
      <c r="H11" t="s">
        <v>93</v>
      </c>
      <c r="I11" t="s">
        <v>53</v>
      </c>
      <c r="J11" t="s">
        <v>97</v>
      </c>
      <c r="L11" t="s">
        <v>95</v>
      </c>
      <c r="M11" t="s">
        <v>96</v>
      </c>
      <c r="N11" t="s">
        <v>57</v>
      </c>
      <c r="O11" s="1">
        <v>45854</v>
      </c>
      <c r="Q11" s="1">
        <v>46158</v>
      </c>
      <c r="R11" s="2">
        <v>24.61</v>
      </c>
      <c r="S11">
        <v>1</v>
      </c>
      <c r="T11" t="s">
        <v>58</v>
      </c>
      <c r="U11" t="s">
        <v>59</v>
      </c>
      <c r="V11" s="3">
        <v>0.7</v>
      </c>
      <c r="W11" s="2">
        <v>0</v>
      </c>
      <c r="X11">
        <v>0</v>
      </c>
      <c r="Y11" t="s">
        <v>60</v>
      </c>
      <c r="Z11" t="s">
        <v>61</v>
      </c>
      <c r="AA11">
        <v>0</v>
      </c>
      <c r="AB11" s="2">
        <v>0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17.23</v>
      </c>
      <c r="AN11" s="2">
        <v>17.23</v>
      </c>
      <c r="AO11" s="2">
        <v>0</v>
      </c>
      <c r="AP11" s="2">
        <v>0</v>
      </c>
      <c r="AQ11" s="2">
        <v>0</v>
      </c>
    </row>
    <row r="12" spans="1:48" x14ac:dyDescent="0.3">
      <c r="A12" s="1">
        <v>46125</v>
      </c>
      <c r="B12" t="s">
        <v>48</v>
      </c>
      <c r="C12">
        <v>649163</v>
      </c>
      <c r="D12">
        <v>2029968822</v>
      </c>
      <c r="E12" t="s">
        <v>98</v>
      </c>
      <c r="F12" t="s">
        <v>56</v>
      </c>
      <c r="G12" t="s">
        <v>51</v>
      </c>
      <c r="H12" t="s">
        <v>80</v>
      </c>
      <c r="I12" t="s">
        <v>53</v>
      </c>
      <c r="J12" t="s">
        <v>94</v>
      </c>
      <c r="K12">
        <v>814033</v>
      </c>
      <c r="L12" t="s">
        <v>99</v>
      </c>
      <c r="M12" t="s">
        <v>100</v>
      </c>
      <c r="N12" t="s">
        <v>57</v>
      </c>
      <c r="O12" s="1">
        <v>45854</v>
      </c>
      <c r="Q12" s="1">
        <v>46158</v>
      </c>
      <c r="R12" s="2">
        <v>25.08</v>
      </c>
      <c r="S12">
        <v>1</v>
      </c>
      <c r="T12" t="s">
        <v>58</v>
      </c>
      <c r="U12" t="s">
        <v>59</v>
      </c>
      <c r="V12" s="3">
        <v>0.42</v>
      </c>
      <c r="W12" s="2">
        <v>0</v>
      </c>
      <c r="X12">
        <v>0</v>
      </c>
      <c r="Y12" t="s">
        <v>60</v>
      </c>
      <c r="Z12" t="s">
        <v>61</v>
      </c>
      <c r="AA12">
        <v>0</v>
      </c>
      <c r="AB12" s="2">
        <v>0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10.53</v>
      </c>
      <c r="AN12" s="2">
        <v>10.53</v>
      </c>
      <c r="AO12" s="2">
        <v>0</v>
      </c>
      <c r="AP12" s="2">
        <v>0</v>
      </c>
      <c r="AQ12" s="2">
        <v>0</v>
      </c>
    </row>
    <row r="13" spans="1:48" x14ac:dyDescent="0.3">
      <c r="A13" s="1">
        <v>46125</v>
      </c>
      <c r="B13" t="s">
        <v>48</v>
      </c>
      <c r="C13">
        <v>649163</v>
      </c>
      <c r="D13">
        <v>2029968823</v>
      </c>
      <c r="E13" t="s">
        <v>98</v>
      </c>
      <c r="F13" t="s">
        <v>56</v>
      </c>
      <c r="G13" t="s">
        <v>51</v>
      </c>
      <c r="H13" t="s">
        <v>80</v>
      </c>
      <c r="I13" t="s">
        <v>53</v>
      </c>
      <c r="J13" t="s">
        <v>54</v>
      </c>
      <c r="K13">
        <v>814033</v>
      </c>
      <c r="L13" t="s">
        <v>99</v>
      </c>
      <c r="M13" t="s">
        <v>100</v>
      </c>
      <c r="N13" t="s">
        <v>57</v>
      </c>
      <c r="O13" s="1">
        <v>45854</v>
      </c>
      <c r="Q13" s="1">
        <v>46158</v>
      </c>
      <c r="R13" s="2">
        <v>62.8</v>
      </c>
      <c r="S13">
        <v>1</v>
      </c>
      <c r="T13" t="s">
        <v>58</v>
      </c>
      <c r="U13" t="s">
        <v>59</v>
      </c>
      <c r="V13" s="3">
        <v>0.7</v>
      </c>
      <c r="W13" s="2">
        <v>0</v>
      </c>
      <c r="X13">
        <v>0</v>
      </c>
      <c r="Y13" t="s">
        <v>60</v>
      </c>
      <c r="Z13" t="s">
        <v>61</v>
      </c>
      <c r="AA13">
        <v>0</v>
      </c>
      <c r="AB13" s="2">
        <v>0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43.96</v>
      </c>
      <c r="AN13" s="2">
        <v>43.96</v>
      </c>
      <c r="AO13" s="2">
        <v>0</v>
      </c>
      <c r="AP13" s="2">
        <v>0</v>
      </c>
      <c r="AQ13" s="2">
        <v>0</v>
      </c>
    </row>
    <row r="14" spans="1:48" x14ac:dyDescent="0.3">
      <c r="A14" s="1">
        <v>46125</v>
      </c>
      <c r="B14" t="s">
        <v>48</v>
      </c>
      <c r="C14">
        <v>649163</v>
      </c>
      <c r="D14">
        <v>2029969604</v>
      </c>
      <c r="E14" t="s">
        <v>101</v>
      </c>
      <c r="F14" t="s">
        <v>102</v>
      </c>
      <c r="G14" t="s">
        <v>51</v>
      </c>
      <c r="H14" t="s">
        <v>103</v>
      </c>
      <c r="I14" t="s">
        <v>53</v>
      </c>
      <c r="J14" t="s">
        <v>54</v>
      </c>
      <c r="K14">
        <v>816021</v>
      </c>
      <c r="L14" t="s">
        <v>104</v>
      </c>
      <c r="M14" t="s">
        <v>105</v>
      </c>
      <c r="N14" t="s">
        <v>57</v>
      </c>
      <c r="O14" s="1">
        <v>45854</v>
      </c>
      <c r="Q14" s="1">
        <v>46158</v>
      </c>
      <c r="R14" s="2">
        <v>9.1</v>
      </c>
      <c r="S14">
        <v>1</v>
      </c>
      <c r="T14" t="s">
        <v>58</v>
      </c>
      <c r="U14" t="s">
        <v>59</v>
      </c>
      <c r="V14" s="3">
        <v>0.7</v>
      </c>
      <c r="W14" s="2">
        <v>0</v>
      </c>
      <c r="X14">
        <v>0</v>
      </c>
      <c r="Y14" t="s">
        <v>60</v>
      </c>
      <c r="Z14" t="s">
        <v>61</v>
      </c>
      <c r="AA14">
        <v>0</v>
      </c>
      <c r="AB14" s="2">
        <v>0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6.37</v>
      </c>
      <c r="AN14" s="2">
        <v>6.37</v>
      </c>
      <c r="AO14" s="2">
        <v>0</v>
      </c>
      <c r="AP14" s="2">
        <v>0</v>
      </c>
      <c r="AQ14" s="2">
        <v>0</v>
      </c>
    </row>
    <row r="15" spans="1:48" x14ac:dyDescent="0.3">
      <c r="A15" s="1">
        <v>46125</v>
      </c>
      <c r="B15" t="s">
        <v>48</v>
      </c>
      <c r="C15">
        <v>649163</v>
      </c>
      <c r="D15">
        <v>2029971479</v>
      </c>
      <c r="E15" t="s">
        <v>106</v>
      </c>
      <c r="F15" t="s">
        <v>107</v>
      </c>
      <c r="G15" t="s">
        <v>51</v>
      </c>
      <c r="H15" t="s">
        <v>75</v>
      </c>
      <c r="I15" t="s">
        <v>53</v>
      </c>
      <c r="J15" t="s">
        <v>54</v>
      </c>
      <c r="K15">
        <v>822723</v>
      </c>
      <c r="L15" t="s">
        <v>76</v>
      </c>
      <c r="M15" t="s">
        <v>77</v>
      </c>
      <c r="N15" t="s">
        <v>57</v>
      </c>
      <c r="O15" s="1">
        <v>45854</v>
      </c>
      <c r="Q15" s="1">
        <v>46158</v>
      </c>
      <c r="R15" s="2">
        <v>15.75</v>
      </c>
      <c r="S15">
        <v>1</v>
      </c>
      <c r="T15" t="s">
        <v>58</v>
      </c>
      <c r="U15" t="s">
        <v>59</v>
      </c>
      <c r="V15" s="3">
        <v>0.7</v>
      </c>
      <c r="W15" s="2">
        <v>0</v>
      </c>
      <c r="X15">
        <v>0</v>
      </c>
      <c r="Y15" t="s">
        <v>60</v>
      </c>
      <c r="Z15" t="s">
        <v>61</v>
      </c>
      <c r="AA15">
        <v>0</v>
      </c>
      <c r="AB15" s="2">
        <v>0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11.02</v>
      </c>
      <c r="AN15" s="2">
        <v>11.02</v>
      </c>
      <c r="AO15" s="2">
        <v>0</v>
      </c>
      <c r="AP15" s="2">
        <v>0</v>
      </c>
      <c r="AQ15" s="2">
        <v>0</v>
      </c>
    </row>
    <row r="16" spans="1:48" x14ac:dyDescent="0.3">
      <c r="A16" s="1">
        <v>46125</v>
      </c>
      <c r="B16" t="s">
        <v>48</v>
      </c>
      <c r="C16">
        <v>649163</v>
      </c>
      <c r="D16">
        <v>2029973759</v>
      </c>
      <c r="E16" t="s">
        <v>108</v>
      </c>
      <c r="F16" t="s">
        <v>109</v>
      </c>
      <c r="G16" t="s">
        <v>51</v>
      </c>
      <c r="H16" t="s">
        <v>75</v>
      </c>
      <c r="I16" t="s">
        <v>53</v>
      </c>
      <c r="J16" t="s">
        <v>54</v>
      </c>
      <c r="K16">
        <v>812994</v>
      </c>
      <c r="L16" t="s">
        <v>110</v>
      </c>
      <c r="M16" t="s">
        <v>111</v>
      </c>
      <c r="N16" t="s">
        <v>57</v>
      </c>
      <c r="O16" s="1">
        <v>45854</v>
      </c>
      <c r="Q16" s="1">
        <v>46158</v>
      </c>
      <c r="R16" s="2">
        <v>115.98</v>
      </c>
      <c r="S16">
        <v>1</v>
      </c>
      <c r="T16" t="s">
        <v>58</v>
      </c>
      <c r="U16" t="s">
        <v>59</v>
      </c>
      <c r="V16" s="3">
        <v>0.7</v>
      </c>
      <c r="W16" s="2">
        <v>0</v>
      </c>
      <c r="X16">
        <v>0</v>
      </c>
      <c r="Y16" t="s">
        <v>60</v>
      </c>
      <c r="Z16" t="s">
        <v>61</v>
      </c>
      <c r="AA16">
        <v>0</v>
      </c>
      <c r="AB16" s="2">
        <v>0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81.19</v>
      </c>
      <c r="AN16" s="2">
        <v>81.19</v>
      </c>
      <c r="AO16" s="2">
        <v>0</v>
      </c>
      <c r="AP16" s="2">
        <v>0</v>
      </c>
      <c r="AQ16" s="2">
        <v>0</v>
      </c>
    </row>
    <row r="17" spans="1:43" x14ac:dyDescent="0.3">
      <c r="A17" s="1">
        <v>46125</v>
      </c>
      <c r="B17" t="s">
        <v>48</v>
      </c>
      <c r="C17">
        <v>649163</v>
      </c>
      <c r="D17">
        <v>2029980505</v>
      </c>
      <c r="E17" t="s">
        <v>112</v>
      </c>
      <c r="F17" t="s">
        <v>113</v>
      </c>
      <c r="G17" t="s">
        <v>51</v>
      </c>
      <c r="H17" t="s">
        <v>114</v>
      </c>
      <c r="I17" t="s">
        <v>53</v>
      </c>
      <c r="J17" t="s">
        <v>54</v>
      </c>
      <c r="K17">
        <v>673059</v>
      </c>
      <c r="L17" t="s">
        <v>115</v>
      </c>
      <c r="M17" t="s">
        <v>116</v>
      </c>
      <c r="N17" t="s">
        <v>57</v>
      </c>
      <c r="O17" s="1">
        <v>45884</v>
      </c>
      <c r="Q17" s="1">
        <v>46157</v>
      </c>
      <c r="R17" s="2">
        <v>24</v>
      </c>
      <c r="S17">
        <v>1</v>
      </c>
      <c r="T17" t="s">
        <v>58</v>
      </c>
      <c r="U17" t="s">
        <v>59</v>
      </c>
      <c r="V17" s="3">
        <v>0.7</v>
      </c>
      <c r="W17" s="2">
        <v>0</v>
      </c>
      <c r="X17">
        <v>0</v>
      </c>
      <c r="Y17" t="s">
        <v>60</v>
      </c>
      <c r="Z17" t="s">
        <v>61</v>
      </c>
      <c r="AA17">
        <v>0</v>
      </c>
      <c r="AB17" s="2">
        <v>0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16.8</v>
      </c>
      <c r="AN17" s="2">
        <v>16.8</v>
      </c>
      <c r="AO17" s="2">
        <v>0</v>
      </c>
      <c r="AP17" s="2">
        <v>0</v>
      </c>
      <c r="AQ17" s="2">
        <v>0</v>
      </c>
    </row>
    <row r="18" spans="1:43" x14ac:dyDescent="0.3">
      <c r="A18" s="1">
        <v>46125</v>
      </c>
      <c r="B18" t="s">
        <v>48</v>
      </c>
      <c r="C18">
        <v>649163</v>
      </c>
      <c r="D18">
        <v>2029980506</v>
      </c>
      <c r="E18" t="s">
        <v>112</v>
      </c>
      <c r="F18" t="s">
        <v>113</v>
      </c>
      <c r="G18" t="s">
        <v>51</v>
      </c>
      <c r="H18" t="s">
        <v>114</v>
      </c>
      <c r="I18" t="s">
        <v>53</v>
      </c>
      <c r="J18" t="s">
        <v>117</v>
      </c>
      <c r="K18">
        <v>673059</v>
      </c>
      <c r="L18" t="s">
        <v>115</v>
      </c>
      <c r="M18" t="s">
        <v>116</v>
      </c>
      <c r="N18" t="s">
        <v>57</v>
      </c>
      <c r="O18" s="1">
        <v>45884</v>
      </c>
      <c r="Q18" s="1">
        <v>46157</v>
      </c>
      <c r="R18" s="2">
        <v>21.44</v>
      </c>
      <c r="S18">
        <v>1</v>
      </c>
      <c r="T18" t="s">
        <v>58</v>
      </c>
      <c r="U18" t="s">
        <v>59</v>
      </c>
      <c r="V18" s="3">
        <v>0.7</v>
      </c>
      <c r="W18" s="2">
        <v>0</v>
      </c>
      <c r="X18">
        <v>0</v>
      </c>
      <c r="Y18" t="s">
        <v>60</v>
      </c>
      <c r="Z18" t="s">
        <v>61</v>
      </c>
      <c r="AA18">
        <v>0</v>
      </c>
      <c r="AB18" s="2">
        <v>0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15.01</v>
      </c>
      <c r="AN18" s="2">
        <v>15.01</v>
      </c>
      <c r="AO18" s="2">
        <v>0</v>
      </c>
      <c r="AP18" s="2">
        <v>0</v>
      </c>
      <c r="AQ18" s="2">
        <v>0</v>
      </c>
    </row>
    <row r="19" spans="1:43" x14ac:dyDescent="0.3">
      <c r="A19" s="1">
        <v>46125</v>
      </c>
      <c r="B19" t="s">
        <v>48</v>
      </c>
      <c r="C19">
        <v>649163</v>
      </c>
      <c r="D19">
        <v>2029981428</v>
      </c>
      <c r="E19" t="s">
        <v>118</v>
      </c>
      <c r="F19" t="s">
        <v>119</v>
      </c>
      <c r="G19" t="s">
        <v>51</v>
      </c>
      <c r="H19" t="s">
        <v>80</v>
      </c>
      <c r="I19" t="s">
        <v>53</v>
      </c>
      <c r="J19" t="s">
        <v>54</v>
      </c>
      <c r="K19">
        <v>823350</v>
      </c>
      <c r="L19" t="s">
        <v>120</v>
      </c>
      <c r="M19" t="s">
        <v>121</v>
      </c>
      <c r="N19" t="s">
        <v>86</v>
      </c>
      <c r="O19" s="1">
        <v>45870</v>
      </c>
      <c r="P19" s="1">
        <v>46118</v>
      </c>
      <c r="Q19" s="1">
        <v>46143</v>
      </c>
      <c r="R19" s="2">
        <v>-111.53</v>
      </c>
      <c r="S19">
        <v>1</v>
      </c>
      <c r="T19" t="s">
        <v>58</v>
      </c>
      <c r="U19" t="s">
        <v>59</v>
      </c>
      <c r="V19" s="3">
        <v>0.7</v>
      </c>
      <c r="W19" s="2">
        <v>0</v>
      </c>
      <c r="X19">
        <v>-1</v>
      </c>
      <c r="Y19" t="s">
        <v>60</v>
      </c>
      <c r="Z19" t="s">
        <v>61</v>
      </c>
      <c r="AA19">
        <v>0</v>
      </c>
      <c r="AB19" s="2">
        <v>0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-78.069999999999993</v>
      </c>
      <c r="AN19" s="2">
        <v>-78.069999999999993</v>
      </c>
      <c r="AO19" s="2">
        <v>0</v>
      </c>
      <c r="AP19" s="2">
        <v>0</v>
      </c>
      <c r="AQ19" s="2">
        <v>0</v>
      </c>
    </row>
    <row r="20" spans="1:43" x14ac:dyDescent="0.3">
      <c r="A20" s="1">
        <v>46125</v>
      </c>
      <c r="B20" t="s">
        <v>48</v>
      </c>
      <c r="C20">
        <v>649163</v>
      </c>
      <c r="D20">
        <v>2029985852</v>
      </c>
      <c r="E20" t="s">
        <v>122</v>
      </c>
      <c r="F20" t="s">
        <v>123</v>
      </c>
      <c r="G20" t="s">
        <v>51</v>
      </c>
      <c r="H20" t="s">
        <v>80</v>
      </c>
      <c r="I20" t="s">
        <v>53</v>
      </c>
      <c r="J20" t="s">
        <v>54</v>
      </c>
      <c r="K20">
        <v>823350</v>
      </c>
      <c r="L20" t="s">
        <v>120</v>
      </c>
      <c r="M20" t="s">
        <v>121</v>
      </c>
      <c r="N20" t="s">
        <v>57</v>
      </c>
      <c r="O20" s="1">
        <v>45855</v>
      </c>
      <c r="Q20" s="1">
        <v>46159</v>
      </c>
      <c r="R20" s="2">
        <v>15.75</v>
      </c>
      <c r="S20">
        <v>1</v>
      </c>
      <c r="T20" t="s">
        <v>58</v>
      </c>
      <c r="U20" t="s">
        <v>59</v>
      </c>
      <c r="V20" s="3">
        <v>0.7</v>
      </c>
      <c r="W20" s="2">
        <v>0</v>
      </c>
      <c r="X20">
        <v>0</v>
      </c>
      <c r="Y20" t="s">
        <v>60</v>
      </c>
      <c r="Z20" t="s">
        <v>61</v>
      </c>
      <c r="AA20">
        <v>0</v>
      </c>
      <c r="AB20" s="2">
        <v>0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11.02</v>
      </c>
      <c r="AN20" s="2">
        <v>11.02</v>
      </c>
      <c r="AO20" s="2">
        <v>0</v>
      </c>
      <c r="AP20" s="2">
        <v>0</v>
      </c>
      <c r="AQ20" s="2">
        <v>0</v>
      </c>
    </row>
    <row r="21" spans="1:43" x14ac:dyDescent="0.3">
      <c r="A21" s="1">
        <v>46125</v>
      </c>
      <c r="B21" t="s">
        <v>48</v>
      </c>
      <c r="C21">
        <v>649163</v>
      </c>
      <c r="D21">
        <v>2029994615</v>
      </c>
      <c r="E21" t="s">
        <v>124</v>
      </c>
      <c r="F21" t="s">
        <v>125</v>
      </c>
      <c r="G21" t="s">
        <v>51</v>
      </c>
      <c r="H21" t="s">
        <v>126</v>
      </c>
      <c r="I21" t="s">
        <v>53</v>
      </c>
      <c r="J21" t="s">
        <v>54</v>
      </c>
      <c r="K21">
        <v>813184</v>
      </c>
      <c r="L21" t="s">
        <v>127</v>
      </c>
      <c r="M21" t="s">
        <v>128</v>
      </c>
      <c r="N21" t="s">
        <v>57</v>
      </c>
      <c r="O21" s="1">
        <v>45855</v>
      </c>
      <c r="Q21" s="1">
        <v>46159</v>
      </c>
      <c r="R21" s="2">
        <v>28.45</v>
      </c>
      <c r="S21">
        <v>1</v>
      </c>
      <c r="T21" t="s">
        <v>58</v>
      </c>
      <c r="U21" t="s">
        <v>59</v>
      </c>
      <c r="V21" s="3">
        <v>0.7</v>
      </c>
      <c r="W21" s="2">
        <v>0</v>
      </c>
      <c r="X21">
        <v>0</v>
      </c>
      <c r="Y21" t="s">
        <v>60</v>
      </c>
      <c r="Z21" t="s">
        <v>61</v>
      </c>
      <c r="AA21">
        <v>0</v>
      </c>
      <c r="AB21" s="2">
        <v>0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19.920000000000002</v>
      </c>
      <c r="AN21" s="2">
        <v>19.920000000000002</v>
      </c>
      <c r="AO21" s="2">
        <v>0</v>
      </c>
      <c r="AP21" s="2">
        <v>0</v>
      </c>
      <c r="AQ21" s="2">
        <v>0</v>
      </c>
    </row>
    <row r="22" spans="1:43" x14ac:dyDescent="0.3">
      <c r="A22" s="1">
        <v>46125</v>
      </c>
      <c r="B22" t="s">
        <v>48</v>
      </c>
      <c r="D22">
        <v>2029995394</v>
      </c>
      <c r="E22" t="s">
        <v>129</v>
      </c>
      <c r="F22" t="s">
        <v>107</v>
      </c>
      <c r="G22" t="s">
        <v>51</v>
      </c>
      <c r="H22" t="s">
        <v>52</v>
      </c>
      <c r="I22" t="s">
        <v>53</v>
      </c>
      <c r="J22" t="s">
        <v>97</v>
      </c>
      <c r="L22" t="s">
        <v>130</v>
      </c>
      <c r="M22" t="s">
        <v>131</v>
      </c>
      <c r="N22" t="s">
        <v>57</v>
      </c>
      <c r="O22" s="1">
        <v>45855</v>
      </c>
      <c r="Q22" s="1">
        <v>46159</v>
      </c>
      <c r="R22" s="2">
        <v>25.73</v>
      </c>
      <c r="S22">
        <v>1</v>
      </c>
      <c r="T22" t="s">
        <v>58</v>
      </c>
      <c r="U22" t="s">
        <v>59</v>
      </c>
      <c r="V22" s="3">
        <v>0.7</v>
      </c>
      <c r="W22" s="2">
        <v>0</v>
      </c>
      <c r="X22">
        <v>0</v>
      </c>
      <c r="Y22" t="s">
        <v>60</v>
      </c>
      <c r="Z22" t="s">
        <v>61</v>
      </c>
      <c r="AA22">
        <v>0</v>
      </c>
      <c r="AB22" s="2">
        <v>0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18.010000000000002</v>
      </c>
      <c r="AN22" s="2">
        <v>18.010000000000002</v>
      </c>
      <c r="AO22" s="2">
        <v>0</v>
      </c>
      <c r="AP22" s="2">
        <v>0</v>
      </c>
      <c r="AQ22" s="2">
        <v>0</v>
      </c>
    </row>
    <row r="23" spans="1:43" x14ac:dyDescent="0.3">
      <c r="A23" s="1">
        <v>46125</v>
      </c>
      <c r="B23" t="s">
        <v>48</v>
      </c>
      <c r="C23">
        <v>649163</v>
      </c>
      <c r="D23">
        <v>2030113890</v>
      </c>
      <c r="E23" t="s">
        <v>132</v>
      </c>
      <c r="F23" t="s">
        <v>133</v>
      </c>
      <c r="G23" t="s">
        <v>51</v>
      </c>
      <c r="H23" t="s">
        <v>64</v>
      </c>
      <c r="I23" t="s">
        <v>53</v>
      </c>
      <c r="J23" t="s">
        <v>54</v>
      </c>
      <c r="K23">
        <v>767312</v>
      </c>
      <c r="L23" t="s">
        <v>134</v>
      </c>
      <c r="M23" t="s">
        <v>98</v>
      </c>
      <c r="N23" t="s">
        <v>57</v>
      </c>
      <c r="O23" s="1">
        <v>45862</v>
      </c>
      <c r="Q23" s="1">
        <v>46136</v>
      </c>
      <c r="R23" s="2">
        <v>16.510000000000002</v>
      </c>
      <c r="S23">
        <v>1</v>
      </c>
      <c r="T23" t="s">
        <v>58</v>
      </c>
      <c r="U23" t="s">
        <v>59</v>
      </c>
      <c r="V23" s="3">
        <v>0.7</v>
      </c>
      <c r="W23" s="2">
        <v>0</v>
      </c>
      <c r="X23">
        <v>0</v>
      </c>
      <c r="Y23" t="s">
        <v>60</v>
      </c>
      <c r="Z23" t="s">
        <v>61</v>
      </c>
      <c r="AA23">
        <v>0</v>
      </c>
      <c r="AB23" s="2">
        <v>0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11.56</v>
      </c>
      <c r="AN23" s="2">
        <v>11.56</v>
      </c>
      <c r="AO23" s="2">
        <v>0</v>
      </c>
      <c r="AP23" s="2">
        <v>0</v>
      </c>
      <c r="AQ23" s="2">
        <v>0</v>
      </c>
    </row>
    <row r="24" spans="1:43" x14ac:dyDescent="0.3">
      <c r="A24" s="1">
        <v>46125</v>
      </c>
      <c r="B24" t="s">
        <v>48</v>
      </c>
      <c r="C24">
        <v>649163</v>
      </c>
      <c r="D24">
        <v>2030244511</v>
      </c>
      <c r="E24" t="s">
        <v>135</v>
      </c>
      <c r="F24" t="s">
        <v>136</v>
      </c>
      <c r="G24" t="s">
        <v>51</v>
      </c>
      <c r="H24" t="s">
        <v>80</v>
      </c>
      <c r="I24" t="s">
        <v>53</v>
      </c>
      <c r="J24" t="s">
        <v>94</v>
      </c>
      <c r="K24">
        <v>789909</v>
      </c>
      <c r="L24" t="s">
        <v>137</v>
      </c>
      <c r="M24" t="s">
        <v>138</v>
      </c>
      <c r="N24" t="s">
        <v>57</v>
      </c>
      <c r="O24" s="1">
        <v>45884</v>
      </c>
      <c r="Q24" s="1">
        <v>46157</v>
      </c>
      <c r="R24" s="2">
        <v>42.5</v>
      </c>
      <c r="S24">
        <v>1</v>
      </c>
      <c r="T24" t="s">
        <v>58</v>
      </c>
      <c r="U24" t="s">
        <v>59</v>
      </c>
      <c r="V24" s="3">
        <v>0.42</v>
      </c>
      <c r="W24" s="2">
        <v>0</v>
      </c>
      <c r="X24">
        <v>0</v>
      </c>
      <c r="Y24" t="s">
        <v>60</v>
      </c>
      <c r="Z24" t="s">
        <v>61</v>
      </c>
      <c r="AA24">
        <v>0</v>
      </c>
      <c r="AB24" s="2">
        <v>0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17.850000000000001</v>
      </c>
      <c r="AN24" s="2">
        <v>17.850000000000001</v>
      </c>
      <c r="AO24" s="2">
        <v>0</v>
      </c>
      <c r="AP24" s="2">
        <v>0</v>
      </c>
      <c r="AQ24" s="2">
        <v>0</v>
      </c>
    </row>
    <row r="25" spans="1:43" x14ac:dyDescent="0.3">
      <c r="A25" s="1">
        <v>46125</v>
      </c>
      <c r="B25" t="s">
        <v>48</v>
      </c>
      <c r="C25">
        <v>649163</v>
      </c>
      <c r="D25">
        <v>2030336752</v>
      </c>
      <c r="E25" t="s">
        <v>139</v>
      </c>
      <c r="F25" t="s">
        <v>140</v>
      </c>
      <c r="G25" t="s">
        <v>51</v>
      </c>
      <c r="H25" t="s">
        <v>141</v>
      </c>
      <c r="I25" t="s">
        <v>53</v>
      </c>
      <c r="J25" t="s">
        <v>54</v>
      </c>
      <c r="K25">
        <v>651818</v>
      </c>
      <c r="L25" t="s">
        <v>55</v>
      </c>
      <c r="M25" t="s">
        <v>56</v>
      </c>
      <c r="N25" t="s">
        <v>57</v>
      </c>
      <c r="O25" s="1">
        <v>45906</v>
      </c>
      <c r="Q25" s="1">
        <v>46148</v>
      </c>
      <c r="R25" s="2">
        <v>31.88</v>
      </c>
      <c r="S25">
        <v>1</v>
      </c>
      <c r="T25" t="s">
        <v>58</v>
      </c>
      <c r="U25" t="s">
        <v>59</v>
      </c>
      <c r="V25" s="3">
        <v>0.7</v>
      </c>
      <c r="W25" s="2">
        <v>0</v>
      </c>
      <c r="X25">
        <v>0</v>
      </c>
      <c r="Y25" t="s">
        <v>60</v>
      </c>
      <c r="Z25" t="s">
        <v>61</v>
      </c>
      <c r="AA25">
        <v>0</v>
      </c>
      <c r="AB25" s="2">
        <v>0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22.32</v>
      </c>
      <c r="AN25" s="2">
        <v>22.32</v>
      </c>
      <c r="AO25" s="2">
        <v>0</v>
      </c>
      <c r="AP25" s="2">
        <v>0</v>
      </c>
      <c r="AQ25" s="2">
        <v>0</v>
      </c>
    </row>
    <row r="26" spans="1:43" x14ac:dyDescent="0.3">
      <c r="A26" s="1">
        <v>46125</v>
      </c>
      <c r="B26" t="s">
        <v>48</v>
      </c>
      <c r="C26">
        <v>649163</v>
      </c>
      <c r="D26">
        <v>2030427171</v>
      </c>
      <c r="E26" t="s">
        <v>142</v>
      </c>
      <c r="F26" t="s">
        <v>143</v>
      </c>
      <c r="G26" t="s">
        <v>51</v>
      </c>
      <c r="H26" t="s">
        <v>126</v>
      </c>
      <c r="I26" t="s">
        <v>53</v>
      </c>
      <c r="J26" t="s">
        <v>65</v>
      </c>
      <c r="K26">
        <v>813184</v>
      </c>
      <c r="L26" t="s">
        <v>127</v>
      </c>
      <c r="M26" t="s">
        <v>128</v>
      </c>
      <c r="N26" t="s">
        <v>57</v>
      </c>
      <c r="O26" s="1">
        <v>45881</v>
      </c>
      <c r="Q26" s="1">
        <v>46154</v>
      </c>
      <c r="R26" s="2">
        <v>159.31</v>
      </c>
      <c r="S26">
        <v>1</v>
      </c>
      <c r="T26" t="s">
        <v>58</v>
      </c>
      <c r="U26" t="s">
        <v>59</v>
      </c>
      <c r="V26" s="3">
        <v>0.9</v>
      </c>
      <c r="W26" s="2">
        <v>0</v>
      </c>
      <c r="X26">
        <v>0</v>
      </c>
      <c r="Y26" t="s">
        <v>60</v>
      </c>
      <c r="Z26" t="s">
        <v>61</v>
      </c>
      <c r="AA26">
        <v>0</v>
      </c>
      <c r="AB26" s="2">
        <v>0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143.38</v>
      </c>
      <c r="AN26" s="2">
        <v>143.38</v>
      </c>
      <c r="AO26" s="2">
        <v>0</v>
      </c>
      <c r="AP26" s="2">
        <v>0</v>
      </c>
      <c r="AQ26" s="2">
        <v>0</v>
      </c>
    </row>
    <row r="27" spans="1:43" x14ac:dyDescent="0.3">
      <c r="A27" s="1">
        <v>46125</v>
      </c>
      <c r="B27" t="s">
        <v>48</v>
      </c>
      <c r="C27">
        <v>649163</v>
      </c>
      <c r="D27">
        <v>2030427172</v>
      </c>
      <c r="E27" t="s">
        <v>142</v>
      </c>
      <c r="F27" t="s">
        <v>143</v>
      </c>
      <c r="G27" t="s">
        <v>51</v>
      </c>
      <c r="H27" t="s">
        <v>126</v>
      </c>
      <c r="I27" t="s">
        <v>53</v>
      </c>
      <c r="J27" t="s">
        <v>54</v>
      </c>
      <c r="K27">
        <v>813184</v>
      </c>
      <c r="L27" t="s">
        <v>127</v>
      </c>
      <c r="M27" t="s">
        <v>128</v>
      </c>
      <c r="N27" t="s">
        <v>57</v>
      </c>
      <c r="O27" s="1">
        <v>45881</v>
      </c>
      <c r="Q27" s="1">
        <v>46154</v>
      </c>
      <c r="R27" s="2">
        <v>69.06</v>
      </c>
      <c r="S27">
        <v>1</v>
      </c>
      <c r="T27" t="s">
        <v>58</v>
      </c>
      <c r="U27" t="s">
        <v>59</v>
      </c>
      <c r="V27" s="3">
        <v>0.7</v>
      </c>
      <c r="W27" s="2">
        <v>0</v>
      </c>
      <c r="X27">
        <v>0</v>
      </c>
      <c r="Y27" t="s">
        <v>60</v>
      </c>
      <c r="Z27" t="s">
        <v>61</v>
      </c>
      <c r="AA27">
        <v>0</v>
      </c>
      <c r="AB27" s="2">
        <v>0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48.34</v>
      </c>
      <c r="AN27" s="2">
        <v>48.34</v>
      </c>
      <c r="AO27" s="2">
        <v>0</v>
      </c>
      <c r="AP27" s="2">
        <v>0</v>
      </c>
      <c r="AQ27" s="2">
        <v>0</v>
      </c>
    </row>
    <row r="28" spans="1:43" x14ac:dyDescent="0.3">
      <c r="A28" s="1">
        <v>46125</v>
      </c>
      <c r="B28" t="s">
        <v>48</v>
      </c>
      <c r="C28">
        <v>649163</v>
      </c>
      <c r="D28">
        <v>2030447483</v>
      </c>
      <c r="E28" t="s">
        <v>144</v>
      </c>
      <c r="F28" t="s">
        <v>145</v>
      </c>
      <c r="G28" t="s">
        <v>51</v>
      </c>
      <c r="H28" t="s">
        <v>52</v>
      </c>
      <c r="I28" t="s">
        <v>53</v>
      </c>
      <c r="J28" t="s">
        <v>54</v>
      </c>
      <c r="K28">
        <v>753748</v>
      </c>
      <c r="L28" t="s">
        <v>146</v>
      </c>
      <c r="M28" t="s">
        <v>147</v>
      </c>
      <c r="N28" t="s">
        <v>57</v>
      </c>
      <c r="O28" s="1">
        <v>45882</v>
      </c>
      <c r="Q28" s="1">
        <v>46155</v>
      </c>
      <c r="R28" s="2">
        <v>10.53</v>
      </c>
      <c r="S28">
        <v>1</v>
      </c>
      <c r="T28" t="s">
        <v>58</v>
      </c>
      <c r="U28" t="s">
        <v>59</v>
      </c>
      <c r="V28" s="3">
        <v>0.7</v>
      </c>
      <c r="W28" s="2">
        <v>0</v>
      </c>
      <c r="X28">
        <v>0</v>
      </c>
      <c r="Y28" t="s">
        <v>60</v>
      </c>
      <c r="Z28" t="s">
        <v>61</v>
      </c>
      <c r="AA28">
        <v>0</v>
      </c>
      <c r="AB28" s="2">
        <v>0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7.37</v>
      </c>
      <c r="AN28" s="2">
        <v>7.37</v>
      </c>
      <c r="AO28" s="2">
        <v>0</v>
      </c>
      <c r="AP28" s="2">
        <v>0</v>
      </c>
      <c r="AQ28" s="2">
        <v>0</v>
      </c>
    </row>
    <row r="29" spans="1:43" x14ac:dyDescent="0.3">
      <c r="A29" s="1">
        <v>46125</v>
      </c>
      <c r="B29" t="s">
        <v>48</v>
      </c>
      <c r="C29">
        <v>649163</v>
      </c>
      <c r="D29">
        <v>2030452962</v>
      </c>
      <c r="E29" t="s">
        <v>148</v>
      </c>
      <c r="F29" t="s">
        <v>149</v>
      </c>
      <c r="G29" t="s">
        <v>51</v>
      </c>
      <c r="H29" t="s">
        <v>103</v>
      </c>
      <c r="I29" t="s">
        <v>53</v>
      </c>
      <c r="J29" t="s">
        <v>54</v>
      </c>
      <c r="K29">
        <v>824082</v>
      </c>
      <c r="L29" t="s">
        <v>150</v>
      </c>
      <c r="M29" t="s">
        <v>151</v>
      </c>
      <c r="N29" t="s">
        <v>57</v>
      </c>
      <c r="O29" s="1">
        <v>45882</v>
      </c>
      <c r="Q29" s="1">
        <v>46155</v>
      </c>
      <c r="R29" s="2">
        <v>29.2</v>
      </c>
      <c r="S29">
        <v>1</v>
      </c>
      <c r="T29" t="s">
        <v>58</v>
      </c>
      <c r="U29" t="s">
        <v>59</v>
      </c>
      <c r="V29" s="3">
        <v>0.7</v>
      </c>
      <c r="W29" s="2">
        <v>0</v>
      </c>
      <c r="X29">
        <v>0</v>
      </c>
      <c r="Y29" t="s">
        <v>60</v>
      </c>
      <c r="Z29" t="s">
        <v>61</v>
      </c>
      <c r="AA29">
        <v>0</v>
      </c>
      <c r="AB29" s="2">
        <v>0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20.440000000000001</v>
      </c>
      <c r="AN29" s="2">
        <v>20.440000000000001</v>
      </c>
      <c r="AO29" s="2">
        <v>0</v>
      </c>
      <c r="AP29" s="2">
        <v>0</v>
      </c>
      <c r="AQ29" s="2">
        <v>0</v>
      </c>
    </row>
    <row r="30" spans="1:43" x14ac:dyDescent="0.3">
      <c r="A30" s="1">
        <v>46125</v>
      </c>
      <c r="B30" t="s">
        <v>48</v>
      </c>
      <c r="C30">
        <v>649163</v>
      </c>
      <c r="D30">
        <v>2030455581</v>
      </c>
      <c r="E30" t="s">
        <v>152</v>
      </c>
      <c r="F30" t="s">
        <v>153</v>
      </c>
      <c r="G30" t="s">
        <v>51</v>
      </c>
      <c r="H30" t="s">
        <v>103</v>
      </c>
      <c r="I30" t="s">
        <v>53</v>
      </c>
      <c r="J30" t="s">
        <v>54</v>
      </c>
      <c r="K30">
        <v>816021</v>
      </c>
      <c r="L30" t="s">
        <v>104</v>
      </c>
      <c r="M30" t="s">
        <v>105</v>
      </c>
      <c r="N30" t="s">
        <v>57</v>
      </c>
      <c r="O30" s="1">
        <v>45882</v>
      </c>
      <c r="Q30" s="1">
        <v>46155</v>
      </c>
      <c r="R30" s="2">
        <v>27.38</v>
      </c>
      <c r="S30">
        <v>1</v>
      </c>
      <c r="T30" t="s">
        <v>58</v>
      </c>
      <c r="U30" t="s">
        <v>59</v>
      </c>
      <c r="V30" s="3">
        <v>0.7</v>
      </c>
      <c r="W30" s="2">
        <v>0</v>
      </c>
      <c r="X30">
        <v>0</v>
      </c>
      <c r="Y30" t="s">
        <v>60</v>
      </c>
      <c r="Z30" t="s">
        <v>61</v>
      </c>
      <c r="AA30">
        <v>0</v>
      </c>
      <c r="AB30" s="2">
        <v>0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19.170000000000002</v>
      </c>
      <c r="AN30" s="2">
        <v>19.170000000000002</v>
      </c>
      <c r="AO30" s="2">
        <v>0</v>
      </c>
      <c r="AP30" s="2">
        <v>0</v>
      </c>
      <c r="AQ30" s="2">
        <v>0</v>
      </c>
    </row>
    <row r="31" spans="1:43" x14ac:dyDescent="0.3">
      <c r="A31" s="1">
        <v>46125</v>
      </c>
      <c r="B31" t="s">
        <v>48</v>
      </c>
      <c r="C31">
        <v>649163</v>
      </c>
      <c r="D31">
        <v>2030455583</v>
      </c>
      <c r="E31" t="s">
        <v>152</v>
      </c>
      <c r="F31" t="s">
        <v>153</v>
      </c>
      <c r="G31" t="s">
        <v>51</v>
      </c>
      <c r="H31" t="s">
        <v>103</v>
      </c>
      <c r="I31" t="s">
        <v>53</v>
      </c>
      <c r="J31" t="s">
        <v>65</v>
      </c>
      <c r="K31">
        <v>816021</v>
      </c>
      <c r="L31" t="s">
        <v>104</v>
      </c>
      <c r="M31" t="s">
        <v>105</v>
      </c>
      <c r="N31" t="s">
        <v>57</v>
      </c>
      <c r="O31" s="1">
        <v>45882</v>
      </c>
      <c r="Q31" s="1">
        <v>46155</v>
      </c>
      <c r="R31" s="2">
        <v>52.92</v>
      </c>
      <c r="S31">
        <v>1</v>
      </c>
      <c r="T31" t="s">
        <v>58</v>
      </c>
      <c r="U31" t="s">
        <v>59</v>
      </c>
      <c r="V31" s="3">
        <v>0.9</v>
      </c>
      <c r="W31" s="2">
        <v>0</v>
      </c>
      <c r="X31">
        <v>0</v>
      </c>
      <c r="Y31" t="s">
        <v>60</v>
      </c>
      <c r="Z31" t="s">
        <v>61</v>
      </c>
      <c r="AA31">
        <v>0</v>
      </c>
      <c r="AB31" s="2">
        <v>0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47.63</v>
      </c>
      <c r="AN31" s="2">
        <v>47.63</v>
      </c>
      <c r="AO31" s="2">
        <v>0</v>
      </c>
      <c r="AP31" s="2">
        <v>0</v>
      </c>
      <c r="AQ31" s="2">
        <v>0</v>
      </c>
    </row>
    <row r="32" spans="1:43" x14ac:dyDescent="0.3">
      <c r="A32" s="1">
        <v>46125</v>
      </c>
      <c r="B32" t="s">
        <v>48</v>
      </c>
      <c r="C32">
        <v>649163</v>
      </c>
      <c r="D32">
        <v>2030474678</v>
      </c>
      <c r="E32" t="s">
        <v>154</v>
      </c>
      <c r="F32" t="s">
        <v>155</v>
      </c>
      <c r="G32" t="s">
        <v>51</v>
      </c>
      <c r="H32" t="s">
        <v>52</v>
      </c>
      <c r="I32" t="s">
        <v>53</v>
      </c>
      <c r="J32" t="s">
        <v>54</v>
      </c>
      <c r="K32">
        <v>878036</v>
      </c>
      <c r="L32" t="s">
        <v>156</v>
      </c>
      <c r="M32" t="s">
        <v>157</v>
      </c>
      <c r="N32" t="s">
        <v>57</v>
      </c>
      <c r="O32" s="1">
        <v>45884</v>
      </c>
      <c r="Q32" s="1">
        <v>46157</v>
      </c>
      <c r="R32" s="2">
        <v>55.61</v>
      </c>
      <c r="S32">
        <v>1</v>
      </c>
      <c r="T32" t="s">
        <v>58</v>
      </c>
      <c r="U32" t="s">
        <v>59</v>
      </c>
      <c r="V32" s="3">
        <v>0.7</v>
      </c>
      <c r="W32" s="2">
        <v>0</v>
      </c>
      <c r="X32">
        <v>0</v>
      </c>
      <c r="Y32" t="s">
        <v>60</v>
      </c>
      <c r="Z32" t="s">
        <v>61</v>
      </c>
      <c r="AA32">
        <v>0</v>
      </c>
      <c r="AB32" s="2">
        <v>0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38.93</v>
      </c>
      <c r="AN32" s="2">
        <v>38.93</v>
      </c>
      <c r="AO32" s="2">
        <v>0</v>
      </c>
      <c r="AP32" s="2">
        <v>0</v>
      </c>
      <c r="AQ32" s="2">
        <v>0</v>
      </c>
    </row>
    <row r="33" spans="1:43" x14ac:dyDescent="0.3">
      <c r="A33" s="1">
        <v>46125</v>
      </c>
      <c r="B33" t="s">
        <v>48</v>
      </c>
      <c r="C33">
        <v>649163</v>
      </c>
      <c r="D33">
        <v>2030474774</v>
      </c>
      <c r="E33" t="s">
        <v>158</v>
      </c>
      <c r="F33" t="s">
        <v>159</v>
      </c>
      <c r="G33" t="s">
        <v>51</v>
      </c>
      <c r="H33" t="s">
        <v>114</v>
      </c>
      <c r="I33" t="s">
        <v>53</v>
      </c>
      <c r="J33" t="s">
        <v>54</v>
      </c>
      <c r="K33">
        <v>673059</v>
      </c>
      <c r="L33" t="s">
        <v>115</v>
      </c>
      <c r="M33" t="s">
        <v>116</v>
      </c>
      <c r="N33" t="s">
        <v>57</v>
      </c>
      <c r="O33" s="1">
        <v>45883</v>
      </c>
      <c r="Q33" s="1">
        <v>46156</v>
      </c>
      <c r="R33" s="2">
        <v>122.88</v>
      </c>
      <c r="S33">
        <v>1</v>
      </c>
      <c r="T33" t="s">
        <v>58</v>
      </c>
      <c r="U33" t="s">
        <v>59</v>
      </c>
      <c r="V33" s="3">
        <v>0.7</v>
      </c>
      <c r="W33" s="2">
        <v>0</v>
      </c>
      <c r="X33">
        <v>0</v>
      </c>
      <c r="Y33" t="s">
        <v>60</v>
      </c>
      <c r="Z33" t="s">
        <v>61</v>
      </c>
      <c r="AA33">
        <v>0</v>
      </c>
      <c r="AB33" s="2">
        <v>0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86.02</v>
      </c>
      <c r="AN33" s="2">
        <v>86.02</v>
      </c>
      <c r="AO33" s="2">
        <v>0</v>
      </c>
      <c r="AP33" s="2">
        <v>0</v>
      </c>
      <c r="AQ33" s="2">
        <v>0</v>
      </c>
    </row>
    <row r="34" spans="1:43" x14ac:dyDescent="0.3">
      <c r="A34" s="1">
        <v>46125</v>
      </c>
      <c r="B34" t="s">
        <v>48</v>
      </c>
      <c r="D34">
        <v>2030488870</v>
      </c>
      <c r="E34" t="s">
        <v>160</v>
      </c>
      <c r="F34" t="s">
        <v>161</v>
      </c>
      <c r="G34" t="s">
        <v>51</v>
      </c>
      <c r="H34" t="s">
        <v>93</v>
      </c>
      <c r="I34" t="s">
        <v>53</v>
      </c>
      <c r="J34" t="s">
        <v>97</v>
      </c>
      <c r="L34" t="s">
        <v>95</v>
      </c>
      <c r="M34" t="s">
        <v>96</v>
      </c>
      <c r="N34" t="s">
        <v>57</v>
      </c>
      <c r="O34" s="1">
        <v>45884</v>
      </c>
      <c r="Q34" s="1">
        <v>46157</v>
      </c>
      <c r="R34" s="2">
        <v>24.61</v>
      </c>
      <c r="S34">
        <v>1</v>
      </c>
      <c r="T34" t="s">
        <v>58</v>
      </c>
      <c r="U34" t="s">
        <v>59</v>
      </c>
      <c r="V34" s="3">
        <v>0.7</v>
      </c>
      <c r="W34" s="2">
        <v>0</v>
      </c>
      <c r="X34">
        <v>0</v>
      </c>
      <c r="Y34" t="s">
        <v>60</v>
      </c>
      <c r="Z34" t="s">
        <v>61</v>
      </c>
      <c r="AA34">
        <v>0</v>
      </c>
      <c r="AB34" s="2">
        <v>0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17.23</v>
      </c>
      <c r="AN34" s="2">
        <v>17.23</v>
      </c>
      <c r="AO34" s="2">
        <v>0</v>
      </c>
      <c r="AP34" s="2">
        <v>0</v>
      </c>
      <c r="AQ34" s="2">
        <v>0</v>
      </c>
    </row>
    <row r="35" spans="1:43" x14ac:dyDescent="0.3">
      <c r="A35" s="1">
        <v>46125</v>
      </c>
      <c r="B35" t="s">
        <v>48</v>
      </c>
      <c r="C35">
        <v>649163</v>
      </c>
      <c r="D35">
        <v>2030488871</v>
      </c>
      <c r="E35" t="s">
        <v>160</v>
      </c>
      <c r="F35" t="s">
        <v>161</v>
      </c>
      <c r="G35" t="s">
        <v>51</v>
      </c>
      <c r="H35" t="s">
        <v>93</v>
      </c>
      <c r="I35" t="s">
        <v>53</v>
      </c>
      <c r="J35" t="s">
        <v>94</v>
      </c>
      <c r="K35">
        <v>823068</v>
      </c>
      <c r="L35" t="s">
        <v>95</v>
      </c>
      <c r="M35" t="s">
        <v>96</v>
      </c>
      <c r="N35" t="s">
        <v>57</v>
      </c>
      <c r="O35" s="1">
        <v>45884</v>
      </c>
      <c r="Q35" s="1">
        <v>46157</v>
      </c>
      <c r="R35" s="2">
        <v>27.8</v>
      </c>
      <c r="S35">
        <v>1</v>
      </c>
      <c r="T35" t="s">
        <v>58</v>
      </c>
      <c r="U35" t="s">
        <v>59</v>
      </c>
      <c r="V35" s="3">
        <v>0.42</v>
      </c>
      <c r="W35" s="2">
        <v>0</v>
      </c>
      <c r="X35">
        <v>0</v>
      </c>
      <c r="Y35" t="s">
        <v>60</v>
      </c>
      <c r="Z35" t="s">
        <v>61</v>
      </c>
      <c r="AA35">
        <v>0</v>
      </c>
      <c r="AB35" s="2">
        <v>0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11.68</v>
      </c>
      <c r="AN35" s="2">
        <v>11.68</v>
      </c>
      <c r="AO35" s="2">
        <v>0</v>
      </c>
      <c r="AP35" s="2">
        <v>0</v>
      </c>
      <c r="AQ35" s="2">
        <v>0</v>
      </c>
    </row>
    <row r="36" spans="1:43" x14ac:dyDescent="0.3">
      <c r="A36" s="1">
        <v>46125</v>
      </c>
      <c r="B36" t="s">
        <v>48</v>
      </c>
      <c r="D36">
        <v>2030501935</v>
      </c>
      <c r="E36" t="s">
        <v>162</v>
      </c>
      <c r="F36" t="s">
        <v>163</v>
      </c>
      <c r="G36" t="s">
        <v>51</v>
      </c>
      <c r="H36" t="s">
        <v>93</v>
      </c>
      <c r="I36" t="s">
        <v>53</v>
      </c>
      <c r="J36" t="s">
        <v>97</v>
      </c>
      <c r="L36" t="s">
        <v>164</v>
      </c>
      <c r="M36" t="s">
        <v>165</v>
      </c>
      <c r="N36" t="s">
        <v>57</v>
      </c>
      <c r="O36" s="1">
        <v>45884</v>
      </c>
      <c r="Q36" s="1">
        <v>46157</v>
      </c>
      <c r="R36" s="2">
        <v>24.61</v>
      </c>
      <c r="S36">
        <v>1</v>
      </c>
      <c r="T36" t="s">
        <v>58</v>
      </c>
      <c r="U36" t="s">
        <v>59</v>
      </c>
      <c r="V36" s="3">
        <v>0.7</v>
      </c>
      <c r="W36" s="2">
        <v>0</v>
      </c>
      <c r="X36">
        <v>0</v>
      </c>
      <c r="Y36" t="s">
        <v>60</v>
      </c>
      <c r="Z36" t="s">
        <v>61</v>
      </c>
      <c r="AA36">
        <v>0</v>
      </c>
      <c r="AB36" s="2">
        <v>0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17.23</v>
      </c>
      <c r="AN36" s="2">
        <v>17.23</v>
      </c>
      <c r="AO36" s="2">
        <v>0</v>
      </c>
      <c r="AP36" s="2">
        <v>0</v>
      </c>
      <c r="AQ36" s="2">
        <v>0</v>
      </c>
    </row>
    <row r="37" spans="1:43" x14ac:dyDescent="0.3">
      <c r="A37" s="1">
        <v>46125</v>
      </c>
      <c r="B37" t="s">
        <v>48</v>
      </c>
      <c r="C37">
        <v>649163</v>
      </c>
      <c r="D37">
        <v>2030519283</v>
      </c>
      <c r="E37" t="s">
        <v>166</v>
      </c>
      <c r="F37" t="s">
        <v>56</v>
      </c>
      <c r="G37" t="s">
        <v>51</v>
      </c>
      <c r="H37" t="s">
        <v>80</v>
      </c>
      <c r="I37" t="s">
        <v>53</v>
      </c>
      <c r="J37" t="s">
        <v>65</v>
      </c>
      <c r="K37">
        <v>824062</v>
      </c>
      <c r="L37" t="s">
        <v>167</v>
      </c>
      <c r="M37" t="s">
        <v>168</v>
      </c>
      <c r="N37" t="s">
        <v>57</v>
      </c>
      <c r="O37" s="1">
        <v>45885</v>
      </c>
      <c r="Q37" s="1">
        <v>46158</v>
      </c>
      <c r="R37" s="2">
        <v>242.88</v>
      </c>
      <c r="S37">
        <v>1</v>
      </c>
      <c r="T37" t="s">
        <v>58</v>
      </c>
      <c r="U37" t="s">
        <v>59</v>
      </c>
      <c r="V37" s="3">
        <v>0.9</v>
      </c>
      <c r="W37" s="2">
        <v>0</v>
      </c>
      <c r="X37">
        <v>0</v>
      </c>
      <c r="Y37" t="s">
        <v>60</v>
      </c>
      <c r="Z37" t="s">
        <v>61</v>
      </c>
      <c r="AA37">
        <v>0</v>
      </c>
      <c r="AB37" s="2">
        <v>0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218.59</v>
      </c>
      <c r="AN37" s="2">
        <v>218.59</v>
      </c>
      <c r="AO37" s="2">
        <v>0</v>
      </c>
      <c r="AP37" s="2">
        <v>0</v>
      </c>
      <c r="AQ37" s="2">
        <v>0</v>
      </c>
    </row>
    <row r="38" spans="1:43" x14ac:dyDescent="0.3">
      <c r="A38" s="1">
        <v>46125</v>
      </c>
      <c r="B38" t="s">
        <v>48</v>
      </c>
      <c r="C38">
        <v>649163</v>
      </c>
      <c r="D38">
        <v>2030943608</v>
      </c>
      <c r="E38" t="s">
        <v>169</v>
      </c>
      <c r="F38" t="s">
        <v>170</v>
      </c>
      <c r="G38" t="s">
        <v>51</v>
      </c>
      <c r="H38" t="s">
        <v>80</v>
      </c>
      <c r="I38" t="s">
        <v>53</v>
      </c>
      <c r="J38" t="s">
        <v>54</v>
      </c>
      <c r="K38">
        <v>812656</v>
      </c>
      <c r="L38" t="s">
        <v>171</v>
      </c>
      <c r="M38" t="s">
        <v>172</v>
      </c>
      <c r="N38" t="s">
        <v>86</v>
      </c>
      <c r="O38" s="1">
        <v>45931</v>
      </c>
      <c r="P38" s="1">
        <v>46125</v>
      </c>
      <c r="Q38" s="1">
        <v>46143</v>
      </c>
      <c r="R38" s="2">
        <v>-122.08</v>
      </c>
      <c r="S38">
        <v>1</v>
      </c>
      <c r="T38" t="s">
        <v>58</v>
      </c>
      <c r="U38" t="s">
        <v>173</v>
      </c>
      <c r="V38" s="3">
        <v>0.7</v>
      </c>
      <c r="W38" s="2">
        <v>0</v>
      </c>
      <c r="X38">
        <v>-1</v>
      </c>
      <c r="Y38" t="s">
        <v>60</v>
      </c>
      <c r="Z38" t="s">
        <v>61</v>
      </c>
      <c r="AA38">
        <v>0</v>
      </c>
      <c r="AB38" s="2">
        <v>0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-85.46</v>
      </c>
      <c r="AN38" s="2">
        <v>-85.46</v>
      </c>
      <c r="AO38" s="2">
        <v>0</v>
      </c>
      <c r="AP38" s="2">
        <v>0</v>
      </c>
      <c r="AQ38" s="2">
        <v>0</v>
      </c>
    </row>
    <row r="39" spans="1:43" x14ac:dyDescent="0.3">
      <c r="A39" s="1">
        <v>46125</v>
      </c>
      <c r="B39" t="s">
        <v>48</v>
      </c>
      <c r="C39">
        <v>649163</v>
      </c>
      <c r="D39">
        <v>2030945328</v>
      </c>
      <c r="E39" t="s">
        <v>174</v>
      </c>
      <c r="F39" t="s">
        <v>175</v>
      </c>
      <c r="G39" t="s">
        <v>51</v>
      </c>
      <c r="H39" t="s">
        <v>80</v>
      </c>
      <c r="I39" t="s">
        <v>53</v>
      </c>
      <c r="J39" t="s">
        <v>54</v>
      </c>
      <c r="K39">
        <v>756803</v>
      </c>
      <c r="L39" t="s">
        <v>176</v>
      </c>
      <c r="M39" t="s">
        <v>177</v>
      </c>
      <c r="N39" t="s">
        <v>57</v>
      </c>
      <c r="O39" s="1">
        <v>45915</v>
      </c>
      <c r="Q39" s="1">
        <v>46157</v>
      </c>
      <c r="R39" s="2">
        <v>27.5</v>
      </c>
      <c r="S39">
        <v>1</v>
      </c>
      <c r="T39" t="s">
        <v>58</v>
      </c>
      <c r="U39" t="s">
        <v>173</v>
      </c>
      <c r="V39" s="3">
        <v>0.7</v>
      </c>
      <c r="W39" s="2">
        <v>0</v>
      </c>
      <c r="X39">
        <v>0</v>
      </c>
      <c r="Y39" t="s">
        <v>60</v>
      </c>
      <c r="Z39" t="s">
        <v>61</v>
      </c>
      <c r="AA39">
        <v>0</v>
      </c>
      <c r="AB39" s="2">
        <v>0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19.25</v>
      </c>
      <c r="AN39" s="2">
        <v>19.25</v>
      </c>
      <c r="AO39" s="2">
        <v>0</v>
      </c>
      <c r="AP39" s="2">
        <v>0</v>
      </c>
      <c r="AQ39" s="2">
        <v>0</v>
      </c>
    </row>
    <row r="40" spans="1:43" x14ac:dyDescent="0.3">
      <c r="A40" s="1">
        <v>46125</v>
      </c>
      <c r="B40" t="s">
        <v>48</v>
      </c>
      <c r="C40">
        <v>649163</v>
      </c>
      <c r="D40">
        <v>2030982991</v>
      </c>
      <c r="E40" t="s">
        <v>178</v>
      </c>
      <c r="F40" t="s">
        <v>179</v>
      </c>
      <c r="G40" t="s">
        <v>51</v>
      </c>
      <c r="H40" t="s">
        <v>52</v>
      </c>
      <c r="I40" t="s">
        <v>53</v>
      </c>
      <c r="J40" t="s">
        <v>54</v>
      </c>
      <c r="K40">
        <v>823350</v>
      </c>
      <c r="L40" t="s">
        <v>120</v>
      </c>
      <c r="M40" t="s">
        <v>121</v>
      </c>
      <c r="N40" t="s">
        <v>57</v>
      </c>
      <c r="O40" s="1">
        <v>45915</v>
      </c>
      <c r="Q40" s="1">
        <v>46157</v>
      </c>
      <c r="R40" s="2">
        <v>94.01</v>
      </c>
      <c r="S40">
        <v>1</v>
      </c>
      <c r="T40" t="s">
        <v>58</v>
      </c>
      <c r="U40" t="s">
        <v>173</v>
      </c>
      <c r="V40" s="3">
        <v>0.7</v>
      </c>
      <c r="W40" s="2">
        <v>0</v>
      </c>
      <c r="X40">
        <v>0</v>
      </c>
      <c r="Y40" t="s">
        <v>60</v>
      </c>
      <c r="Z40" t="s">
        <v>61</v>
      </c>
      <c r="AA40">
        <v>0</v>
      </c>
      <c r="AB40" s="2">
        <v>0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65.81</v>
      </c>
      <c r="AN40" s="2">
        <v>65.81</v>
      </c>
      <c r="AO40" s="2">
        <v>0</v>
      </c>
      <c r="AP40" s="2">
        <v>0</v>
      </c>
      <c r="AQ40" s="2">
        <v>0</v>
      </c>
    </row>
    <row r="41" spans="1:43" x14ac:dyDescent="0.3">
      <c r="A41" s="1">
        <v>46125</v>
      </c>
      <c r="B41" t="s">
        <v>48</v>
      </c>
      <c r="C41">
        <v>649163</v>
      </c>
      <c r="D41">
        <v>2031017068</v>
      </c>
      <c r="E41" t="s">
        <v>180</v>
      </c>
      <c r="F41" t="s">
        <v>175</v>
      </c>
      <c r="G41" t="s">
        <v>51</v>
      </c>
      <c r="H41" t="s">
        <v>64</v>
      </c>
      <c r="I41" t="s">
        <v>53</v>
      </c>
      <c r="J41" t="s">
        <v>54</v>
      </c>
      <c r="K41">
        <v>877790</v>
      </c>
      <c r="L41" t="s">
        <v>66</v>
      </c>
      <c r="M41" t="s">
        <v>67</v>
      </c>
      <c r="N41" t="s">
        <v>57</v>
      </c>
      <c r="O41" s="1">
        <v>45913</v>
      </c>
      <c r="Q41" s="1">
        <v>46155</v>
      </c>
      <c r="R41" s="2">
        <v>14.92</v>
      </c>
      <c r="S41">
        <v>1</v>
      </c>
      <c r="T41" t="s">
        <v>58</v>
      </c>
      <c r="U41" t="s">
        <v>173</v>
      </c>
      <c r="V41" s="3">
        <v>0.7</v>
      </c>
      <c r="W41" s="2">
        <v>0</v>
      </c>
      <c r="X41">
        <v>0</v>
      </c>
      <c r="Y41" t="s">
        <v>60</v>
      </c>
      <c r="Z41" t="s">
        <v>61</v>
      </c>
      <c r="AA41">
        <v>0</v>
      </c>
      <c r="AB41" s="2">
        <v>0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10.44</v>
      </c>
      <c r="AN41" s="2">
        <v>10.44</v>
      </c>
      <c r="AO41" s="2">
        <v>0</v>
      </c>
      <c r="AP41" s="2">
        <v>0</v>
      </c>
      <c r="AQ41" s="2">
        <v>0</v>
      </c>
    </row>
    <row r="42" spans="1:43" x14ac:dyDescent="0.3">
      <c r="A42" s="1">
        <v>46125</v>
      </c>
      <c r="B42" t="s">
        <v>48</v>
      </c>
      <c r="C42">
        <v>649163</v>
      </c>
      <c r="D42">
        <v>2031057792</v>
      </c>
      <c r="E42" t="s">
        <v>181</v>
      </c>
      <c r="F42" t="s">
        <v>149</v>
      </c>
      <c r="G42" t="s">
        <v>51</v>
      </c>
      <c r="H42" t="s">
        <v>182</v>
      </c>
      <c r="I42" t="s">
        <v>53</v>
      </c>
      <c r="J42" t="s">
        <v>54</v>
      </c>
      <c r="K42">
        <v>856163</v>
      </c>
      <c r="L42" t="s">
        <v>120</v>
      </c>
      <c r="M42" t="s">
        <v>183</v>
      </c>
      <c r="N42" t="s">
        <v>57</v>
      </c>
      <c r="O42" s="1">
        <v>45915</v>
      </c>
      <c r="Q42" s="1">
        <v>46157</v>
      </c>
      <c r="R42" s="2">
        <v>30.68</v>
      </c>
      <c r="S42">
        <v>1</v>
      </c>
      <c r="T42" t="s">
        <v>58</v>
      </c>
      <c r="U42" t="s">
        <v>173</v>
      </c>
      <c r="V42" s="3">
        <v>0.7</v>
      </c>
      <c r="W42" s="2">
        <v>0</v>
      </c>
      <c r="X42">
        <v>0</v>
      </c>
      <c r="Y42" t="s">
        <v>60</v>
      </c>
      <c r="Z42" t="s">
        <v>61</v>
      </c>
      <c r="AA42">
        <v>0</v>
      </c>
      <c r="AB42" s="2">
        <v>0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21.48</v>
      </c>
      <c r="AN42" s="2">
        <v>21.48</v>
      </c>
      <c r="AO42" s="2">
        <v>0</v>
      </c>
      <c r="AP42" s="2">
        <v>0</v>
      </c>
      <c r="AQ42" s="2">
        <v>0</v>
      </c>
    </row>
    <row r="43" spans="1:43" x14ac:dyDescent="0.3">
      <c r="A43" s="1">
        <v>46125</v>
      </c>
      <c r="B43" t="s">
        <v>48</v>
      </c>
      <c r="C43">
        <v>649163</v>
      </c>
      <c r="D43">
        <v>2031073871</v>
      </c>
      <c r="E43" t="s">
        <v>184</v>
      </c>
      <c r="F43" t="s">
        <v>185</v>
      </c>
      <c r="G43" t="s">
        <v>51</v>
      </c>
      <c r="H43" t="s">
        <v>80</v>
      </c>
      <c r="I43" t="s">
        <v>53</v>
      </c>
      <c r="J43" t="s">
        <v>54</v>
      </c>
      <c r="K43">
        <v>807212</v>
      </c>
      <c r="L43" t="s">
        <v>89</v>
      </c>
      <c r="M43" t="s">
        <v>90</v>
      </c>
      <c r="N43" t="s">
        <v>57</v>
      </c>
      <c r="O43" s="1">
        <v>45916</v>
      </c>
      <c r="Q43" s="1">
        <v>46158</v>
      </c>
      <c r="R43" s="2">
        <v>96</v>
      </c>
      <c r="S43">
        <v>1</v>
      </c>
      <c r="T43" t="s">
        <v>58</v>
      </c>
      <c r="U43" t="s">
        <v>173</v>
      </c>
      <c r="V43" s="3">
        <v>0.7</v>
      </c>
      <c r="W43" s="2">
        <v>0</v>
      </c>
      <c r="X43">
        <v>0</v>
      </c>
      <c r="Y43" t="s">
        <v>60</v>
      </c>
      <c r="Z43" t="s">
        <v>61</v>
      </c>
      <c r="AA43">
        <v>0</v>
      </c>
      <c r="AB43" s="2">
        <v>0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67.2</v>
      </c>
      <c r="AN43" s="2">
        <v>67.2</v>
      </c>
      <c r="AO43" s="2">
        <v>0</v>
      </c>
      <c r="AP43" s="2">
        <v>0</v>
      </c>
      <c r="AQ43" s="2">
        <v>0</v>
      </c>
    </row>
    <row r="44" spans="1:43" x14ac:dyDescent="0.3">
      <c r="A44" s="1">
        <v>46125</v>
      </c>
      <c r="B44" t="s">
        <v>48</v>
      </c>
      <c r="C44">
        <v>649163</v>
      </c>
      <c r="D44">
        <v>2031270409</v>
      </c>
      <c r="E44" t="s">
        <v>186</v>
      </c>
      <c r="F44" t="s">
        <v>187</v>
      </c>
      <c r="G44" t="s">
        <v>51</v>
      </c>
      <c r="H44" t="s">
        <v>188</v>
      </c>
      <c r="I44" t="s">
        <v>53</v>
      </c>
      <c r="J44" t="s">
        <v>65</v>
      </c>
      <c r="K44">
        <v>651818</v>
      </c>
      <c r="L44" t="s">
        <v>55</v>
      </c>
      <c r="M44" t="s">
        <v>56</v>
      </c>
      <c r="N44" t="s">
        <v>57</v>
      </c>
      <c r="O44" s="1">
        <v>45941</v>
      </c>
      <c r="Q44" s="1">
        <v>46153</v>
      </c>
      <c r="R44" s="2">
        <v>37.42</v>
      </c>
      <c r="S44">
        <v>1</v>
      </c>
      <c r="T44" t="s">
        <v>58</v>
      </c>
      <c r="U44" t="s">
        <v>173</v>
      </c>
      <c r="V44" s="3">
        <v>0.9</v>
      </c>
      <c r="W44" s="2">
        <v>0</v>
      </c>
      <c r="X44">
        <v>0</v>
      </c>
      <c r="Y44" t="s">
        <v>60</v>
      </c>
      <c r="Z44" t="s">
        <v>61</v>
      </c>
      <c r="AA44">
        <v>0</v>
      </c>
      <c r="AB44" s="2">
        <v>0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33.68</v>
      </c>
      <c r="AN44" s="2">
        <v>33.68</v>
      </c>
      <c r="AO44" s="2">
        <v>0</v>
      </c>
      <c r="AP44" s="2">
        <v>0</v>
      </c>
      <c r="AQ44" s="2">
        <v>0</v>
      </c>
    </row>
    <row r="45" spans="1:43" x14ac:dyDescent="0.3">
      <c r="A45" s="1">
        <v>46125</v>
      </c>
      <c r="B45" t="s">
        <v>48</v>
      </c>
      <c r="C45">
        <v>649163</v>
      </c>
      <c r="D45">
        <v>2031569265</v>
      </c>
      <c r="E45" t="s">
        <v>189</v>
      </c>
      <c r="F45" t="s">
        <v>190</v>
      </c>
      <c r="G45" t="s">
        <v>51</v>
      </c>
      <c r="H45" t="s">
        <v>188</v>
      </c>
      <c r="I45" t="s">
        <v>53</v>
      </c>
      <c r="J45" t="s">
        <v>54</v>
      </c>
      <c r="K45">
        <v>856824</v>
      </c>
      <c r="L45" t="s">
        <v>71</v>
      </c>
      <c r="M45" t="s">
        <v>72</v>
      </c>
      <c r="N45" t="s">
        <v>57</v>
      </c>
      <c r="O45" s="1">
        <v>45941</v>
      </c>
      <c r="Q45" s="1">
        <v>46153</v>
      </c>
      <c r="R45" s="2">
        <v>56.5</v>
      </c>
      <c r="S45">
        <v>1</v>
      </c>
      <c r="T45" t="s">
        <v>58</v>
      </c>
      <c r="U45" t="s">
        <v>173</v>
      </c>
      <c r="V45" s="3">
        <v>0.7</v>
      </c>
      <c r="W45" s="2">
        <v>0</v>
      </c>
      <c r="X45">
        <v>0</v>
      </c>
      <c r="Y45" t="s">
        <v>60</v>
      </c>
      <c r="Z45" t="s">
        <v>61</v>
      </c>
      <c r="AA45">
        <v>0</v>
      </c>
      <c r="AB45" s="2">
        <v>0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39.549999999999997</v>
      </c>
      <c r="AN45" s="2">
        <v>39.549999999999997</v>
      </c>
      <c r="AO45" s="2">
        <v>0</v>
      </c>
      <c r="AP45" s="2">
        <v>0</v>
      </c>
      <c r="AQ45" s="2">
        <v>0</v>
      </c>
    </row>
    <row r="46" spans="1:43" x14ac:dyDescent="0.3">
      <c r="A46" s="1">
        <v>46125</v>
      </c>
      <c r="B46" t="s">
        <v>48</v>
      </c>
      <c r="C46">
        <v>649163</v>
      </c>
      <c r="D46">
        <v>2031574197</v>
      </c>
      <c r="E46" t="s">
        <v>191</v>
      </c>
      <c r="F46" t="s">
        <v>192</v>
      </c>
      <c r="G46" t="s">
        <v>51</v>
      </c>
      <c r="H46" t="s">
        <v>80</v>
      </c>
      <c r="I46" t="s">
        <v>53</v>
      </c>
      <c r="J46" t="s">
        <v>54</v>
      </c>
      <c r="K46">
        <v>807212</v>
      </c>
      <c r="L46" t="s">
        <v>89</v>
      </c>
      <c r="M46" t="s">
        <v>90</v>
      </c>
      <c r="N46" t="s">
        <v>57</v>
      </c>
      <c r="O46" s="1">
        <v>45941</v>
      </c>
      <c r="Q46" s="1">
        <v>46153</v>
      </c>
      <c r="R46" s="2">
        <v>42.36</v>
      </c>
      <c r="S46">
        <v>1</v>
      </c>
      <c r="T46" t="s">
        <v>58</v>
      </c>
      <c r="U46" t="s">
        <v>173</v>
      </c>
      <c r="V46" s="3">
        <v>0.7</v>
      </c>
      <c r="W46" s="2">
        <v>0</v>
      </c>
      <c r="X46">
        <v>0</v>
      </c>
      <c r="Y46" t="s">
        <v>60</v>
      </c>
      <c r="Z46" t="s">
        <v>61</v>
      </c>
      <c r="AA46">
        <v>0</v>
      </c>
      <c r="AB46" s="2">
        <v>0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29.65</v>
      </c>
      <c r="AN46" s="2">
        <v>29.65</v>
      </c>
      <c r="AO46" s="2">
        <v>0</v>
      </c>
      <c r="AP46" s="2">
        <v>0</v>
      </c>
      <c r="AQ46" s="2">
        <v>0</v>
      </c>
    </row>
    <row r="47" spans="1:43" x14ac:dyDescent="0.3">
      <c r="A47" s="1">
        <v>46125</v>
      </c>
      <c r="B47" t="s">
        <v>48</v>
      </c>
      <c r="C47">
        <v>649163</v>
      </c>
      <c r="D47">
        <v>2031593002</v>
      </c>
      <c r="E47" t="s">
        <v>193</v>
      </c>
      <c r="F47" t="s">
        <v>56</v>
      </c>
      <c r="G47" t="s">
        <v>51</v>
      </c>
      <c r="H47" t="s">
        <v>93</v>
      </c>
      <c r="I47" t="s">
        <v>53</v>
      </c>
      <c r="J47" t="s">
        <v>97</v>
      </c>
      <c r="K47">
        <v>823068</v>
      </c>
      <c r="L47" t="s">
        <v>95</v>
      </c>
      <c r="M47" t="s">
        <v>96</v>
      </c>
      <c r="N47" t="s">
        <v>57</v>
      </c>
      <c r="O47" s="1">
        <v>45944</v>
      </c>
      <c r="Q47" s="1">
        <v>46156</v>
      </c>
      <c r="R47" s="2">
        <v>24.61</v>
      </c>
      <c r="S47">
        <v>1</v>
      </c>
      <c r="T47" t="s">
        <v>58</v>
      </c>
      <c r="U47" t="s">
        <v>173</v>
      </c>
      <c r="V47" s="3">
        <v>0.7</v>
      </c>
      <c r="W47" s="2">
        <v>0</v>
      </c>
      <c r="X47">
        <v>0</v>
      </c>
      <c r="Y47" t="s">
        <v>60</v>
      </c>
      <c r="Z47" t="s">
        <v>61</v>
      </c>
      <c r="AA47">
        <v>0</v>
      </c>
      <c r="AB47" s="2">
        <v>0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17.23</v>
      </c>
      <c r="AN47" s="2">
        <v>17.23</v>
      </c>
      <c r="AO47" s="2">
        <v>0</v>
      </c>
      <c r="AP47" s="2">
        <v>0</v>
      </c>
      <c r="AQ47" s="2">
        <v>0</v>
      </c>
    </row>
    <row r="48" spans="1:43" x14ac:dyDescent="0.3">
      <c r="A48" s="1">
        <v>46125</v>
      </c>
      <c r="B48" t="s">
        <v>48</v>
      </c>
      <c r="C48">
        <v>649163</v>
      </c>
      <c r="D48">
        <v>2031595994</v>
      </c>
      <c r="E48" t="s">
        <v>194</v>
      </c>
      <c r="F48" t="s">
        <v>62</v>
      </c>
      <c r="G48" t="s">
        <v>51</v>
      </c>
      <c r="H48" t="s">
        <v>80</v>
      </c>
      <c r="I48" t="s">
        <v>53</v>
      </c>
      <c r="J48" t="s">
        <v>65</v>
      </c>
      <c r="K48">
        <v>875334</v>
      </c>
      <c r="L48" t="s">
        <v>195</v>
      </c>
      <c r="M48" t="s">
        <v>196</v>
      </c>
      <c r="N48" t="s">
        <v>57</v>
      </c>
      <c r="O48" s="1">
        <v>45944</v>
      </c>
      <c r="Q48" s="1">
        <v>46156</v>
      </c>
      <c r="R48" s="2">
        <v>23.05</v>
      </c>
      <c r="S48">
        <v>1</v>
      </c>
      <c r="T48" t="s">
        <v>58</v>
      </c>
      <c r="U48" t="s">
        <v>173</v>
      </c>
      <c r="V48" s="3">
        <v>0.9</v>
      </c>
      <c r="W48" s="2">
        <v>0</v>
      </c>
      <c r="X48">
        <v>0</v>
      </c>
      <c r="Y48" t="s">
        <v>60</v>
      </c>
      <c r="Z48" t="s">
        <v>61</v>
      </c>
      <c r="AA48">
        <v>0</v>
      </c>
      <c r="AB48" s="2">
        <v>0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20.74</v>
      </c>
      <c r="AN48" s="2">
        <v>20.74</v>
      </c>
      <c r="AO48" s="2">
        <v>0</v>
      </c>
      <c r="AP48" s="2">
        <v>0</v>
      </c>
      <c r="AQ48" s="2">
        <v>0</v>
      </c>
    </row>
    <row r="49" spans="1:43" x14ac:dyDescent="0.3">
      <c r="A49" s="1">
        <v>46125</v>
      </c>
      <c r="B49" t="s">
        <v>48</v>
      </c>
      <c r="C49">
        <v>649163</v>
      </c>
      <c r="D49">
        <v>2031606882</v>
      </c>
      <c r="E49" t="s">
        <v>197</v>
      </c>
      <c r="F49" t="s">
        <v>198</v>
      </c>
      <c r="G49" t="s">
        <v>51</v>
      </c>
      <c r="H49" t="s">
        <v>103</v>
      </c>
      <c r="I49" t="s">
        <v>53</v>
      </c>
      <c r="J49" t="s">
        <v>54</v>
      </c>
      <c r="K49">
        <v>796984</v>
      </c>
      <c r="L49" t="s">
        <v>199</v>
      </c>
      <c r="M49" t="s">
        <v>200</v>
      </c>
      <c r="N49" t="s">
        <v>57</v>
      </c>
      <c r="O49" s="1">
        <v>45944</v>
      </c>
      <c r="Q49" s="1">
        <v>46156</v>
      </c>
      <c r="R49" s="2">
        <v>9.1</v>
      </c>
      <c r="S49">
        <v>1</v>
      </c>
      <c r="T49" t="s">
        <v>58</v>
      </c>
      <c r="U49" t="s">
        <v>173</v>
      </c>
      <c r="V49" s="3">
        <v>0.7</v>
      </c>
      <c r="W49" s="2">
        <v>0</v>
      </c>
      <c r="X49">
        <v>0</v>
      </c>
      <c r="Y49" t="s">
        <v>60</v>
      </c>
      <c r="Z49" t="s">
        <v>61</v>
      </c>
      <c r="AA49">
        <v>0</v>
      </c>
      <c r="AB49" s="2">
        <v>0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6.37</v>
      </c>
      <c r="AN49" s="2">
        <v>6.37</v>
      </c>
      <c r="AO49" s="2">
        <v>0</v>
      </c>
      <c r="AP49" s="2">
        <v>0</v>
      </c>
      <c r="AQ49" s="2">
        <v>0</v>
      </c>
    </row>
    <row r="50" spans="1:43" x14ac:dyDescent="0.3">
      <c r="A50" s="1">
        <v>46125</v>
      </c>
      <c r="B50" t="s">
        <v>48</v>
      </c>
      <c r="C50">
        <v>649163</v>
      </c>
      <c r="D50">
        <v>2031617148</v>
      </c>
      <c r="E50" t="s">
        <v>201</v>
      </c>
      <c r="F50" t="s">
        <v>202</v>
      </c>
      <c r="G50" t="s">
        <v>51</v>
      </c>
      <c r="H50" t="s">
        <v>80</v>
      </c>
      <c r="I50" t="s">
        <v>53</v>
      </c>
      <c r="J50" t="s">
        <v>54</v>
      </c>
      <c r="K50">
        <v>814033</v>
      </c>
      <c r="L50" t="s">
        <v>99</v>
      </c>
      <c r="M50" t="s">
        <v>100</v>
      </c>
      <c r="N50" t="s">
        <v>57</v>
      </c>
      <c r="O50" s="1">
        <v>45945</v>
      </c>
      <c r="Q50" s="1">
        <v>46157</v>
      </c>
      <c r="R50" s="2">
        <v>86.32</v>
      </c>
      <c r="S50">
        <v>1</v>
      </c>
      <c r="T50" t="s">
        <v>58</v>
      </c>
      <c r="U50" t="s">
        <v>173</v>
      </c>
      <c r="V50" s="3">
        <v>0.7</v>
      </c>
      <c r="W50" s="2">
        <v>0</v>
      </c>
      <c r="X50">
        <v>0</v>
      </c>
      <c r="Y50" t="s">
        <v>60</v>
      </c>
      <c r="Z50" t="s">
        <v>61</v>
      </c>
      <c r="AA50">
        <v>0</v>
      </c>
      <c r="AB50" s="2">
        <v>0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60.42</v>
      </c>
      <c r="AN50" s="2">
        <v>60.42</v>
      </c>
      <c r="AO50" s="2">
        <v>0</v>
      </c>
      <c r="AP50" s="2">
        <v>0</v>
      </c>
      <c r="AQ50" s="2">
        <v>0</v>
      </c>
    </row>
    <row r="51" spans="1:43" x14ac:dyDescent="0.3">
      <c r="A51" s="1">
        <v>46125</v>
      </c>
      <c r="B51" t="s">
        <v>48</v>
      </c>
      <c r="C51">
        <v>649163</v>
      </c>
      <c r="D51">
        <v>2031641424</v>
      </c>
      <c r="E51" t="s">
        <v>203</v>
      </c>
      <c r="F51" t="s">
        <v>204</v>
      </c>
      <c r="G51" t="s">
        <v>51</v>
      </c>
      <c r="H51" t="s">
        <v>70</v>
      </c>
      <c r="I51" t="s">
        <v>53</v>
      </c>
      <c r="J51" t="s">
        <v>65</v>
      </c>
      <c r="K51">
        <v>767312</v>
      </c>
      <c r="L51" t="s">
        <v>134</v>
      </c>
      <c r="M51" t="s">
        <v>98</v>
      </c>
      <c r="N51" t="s">
        <v>57</v>
      </c>
      <c r="O51" s="1">
        <v>45946</v>
      </c>
      <c r="Q51" s="1">
        <v>46158</v>
      </c>
      <c r="R51" s="2">
        <v>12.92</v>
      </c>
      <c r="S51">
        <v>1</v>
      </c>
      <c r="T51" t="s">
        <v>58</v>
      </c>
      <c r="U51" t="s">
        <v>173</v>
      </c>
      <c r="V51" s="3">
        <v>0.9</v>
      </c>
      <c r="W51" s="2">
        <v>0</v>
      </c>
      <c r="X51">
        <v>0</v>
      </c>
      <c r="Y51" t="s">
        <v>60</v>
      </c>
      <c r="Z51" t="s">
        <v>61</v>
      </c>
      <c r="AA51">
        <v>0</v>
      </c>
      <c r="AB51" s="2">
        <v>0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11.63</v>
      </c>
      <c r="AN51" s="2">
        <v>11.63</v>
      </c>
      <c r="AO51" s="2">
        <v>0</v>
      </c>
      <c r="AP51" s="2">
        <v>0</v>
      </c>
      <c r="AQ51" s="2">
        <v>0</v>
      </c>
    </row>
    <row r="52" spans="1:43" x14ac:dyDescent="0.3">
      <c r="A52" s="1">
        <v>46125</v>
      </c>
      <c r="B52" t="s">
        <v>48</v>
      </c>
      <c r="C52">
        <v>649163</v>
      </c>
      <c r="D52">
        <v>2031713685</v>
      </c>
      <c r="E52" t="s">
        <v>205</v>
      </c>
      <c r="F52" t="s">
        <v>206</v>
      </c>
      <c r="G52" t="s">
        <v>51</v>
      </c>
      <c r="H52" t="s">
        <v>93</v>
      </c>
      <c r="I52" t="s">
        <v>53</v>
      </c>
      <c r="J52" t="s">
        <v>97</v>
      </c>
      <c r="K52">
        <v>823068</v>
      </c>
      <c r="L52" t="s">
        <v>95</v>
      </c>
      <c r="M52" t="s">
        <v>96</v>
      </c>
      <c r="N52" t="s">
        <v>57</v>
      </c>
      <c r="O52" s="1">
        <v>45969</v>
      </c>
      <c r="Q52" s="1">
        <v>46150</v>
      </c>
      <c r="R52" s="2">
        <v>24.61</v>
      </c>
      <c r="S52">
        <v>1</v>
      </c>
      <c r="T52" t="s">
        <v>58</v>
      </c>
      <c r="U52" t="s">
        <v>173</v>
      </c>
      <c r="V52" s="3">
        <v>0.7</v>
      </c>
      <c r="W52" s="2">
        <v>0</v>
      </c>
      <c r="X52">
        <v>0</v>
      </c>
      <c r="Y52" t="s">
        <v>60</v>
      </c>
      <c r="Z52" t="s">
        <v>61</v>
      </c>
      <c r="AA52">
        <v>0</v>
      </c>
      <c r="AB52" s="2">
        <v>0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17.23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</row>
    <row r="53" spans="1:43" x14ac:dyDescent="0.3">
      <c r="A53" s="1">
        <v>46125</v>
      </c>
      <c r="B53" t="s">
        <v>48</v>
      </c>
      <c r="C53">
        <v>649163</v>
      </c>
      <c r="D53">
        <v>2031713984</v>
      </c>
      <c r="E53" t="s">
        <v>207</v>
      </c>
      <c r="F53" t="s">
        <v>208</v>
      </c>
      <c r="G53" t="s">
        <v>51</v>
      </c>
      <c r="H53" t="s">
        <v>93</v>
      </c>
      <c r="I53" t="s">
        <v>53</v>
      </c>
      <c r="J53" t="s">
        <v>65</v>
      </c>
      <c r="K53">
        <v>823068</v>
      </c>
      <c r="L53" t="s">
        <v>95</v>
      </c>
      <c r="M53" t="s">
        <v>96</v>
      </c>
      <c r="N53" t="s">
        <v>57</v>
      </c>
      <c r="O53" s="1">
        <v>45969</v>
      </c>
      <c r="Q53" s="1">
        <v>46150</v>
      </c>
      <c r="R53" s="2">
        <v>80.83</v>
      </c>
      <c r="S53">
        <v>1</v>
      </c>
      <c r="T53" t="s">
        <v>58</v>
      </c>
      <c r="U53" t="s">
        <v>173</v>
      </c>
      <c r="V53" s="3">
        <v>0.9</v>
      </c>
      <c r="W53" s="2">
        <v>0</v>
      </c>
      <c r="X53">
        <v>0</v>
      </c>
      <c r="Y53" t="s">
        <v>60</v>
      </c>
      <c r="Z53" t="s">
        <v>61</v>
      </c>
      <c r="AA53">
        <v>0</v>
      </c>
      <c r="AB53" s="2">
        <v>0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72.75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</row>
    <row r="54" spans="1:43" x14ac:dyDescent="0.3">
      <c r="A54" s="1">
        <v>46125</v>
      </c>
      <c r="B54" t="s">
        <v>48</v>
      </c>
      <c r="C54">
        <v>649163</v>
      </c>
      <c r="D54">
        <v>2031848858</v>
      </c>
      <c r="E54" t="s">
        <v>209</v>
      </c>
      <c r="F54" t="s">
        <v>210</v>
      </c>
      <c r="G54" t="s">
        <v>51</v>
      </c>
      <c r="H54" t="s">
        <v>70</v>
      </c>
      <c r="I54" t="s">
        <v>53</v>
      </c>
      <c r="J54" t="s">
        <v>54</v>
      </c>
      <c r="K54">
        <v>651818</v>
      </c>
      <c r="L54" t="s">
        <v>55</v>
      </c>
      <c r="M54" t="s">
        <v>56</v>
      </c>
      <c r="N54" t="s">
        <v>57</v>
      </c>
      <c r="O54" s="1">
        <v>45967</v>
      </c>
      <c r="Q54" s="1">
        <v>46148</v>
      </c>
      <c r="R54" s="2">
        <v>13</v>
      </c>
      <c r="S54">
        <v>1</v>
      </c>
      <c r="T54" t="s">
        <v>58</v>
      </c>
      <c r="U54" t="s">
        <v>173</v>
      </c>
      <c r="V54" s="3">
        <v>0.7</v>
      </c>
      <c r="W54" s="2">
        <v>0</v>
      </c>
      <c r="X54">
        <v>0</v>
      </c>
      <c r="Y54" t="s">
        <v>60</v>
      </c>
      <c r="Z54" t="s">
        <v>61</v>
      </c>
      <c r="AA54">
        <v>0</v>
      </c>
      <c r="AB54" s="2">
        <v>0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9.1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</row>
    <row r="55" spans="1:43" x14ac:dyDescent="0.3">
      <c r="A55" s="1">
        <v>46125</v>
      </c>
      <c r="B55" t="s">
        <v>48</v>
      </c>
      <c r="C55">
        <v>649163</v>
      </c>
      <c r="D55">
        <v>2031921687</v>
      </c>
      <c r="E55" t="s">
        <v>211</v>
      </c>
      <c r="F55" t="s">
        <v>212</v>
      </c>
      <c r="G55" t="s">
        <v>51</v>
      </c>
      <c r="H55" t="s">
        <v>93</v>
      </c>
      <c r="I55" t="s">
        <v>53</v>
      </c>
      <c r="J55" t="s">
        <v>94</v>
      </c>
      <c r="K55">
        <v>861933</v>
      </c>
      <c r="L55" t="s">
        <v>213</v>
      </c>
      <c r="M55" t="s">
        <v>214</v>
      </c>
      <c r="N55" t="s">
        <v>57</v>
      </c>
      <c r="O55" s="1">
        <v>45976</v>
      </c>
      <c r="Q55" s="1">
        <v>46157</v>
      </c>
      <c r="R55" s="2">
        <v>27.8</v>
      </c>
      <c r="S55">
        <v>1</v>
      </c>
      <c r="T55" t="s">
        <v>58</v>
      </c>
      <c r="U55" t="s">
        <v>173</v>
      </c>
      <c r="V55" s="3">
        <v>0.42</v>
      </c>
      <c r="W55" s="2">
        <v>0</v>
      </c>
      <c r="X55">
        <v>0</v>
      </c>
      <c r="Y55" t="s">
        <v>60</v>
      </c>
      <c r="Z55" t="s">
        <v>61</v>
      </c>
      <c r="AA55">
        <v>0</v>
      </c>
      <c r="AB55" s="2">
        <v>0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11.68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</row>
    <row r="56" spans="1:43" x14ac:dyDescent="0.3">
      <c r="A56" s="1">
        <v>46125</v>
      </c>
      <c r="B56" t="s">
        <v>48</v>
      </c>
      <c r="C56">
        <v>649163</v>
      </c>
      <c r="D56">
        <v>2031921688</v>
      </c>
      <c r="E56" t="s">
        <v>211</v>
      </c>
      <c r="F56" t="s">
        <v>212</v>
      </c>
      <c r="G56" t="s">
        <v>51</v>
      </c>
      <c r="H56" t="s">
        <v>93</v>
      </c>
      <c r="I56" t="s">
        <v>53</v>
      </c>
      <c r="J56" t="s">
        <v>97</v>
      </c>
      <c r="K56">
        <v>861933</v>
      </c>
      <c r="L56" t="s">
        <v>213</v>
      </c>
      <c r="M56" t="s">
        <v>214</v>
      </c>
      <c r="N56" t="s">
        <v>57</v>
      </c>
      <c r="O56" s="1">
        <v>45976</v>
      </c>
      <c r="Q56" s="1">
        <v>46157</v>
      </c>
      <c r="R56" s="2">
        <v>24.61</v>
      </c>
      <c r="S56">
        <v>1</v>
      </c>
      <c r="T56" t="s">
        <v>58</v>
      </c>
      <c r="U56" t="s">
        <v>173</v>
      </c>
      <c r="V56" s="3">
        <v>0.7</v>
      </c>
      <c r="W56" s="2">
        <v>0</v>
      </c>
      <c r="X56">
        <v>0</v>
      </c>
      <c r="Y56" t="s">
        <v>60</v>
      </c>
      <c r="Z56" t="s">
        <v>61</v>
      </c>
      <c r="AA56">
        <v>0</v>
      </c>
      <c r="AB56" s="2">
        <v>0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17.23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</row>
    <row r="57" spans="1:43" x14ac:dyDescent="0.3">
      <c r="A57" s="1">
        <v>46125</v>
      </c>
      <c r="B57" t="s">
        <v>48</v>
      </c>
      <c r="C57">
        <v>649163</v>
      </c>
      <c r="D57">
        <v>2031947513</v>
      </c>
      <c r="E57" t="s">
        <v>215</v>
      </c>
      <c r="F57" t="s">
        <v>216</v>
      </c>
      <c r="G57" t="s">
        <v>51</v>
      </c>
      <c r="H57" t="s">
        <v>80</v>
      </c>
      <c r="I57" t="s">
        <v>53</v>
      </c>
      <c r="J57" t="s">
        <v>54</v>
      </c>
      <c r="K57">
        <v>807212</v>
      </c>
      <c r="L57" t="s">
        <v>89</v>
      </c>
      <c r="M57" t="s">
        <v>90</v>
      </c>
      <c r="N57" t="s">
        <v>57</v>
      </c>
      <c r="O57" s="1">
        <v>45963</v>
      </c>
      <c r="Q57" s="1">
        <v>46144</v>
      </c>
      <c r="R57" s="2">
        <v>66.36</v>
      </c>
      <c r="S57">
        <v>1</v>
      </c>
      <c r="T57" t="s">
        <v>58</v>
      </c>
      <c r="U57" t="s">
        <v>173</v>
      </c>
      <c r="V57" s="3">
        <v>0.7</v>
      </c>
      <c r="W57" s="2">
        <v>0</v>
      </c>
      <c r="X57">
        <v>0</v>
      </c>
      <c r="Y57" t="s">
        <v>60</v>
      </c>
      <c r="Z57" t="s">
        <v>61</v>
      </c>
      <c r="AA57">
        <v>0</v>
      </c>
      <c r="AB57" s="2">
        <v>0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46.45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</row>
    <row r="58" spans="1:43" x14ac:dyDescent="0.3">
      <c r="A58" s="1">
        <v>46125</v>
      </c>
      <c r="B58" t="s">
        <v>48</v>
      </c>
      <c r="C58">
        <v>649163</v>
      </c>
      <c r="D58">
        <v>2031949600</v>
      </c>
      <c r="E58" t="s">
        <v>217</v>
      </c>
      <c r="F58" t="s">
        <v>218</v>
      </c>
      <c r="G58" t="s">
        <v>51</v>
      </c>
      <c r="H58" t="s">
        <v>70</v>
      </c>
      <c r="I58" t="s">
        <v>53</v>
      </c>
      <c r="J58" t="s">
        <v>54</v>
      </c>
      <c r="K58">
        <v>822733</v>
      </c>
      <c r="L58" t="s">
        <v>219</v>
      </c>
      <c r="M58" t="s">
        <v>220</v>
      </c>
      <c r="N58" t="s">
        <v>57</v>
      </c>
      <c r="O58" s="1">
        <v>45969</v>
      </c>
      <c r="Q58" s="1">
        <v>46150</v>
      </c>
      <c r="R58" s="2">
        <v>28.38</v>
      </c>
      <c r="S58">
        <v>1</v>
      </c>
      <c r="T58" t="s">
        <v>58</v>
      </c>
      <c r="U58" t="s">
        <v>173</v>
      </c>
      <c r="V58" s="3">
        <v>0.7</v>
      </c>
      <c r="W58" s="2">
        <v>0</v>
      </c>
      <c r="X58">
        <v>0</v>
      </c>
      <c r="Y58" t="s">
        <v>60</v>
      </c>
      <c r="Z58" t="s">
        <v>61</v>
      </c>
      <c r="AA58">
        <v>0</v>
      </c>
      <c r="AB58" s="2">
        <v>0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19.87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</row>
    <row r="59" spans="1:43" x14ac:dyDescent="0.3">
      <c r="A59" s="1">
        <v>46125</v>
      </c>
      <c r="B59" t="s">
        <v>48</v>
      </c>
      <c r="C59">
        <v>649163</v>
      </c>
      <c r="D59">
        <v>2031949601</v>
      </c>
      <c r="E59" t="s">
        <v>217</v>
      </c>
      <c r="F59" t="s">
        <v>218</v>
      </c>
      <c r="G59" t="s">
        <v>51</v>
      </c>
      <c r="H59" t="s">
        <v>70</v>
      </c>
      <c r="I59" t="s">
        <v>53</v>
      </c>
      <c r="J59" t="s">
        <v>94</v>
      </c>
      <c r="K59">
        <v>822733</v>
      </c>
      <c r="L59" t="s">
        <v>219</v>
      </c>
      <c r="M59" t="s">
        <v>220</v>
      </c>
      <c r="N59" t="s">
        <v>57</v>
      </c>
      <c r="O59" s="1">
        <v>45969</v>
      </c>
      <c r="Q59" s="1">
        <v>46150</v>
      </c>
      <c r="R59" s="2">
        <v>13.18</v>
      </c>
      <c r="S59">
        <v>1</v>
      </c>
      <c r="T59" t="s">
        <v>58</v>
      </c>
      <c r="U59" t="s">
        <v>173</v>
      </c>
      <c r="V59" s="3">
        <v>0.42</v>
      </c>
      <c r="W59" s="2">
        <v>0</v>
      </c>
      <c r="X59">
        <v>0</v>
      </c>
      <c r="Y59" t="s">
        <v>60</v>
      </c>
      <c r="Z59" t="s">
        <v>61</v>
      </c>
      <c r="AA59">
        <v>0</v>
      </c>
      <c r="AB59" s="2">
        <v>0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5.54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</row>
    <row r="60" spans="1:43" x14ac:dyDescent="0.3">
      <c r="A60" s="1">
        <v>46125</v>
      </c>
      <c r="B60" t="s">
        <v>48</v>
      </c>
      <c r="C60">
        <v>649163</v>
      </c>
      <c r="D60">
        <v>2032029592</v>
      </c>
      <c r="E60" t="s">
        <v>221</v>
      </c>
      <c r="F60" t="s">
        <v>222</v>
      </c>
      <c r="G60" t="s">
        <v>51</v>
      </c>
      <c r="H60" t="s">
        <v>223</v>
      </c>
      <c r="I60" t="s">
        <v>53</v>
      </c>
      <c r="J60" t="s">
        <v>54</v>
      </c>
      <c r="K60">
        <v>812782</v>
      </c>
      <c r="L60" t="s">
        <v>224</v>
      </c>
      <c r="M60" t="s">
        <v>225</v>
      </c>
      <c r="N60" t="s">
        <v>57</v>
      </c>
      <c r="O60" s="1">
        <v>46023</v>
      </c>
      <c r="Q60" s="1">
        <v>46143</v>
      </c>
      <c r="R60" s="2">
        <v>128.80000000000001</v>
      </c>
      <c r="S60">
        <v>1</v>
      </c>
      <c r="T60" t="s">
        <v>58</v>
      </c>
      <c r="U60" t="s">
        <v>173</v>
      </c>
      <c r="V60" s="3">
        <v>0.7</v>
      </c>
      <c r="W60" s="2">
        <v>0</v>
      </c>
      <c r="X60">
        <v>0</v>
      </c>
      <c r="Y60" t="s">
        <v>60</v>
      </c>
      <c r="Z60" t="s">
        <v>61</v>
      </c>
      <c r="AA60">
        <v>0</v>
      </c>
      <c r="AB60" s="2">
        <v>0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90.16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</row>
    <row r="61" spans="1:43" x14ac:dyDescent="0.3">
      <c r="A61" s="1">
        <v>46125</v>
      </c>
      <c r="B61" t="s">
        <v>48</v>
      </c>
      <c r="C61">
        <v>649163</v>
      </c>
      <c r="D61">
        <v>2032038860</v>
      </c>
      <c r="E61" t="s">
        <v>226</v>
      </c>
      <c r="F61" t="s">
        <v>227</v>
      </c>
      <c r="G61" t="s">
        <v>51</v>
      </c>
      <c r="H61" t="s">
        <v>80</v>
      </c>
      <c r="I61" t="s">
        <v>53</v>
      </c>
      <c r="J61" t="s">
        <v>54</v>
      </c>
      <c r="K61">
        <v>843573</v>
      </c>
      <c r="L61" t="s">
        <v>228</v>
      </c>
      <c r="M61" t="s">
        <v>229</v>
      </c>
      <c r="N61" t="s">
        <v>57</v>
      </c>
      <c r="O61" s="1">
        <v>45972</v>
      </c>
      <c r="Q61" s="1">
        <v>46153</v>
      </c>
      <c r="R61" s="2">
        <v>27.5</v>
      </c>
      <c r="S61">
        <v>1</v>
      </c>
      <c r="T61" t="s">
        <v>58</v>
      </c>
      <c r="U61" t="s">
        <v>173</v>
      </c>
      <c r="V61" s="3">
        <v>0.7</v>
      </c>
      <c r="W61" s="2">
        <v>0</v>
      </c>
      <c r="X61">
        <v>0</v>
      </c>
      <c r="Y61" t="s">
        <v>60</v>
      </c>
      <c r="Z61" t="s">
        <v>61</v>
      </c>
      <c r="AA61">
        <v>0</v>
      </c>
      <c r="AB61" s="2">
        <v>0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19.25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</row>
    <row r="62" spans="1:43" x14ac:dyDescent="0.3">
      <c r="A62" s="1">
        <v>46125</v>
      </c>
      <c r="B62" t="s">
        <v>48</v>
      </c>
      <c r="C62">
        <v>649163</v>
      </c>
      <c r="D62">
        <v>2032077734</v>
      </c>
      <c r="E62" t="s">
        <v>230</v>
      </c>
      <c r="F62" t="s">
        <v>231</v>
      </c>
      <c r="G62" t="s">
        <v>51</v>
      </c>
      <c r="H62" t="s">
        <v>70</v>
      </c>
      <c r="I62" t="s">
        <v>53</v>
      </c>
      <c r="J62" t="s">
        <v>54</v>
      </c>
      <c r="K62">
        <v>822733</v>
      </c>
      <c r="L62" t="s">
        <v>219</v>
      </c>
      <c r="M62" t="s">
        <v>220</v>
      </c>
      <c r="N62" t="s">
        <v>57</v>
      </c>
      <c r="O62" s="1">
        <v>45972</v>
      </c>
      <c r="Q62" s="1">
        <v>46153</v>
      </c>
      <c r="R62" s="2">
        <v>89.52</v>
      </c>
      <c r="S62">
        <v>1</v>
      </c>
      <c r="T62" t="s">
        <v>58</v>
      </c>
      <c r="U62" t="s">
        <v>173</v>
      </c>
      <c r="V62" s="3">
        <v>0.7</v>
      </c>
      <c r="W62" s="2">
        <v>0</v>
      </c>
      <c r="X62">
        <v>0</v>
      </c>
      <c r="Y62" t="s">
        <v>60</v>
      </c>
      <c r="Z62" t="s">
        <v>61</v>
      </c>
      <c r="AA62">
        <v>0</v>
      </c>
      <c r="AB62" s="2">
        <v>0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62.66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</row>
    <row r="63" spans="1:43" x14ac:dyDescent="0.3">
      <c r="A63" s="1">
        <v>46125</v>
      </c>
      <c r="B63" t="s">
        <v>48</v>
      </c>
      <c r="C63">
        <v>649163</v>
      </c>
      <c r="D63">
        <v>2032084100</v>
      </c>
      <c r="E63" t="s">
        <v>232</v>
      </c>
      <c r="F63" t="s">
        <v>233</v>
      </c>
      <c r="G63" t="s">
        <v>51</v>
      </c>
      <c r="H63" t="s">
        <v>52</v>
      </c>
      <c r="I63" t="s">
        <v>53</v>
      </c>
      <c r="J63" t="s">
        <v>54</v>
      </c>
      <c r="K63">
        <v>821015</v>
      </c>
      <c r="L63" t="s">
        <v>234</v>
      </c>
      <c r="M63" t="s">
        <v>235</v>
      </c>
      <c r="N63" t="s">
        <v>57</v>
      </c>
      <c r="O63" s="1">
        <v>45976</v>
      </c>
      <c r="Q63" s="1">
        <v>46157</v>
      </c>
      <c r="R63" s="2">
        <v>38.64</v>
      </c>
      <c r="S63">
        <v>1</v>
      </c>
      <c r="T63" t="s">
        <v>58</v>
      </c>
      <c r="U63" t="s">
        <v>173</v>
      </c>
      <c r="V63" s="3">
        <v>0.7</v>
      </c>
      <c r="W63" s="2">
        <v>0</v>
      </c>
      <c r="X63">
        <v>0</v>
      </c>
      <c r="Y63" t="s">
        <v>60</v>
      </c>
      <c r="Z63" t="s">
        <v>61</v>
      </c>
      <c r="AA63">
        <v>0</v>
      </c>
      <c r="AB63" s="2">
        <v>0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27.05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</row>
    <row r="64" spans="1:43" x14ac:dyDescent="0.3">
      <c r="A64" s="1">
        <v>46125</v>
      </c>
      <c r="B64" t="s">
        <v>48</v>
      </c>
      <c r="C64">
        <v>649163</v>
      </c>
      <c r="D64">
        <v>2032095170</v>
      </c>
      <c r="E64" t="s">
        <v>236</v>
      </c>
      <c r="F64" t="s">
        <v>237</v>
      </c>
      <c r="G64" t="s">
        <v>51</v>
      </c>
      <c r="H64" t="s">
        <v>80</v>
      </c>
      <c r="I64" t="s">
        <v>53</v>
      </c>
      <c r="J64" t="s">
        <v>54</v>
      </c>
      <c r="K64">
        <v>824076</v>
      </c>
      <c r="L64" t="s">
        <v>81</v>
      </c>
      <c r="M64" t="s">
        <v>82</v>
      </c>
      <c r="N64" t="s">
        <v>57</v>
      </c>
      <c r="O64" s="1">
        <v>45972</v>
      </c>
      <c r="Q64" s="1">
        <v>46153</v>
      </c>
      <c r="R64" s="2">
        <v>59.4</v>
      </c>
      <c r="S64">
        <v>1</v>
      </c>
      <c r="T64" t="s">
        <v>58</v>
      </c>
      <c r="U64" t="s">
        <v>173</v>
      </c>
      <c r="V64" s="3">
        <v>0.7</v>
      </c>
      <c r="W64" s="2">
        <v>0</v>
      </c>
      <c r="X64">
        <v>0</v>
      </c>
      <c r="Y64" t="s">
        <v>60</v>
      </c>
      <c r="Z64" t="s">
        <v>61</v>
      </c>
      <c r="AA64">
        <v>0</v>
      </c>
      <c r="AB64" s="2">
        <v>0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41.58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</row>
    <row r="65" spans="1:43" x14ac:dyDescent="0.3">
      <c r="A65" s="1">
        <v>46125</v>
      </c>
      <c r="B65" t="s">
        <v>48</v>
      </c>
      <c r="C65">
        <v>649163</v>
      </c>
      <c r="D65">
        <v>2032103662</v>
      </c>
      <c r="E65" t="s">
        <v>238</v>
      </c>
      <c r="F65" t="s">
        <v>239</v>
      </c>
      <c r="G65" t="s">
        <v>51</v>
      </c>
      <c r="H65" t="s">
        <v>75</v>
      </c>
      <c r="I65" t="s">
        <v>53</v>
      </c>
      <c r="J65" t="s">
        <v>54</v>
      </c>
      <c r="K65">
        <v>813184</v>
      </c>
      <c r="L65" t="s">
        <v>127</v>
      </c>
      <c r="M65" t="s">
        <v>128</v>
      </c>
      <c r="N65" t="s">
        <v>86</v>
      </c>
      <c r="O65" s="1">
        <v>46023</v>
      </c>
      <c r="P65" s="1">
        <v>46118</v>
      </c>
      <c r="Q65" s="1">
        <v>46143</v>
      </c>
      <c r="R65" s="2">
        <v>-263.5</v>
      </c>
      <c r="S65">
        <v>1</v>
      </c>
      <c r="T65" t="s">
        <v>58</v>
      </c>
      <c r="U65" t="s">
        <v>173</v>
      </c>
      <c r="V65" s="3">
        <v>0.7</v>
      </c>
      <c r="W65" s="2">
        <v>0</v>
      </c>
      <c r="X65">
        <v>-1</v>
      </c>
      <c r="Y65" t="s">
        <v>60</v>
      </c>
      <c r="Z65" t="s">
        <v>61</v>
      </c>
      <c r="AA65">
        <v>0</v>
      </c>
      <c r="AB65" s="2">
        <v>0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-184.45</v>
      </c>
      <c r="AN65" s="2">
        <v>-184.45</v>
      </c>
      <c r="AO65" s="2">
        <v>0</v>
      </c>
      <c r="AP65" s="2">
        <v>0</v>
      </c>
      <c r="AQ65" s="2">
        <v>0</v>
      </c>
    </row>
    <row r="66" spans="1:43" x14ac:dyDescent="0.3">
      <c r="A66" s="1">
        <v>46125</v>
      </c>
      <c r="B66" t="s">
        <v>48</v>
      </c>
      <c r="C66">
        <v>649163</v>
      </c>
      <c r="D66">
        <v>2032105227</v>
      </c>
      <c r="E66" t="s">
        <v>240</v>
      </c>
      <c r="F66" t="s">
        <v>241</v>
      </c>
      <c r="G66" t="s">
        <v>51</v>
      </c>
      <c r="H66" t="s">
        <v>80</v>
      </c>
      <c r="I66" t="s">
        <v>53</v>
      </c>
      <c r="J66" t="s">
        <v>54</v>
      </c>
      <c r="K66">
        <v>823350</v>
      </c>
      <c r="L66" t="s">
        <v>120</v>
      </c>
      <c r="M66" t="s">
        <v>121</v>
      </c>
      <c r="N66" t="s">
        <v>57</v>
      </c>
      <c r="O66" s="1">
        <v>45975</v>
      </c>
      <c r="Q66" s="1">
        <v>46156</v>
      </c>
      <c r="R66" s="2">
        <v>95.92</v>
      </c>
      <c r="S66">
        <v>1</v>
      </c>
      <c r="T66" t="s">
        <v>58</v>
      </c>
      <c r="U66" t="s">
        <v>173</v>
      </c>
      <c r="V66" s="3">
        <v>0.7</v>
      </c>
      <c r="W66" s="2">
        <v>0</v>
      </c>
      <c r="X66">
        <v>0</v>
      </c>
      <c r="Y66" t="s">
        <v>60</v>
      </c>
      <c r="Z66" t="s">
        <v>61</v>
      </c>
      <c r="AA66">
        <v>0</v>
      </c>
      <c r="AB66" s="2">
        <v>0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67.14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</row>
    <row r="67" spans="1:43" x14ac:dyDescent="0.3">
      <c r="A67" s="1">
        <v>46125</v>
      </c>
      <c r="B67" t="s">
        <v>48</v>
      </c>
      <c r="C67">
        <v>649163</v>
      </c>
      <c r="D67">
        <v>2032111467</v>
      </c>
      <c r="E67" t="s">
        <v>242</v>
      </c>
      <c r="F67" t="s">
        <v>243</v>
      </c>
      <c r="G67" t="s">
        <v>51</v>
      </c>
      <c r="H67" t="s">
        <v>52</v>
      </c>
      <c r="I67" t="s">
        <v>53</v>
      </c>
      <c r="J67" t="s">
        <v>54</v>
      </c>
      <c r="K67">
        <v>897926</v>
      </c>
      <c r="L67" t="s">
        <v>244</v>
      </c>
      <c r="M67" t="s">
        <v>245</v>
      </c>
      <c r="N67" t="s">
        <v>57</v>
      </c>
      <c r="O67" s="1">
        <v>45973</v>
      </c>
      <c r="Q67" s="1">
        <v>46154</v>
      </c>
      <c r="R67" s="2">
        <v>29.79</v>
      </c>
      <c r="S67">
        <v>1</v>
      </c>
      <c r="T67" t="s">
        <v>58</v>
      </c>
      <c r="U67" t="s">
        <v>173</v>
      </c>
      <c r="V67" s="3">
        <v>0.7</v>
      </c>
      <c r="W67" s="2">
        <v>0</v>
      </c>
      <c r="X67">
        <v>0</v>
      </c>
      <c r="Y67" t="s">
        <v>60</v>
      </c>
      <c r="Z67" t="s">
        <v>61</v>
      </c>
      <c r="AA67">
        <v>0</v>
      </c>
      <c r="AB67" s="2">
        <v>0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20.85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</row>
    <row r="68" spans="1:43" x14ac:dyDescent="0.3">
      <c r="A68" s="1">
        <v>46125</v>
      </c>
      <c r="B68" t="s">
        <v>48</v>
      </c>
      <c r="C68">
        <v>649163</v>
      </c>
      <c r="D68">
        <v>2032114433</v>
      </c>
      <c r="E68" t="s">
        <v>246</v>
      </c>
      <c r="F68" t="s">
        <v>247</v>
      </c>
      <c r="G68" t="s">
        <v>51</v>
      </c>
      <c r="H68" t="s">
        <v>80</v>
      </c>
      <c r="I68" t="s">
        <v>53</v>
      </c>
      <c r="J68" t="s">
        <v>65</v>
      </c>
      <c r="K68">
        <v>894525</v>
      </c>
      <c r="L68" t="s">
        <v>248</v>
      </c>
      <c r="M68" t="s">
        <v>249</v>
      </c>
      <c r="N68" t="s">
        <v>57</v>
      </c>
      <c r="O68" s="1">
        <v>45973</v>
      </c>
      <c r="Q68" s="1">
        <v>46154</v>
      </c>
      <c r="R68" s="2">
        <v>41.75</v>
      </c>
      <c r="S68">
        <v>1</v>
      </c>
      <c r="T68" t="s">
        <v>58</v>
      </c>
      <c r="U68" t="s">
        <v>173</v>
      </c>
      <c r="V68" s="3">
        <v>0.9</v>
      </c>
      <c r="W68" s="2">
        <v>0</v>
      </c>
      <c r="X68">
        <v>0</v>
      </c>
      <c r="Y68" t="s">
        <v>60</v>
      </c>
      <c r="Z68" t="s">
        <v>61</v>
      </c>
      <c r="AA68">
        <v>0</v>
      </c>
      <c r="AB68" s="2">
        <v>0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37.58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</row>
    <row r="69" spans="1:43" x14ac:dyDescent="0.3">
      <c r="A69" s="1">
        <v>46125</v>
      </c>
      <c r="B69" t="s">
        <v>48</v>
      </c>
      <c r="C69">
        <v>649163</v>
      </c>
      <c r="D69">
        <v>2032114519</v>
      </c>
      <c r="E69" t="s">
        <v>246</v>
      </c>
      <c r="F69" t="s">
        <v>250</v>
      </c>
      <c r="G69" t="s">
        <v>51</v>
      </c>
      <c r="H69" t="s">
        <v>80</v>
      </c>
      <c r="I69" t="s">
        <v>53</v>
      </c>
      <c r="J69" t="s">
        <v>65</v>
      </c>
      <c r="K69">
        <v>894525</v>
      </c>
      <c r="L69" t="s">
        <v>248</v>
      </c>
      <c r="M69" t="s">
        <v>249</v>
      </c>
      <c r="N69" t="s">
        <v>57</v>
      </c>
      <c r="O69" s="1">
        <v>45973</v>
      </c>
      <c r="Q69" s="1">
        <v>46154</v>
      </c>
      <c r="R69" s="2">
        <v>56.75</v>
      </c>
      <c r="S69">
        <v>1</v>
      </c>
      <c r="T69" t="s">
        <v>58</v>
      </c>
      <c r="U69" t="s">
        <v>173</v>
      </c>
      <c r="V69" s="3">
        <v>0.9</v>
      </c>
      <c r="W69" s="2">
        <v>0</v>
      </c>
      <c r="X69">
        <v>0</v>
      </c>
      <c r="Y69" t="s">
        <v>60</v>
      </c>
      <c r="Z69" t="s">
        <v>61</v>
      </c>
      <c r="AA69">
        <v>0</v>
      </c>
      <c r="AB69" s="2">
        <v>0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51.08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</row>
    <row r="70" spans="1:43" x14ac:dyDescent="0.3">
      <c r="A70" s="1">
        <v>46125</v>
      </c>
      <c r="B70" t="s">
        <v>48</v>
      </c>
      <c r="C70">
        <v>649163</v>
      </c>
      <c r="D70">
        <v>2032115127</v>
      </c>
      <c r="E70" t="s">
        <v>251</v>
      </c>
      <c r="F70" t="s">
        <v>252</v>
      </c>
      <c r="G70" t="s">
        <v>51</v>
      </c>
      <c r="H70" t="s">
        <v>80</v>
      </c>
      <c r="I70" t="s">
        <v>53</v>
      </c>
      <c r="J70" t="s">
        <v>54</v>
      </c>
      <c r="K70">
        <v>651818</v>
      </c>
      <c r="L70" t="s">
        <v>55</v>
      </c>
      <c r="M70" t="s">
        <v>56</v>
      </c>
      <c r="N70" t="s">
        <v>57</v>
      </c>
      <c r="O70" s="1">
        <v>45976</v>
      </c>
      <c r="Q70" s="1">
        <v>46157</v>
      </c>
      <c r="R70" s="2">
        <v>96</v>
      </c>
      <c r="S70">
        <v>1</v>
      </c>
      <c r="T70" t="s">
        <v>58</v>
      </c>
      <c r="U70" t="s">
        <v>173</v>
      </c>
      <c r="V70" s="3">
        <v>0.7</v>
      </c>
      <c r="W70" s="2">
        <v>0</v>
      </c>
      <c r="X70">
        <v>0</v>
      </c>
      <c r="Y70" t="s">
        <v>60</v>
      </c>
      <c r="Z70" t="s">
        <v>61</v>
      </c>
      <c r="AA70">
        <v>0</v>
      </c>
      <c r="AB70" s="2">
        <v>0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67.2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</row>
    <row r="71" spans="1:43" x14ac:dyDescent="0.3">
      <c r="A71" s="1">
        <v>46125</v>
      </c>
      <c r="B71" t="s">
        <v>48</v>
      </c>
      <c r="C71">
        <v>649163</v>
      </c>
      <c r="D71">
        <v>2032116642</v>
      </c>
      <c r="E71" t="s">
        <v>253</v>
      </c>
      <c r="F71" t="s">
        <v>165</v>
      </c>
      <c r="G71" t="s">
        <v>51</v>
      </c>
      <c r="H71" t="s">
        <v>80</v>
      </c>
      <c r="I71" t="s">
        <v>53</v>
      </c>
      <c r="J71" t="s">
        <v>54</v>
      </c>
      <c r="K71">
        <v>823350</v>
      </c>
      <c r="L71" t="s">
        <v>120</v>
      </c>
      <c r="M71" t="s">
        <v>121</v>
      </c>
      <c r="N71" t="s">
        <v>57</v>
      </c>
      <c r="O71" s="1">
        <v>45976</v>
      </c>
      <c r="Q71" s="1">
        <v>46157</v>
      </c>
      <c r="R71" s="2">
        <v>109.2</v>
      </c>
      <c r="S71">
        <v>1</v>
      </c>
      <c r="T71" t="s">
        <v>58</v>
      </c>
      <c r="U71" t="s">
        <v>173</v>
      </c>
      <c r="V71" s="3">
        <v>0.7</v>
      </c>
      <c r="W71" s="2">
        <v>0</v>
      </c>
      <c r="X71">
        <v>0</v>
      </c>
      <c r="Y71" t="s">
        <v>60</v>
      </c>
      <c r="Z71" t="s">
        <v>61</v>
      </c>
      <c r="AA71">
        <v>0</v>
      </c>
      <c r="AB71" s="2">
        <v>0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76.44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</row>
    <row r="72" spans="1:43" x14ac:dyDescent="0.3">
      <c r="A72" s="1">
        <v>46125</v>
      </c>
      <c r="B72" t="s">
        <v>48</v>
      </c>
      <c r="C72">
        <v>649163</v>
      </c>
      <c r="D72">
        <v>2032134523</v>
      </c>
      <c r="E72" t="s">
        <v>254</v>
      </c>
      <c r="F72" t="s">
        <v>255</v>
      </c>
      <c r="G72" t="s">
        <v>51</v>
      </c>
      <c r="H72" t="s">
        <v>256</v>
      </c>
      <c r="I72" t="s">
        <v>53</v>
      </c>
      <c r="J72" t="s">
        <v>65</v>
      </c>
      <c r="K72">
        <v>702406</v>
      </c>
      <c r="L72" t="s">
        <v>257</v>
      </c>
      <c r="M72" t="s">
        <v>250</v>
      </c>
      <c r="N72" t="s">
        <v>57</v>
      </c>
      <c r="O72" s="1">
        <v>45974</v>
      </c>
      <c r="Q72" s="1">
        <v>46155</v>
      </c>
      <c r="R72" s="2">
        <v>65.25</v>
      </c>
      <c r="S72">
        <v>1</v>
      </c>
      <c r="T72" t="s">
        <v>58</v>
      </c>
      <c r="U72" t="s">
        <v>173</v>
      </c>
      <c r="V72" s="3">
        <v>0.9</v>
      </c>
      <c r="W72" s="2">
        <v>0</v>
      </c>
      <c r="X72">
        <v>0</v>
      </c>
      <c r="Y72" t="s">
        <v>60</v>
      </c>
      <c r="Z72" t="s">
        <v>61</v>
      </c>
      <c r="AA72">
        <v>0</v>
      </c>
      <c r="AB72" s="2">
        <v>0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58.72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</row>
    <row r="73" spans="1:43" x14ac:dyDescent="0.3">
      <c r="A73" s="1">
        <v>46125</v>
      </c>
      <c r="B73" t="s">
        <v>48</v>
      </c>
      <c r="C73">
        <v>649163</v>
      </c>
      <c r="D73">
        <v>2032150171</v>
      </c>
      <c r="E73" t="s">
        <v>258</v>
      </c>
      <c r="F73" t="s">
        <v>259</v>
      </c>
      <c r="G73" t="s">
        <v>51</v>
      </c>
      <c r="H73" t="s">
        <v>93</v>
      </c>
      <c r="I73" t="s">
        <v>53</v>
      </c>
      <c r="J73" t="s">
        <v>65</v>
      </c>
      <c r="K73">
        <v>652037</v>
      </c>
      <c r="L73" t="s">
        <v>164</v>
      </c>
      <c r="M73" t="s">
        <v>165</v>
      </c>
      <c r="N73" t="s">
        <v>57</v>
      </c>
      <c r="O73" s="1">
        <v>45975</v>
      </c>
      <c r="Q73" s="1">
        <v>46156</v>
      </c>
      <c r="R73" s="2">
        <v>34.42</v>
      </c>
      <c r="S73">
        <v>1</v>
      </c>
      <c r="T73" t="s">
        <v>58</v>
      </c>
      <c r="U73" t="s">
        <v>173</v>
      </c>
      <c r="V73" s="3">
        <v>0.9</v>
      </c>
      <c r="W73" s="2">
        <v>0</v>
      </c>
      <c r="X73">
        <v>0</v>
      </c>
      <c r="Y73" t="s">
        <v>60</v>
      </c>
      <c r="Z73" t="s">
        <v>61</v>
      </c>
      <c r="AA73">
        <v>0</v>
      </c>
      <c r="AB73" s="2">
        <v>0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30.98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</row>
    <row r="74" spans="1:43" x14ac:dyDescent="0.3">
      <c r="A74" s="1">
        <v>46125</v>
      </c>
      <c r="B74" t="s">
        <v>48</v>
      </c>
      <c r="C74">
        <v>649163</v>
      </c>
      <c r="D74">
        <v>2032151221</v>
      </c>
      <c r="E74" t="s">
        <v>260</v>
      </c>
      <c r="F74" t="s">
        <v>261</v>
      </c>
      <c r="G74" t="s">
        <v>51</v>
      </c>
      <c r="H74" t="s">
        <v>80</v>
      </c>
      <c r="I74" t="s">
        <v>53</v>
      </c>
      <c r="J74" t="s">
        <v>54</v>
      </c>
      <c r="K74">
        <v>806645</v>
      </c>
      <c r="L74" t="s">
        <v>262</v>
      </c>
      <c r="M74" t="s">
        <v>263</v>
      </c>
      <c r="N74" t="s">
        <v>57</v>
      </c>
      <c r="O74" s="1">
        <v>45975</v>
      </c>
      <c r="Q74" s="1">
        <v>46156</v>
      </c>
      <c r="R74" s="2">
        <v>58.24</v>
      </c>
      <c r="S74">
        <v>1</v>
      </c>
      <c r="T74" t="s">
        <v>58</v>
      </c>
      <c r="U74" t="s">
        <v>173</v>
      </c>
      <c r="V74" s="3">
        <v>0.7</v>
      </c>
      <c r="W74" s="2">
        <v>0</v>
      </c>
      <c r="X74">
        <v>0</v>
      </c>
      <c r="Y74" t="s">
        <v>60</v>
      </c>
      <c r="Z74" t="s">
        <v>61</v>
      </c>
      <c r="AA74">
        <v>0</v>
      </c>
      <c r="AB74" s="2">
        <v>0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40.770000000000003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</row>
    <row r="75" spans="1:43" x14ac:dyDescent="0.3">
      <c r="A75" s="1">
        <v>46125</v>
      </c>
      <c r="B75" t="s">
        <v>48</v>
      </c>
      <c r="C75">
        <v>649163</v>
      </c>
      <c r="D75">
        <v>2032155019</v>
      </c>
      <c r="E75" t="s">
        <v>264</v>
      </c>
      <c r="F75" t="s">
        <v>265</v>
      </c>
      <c r="G75" t="s">
        <v>51</v>
      </c>
      <c r="H75" t="s">
        <v>93</v>
      </c>
      <c r="I75" t="s">
        <v>53</v>
      </c>
      <c r="J75" t="s">
        <v>94</v>
      </c>
      <c r="K75">
        <v>883288</v>
      </c>
      <c r="L75" t="s">
        <v>266</v>
      </c>
      <c r="M75" t="s">
        <v>267</v>
      </c>
      <c r="N75" t="s">
        <v>57</v>
      </c>
      <c r="O75" s="1">
        <v>45975</v>
      </c>
      <c r="Q75" s="1">
        <v>46156</v>
      </c>
      <c r="R75" s="2">
        <v>38.85</v>
      </c>
      <c r="S75">
        <v>1</v>
      </c>
      <c r="T75" t="s">
        <v>58</v>
      </c>
      <c r="U75" t="s">
        <v>173</v>
      </c>
      <c r="V75" s="3">
        <v>0.42</v>
      </c>
      <c r="W75" s="2">
        <v>0</v>
      </c>
      <c r="X75">
        <v>0</v>
      </c>
      <c r="Y75" t="s">
        <v>60</v>
      </c>
      <c r="Z75" t="s">
        <v>61</v>
      </c>
      <c r="AA75">
        <v>0</v>
      </c>
      <c r="AB75" s="2">
        <v>0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16.32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</row>
    <row r="76" spans="1:43" x14ac:dyDescent="0.3">
      <c r="A76" s="1">
        <v>46125</v>
      </c>
      <c r="B76" t="s">
        <v>48</v>
      </c>
      <c r="C76">
        <v>649163</v>
      </c>
      <c r="D76">
        <v>2032155020</v>
      </c>
      <c r="E76" t="s">
        <v>264</v>
      </c>
      <c r="F76" t="s">
        <v>265</v>
      </c>
      <c r="G76" t="s">
        <v>51</v>
      </c>
      <c r="H76" t="s">
        <v>93</v>
      </c>
      <c r="I76" t="s">
        <v>53</v>
      </c>
      <c r="J76" t="s">
        <v>65</v>
      </c>
      <c r="K76">
        <v>883288</v>
      </c>
      <c r="L76" t="s">
        <v>266</v>
      </c>
      <c r="M76" t="s">
        <v>267</v>
      </c>
      <c r="N76" t="s">
        <v>57</v>
      </c>
      <c r="O76" s="1">
        <v>45975</v>
      </c>
      <c r="Q76" s="1">
        <v>46156</v>
      </c>
      <c r="R76" s="2">
        <v>50.31</v>
      </c>
      <c r="S76">
        <v>1</v>
      </c>
      <c r="T76" t="s">
        <v>58</v>
      </c>
      <c r="U76" t="s">
        <v>173</v>
      </c>
      <c r="V76" s="3">
        <v>0.9</v>
      </c>
      <c r="W76" s="2">
        <v>0</v>
      </c>
      <c r="X76">
        <v>0</v>
      </c>
      <c r="Y76" t="s">
        <v>60</v>
      </c>
      <c r="Z76" t="s">
        <v>61</v>
      </c>
      <c r="AA76">
        <v>0</v>
      </c>
      <c r="AB76" s="2">
        <v>0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45.28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</row>
    <row r="77" spans="1:43" x14ac:dyDescent="0.3">
      <c r="A77" s="1">
        <v>46125</v>
      </c>
      <c r="B77" t="s">
        <v>48</v>
      </c>
      <c r="C77">
        <v>649163</v>
      </c>
      <c r="D77">
        <v>2032155021</v>
      </c>
      <c r="E77" t="s">
        <v>264</v>
      </c>
      <c r="F77" t="s">
        <v>265</v>
      </c>
      <c r="G77" t="s">
        <v>51</v>
      </c>
      <c r="H77" t="s">
        <v>93</v>
      </c>
      <c r="I77" t="s">
        <v>53</v>
      </c>
      <c r="J77" t="s">
        <v>97</v>
      </c>
      <c r="K77">
        <v>883288</v>
      </c>
      <c r="L77" t="s">
        <v>266</v>
      </c>
      <c r="M77" t="s">
        <v>267</v>
      </c>
      <c r="N77" t="s">
        <v>57</v>
      </c>
      <c r="O77" s="1">
        <v>45975</v>
      </c>
      <c r="Q77" s="1">
        <v>46156</v>
      </c>
      <c r="R77" s="2">
        <v>24.61</v>
      </c>
      <c r="S77">
        <v>1</v>
      </c>
      <c r="T77" t="s">
        <v>58</v>
      </c>
      <c r="U77" t="s">
        <v>173</v>
      </c>
      <c r="V77" s="3">
        <v>0.7</v>
      </c>
      <c r="W77" s="2">
        <v>0</v>
      </c>
      <c r="X77">
        <v>0</v>
      </c>
      <c r="Y77" t="s">
        <v>60</v>
      </c>
      <c r="Z77" t="s">
        <v>61</v>
      </c>
      <c r="AA77">
        <v>0</v>
      </c>
      <c r="AB77" s="2">
        <v>0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17.23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</row>
    <row r="78" spans="1:43" x14ac:dyDescent="0.3">
      <c r="A78" s="1">
        <v>46125</v>
      </c>
      <c r="B78" t="s">
        <v>48</v>
      </c>
      <c r="C78">
        <v>649163</v>
      </c>
      <c r="D78">
        <v>2032159933</v>
      </c>
      <c r="E78" t="s">
        <v>268</v>
      </c>
      <c r="F78" t="s">
        <v>269</v>
      </c>
      <c r="G78" t="s">
        <v>51</v>
      </c>
      <c r="H78" t="s">
        <v>270</v>
      </c>
      <c r="I78" t="s">
        <v>53</v>
      </c>
      <c r="J78" t="s">
        <v>54</v>
      </c>
      <c r="K78">
        <v>822733</v>
      </c>
      <c r="L78" t="s">
        <v>219</v>
      </c>
      <c r="M78" t="s">
        <v>220</v>
      </c>
      <c r="N78" t="s">
        <v>57</v>
      </c>
      <c r="O78" s="1">
        <v>45976</v>
      </c>
      <c r="Q78" s="1">
        <v>46157</v>
      </c>
      <c r="R78" s="2">
        <v>45.46</v>
      </c>
      <c r="S78">
        <v>1</v>
      </c>
      <c r="T78" t="s">
        <v>58</v>
      </c>
      <c r="U78" t="s">
        <v>173</v>
      </c>
      <c r="V78" s="3">
        <v>0.7</v>
      </c>
      <c r="W78" s="2">
        <v>0</v>
      </c>
      <c r="X78">
        <v>0</v>
      </c>
      <c r="Y78" t="s">
        <v>60</v>
      </c>
      <c r="Z78" t="s">
        <v>61</v>
      </c>
      <c r="AA78">
        <v>0</v>
      </c>
      <c r="AB78" s="2">
        <v>0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31.82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</row>
    <row r="79" spans="1:43" x14ac:dyDescent="0.3">
      <c r="A79" s="1">
        <v>46125</v>
      </c>
      <c r="B79" t="s">
        <v>48</v>
      </c>
      <c r="C79">
        <v>649163</v>
      </c>
      <c r="D79">
        <v>2032172865</v>
      </c>
      <c r="E79" t="s">
        <v>271</v>
      </c>
      <c r="F79" t="s">
        <v>272</v>
      </c>
      <c r="G79" t="s">
        <v>51</v>
      </c>
      <c r="H79" t="s">
        <v>80</v>
      </c>
      <c r="I79" t="s">
        <v>53</v>
      </c>
      <c r="J79" t="s">
        <v>54</v>
      </c>
      <c r="K79">
        <v>807212</v>
      </c>
      <c r="L79" t="s">
        <v>89</v>
      </c>
      <c r="M79" t="s">
        <v>90</v>
      </c>
      <c r="N79" t="s">
        <v>57</v>
      </c>
      <c r="O79" s="1">
        <v>45976</v>
      </c>
      <c r="Q79" s="1">
        <v>46157</v>
      </c>
      <c r="R79" s="2">
        <v>32.200000000000003</v>
      </c>
      <c r="S79">
        <v>1</v>
      </c>
      <c r="T79" t="s">
        <v>58</v>
      </c>
      <c r="U79" t="s">
        <v>173</v>
      </c>
      <c r="V79" s="3">
        <v>0.7</v>
      </c>
      <c r="W79" s="2">
        <v>0</v>
      </c>
      <c r="X79">
        <v>0</v>
      </c>
      <c r="Y79" t="s">
        <v>60</v>
      </c>
      <c r="Z79" t="s">
        <v>61</v>
      </c>
      <c r="AA79">
        <v>0</v>
      </c>
      <c r="AB79" s="2">
        <v>0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22.54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</row>
    <row r="80" spans="1:43" x14ac:dyDescent="0.3">
      <c r="A80" s="1">
        <v>46125</v>
      </c>
      <c r="B80" t="s">
        <v>48</v>
      </c>
      <c r="C80">
        <v>649163</v>
      </c>
      <c r="D80">
        <v>2032173640</v>
      </c>
      <c r="E80" t="s">
        <v>273</v>
      </c>
      <c r="F80" t="s">
        <v>274</v>
      </c>
      <c r="G80" t="s">
        <v>51</v>
      </c>
      <c r="H80" t="s">
        <v>80</v>
      </c>
      <c r="I80" t="s">
        <v>53</v>
      </c>
      <c r="J80" t="s">
        <v>54</v>
      </c>
      <c r="K80">
        <v>807212</v>
      </c>
      <c r="L80" t="s">
        <v>89</v>
      </c>
      <c r="M80" t="s">
        <v>90</v>
      </c>
      <c r="N80" t="s">
        <v>57</v>
      </c>
      <c r="O80" s="1">
        <v>45976</v>
      </c>
      <c r="Q80" s="1">
        <v>46157</v>
      </c>
      <c r="R80" s="2">
        <v>48.19</v>
      </c>
      <c r="S80">
        <v>1</v>
      </c>
      <c r="T80" t="s">
        <v>58</v>
      </c>
      <c r="U80" t="s">
        <v>173</v>
      </c>
      <c r="V80" s="3">
        <v>0.7</v>
      </c>
      <c r="W80" s="2">
        <v>0</v>
      </c>
      <c r="X80">
        <v>0</v>
      </c>
      <c r="Y80" t="s">
        <v>60</v>
      </c>
      <c r="Z80" t="s">
        <v>61</v>
      </c>
      <c r="AA80">
        <v>0</v>
      </c>
      <c r="AB80" s="2">
        <v>0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33.729999999999997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</row>
    <row r="81" spans="1:43" x14ac:dyDescent="0.3">
      <c r="A81" s="1">
        <v>46125</v>
      </c>
      <c r="B81" t="s">
        <v>48</v>
      </c>
      <c r="C81">
        <v>649163</v>
      </c>
      <c r="D81">
        <v>2032175460</v>
      </c>
      <c r="E81" t="s">
        <v>275</v>
      </c>
      <c r="F81" t="s">
        <v>276</v>
      </c>
      <c r="G81" t="s">
        <v>51</v>
      </c>
      <c r="H81" t="s">
        <v>80</v>
      </c>
      <c r="I81" t="s">
        <v>53</v>
      </c>
      <c r="J81" t="s">
        <v>54</v>
      </c>
      <c r="K81">
        <v>806645</v>
      </c>
      <c r="L81" t="s">
        <v>262</v>
      </c>
      <c r="M81" t="s">
        <v>263</v>
      </c>
      <c r="N81" t="s">
        <v>57</v>
      </c>
      <c r="O81" s="1">
        <v>45976</v>
      </c>
      <c r="Q81" s="1">
        <v>46157</v>
      </c>
      <c r="R81" s="2">
        <v>11.5</v>
      </c>
      <c r="S81">
        <v>1</v>
      </c>
      <c r="T81" t="s">
        <v>58</v>
      </c>
      <c r="U81" t="s">
        <v>173</v>
      </c>
      <c r="V81" s="3">
        <v>0.7</v>
      </c>
      <c r="W81" s="2">
        <v>0</v>
      </c>
      <c r="X81">
        <v>0</v>
      </c>
      <c r="Y81" t="s">
        <v>60</v>
      </c>
      <c r="Z81" t="s">
        <v>61</v>
      </c>
      <c r="AA81">
        <v>0</v>
      </c>
      <c r="AB81" s="2">
        <v>0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8.0500000000000007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</row>
    <row r="82" spans="1:43" x14ac:dyDescent="0.3">
      <c r="A82" s="1">
        <v>46125</v>
      </c>
      <c r="B82" t="s">
        <v>48</v>
      </c>
      <c r="C82">
        <v>649163</v>
      </c>
      <c r="D82">
        <v>2032178545</v>
      </c>
      <c r="E82" t="s">
        <v>277</v>
      </c>
      <c r="F82" t="s">
        <v>278</v>
      </c>
      <c r="G82" t="s">
        <v>51</v>
      </c>
      <c r="H82" t="s">
        <v>126</v>
      </c>
      <c r="I82" t="s">
        <v>53</v>
      </c>
      <c r="J82" t="s">
        <v>54</v>
      </c>
      <c r="K82">
        <v>813184</v>
      </c>
      <c r="L82" t="s">
        <v>127</v>
      </c>
      <c r="M82" t="s">
        <v>128</v>
      </c>
      <c r="N82" t="s">
        <v>57</v>
      </c>
      <c r="O82" s="1">
        <v>45976</v>
      </c>
      <c r="Q82" s="1">
        <v>46157</v>
      </c>
      <c r="R82" s="2">
        <v>54.3</v>
      </c>
      <c r="S82">
        <v>1</v>
      </c>
      <c r="T82" t="s">
        <v>58</v>
      </c>
      <c r="U82" t="s">
        <v>173</v>
      </c>
      <c r="V82" s="3">
        <v>0.7</v>
      </c>
      <c r="W82" s="2">
        <v>0</v>
      </c>
      <c r="X82">
        <v>0</v>
      </c>
      <c r="Y82" t="s">
        <v>60</v>
      </c>
      <c r="Z82" t="s">
        <v>61</v>
      </c>
      <c r="AA82">
        <v>0</v>
      </c>
      <c r="AB82" s="2">
        <v>0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38.01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</row>
    <row r="83" spans="1:43" x14ac:dyDescent="0.3">
      <c r="A83" s="1">
        <v>46125</v>
      </c>
      <c r="B83" t="s">
        <v>48</v>
      </c>
      <c r="C83">
        <v>649163</v>
      </c>
      <c r="D83">
        <v>2032192506</v>
      </c>
      <c r="E83" t="s">
        <v>279</v>
      </c>
      <c r="F83" t="s">
        <v>280</v>
      </c>
      <c r="G83" t="s">
        <v>51</v>
      </c>
      <c r="H83" t="s">
        <v>93</v>
      </c>
      <c r="I83" t="s">
        <v>53</v>
      </c>
      <c r="J83" t="s">
        <v>94</v>
      </c>
      <c r="K83">
        <v>902625</v>
      </c>
      <c r="L83" t="s">
        <v>281</v>
      </c>
      <c r="M83" t="s">
        <v>282</v>
      </c>
      <c r="N83" t="s">
        <v>57</v>
      </c>
      <c r="O83" s="1">
        <v>45977</v>
      </c>
      <c r="Q83" s="1">
        <v>46158</v>
      </c>
      <c r="R83" s="2">
        <v>21.08</v>
      </c>
      <c r="S83">
        <v>1</v>
      </c>
      <c r="T83" t="s">
        <v>58</v>
      </c>
      <c r="U83" t="s">
        <v>173</v>
      </c>
      <c r="V83" s="3">
        <v>0.42</v>
      </c>
      <c r="W83" s="2">
        <v>0</v>
      </c>
      <c r="X83">
        <v>0</v>
      </c>
      <c r="Y83" t="s">
        <v>60</v>
      </c>
      <c r="Z83" t="s">
        <v>61</v>
      </c>
      <c r="AA83">
        <v>0</v>
      </c>
      <c r="AB83" s="2">
        <v>0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8.85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</row>
    <row r="84" spans="1:43" x14ac:dyDescent="0.3">
      <c r="A84" s="1">
        <v>46125</v>
      </c>
      <c r="B84" t="s">
        <v>48</v>
      </c>
      <c r="C84">
        <v>649163</v>
      </c>
      <c r="D84">
        <v>2032192507</v>
      </c>
      <c r="E84" t="s">
        <v>279</v>
      </c>
      <c r="F84" t="s">
        <v>280</v>
      </c>
      <c r="G84" t="s">
        <v>51</v>
      </c>
      <c r="H84" t="s">
        <v>93</v>
      </c>
      <c r="I84" t="s">
        <v>53</v>
      </c>
      <c r="J84" t="s">
        <v>97</v>
      </c>
      <c r="K84">
        <v>902625</v>
      </c>
      <c r="L84" t="s">
        <v>281</v>
      </c>
      <c r="M84" t="s">
        <v>282</v>
      </c>
      <c r="N84" t="s">
        <v>57</v>
      </c>
      <c r="O84" s="1">
        <v>45977</v>
      </c>
      <c r="Q84" s="1">
        <v>46158</v>
      </c>
      <c r="R84" s="2">
        <v>24.61</v>
      </c>
      <c r="S84">
        <v>1</v>
      </c>
      <c r="T84" t="s">
        <v>58</v>
      </c>
      <c r="U84" t="s">
        <v>173</v>
      </c>
      <c r="V84" s="3">
        <v>0.7</v>
      </c>
      <c r="W84" s="2">
        <v>0</v>
      </c>
      <c r="X84">
        <v>0</v>
      </c>
      <c r="Y84" t="s">
        <v>60</v>
      </c>
      <c r="Z84" t="s">
        <v>61</v>
      </c>
      <c r="AA84">
        <v>0</v>
      </c>
      <c r="AB84" s="2">
        <v>0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17.23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</row>
    <row r="85" spans="1:43" x14ac:dyDescent="0.3">
      <c r="A85" s="1">
        <v>46125</v>
      </c>
      <c r="B85" t="s">
        <v>48</v>
      </c>
      <c r="C85">
        <v>649163</v>
      </c>
      <c r="D85">
        <v>2032195793</v>
      </c>
      <c r="E85" t="s">
        <v>283</v>
      </c>
      <c r="F85" t="s">
        <v>284</v>
      </c>
      <c r="G85" t="s">
        <v>51</v>
      </c>
      <c r="H85" t="s">
        <v>80</v>
      </c>
      <c r="I85" t="s">
        <v>53</v>
      </c>
      <c r="J85" t="s">
        <v>54</v>
      </c>
      <c r="K85">
        <v>812656</v>
      </c>
      <c r="L85" t="s">
        <v>171</v>
      </c>
      <c r="M85" t="s">
        <v>172</v>
      </c>
      <c r="N85" t="s">
        <v>57</v>
      </c>
      <c r="O85" s="1">
        <v>46023</v>
      </c>
      <c r="Q85" s="1">
        <v>46143</v>
      </c>
      <c r="R85" s="2">
        <v>11.5</v>
      </c>
      <c r="S85">
        <v>1</v>
      </c>
      <c r="T85" t="s">
        <v>58</v>
      </c>
      <c r="U85" t="s">
        <v>173</v>
      </c>
      <c r="V85" s="3">
        <v>0.7</v>
      </c>
      <c r="W85" s="2">
        <v>0</v>
      </c>
      <c r="X85">
        <v>0</v>
      </c>
      <c r="Y85" t="s">
        <v>60</v>
      </c>
      <c r="Z85" t="s">
        <v>61</v>
      </c>
      <c r="AA85">
        <v>0</v>
      </c>
      <c r="AB85" s="2">
        <v>0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8.0500000000000007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</row>
    <row r="86" spans="1:43" x14ac:dyDescent="0.3">
      <c r="A86" s="1">
        <v>46125</v>
      </c>
      <c r="B86" t="s">
        <v>48</v>
      </c>
      <c r="C86">
        <v>649163</v>
      </c>
      <c r="D86">
        <v>2032200714</v>
      </c>
      <c r="E86" t="s">
        <v>285</v>
      </c>
      <c r="F86" t="s">
        <v>286</v>
      </c>
      <c r="G86" t="s">
        <v>51</v>
      </c>
      <c r="H86" t="s">
        <v>80</v>
      </c>
      <c r="I86" t="s">
        <v>53</v>
      </c>
      <c r="J86" t="s">
        <v>65</v>
      </c>
      <c r="K86">
        <v>824062</v>
      </c>
      <c r="L86" t="s">
        <v>167</v>
      </c>
      <c r="M86" t="s">
        <v>168</v>
      </c>
      <c r="N86" t="s">
        <v>86</v>
      </c>
      <c r="O86" s="1">
        <v>45992</v>
      </c>
      <c r="P86" s="1">
        <v>46118</v>
      </c>
      <c r="Q86" s="1">
        <v>46143</v>
      </c>
      <c r="R86" s="2">
        <v>-102.45</v>
      </c>
      <c r="S86">
        <v>1</v>
      </c>
      <c r="T86" t="s">
        <v>58</v>
      </c>
      <c r="U86" t="s">
        <v>173</v>
      </c>
      <c r="V86" s="3">
        <v>0.9</v>
      </c>
      <c r="W86" s="2">
        <v>0</v>
      </c>
      <c r="X86">
        <v>-1</v>
      </c>
      <c r="Y86" t="s">
        <v>60</v>
      </c>
      <c r="Z86" t="s">
        <v>61</v>
      </c>
      <c r="AA86">
        <v>0</v>
      </c>
      <c r="AB86" s="2">
        <v>0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-92.2</v>
      </c>
      <c r="AN86" s="2">
        <v>-92.2</v>
      </c>
      <c r="AO86" s="2">
        <v>0</v>
      </c>
      <c r="AP86" s="2">
        <v>0</v>
      </c>
      <c r="AQ86" s="2">
        <v>0</v>
      </c>
    </row>
    <row r="87" spans="1:43" x14ac:dyDescent="0.3">
      <c r="A87" s="1">
        <v>46125</v>
      </c>
      <c r="B87" t="s">
        <v>48</v>
      </c>
      <c r="C87">
        <v>649163</v>
      </c>
      <c r="D87">
        <v>2032311595</v>
      </c>
      <c r="E87" t="s">
        <v>287</v>
      </c>
      <c r="F87" t="s">
        <v>288</v>
      </c>
      <c r="G87" t="s">
        <v>51</v>
      </c>
      <c r="H87" t="s">
        <v>80</v>
      </c>
      <c r="I87" t="s">
        <v>53</v>
      </c>
      <c r="J87" t="s">
        <v>54</v>
      </c>
      <c r="K87">
        <v>812994</v>
      </c>
      <c r="L87" t="s">
        <v>110</v>
      </c>
      <c r="M87" t="s">
        <v>111</v>
      </c>
      <c r="N87" t="s">
        <v>86</v>
      </c>
      <c r="O87" s="1">
        <v>46023</v>
      </c>
      <c r="P87" s="1">
        <v>46125</v>
      </c>
      <c r="Q87" s="1">
        <v>46143</v>
      </c>
      <c r="R87" s="2">
        <v>-152.77000000000001</v>
      </c>
      <c r="S87">
        <v>1</v>
      </c>
      <c r="T87" t="s">
        <v>58</v>
      </c>
      <c r="U87" t="s">
        <v>173</v>
      </c>
      <c r="V87" s="3">
        <v>0.7</v>
      </c>
      <c r="W87" s="2">
        <v>0</v>
      </c>
      <c r="X87">
        <v>-1</v>
      </c>
      <c r="Y87" t="s">
        <v>60</v>
      </c>
      <c r="Z87" t="s">
        <v>61</v>
      </c>
      <c r="AA87">
        <v>0</v>
      </c>
      <c r="AB87" s="2">
        <v>0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-106.94</v>
      </c>
      <c r="AN87" s="2">
        <v>-106.94</v>
      </c>
      <c r="AO87" s="2">
        <v>0</v>
      </c>
      <c r="AP87" s="2">
        <v>0</v>
      </c>
      <c r="AQ87" s="2">
        <v>0</v>
      </c>
    </row>
    <row r="88" spans="1:43" x14ac:dyDescent="0.3">
      <c r="A88" s="1">
        <v>46125</v>
      </c>
      <c r="B88" t="s">
        <v>48</v>
      </c>
      <c r="C88">
        <v>649163</v>
      </c>
      <c r="D88">
        <v>2032333740</v>
      </c>
      <c r="E88" t="s">
        <v>289</v>
      </c>
      <c r="F88" t="s">
        <v>290</v>
      </c>
      <c r="G88" t="s">
        <v>51</v>
      </c>
      <c r="H88" t="s">
        <v>80</v>
      </c>
      <c r="I88" t="s">
        <v>53</v>
      </c>
      <c r="J88" t="s">
        <v>54</v>
      </c>
      <c r="K88">
        <v>875334</v>
      </c>
      <c r="L88" t="s">
        <v>195</v>
      </c>
      <c r="M88" t="s">
        <v>196</v>
      </c>
      <c r="N88" t="s">
        <v>57</v>
      </c>
      <c r="O88" s="1">
        <v>46023</v>
      </c>
      <c r="Q88" s="1">
        <v>46143</v>
      </c>
      <c r="R88" s="2">
        <v>-76.709999999999994</v>
      </c>
      <c r="S88">
        <v>1</v>
      </c>
      <c r="T88" t="s">
        <v>58</v>
      </c>
      <c r="U88" t="s">
        <v>173</v>
      </c>
      <c r="V88" s="3">
        <v>0.7</v>
      </c>
      <c r="W88" s="2">
        <v>0</v>
      </c>
      <c r="X88">
        <v>-1</v>
      </c>
      <c r="Y88" t="s">
        <v>60</v>
      </c>
      <c r="Z88" t="s">
        <v>61</v>
      </c>
      <c r="AA88">
        <v>0</v>
      </c>
      <c r="AB88" s="2">
        <v>0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-53.7</v>
      </c>
      <c r="AN88" s="2">
        <v>-53.7</v>
      </c>
      <c r="AO88" s="2">
        <v>0</v>
      </c>
      <c r="AP88" s="2">
        <v>0</v>
      </c>
      <c r="AQ88" s="2">
        <v>0</v>
      </c>
    </row>
    <row r="89" spans="1:43" x14ac:dyDescent="0.3">
      <c r="A89" s="1">
        <v>46125</v>
      </c>
      <c r="B89" t="s">
        <v>48</v>
      </c>
      <c r="C89">
        <v>649163</v>
      </c>
      <c r="D89">
        <v>2032445033</v>
      </c>
      <c r="E89" t="s">
        <v>291</v>
      </c>
      <c r="F89" t="s">
        <v>200</v>
      </c>
      <c r="G89" t="s">
        <v>51</v>
      </c>
      <c r="H89" t="s">
        <v>80</v>
      </c>
      <c r="I89" t="s">
        <v>53</v>
      </c>
      <c r="J89" t="s">
        <v>54</v>
      </c>
      <c r="K89">
        <v>824062</v>
      </c>
      <c r="L89" t="s">
        <v>167</v>
      </c>
      <c r="M89" t="s">
        <v>168</v>
      </c>
      <c r="N89" t="s">
        <v>57</v>
      </c>
      <c r="O89" s="1">
        <v>46006</v>
      </c>
      <c r="Q89" s="1">
        <v>46157</v>
      </c>
      <c r="R89" s="2">
        <v>22</v>
      </c>
      <c r="S89">
        <v>1</v>
      </c>
      <c r="T89" t="s">
        <v>58</v>
      </c>
      <c r="U89" t="s">
        <v>173</v>
      </c>
      <c r="V89" s="3">
        <v>0.7</v>
      </c>
      <c r="W89" s="2">
        <v>0</v>
      </c>
      <c r="X89">
        <v>0</v>
      </c>
      <c r="Y89" t="s">
        <v>60</v>
      </c>
      <c r="Z89" t="s">
        <v>61</v>
      </c>
      <c r="AA89">
        <v>0</v>
      </c>
      <c r="AB89" s="2">
        <v>0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15.4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</row>
    <row r="90" spans="1:43" x14ac:dyDescent="0.3">
      <c r="A90" s="1">
        <v>46125</v>
      </c>
      <c r="B90" t="s">
        <v>48</v>
      </c>
      <c r="C90">
        <v>649163</v>
      </c>
      <c r="D90">
        <v>2032547222</v>
      </c>
      <c r="E90" t="s">
        <v>292</v>
      </c>
      <c r="F90" t="s">
        <v>165</v>
      </c>
      <c r="G90" t="s">
        <v>51</v>
      </c>
      <c r="H90" t="s">
        <v>70</v>
      </c>
      <c r="I90" t="s">
        <v>53</v>
      </c>
      <c r="J90" t="s">
        <v>54</v>
      </c>
      <c r="K90">
        <v>753748</v>
      </c>
      <c r="L90" t="s">
        <v>146</v>
      </c>
      <c r="M90" t="s">
        <v>147</v>
      </c>
      <c r="N90" t="s">
        <v>57</v>
      </c>
      <c r="O90" s="1">
        <v>46023</v>
      </c>
      <c r="Q90" s="1">
        <v>46143</v>
      </c>
      <c r="R90" s="2">
        <v>143.15</v>
      </c>
      <c r="S90">
        <v>1</v>
      </c>
      <c r="T90" t="s">
        <v>58</v>
      </c>
      <c r="U90" t="s">
        <v>173</v>
      </c>
      <c r="V90" s="3">
        <v>0.7</v>
      </c>
      <c r="W90" s="2">
        <v>0</v>
      </c>
      <c r="X90">
        <v>0</v>
      </c>
      <c r="Y90" t="s">
        <v>60</v>
      </c>
      <c r="Z90" t="s">
        <v>61</v>
      </c>
      <c r="AA90">
        <v>0</v>
      </c>
      <c r="AB90" s="2">
        <v>0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100.2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</row>
    <row r="91" spans="1:43" x14ac:dyDescent="0.3">
      <c r="A91" s="1">
        <v>46125</v>
      </c>
      <c r="B91" t="s">
        <v>48</v>
      </c>
      <c r="C91">
        <v>649163</v>
      </c>
      <c r="D91">
        <v>2032569048</v>
      </c>
      <c r="E91" t="s">
        <v>293</v>
      </c>
      <c r="F91" t="s">
        <v>294</v>
      </c>
      <c r="G91" t="s">
        <v>51</v>
      </c>
      <c r="H91" t="s">
        <v>295</v>
      </c>
      <c r="I91" t="s">
        <v>53</v>
      </c>
      <c r="J91" t="s">
        <v>54</v>
      </c>
      <c r="K91">
        <v>767312</v>
      </c>
      <c r="L91" t="s">
        <v>134</v>
      </c>
      <c r="M91" t="s">
        <v>98</v>
      </c>
      <c r="N91" t="s">
        <v>57</v>
      </c>
      <c r="O91" s="1">
        <v>46004</v>
      </c>
      <c r="Q91" s="1">
        <v>46155</v>
      </c>
      <c r="R91" s="2">
        <v>167.54</v>
      </c>
      <c r="S91">
        <v>1</v>
      </c>
      <c r="T91" t="s">
        <v>58</v>
      </c>
      <c r="U91" t="s">
        <v>173</v>
      </c>
      <c r="V91" s="3">
        <v>0.7</v>
      </c>
      <c r="W91" s="2">
        <v>0</v>
      </c>
      <c r="X91">
        <v>0</v>
      </c>
      <c r="Y91" t="s">
        <v>60</v>
      </c>
      <c r="Z91" t="s">
        <v>61</v>
      </c>
      <c r="AA91">
        <v>0</v>
      </c>
      <c r="AB91" s="2">
        <v>0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117.28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</row>
    <row r="92" spans="1:43" x14ac:dyDescent="0.3">
      <c r="A92" s="1">
        <v>46125</v>
      </c>
      <c r="B92" t="s">
        <v>48</v>
      </c>
      <c r="C92">
        <v>649163</v>
      </c>
      <c r="D92">
        <v>2032569049</v>
      </c>
      <c r="E92" t="s">
        <v>293</v>
      </c>
      <c r="F92" t="s">
        <v>294</v>
      </c>
      <c r="G92" t="s">
        <v>51</v>
      </c>
      <c r="H92" t="s">
        <v>295</v>
      </c>
      <c r="I92" t="s">
        <v>53</v>
      </c>
      <c r="J92" t="s">
        <v>65</v>
      </c>
      <c r="K92">
        <v>767312</v>
      </c>
      <c r="L92" t="s">
        <v>134</v>
      </c>
      <c r="M92" t="s">
        <v>98</v>
      </c>
      <c r="N92" t="s">
        <v>57</v>
      </c>
      <c r="O92" s="1">
        <v>46004</v>
      </c>
      <c r="Q92" s="1">
        <v>46155</v>
      </c>
      <c r="R92" s="2">
        <v>57.35</v>
      </c>
      <c r="S92">
        <v>1</v>
      </c>
      <c r="T92" t="s">
        <v>58</v>
      </c>
      <c r="U92" t="s">
        <v>173</v>
      </c>
      <c r="V92" s="3">
        <v>0.9</v>
      </c>
      <c r="W92" s="2">
        <v>0</v>
      </c>
      <c r="X92">
        <v>0</v>
      </c>
      <c r="Y92" t="s">
        <v>60</v>
      </c>
      <c r="Z92" t="s">
        <v>61</v>
      </c>
      <c r="AA92">
        <v>0</v>
      </c>
      <c r="AB92" s="2">
        <v>0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51.62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</row>
    <row r="93" spans="1:43" x14ac:dyDescent="0.3">
      <c r="A93" s="1">
        <v>46125</v>
      </c>
      <c r="B93" t="s">
        <v>48</v>
      </c>
      <c r="C93">
        <v>649163</v>
      </c>
      <c r="D93">
        <v>2032604912</v>
      </c>
      <c r="E93" t="s">
        <v>296</v>
      </c>
      <c r="F93" t="s">
        <v>297</v>
      </c>
      <c r="G93" t="s">
        <v>51</v>
      </c>
      <c r="H93" t="s">
        <v>298</v>
      </c>
      <c r="I93" t="s">
        <v>53</v>
      </c>
      <c r="J93" t="s">
        <v>65</v>
      </c>
      <c r="K93">
        <v>893408</v>
      </c>
      <c r="L93" t="s">
        <v>299</v>
      </c>
      <c r="M93" t="s">
        <v>300</v>
      </c>
      <c r="N93" t="s">
        <v>57</v>
      </c>
      <c r="O93" s="1">
        <v>46002</v>
      </c>
      <c r="Q93" s="1">
        <v>46153</v>
      </c>
      <c r="R93" s="2">
        <v>38.69</v>
      </c>
      <c r="S93">
        <v>1</v>
      </c>
      <c r="T93" t="s">
        <v>58</v>
      </c>
      <c r="U93" t="s">
        <v>173</v>
      </c>
      <c r="V93" s="3">
        <v>0.9</v>
      </c>
      <c r="W93" s="2">
        <v>0</v>
      </c>
      <c r="X93">
        <v>0</v>
      </c>
      <c r="Y93" t="s">
        <v>60</v>
      </c>
      <c r="Z93" t="s">
        <v>61</v>
      </c>
      <c r="AA93">
        <v>0</v>
      </c>
      <c r="AB93" s="2">
        <v>0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34.82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</row>
    <row r="94" spans="1:43" x14ac:dyDescent="0.3">
      <c r="A94" s="1">
        <v>46125</v>
      </c>
      <c r="B94" t="s">
        <v>48</v>
      </c>
      <c r="C94">
        <v>649163</v>
      </c>
      <c r="D94">
        <v>2032605130</v>
      </c>
      <c r="E94" t="s">
        <v>301</v>
      </c>
      <c r="F94" t="s">
        <v>302</v>
      </c>
      <c r="G94" t="s">
        <v>51</v>
      </c>
      <c r="H94" t="s">
        <v>80</v>
      </c>
      <c r="I94" t="s">
        <v>53</v>
      </c>
      <c r="J94" t="s">
        <v>54</v>
      </c>
      <c r="K94">
        <v>856163</v>
      </c>
      <c r="L94" t="s">
        <v>120</v>
      </c>
      <c r="M94" t="s">
        <v>183</v>
      </c>
      <c r="N94" t="s">
        <v>57</v>
      </c>
      <c r="O94" s="1">
        <v>46002</v>
      </c>
      <c r="Q94" s="1">
        <v>46153</v>
      </c>
      <c r="R94" s="2">
        <v>49.8</v>
      </c>
      <c r="S94">
        <v>1</v>
      </c>
      <c r="T94" t="s">
        <v>58</v>
      </c>
      <c r="U94" t="s">
        <v>173</v>
      </c>
      <c r="V94" s="3">
        <v>0.7</v>
      </c>
      <c r="W94" s="2">
        <v>0</v>
      </c>
      <c r="X94">
        <v>0</v>
      </c>
      <c r="Y94" t="s">
        <v>60</v>
      </c>
      <c r="Z94" t="s">
        <v>61</v>
      </c>
      <c r="AA94">
        <v>0</v>
      </c>
      <c r="AB94" s="2">
        <v>0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34.86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</row>
    <row r="95" spans="1:43" x14ac:dyDescent="0.3">
      <c r="A95" s="1">
        <v>46125</v>
      </c>
      <c r="B95" t="s">
        <v>48</v>
      </c>
      <c r="C95">
        <v>649163</v>
      </c>
      <c r="D95">
        <v>2032605394</v>
      </c>
      <c r="E95" t="s">
        <v>303</v>
      </c>
      <c r="F95" t="s">
        <v>304</v>
      </c>
      <c r="G95" t="s">
        <v>51</v>
      </c>
      <c r="H95" t="s">
        <v>80</v>
      </c>
      <c r="I95" t="s">
        <v>53</v>
      </c>
      <c r="J95" t="s">
        <v>54</v>
      </c>
      <c r="K95">
        <v>812656</v>
      </c>
      <c r="L95" t="s">
        <v>171</v>
      </c>
      <c r="M95" t="s">
        <v>172</v>
      </c>
      <c r="N95" t="s">
        <v>57</v>
      </c>
      <c r="O95" s="1">
        <v>46008</v>
      </c>
      <c r="Q95" s="1">
        <v>46159</v>
      </c>
      <c r="R95" s="2">
        <v>37.18</v>
      </c>
      <c r="S95">
        <v>1</v>
      </c>
      <c r="T95" t="s">
        <v>58</v>
      </c>
      <c r="U95" t="s">
        <v>173</v>
      </c>
      <c r="V95" s="3">
        <v>0.7</v>
      </c>
      <c r="W95" s="2">
        <v>0</v>
      </c>
      <c r="X95">
        <v>0</v>
      </c>
      <c r="Y95" t="s">
        <v>60</v>
      </c>
      <c r="Z95" t="s">
        <v>61</v>
      </c>
      <c r="AA95">
        <v>0</v>
      </c>
      <c r="AB95" s="2">
        <v>0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26.03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</row>
    <row r="96" spans="1:43" x14ac:dyDescent="0.3">
      <c r="A96" s="1">
        <v>46125</v>
      </c>
      <c r="B96" t="s">
        <v>48</v>
      </c>
      <c r="C96">
        <v>649163</v>
      </c>
      <c r="D96">
        <v>2032607590</v>
      </c>
      <c r="E96" t="s">
        <v>305</v>
      </c>
      <c r="F96" t="s">
        <v>306</v>
      </c>
      <c r="G96" t="s">
        <v>51</v>
      </c>
      <c r="H96" t="s">
        <v>80</v>
      </c>
      <c r="I96" t="s">
        <v>53</v>
      </c>
      <c r="J96" t="s">
        <v>65</v>
      </c>
      <c r="K96">
        <v>820873</v>
      </c>
      <c r="L96" t="s">
        <v>307</v>
      </c>
      <c r="M96" t="s">
        <v>308</v>
      </c>
      <c r="N96" t="s">
        <v>57</v>
      </c>
      <c r="O96" s="1">
        <v>46002</v>
      </c>
      <c r="Q96" s="1">
        <v>46153</v>
      </c>
      <c r="R96" s="2">
        <v>44.88</v>
      </c>
      <c r="S96">
        <v>1</v>
      </c>
      <c r="T96" t="s">
        <v>58</v>
      </c>
      <c r="U96" t="s">
        <v>173</v>
      </c>
      <c r="V96" s="3">
        <v>0.9</v>
      </c>
      <c r="W96" s="2">
        <v>0</v>
      </c>
      <c r="X96">
        <v>0</v>
      </c>
      <c r="Y96" t="s">
        <v>60</v>
      </c>
      <c r="Z96" t="s">
        <v>61</v>
      </c>
      <c r="AA96">
        <v>0</v>
      </c>
      <c r="AB96" s="2">
        <v>0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40.39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</row>
    <row r="97" spans="1:43" x14ac:dyDescent="0.3">
      <c r="A97" s="1">
        <v>46125</v>
      </c>
      <c r="B97" t="s">
        <v>48</v>
      </c>
      <c r="C97">
        <v>649163</v>
      </c>
      <c r="D97">
        <v>2032612599</v>
      </c>
      <c r="E97" t="s">
        <v>309</v>
      </c>
      <c r="F97" t="s">
        <v>310</v>
      </c>
      <c r="G97" t="s">
        <v>51</v>
      </c>
      <c r="H97" t="s">
        <v>80</v>
      </c>
      <c r="I97" t="s">
        <v>53</v>
      </c>
      <c r="J97" t="s">
        <v>54</v>
      </c>
      <c r="K97">
        <v>867497</v>
      </c>
      <c r="L97" t="s">
        <v>311</v>
      </c>
      <c r="M97" t="s">
        <v>312</v>
      </c>
      <c r="N97" t="s">
        <v>57</v>
      </c>
      <c r="O97" s="1">
        <v>46002</v>
      </c>
      <c r="Q97" s="1">
        <v>46153</v>
      </c>
      <c r="R97" s="2">
        <v>18.45</v>
      </c>
      <c r="S97">
        <v>1</v>
      </c>
      <c r="T97" t="s">
        <v>58</v>
      </c>
      <c r="U97" t="s">
        <v>173</v>
      </c>
      <c r="V97" s="3">
        <v>0.7</v>
      </c>
      <c r="W97" s="2">
        <v>0</v>
      </c>
      <c r="X97">
        <v>0</v>
      </c>
      <c r="Y97" t="s">
        <v>60</v>
      </c>
      <c r="Z97" t="s">
        <v>61</v>
      </c>
      <c r="AA97">
        <v>0</v>
      </c>
      <c r="AB97" s="2">
        <v>0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12.92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</row>
    <row r="98" spans="1:43" x14ac:dyDescent="0.3">
      <c r="A98" s="1">
        <v>46125</v>
      </c>
      <c r="B98" t="s">
        <v>48</v>
      </c>
      <c r="C98">
        <v>649163</v>
      </c>
      <c r="D98">
        <v>2032616561</v>
      </c>
      <c r="E98" t="s">
        <v>313</v>
      </c>
      <c r="F98" t="s">
        <v>314</v>
      </c>
      <c r="G98" t="s">
        <v>51</v>
      </c>
      <c r="H98" t="s">
        <v>80</v>
      </c>
      <c r="I98" t="s">
        <v>53</v>
      </c>
      <c r="J98" t="s">
        <v>54</v>
      </c>
      <c r="K98">
        <v>823350</v>
      </c>
      <c r="L98" t="s">
        <v>120</v>
      </c>
      <c r="M98" t="s">
        <v>121</v>
      </c>
      <c r="N98" t="s">
        <v>57</v>
      </c>
      <c r="O98" s="1">
        <v>46005</v>
      </c>
      <c r="Q98" s="1">
        <v>46156</v>
      </c>
      <c r="R98" s="2">
        <v>56.07</v>
      </c>
      <c r="S98">
        <v>1</v>
      </c>
      <c r="T98" t="s">
        <v>58</v>
      </c>
      <c r="U98" t="s">
        <v>173</v>
      </c>
      <c r="V98" s="3">
        <v>0.7</v>
      </c>
      <c r="W98" s="2">
        <v>0</v>
      </c>
      <c r="X98">
        <v>0</v>
      </c>
      <c r="Y98" t="s">
        <v>60</v>
      </c>
      <c r="Z98" t="s">
        <v>61</v>
      </c>
      <c r="AA98">
        <v>0</v>
      </c>
      <c r="AB98" s="2">
        <v>0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39.25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</row>
    <row r="99" spans="1:43" x14ac:dyDescent="0.3">
      <c r="A99" s="1">
        <v>46125</v>
      </c>
      <c r="B99" t="s">
        <v>48</v>
      </c>
      <c r="C99">
        <v>649163</v>
      </c>
      <c r="D99">
        <v>2032621540</v>
      </c>
      <c r="E99" t="s">
        <v>315</v>
      </c>
      <c r="F99" t="s">
        <v>316</v>
      </c>
      <c r="G99" t="s">
        <v>51</v>
      </c>
      <c r="H99" t="s">
        <v>93</v>
      </c>
      <c r="I99" t="s">
        <v>53</v>
      </c>
      <c r="J99" t="s">
        <v>97</v>
      </c>
      <c r="K99">
        <v>823068</v>
      </c>
      <c r="L99" t="s">
        <v>95</v>
      </c>
      <c r="M99" t="s">
        <v>96</v>
      </c>
      <c r="N99" t="s">
        <v>57</v>
      </c>
      <c r="O99" s="1">
        <v>46003</v>
      </c>
      <c r="Q99" s="1">
        <v>46154</v>
      </c>
      <c r="R99" s="2">
        <v>24.61</v>
      </c>
      <c r="S99">
        <v>1</v>
      </c>
      <c r="T99" t="s">
        <v>58</v>
      </c>
      <c r="U99" t="s">
        <v>173</v>
      </c>
      <c r="V99" s="3">
        <v>0.7</v>
      </c>
      <c r="W99" s="2">
        <v>0</v>
      </c>
      <c r="X99">
        <v>0</v>
      </c>
      <c r="Y99" t="s">
        <v>60</v>
      </c>
      <c r="Z99" t="s">
        <v>61</v>
      </c>
      <c r="AA99">
        <v>0</v>
      </c>
      <c r="AB99" s="2">
        <v>0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17.23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</row>
    <row r="100" spans="1:43" x14ac:dyDescent="0.3">
      <c r="A100" s="1">
        <v>46125</v>
      </c>
      <c r="B100" t="s">
        <v>48</v>
      </c>
      <c r="C100">
        <v>649163</v>
      </c>
      <c r="D100">
        <v>2032627613</v>
      </c>
      <c r="E100" t="s">
        <v>317</v>
      </c>
      <c r="F100" t="s">
        <v>318</v>
      </c>
      <c r="G100" t="s">
        <v>51</v>
      </c>
      <c r="H100" t="s">
        <v>103</v>
      </c>
      <c r="I100" t="s">
        <v>53</v>
      </c>
      <c r="J100" t="s">
        <v>54</v>
      </c>
      <c r="K100">
        <v>816021</v>
      </c>
      <c r="L100" t="s">
        <v>104</v>
      </c>
      <c r="M100" t="s">
        <v>105</v>
      </c>
      <c r="N100" t="s">
        <v>57</v>
      </c>
      <c r="O100" s="1">
        <v>46003</v>
      </c>
      <c r="Q100" s="1">
        <v>46154</v>
      </c>
      <c r="R100" s="2">
        <v>9.1</v>
      </c>
      <c r="S100">
        <v>1</v>
      </c>
      <c r="T100" t="s">
        <v>58</v>
      </c>
      <c r="U100" t="s">
        <v>173</v>
      </c>
      <c r="V100" s="3">
        <v>0.7</v>
      </c>
      <c r="W100" s="2">
        <v>0</v>
      </c>
      <c r="X100">
        <v>0</v>
      </c>
      <c r="Y100" t="s">
        <v>60</v>
      </c>
      <c r="Z100" t="s">
        <v>61</v>
      </c>
      <c r="AA100">
        <v>0</v>
      </c>
      <c r="AB100" s="2">
        <v>0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6.37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</row>
    <row r="101" spans="1:43" x14ac:dyDescent="0.3">
      <c r="A101" s="1">
        <v>46125</v>
      </c>
      <c r="B101" t="s">
        <v>48</v>
      </c>
      <c r="C101">
        <v>649163</v>
      </c>
      <c r="D101">
        <v>2032628420</v>
      </c>
      <c r="E101" t="s">
        <v>319</v>
      </c>
      <c r="F101" t="s">
        <v>320</v>
      </c>
      <c r="G101" t="s">
        <v>51</v>
      </c>
      <c r="H101" t="s">
        <v>75</v>
      </c>
      <c r="I101" t="s">
        <v>53</v>
      </c>
      <c r="J101" t="s">
        <v>54</v>
      </c>
      <c r="K101">
        <v>856163</v>
      </c>
      <c r="L101" t="s">
        <v>120</v>
      </c>
      <c r="M101" t="s">
        <v>183</v>
      </c>
      <c r="N101" t="s">
        <v>57</v>
      </c>
      <c r="O101" s="1">
        <v>46023</v>
      </c>
      <c r="Q101" s="1">
        <v>46143</v>
      </c>
      <c r="R101" s="2">
        <v>194.5</v>
      </c>
      <c r="S101">
        <v>1</v>
      </c>
      <c r="T101" t="s">
        <v>58</v>
      </c>
      <c r="U101" t="s">
        <v>173</v>
      </c>
      <c r="V101" s="3">
        <v>0.7</v>
      </c>
      <c r="W101" s="2">
        <v>0</v>
      </c>
      <c r="X101">
        <v>0</v>
      </c>
      <c r="Y101" t="s">
        <v>60</v>
      </c>
      <c r="Z101" t="s">
        <v>61</v>
      </c>
      <c r="AA101">
        <v>0</v>
      </c>
      <c r="AB101" s="2">
        <v>0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136.15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</row>
    <row r="102" spans="1:43" x14ac:dyDescent="0.3">
      <c r="A102" s="1">
        <v>46125</v>
      </c>
      <c r="B102" t="s">
        <v>48</v>
      </c>
      <c r="C102">
        <v>649163</v>
      </c>
      <c r="D102">
        <v>2032634716</v>
      </c>
      <c r="E102" t="s">
        <v>321</v>
      </c>
      <c r="F102" t="s">
        <v>322</v>
      </c>
      <c r="G102" t="s">
        <v>51</v>
      </c>
      <c r="H102" t="s">
        <v>103</v>
      </c>
      <c r="I102" t="s">
        <v>53</v>
      </c>
      <c r="J102" t="s">
        <v>54</v>
      </c>
      <c r="K102">
        <v>816021</v>
      </c>
      <c r="L102" t="s">
        <v>104</v>
      </c>
      <c r="M102" t="s">
        <v>105</v>
      </c>
      <c r="N102" t="s">
        <v>57</v>
      </c>
      <c r="O102" s="1">
        <v>46006</v>
      </c>
      <c r="Q102" s="1">
        <v>46157</v>
      </c>
      <c r="R102" s="2">
        <v>18.2</v>
      </c>
      <c r="S102">
        <v>1</v>
      </c>
      <c r="T102" t="s">
        <v>58</v>
      </c>
      <c r="U102" t="s">
        <v>173</v>
      </c>
      <c r="V102" s="3">
        <v>0.7</v>
      </c>
      <c r="W102" s="2">
        <v>0</v>
      </c>
      <c r="X102">
        <v>0</v>
      </c>
      <c r="Y102" t="s">
        <v>60</v>
      </c>
      <c r="Z102" t="s">
        <v>61</v>
      </c>
      <c r="AA102">
        <v>0</v>
      </c>
      <c r="AB102" s="2">
        <v>0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12.74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</row>
    <row r="103" spans="1:43" x14ac:dyDescent="0.3">
      <c r="A103" s="1">
        <v>46125</v>
      </c>
      <c r="B103" t="s">
        <v>48</v>
      </c>
      <c r="C103">
        <v>649163</v>
      </c>
      <c r="D103">
        <v>2032634843</v>
      </c>
      <c r="E103" t="s">
        <v>323</v>
      </c>
      <c r="F103" t="s">
        <v>324</v>
      </c>
      <c r="G103" t="s">
        <v>51</v>
      </c>
      <c r="H103" t="s">
        <v>52</v>
      </c>
      <c r="I103" t="s">
        <v>53</v>
      </c>
      <c r="J103" t="s">
        <v>54</v>
      </c>
      <c r="K103">
        <v>867497</v>
      </c>
      <c r="L103" t="s">
        <v>311</v>
      </c>
      <c r="M103" t="s">
        <v>312</v>
      </c>
      <c r="N103" t="s">
        <v>57</v>
      </c>
      <c r="O103" s="1">
        <v>46003</v>
      </c>
      <c r="Q103" s="1">
        <v>46154</v>
      </c>
      <c r="R103" s="2">
        <v>57.27</v>
      </c>
      <c r="S103">
        <v>1</v>
      </c>
      <c r="T103" t="s">
        <v>58</v>
      </c>
      <c r="U103" t="s">
        <v>173</v>
      </c>
      <c r="V103" s="3">
        <v>0.7</v>
      </c>
      <c r="W103" s="2">
        <v>0</v>
      </c>
      <c r="X103">
        <v>0</v>
      </c>
      <c r="Y103" t="s">
        <v>60</v>
      </c>
      <c r="Z103" t="s">
        <v>61</v>
      </c>
      <c r="AA103">
        <v>0</v>
      </c>
      <c r="AB103" s="2">
        <v>0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40.090000000000003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</row>
    <row r="104" spans="1:43" x14ac:dyDescent="0.3">
      <c r="A104" s="1">
        <v>46125</v>
      </c>
      <c r="B104" t="s">
        <v>48</v>
      </c>
      <c r="C104">
        <v>649163</v>
      </c>
      <c r="D104">
        <v>2032638602</v>
      </c>
      <c r="E104" t="s">
        <v>325</v>
      </c>
      <c r="F104" t="s">
        <v>326</v>
      </c>
      <c r="G104" t="s">
        <v>51</v>
      </c>
      <c r="H104" t="s">
        <v>80</v>
      </c>
      <c r="I104" t="s">
        <v>53</v>
      </c>
      <c r="J104" t="s">
        <v>54</v>
      </c>
      <c r="K104">
        <v>867497</v>
      </c>
      <c r="L104" t="s">
        <v>311</v>
      </c>
      <c r="M104" t="s">
        <v>312</v>
      </c>
      <c r="N104" t="s">
        <v>57</v>
      </c>
      <c r="O104" s="1">
        <v>46003</v>
      </c>
      <c r="Q104" s="1">
        <v>46154</v>
      </c>
      <c r="R104" s="2">
        <v>18.45</v>
      </c>
      <c r="S104">
        <v>1</v>
      </c>
      <c r="T104" t="s">
        <v>58</v>
      </c>
      <c r="U104" t="s">
        <v>173</v>
      </c>
      <c r="V104" s="3">
        <v>0.7</v>
      </c>
      <c r="W104" s="2">
        <v>0</v>
      </c>
      <c r="X104">
        <v>0</v>
      </c>
      <c r="Y104" t="s">
        <v>60</v>
      </c>
      <c r="Z104" t="s">
        <v>61</v>
      </c>
      <c r="AA104">
        <v>0</v>
      </c>
      <c r="AB104" s="2">
        <v>0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12.92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</row>
    <row r="105" spans="1:43" x14ac:dyDescent="0.3">
      <c r="A105" s="1">
        <v>46125</v>
      </c>
      <c r="B105" t="s">
        <v>48</v>
      </c>
      <c r="C105">
        <v>649163</v>
      </c>
      <c r="D105">
        <v>2032645668</v>
      </c>
      <c r="E105" t="s">
        <v>327</v>
      </c>
      <c r="F105" t="s">
        <v>328</v>
      </c>
      <c r="G105" t="s">
        <v>51</v>
      </c>
      <c r="H105" t="s">
        <v>126</v>
      </c>
      <c r="I105" t="s">
        <v>53</v>
      </c>
      <c r="J105" t="s">
        <v>54</v>
      </c>
      <c r="K105">
        <v>813184</v>
      </c>
      <c r="L105" t="s">
        <v>127</v>
      </c>
      <c r="M105" t="s">
        <v>128</v>
      </c>
      <c r="N105" t="s">
        <v>57</v>
      </c>
      <c r="O105" s="1">
        <v>46004</v>
      </c>
      <c r="Q105" s="1">
        <v>46155</v>
      </c>
      <c r="R105" s="2">
        <v>27.18</v>
      </c>
      <c r="S105">
        <v>1</v>
      </c>
      <c r="T105" t="s">
        <v>58</v>
      </c>
      <c r="U105" t="s">
        <v>173</v>
      </c>
      <c r="V105" s="3">
        <v>0.7</v>
      </c>
      <c r="W105" s="2">
        <v>0</v>
      </c>
      <c r="X105">
        <v>0</v>
      </c>
      <c r="Y105" t="s">
        <v>60</v>
      </c>
      <c r="Z105" t="s">
        <v>61</v>
      </c>
      <c r="AA105">
        <v>0</v>
      </c>
      <c r="AB105" s="2">
        <v>0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19.03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</row>
    <row r="106" spans="1:43" x14ac:dyDescent="0.3">
      <c r="A106" s="1">
        <v>46125</v>
      </c>
      <c r="B106" t="s">
        <v>48</v>
      </c>
      <c r="C106">
        <v>649163</v>
      </c>
      <c r="D106">
        <v>2032647790</v>
      </c>
      <c r="E106" t="s">
        <v>329</v>
      </c>
      <c r="F106" t="s">
        <v>330</v>
      </c>
      <c r="G106" t="s">
        <v>51</v>
      </c>
      <c r="H106" t="s">
        <v>270</v>
      </c>
      <c r="I106" t="s">
        <v>53</v>
      </c>
      <c r="J106" t="s">
        <v>54</v>
      </c>
      <c r="K106">
        <v>893408</v>
      </c>
      <c r="L106" t="s">
        <v>299</v>
      </c>
      <c r="M106" t="s">
        <v>300</v>
      </c>
      <c r="N106" t="s">
        <v>57</v>
      </c>
      <c r="O106" s="1">
        <v>46004</v>
      </c>
      <c r="Q106" s="1">
        <v>46155</v>
      </c>
      <c r="R106" s="2">
        <v>79.17</v>
      </c>
      <c r="S106">
        <v>1</v>
      </c>
      <c r="T106" t="s">
        <v>58</v>
      </c>
      <c r="U106" t="s">
        <v>173</v>
      </c>
      <c r="V106" s="3">
        <v>0.7</v>
      </c>
      <c r="W106" s="2">
        <v>0</v>
      </c>
      <c r="X106">
        <v>0</v>
      </c>
      <c r="Y106" t="s">
        <v>60</v>
      </c>
      <c r="Z106" t="s">
        <v>61</v>
      </c>
      <c r="AA106">
        <v>0</v>
      </c>
      <c r="AB106" s="2">
        <v>0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55.42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</row>
    <row r="107" spans="1:43" x14ac:dyDescent="0.3">
      <c r="A107" s="1">
        <v>46125</v>
      </c>
      <c r="B107" t="s">
        <v>48</v>
      </c>
      <c r="C107">
        <v>649163</v>
      </c>
      <c r="D107">
        <v>2032650556</v>
      </c>
      <c r="E107" t="s">
        <v>331</v>
      </c>
      <c r="F107" t="s">
        <v>332</v>
      </c>
      <c r="G107" t="s">
        <v>51</v>
      </c>
      <c r="H107" t="s">
        <v>52</v>
      </c>
      <c r="I107" t="s">
        <v>53</v>
      </c>
      <c r="J107" t="s">
        <v>54</v>
      </c>
      <c r="K107">
        <v>806645</v>
      </c>
      <c r="L107" t="s">
        <v>262</v>
      </c>
      <c r="M107" t="s">
        <v>263</v>
      </c>
      <c r="N107" t="s">
        <v>57</v>
      </c>
      <c r="O107" s="1">
        <v>46004</v>
      </c>
      <c r="Q107" s="1">
        <v>46155</v>
      </c>
      <c r="R107" s="2">
        <v>33.979999999999997</v>
      </c>
      <c r="S107">
        <v>1</v>
      </c>
      <c r="T107" t="s">
        <v>58</v>
      </c>
      <c r="U107" t="s">
        <v>173</v>
      </c>
      <c r="V107" s="3">
        <v>0.7</v>
      </c>
      <c r="W107" s="2">
        <v>0</v>
      </c>
      <c r="X107">
        <v>0</v>
      </c>
      <c r="Y107" t="s">
        <v>60</v>
      </c>
      <c r="Z107" t="s">
        <v>61</v>
      </c>
      <c r="AA107">
        <v>0</v>
      </c>
      <c r="AB107" s="2">
        <v>0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23.79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</row>
    <row r="108" spans="1:43" x14ac:dyDescent="0.3">
      <c r="A108" s="1">
        <v>46125</v>
      </c>
      <c r="B108" t="s">
        <v>48</v>
      </c>
      <c r="C108">
        <v>649163</v>
      </c>
      <c r="D108">
        <v>2032652629</v>
      </c>
      <c r="E108" t="s">
        <v>333</v>
      </c>
      <c r="F108" t="s">
        <v>237</v>
      </c>
      <c r="G108" t="s">
        <v>51</v>
      </c>
      <c r="H108" t="s">
        <v>126</v>
      </c>
      <c r="I108" t="s">
        <v>53</v>
      </c>
      <c r="J108" t="s">
        <v>54</v>
      </c>
      <c r="K108">
        <v>813184</v>
      </c>
      <c r="L108" t="s">
        <v>127</v>
      </c>
      <c r="M108" t="s">
        <v>128</v>
      </c>
      <c r="N108" t="s">
        <v>57</v>
      </c>
      <c r="O108" s="1">
        <v>46004</v>
      </c>
      <c r="Q108" s="1">
        <v>46155</v>
      </c>
      <c r="R108" s="2">
        <v>89.8</v>
      </c>
      <c r="S108">
        <v>1</v>
      </c>
      <c r="T108" t="s">
        <v>58</v>
      </c>
      <c r="U108" t="s">
        <v>173</v>
      </c>
      <c r="V108" s="3">
        <v>0.7</v>
      </c>
      <c r="W108" s="2">
        <v>0</v>
      </c>
      <c r="X108">
        <v>0</v>
      </c>
      <c r="Y108" t="s">
        <v>60</v>
      </c>
      <c r="Z108" t="s">
        <v>61</v>
      </c>
      <c r="AA108">
        <v>0</v>
      </c>
      <c r="AB108" s="2">
        <v>0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62.86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</row>
    <row r="109" spans="1:43" x14ac:dyDescent="0.3">
      <c r="A109" s="1">
        <v>46125</v>
      </c>
      <c r="B109" t="s">
        <v>48</v>
      </c>
      <c r="C109">
        <v>649163</v>
      </c>
      <c r="D109">
        <v>2032657543</v>
      </c>
      <c r="E109" t="s">
        <v>334</v>
      </c>
      <c r="F109" t="s">
        <v>335</v>
      </c>
      <c r="G109" t="s">
        <v>51</v>
      </c>
      <c r="H109" t="s">
        <v>80</v>
      </c>
      <c r="I109" t="s">
        <v>53</v>
      </c>
      <c r="J109" t="s">
        <v>54</v>
      </c>
      <c r="K109">
        <v>806645</v>
      </c>
      <c r="L109" t="s">
        <v>262</v>
      </c>
      <c r="M109" t="s">
        <v>263</v>
      </c>
      <c r="N109" t="s">
        <v>57</v>
      </c>
      <c r="O109" s="1">
        <v>46004</v>
      </c>
      <c r="Q109" s="1">
        <v>46155</v>
      </c>
      <c r="R109" s="2">
        <v>58.24</v>
      </c>
      <c r="S109">
        <v>1</v>
      </c>
      <c r="T109" t="s">
        <v>58</v>
      </c>
      <c r="U109" t="s">
        <v>173</v>
      </c>
      <c r="V109" s="3">
        <v>0.7</v>
      </c>
      <c r="W109" s="2">
        <v>0</v>
      </c>
      <c r="X109">
        <v>0</v>
      </c>
      <c r="Y109" t="s">
        <v>60</v>
      </c>
      <c r="Z109" t="s">
        <v>61</v>
      </c>
      <c r="AA109">
        <v>0</v>
      </c>
      <c r="AB109" s="2">
        <v>0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40.770000000000003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</row>
    <row r="110" spans="1:43" x14ac:dyDescent="0.3">
      <c r="A110" s="1">
        <v>46125</v>
      </c>
      <c r="B110" t="s">
        <v>48</v>
      </c>
      <c r="C110">
        <v>649163</v>
      </c>
      <c r="D110">
        <v>2032665457</v>
      </c>
      <c r="E110" t="s">
        <v>336</v>
      </c>
      <c r="F110" t="s">
        <v>337</v>
      </c>
      <c r="G110" t="s">
        <v>51</v>
      </c>
      <c r="H110" t="s">
        <v>70</v>
      </c>
      <c r="I110" t="s">
        <v>53</v>
      </c>
      <c r="J110" t="s">
        <v>54</v>
      </c>
      <c r="K110">
        <v>893408</v>
      </c>
      <c r="L110" t="s">
        <v>299</v>
      </c>
      <c r="M110" t="s">
        <v>300</v>
      </c>
      <c r="N110" t="s">
        <v>57</v>
      </c>
      <c r="O110" s="1">
        <v>46004</v>
      </c>
      <c r="Q110" s="1">
        <v>46155</v>
      </c>
      <c r="R110" s="2">
        <v>48.76</v>
      </c>
      <c r="S110">
        <v>1</v>
      </c>
      <c r="T110" t="s">
        <v>58</v>
      </c>
      <c r="U110" t="s">
        <v>173</v>
      </c>
      <c r="V110" s="3">
        <v>0.7</v>
      </c>
      <c r="W110" s="2">
        <v>0</v>
      </c>
      <c r="X110">
        <v>0</v>
      </c>
      <c r="Y110" t="s">
        <v>60</v>
      </c>
      <c r="Z110" t="s">
        <v>61</v>
      </c>
      <c r="AA110">
        <v>0</v>
      </c>
      <c r="AB110" s="2">
        <v>0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34.130000000000003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</row>
    <row r="111" spans="1:43" x14ac:dyDescent="0.3">
      <c r="A111" s="1">
        <v>46125</v>
      </c>
      <c r="B111" t="s">
        <v>48</v>
      </c>
      <c r="C111">
        <v>649163</v>
      </c>
      <c r="D111">
        <v>2032667003</v>
      </c>
      <c r="E111" t="s">
        <v>338</v>
      </c>
      <c r="F111" t="s">
        <v>339</v>
      </c>
      <c r="G111" t="s">
        <v>51</v>
      </c>
      <c r="H111" t="s">
        <v>270</v>
      </c>
      <c r="I111" t="s">
        <v>53</v>
      </c>
      <c r="J111" t="s">
        <v>54</v>
      </c>
      <c r="K111">
        <v>856824</v>
      </c>
      <c r="L111" t="s">
        <v>71</v>
      </c>
      <c r="M111" t="s">
        <v>72</v>
      </c>
      <c r="N111" t="s">
        <v>57</v>
      </c>
      <c r="O111" s="1">
        <v>46004</v>
      </c>
      <c r="Q111" s="1">
        <v>46155</v>
      </c>
      <c r="R111" s="2">
        <v>143.38</v>
      </c>
      <c r="S111">
        <v>1</v>
      </c>
      <c r="T111" t="s">
        <v>58</v>
      </c>
      <c r="U111" t="s">
        <v>173</v>
      </c>
      <c r="V111" s="3">
        <v>0.7</v>
      </c>
      <c r="W111" s="2">
        <v>0</v>
      </c>
      <c r="X111">
        <v>0</v>
      </c>
      <c r="Y111" t="s">
        <v>60</v>
      </c>
      <c r="Z111" t="s">
        <v>61</v>
      </c>
      <c r="AA111">
        <v>0</v>
      </c>
      <c r="AB111" s="2">
        <v>0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100.37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</row>
    <row r="112" spans="1:43" x14ac:dyDescent="0.3">
      <c r="A112" s="1">
        <v>46125</v>
      </c>
      <c r="B112" t="s">
        <v>48</v>
      </c>
      <c r="C112">
        <v>649163</v>
      </c>
      <c r="D112">
        <v>2032669964</v>
      </c>
      <c r="E112" t="s">
        <v>340</v>
      </c>
      <c r="F112" t="s">
        <v>341</v>
      </c>
      <c r="G112" t="s">
        <v>51</v>
      </c>
      <c r="H112" t="s">
        <v>80</v>
      </c>
      <c r="I112" t="s">
        <v>53</v>
      </c>
      <c r="J112" t="s">
        <v>54</v>
      </c>
      <c r="K112">
        <v>813184</v>
      </c>
      <c r="L112" t="s">
        <v>127</v>
      </c>
      <c r="M112" t="s">
        <v>128</v>
      </c>
      <c r="N112" t="s">
        <v>57</v>
      </c>
      <c r="O112" s="1">
        <v>46005</v>
      </c>
      <c r="Q112" s="1">
        <v>46156</v>
      </c>
      <c r="R112" s="2">
        <v>18.45</v>
      </c>
      <c r="S112">
        <v>1</v>
      </c>
      <c r="T112" t="s">
        <v>58</v>
      </c>
      <c r="U112" t="s">
        <v>173</v>
      </c>
      <c r="V112" s="3">
        <v>0.7</v>
      </c>
      <c r="W112" s="2">
        <v>0</v>
      </c>
      <c r="X112">
        <v>0</v>
      </c>
      <c r="Y112" t="s">
        <v>60</v>
      </c>
      <c r="Z112" t="s">
        <v>61</v>
      </c>
      <c r="AA112">
        <v>0</v>
      </c>
      <c r="AB112" s="2">
        <v>0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12.92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</row>
    <row r="113" spans="1:43" x14ac:dyDescent="0.3">
      <c r="A113" s="1">
        <v>46125</v>
      </c>
      <c r="B113" t="s">
        <v>48</v>
      </c>
      <c r="C113">
        <v>649163</v>
      </c>
      <c r="D113">
        <v>2032675773</v>
      </c>
      <c r="E113" t="s">
        <v>342</v>
      </c>
      <c r="F113" t="s">
        <v>343</v>
      </c>
      <c r="G113" t="s">
        <v>51</v>
      </c>
      <c r="H113" t="s">
        <v>270</v>
      </c>
      <c r="I113" t="s">
        <v>53</v>
      </c>
      <c r="J113" t="s">
        <v>54</v>
      </c>
      <c r="K113">
        <v>823350</v>
      </c>
      <c r="L113" t="s">
        <v>120</v>
      </c>
      <c r="M113" t="s">
        <v>121</v>
      </c>
      <c r="N113" t="s">
        <v>57</v>
      </c>
      <c r="O113" s="1">
        <v>46008</v>
      </c>
      <c r="Q113" s="1">
        <v>46159</v>
      </c>
      <c r="R113" s="2">
        <v>85.36</v>
      </c>
      <c r="S113">
        <v>1</v>
      </c>
      <c r="T113" t="s">
        <v>58</v>
      </c>
      <c r="U113" t="s">
        <v>173</v>
      </c>
      <c r="V113" s="3">
        <v>0.7</v>
      </c>
      <c r="W113" s="2">
        <v>0</v>
      </c>
      <c r="X113">
        <v>0</v>
      </c>
      <c r="Y113" t="s">
        <v>60</v>
      </c>
      <c r="Z113" t="s">
        <v>61</v>
      </c>
      <c r="AA113">
        <v>0</v>
      </c>
      <c r="AB113" s="2">
        <v>0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59.75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</row>
    <row r="114" spans="1:43" x14ac:dyDescent="0.3">
      <c r="A114" s="1">
        <v>46125</v>
      </c>
      <c r="B114" t="s">
        <v>48</v>
      </c>
      <c r="C114">
        <v>649163</v>
      </c>
      <c r="D114">
        <v>2032677762</v>
      </c>
      <c r="E114" t="s">
        <v>344</v>
      </c>
      <c r="F114" t="s">
        <v>345</v>
      </c>
      <c r="G114" t="s">
        <v>51</v>
      </c>
      <c r="H114" t="s">
        <v>80</v>
      </c>
      <c r="I114" t="s">
        <v>53</v>
      </c>
      <c r="J114" t="s">
        <v>54</v>
      </c>
      <c r="K114">
        <v>807212</v>
      </c>
      <c r="L114" t="s">
        <v>89</v>
      </c>
      <c r="M114" t="s">
        <v>90</v>
      </c>
      <c r="N114" t="s">
        <v>57</v>
      </c>
      <c r="O114" s="1">
        <v>46005</v>
      </c>
      <c r="Q114" s="1">
        <v>46156</v>
      </c>
      <c r="R114" s="2">
        <v>51</v>
      </c>
      <c r="S114">
        <v>1</v>
      </c>
      <c r="T114" t="s">
        <v>58</v>
      </c>
      <c r="U114" t="s">
        <v>173</v>
      </c>
      <c r="V114" s="3">
        <v>0.7</v>
      </c>
      <c r="W114" s="2">
        <v>0</v>
      </c>
      <c r="X114">
        <v>0</v>
      </c>
      <c r="Y114" t="s">
        <v>60</v>
      </c>
      <c r="Z114" t="s">
        <v>61</v>
      </c>
      <c r="AA114">
        <v>0</v>
      </c>
      <c r="AB114" s="2">
        <v>0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35.700000000000003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</row>
    <row r="115" spans="1:43" x14ac:dyDescent="0.3">
      <c r="A115" s="1">
        <v>46125</v>
      </c>
      <c r="B115" t="s">
        <v>48</v>
      </c>
      <c r="C115">
        <v>649163</v>
      </c>
      <c r="D115">
        <v>2032679124</v>
      </c>
      <c r="E115" t="s">
        <v>346</v>
      </c>
      <c r="F115" t="s">
        <v>155</v>
      </c>
      <c r="G115" t="s">
        <v>51</v>
      </c>
      <c r="H115" t="s">
        <v>80</v>
      </c>
      <c r="I115" t="s">
        <v>53</v>
      </c>
      <c r="J115" t="s">
        <v>54</v>
      </c>
      <c r="K115">
        <v>812656</v>
      </c>
      <c r="L115" t="s">
        <v>171</v>
      </c>
      <c r="M115" t="s">
        <v>172</v>
      </c>
      <c r="N115" t="s">
        <v>57</v>
      </c>
      <c r="O115" s="1">
        <v>46006</v>
      </c>
      <c r="Q115" s="1">
        <v>46157</v>
      </c>
      <c r="R115" s="2">
        <v>39.35</v>
      </c>
      <c r="S115">
        <v>1</v>
      </c>
      <c r="T115" t="s">
        <v>58</v>
      </c>
      <c r="U115" t="s">
        <v>173</v>
      </c>
      <c r="V115" s="3">
        <v>0.7</v>
      </c>
      <c r="W115" s="2">
        <v>0</v>
      </c>
      <c r="X115">
        <v>0</v>
      </c>
      <c r="Y115" t="s">
        <v>60</v>
      </c>
      <c r="Z115" t="s">
        <v>61</v>
      </c>
      <c r="AA115">
        <v>0</v>
      </c>
      <c r="AB115" s="2">
        <v>0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27.54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</row>
    <row r="116" spans="1:43" x14ac:dyDescent="0.3">
      <c r="A116" s="1">
        <v>46125</v>
      </c>
      <c r="B116" t="s">
        <v>48</v>
      </c>
      <c r="C116">
        <v>649163</v>
      </c>
      <c r="D116">
        <v>2032688675</v>
      </c>
      <c r="E116" t="s">
        <v>347</v>
      </c>
      <c r="F116" t="s">
        <v>348</v>
      </c>
      <c r="G116" t="s">
        <v>51</v>
      </c>
      <c r="H116" t="s">
        <v>80</v>
      </c>
      <c r="I116" t="s">
        <v>53</v>
      </c>
      <c r="J116" t="s">
        <v>54</v>
      </c>
      <c r="K116">
        <v>807212</v>
      </c>
      <c r="L116" t="s">
        <v>89</v>
      </c>
      <c r="M116" t="s">
        <v>90</v>
      </c>
      <c r="N116" t="s">
        <v>57</v>
      </c>
      <c r="O116" s="1">
        <v>46007</v>
      </c>
      <c r="Q116" s="1">
        <v>46158</v>
      </c>
      <c r="R116" s="2">
        <v>24.65</v>
      </c>
      <c r="S116">
        <v>1</v>
      </c>
      <c r="T116" t="s">
        <v>58</v>
      </c>
      <c r="U116" t="s">
        <v>173</v>
      </c>
      <c r="V116" s="3">
        <v>0.7</v>
      </c>
      <c r="W116" s="2">
        <v>0</v>
      </c>
      <c r="X116">
        <v>0</v>
      </c>
      <c r="Y116" t="s">
        <v>60</v>
      </c>
      <c r="Z116" t="s">
        <v>61</v>
      </c>
      <c r="AA116">
        <v>0</v>
      </c>
      <c r="AB116" s="2">
        <v>0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17.260000000000002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</row>
    <row r="117" spans="1:43" x14ac:dyDescent="0.3">
      <c r="A117" s="1">
        <v>46125</v>
      </c>
      <c r="B117" t="s">
        <v>48</v>
      </c>
      <c r="C117">
        <v>649163</v>
      </c>
      <c r="D117">
        <v>2032689734</v>
      </c>
      <c r="E117" t="s">
        <v>349</v>
      </c>
      <c r="F117" t="s">
        <v>147</v>
      </c>
      <c r="G117" t="s">
        <v>51</v>
      </c>
      <c r="H117" t="s">
        <v>52</v>
      </c>
      <c r="I117" t="s">
        <v>53</v>
      </c>
      <c r="J117" t="s">
        <v>54</v>
      </c>
      <c r="K117">
        <v>878036</v>
      </c>
      <c r="L117" t="s">
        <v>156</v>
      </c>
      <c r="M117" t="s">
        <v>157</v>
      </c>
      <c r="N117" t="s">
        <v>57</v>
      </c>
      <c r="O117" s="1">
        <v>46007</v>
      </c>
      <c r="Q117" s="1">
        <v>46158</v>
      </c>
      <c r="R117" s="2">
        <v>22.83</v>
      </c>
      <c r="S117">
        <v>1</v>
      </c>
      <c r="T117" t="s">
        <v>58</v>
      </c>
      <c r="U117" t="s">
        <v>173</v>
      </c>
      <c r="V117" s="3">
        <v>0.7</v>
      </c>
      <c r="W117" s="2">
        <v>0</v>
      </c>
      <c r="X117">
        <v>0</v>
      </c>
      <c r="Y117" t="s">
        <v>60</v>
      </c>
      <c r="Z117" t="s">
        <v>61</v>
      </c>
      <c r="AA117">
        <v>0</v>
      </c>
      <c r="AB117" s="2">
        <v>0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15.98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</row>
    <row r="118" spans="1:43" x14ac:dyDescent="0.3">
      <c r="A118" s="1">
        <v>46125</v>
      </c>
      <c r="B118" t="s">
        <v>48</v>
      </c>
      <c r="C118">
        <v>649163</v>
      </c>
      <c r="D118">
        <v>2032692414</v>
      </c>
      <c r="E118" t="s">
        <v>350</v>
      </c>
      <c r="F118" t="s">
        <v>351</v>
      </c>
      <c r="G118" t="s">
        <v>51</v>
      </c>
      <c r="H118" t="s">
        <v>93</v>
      </c>
      <c r="I118" t="s">
        <v>53</v>
      </c>
      <c r="J118" t="s">
        <v>65</v>
      </c>
      <c r="K118">
        <v>823068</v>
      </c>
      <c r="L118" t="s">
        <v>95</v>
      </c>
      <c r="M118" t="s">
        <v>96</v>
      </c>
      <c r="N118" t="s">
        <v>57</v>
      </c>
      <c r="O118" s="1">
        <v>46007</v>
      </c>
      <c r="Q118" s="1">
        <v>46158</v>
      </c>
      <c r="R118" s="2">
        <v>56.75</v>
      </c>
      <c r="S118">
        <v>1</v>
      </c>
      <c r="T118" t="s">
        <v>58</v>
      </c>
      <c r="U118" t="s">
        <v>173</v>
      </c>
      <c r="V118" s="3">
        <v>0.9</v>
      </c>
      <c r="W118" s="2">
        <v>0</v>
      </c>
      <c r="X118">
        <v>0</v>
      </c>
      <c r="Y118" t="s">
        <v>60</v>
      </c>
      <c r="Z118" t="s">
        <v>61</v>
      </c>
      <c r="AA118">
        <v>0</v>
      </c>
      <c r="AB118" s="2">
        <v>0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51.08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</row>
    <row r="119" spans="1:43" x14ac:dyDescent="0.3">
      <c r="A119" s="1">
        <v>46125</v>
      </c>
      <c r="B119" t="s">
        <v>48</v>
      </c>
      <c r="C119">
        <v>649163</v>
      </c>
      <c r="D119">
        <v>2032693407</v>
      </c>
      <c r="E119" t="s">
        <v>352</v>
      </c>
      <c r="F119" t="s">
        <v>353</v>
      </c>
      <c r="G119" t="s">
        <v>51</v>
      </c>
      <c r="H119" t="s">
        <v>103</v>
      </c>
      <c r="I119" t="s">
        <v>53</v>
      </c>
      <c r="J119" t="s">
        <v>65</v>
      </c>
      <c r="K119">
        <v>816021</v>
      </c>
      <c r="L119" t="s">
        <v>104</v>
      </c>
      <c r="M119" t="s">
        <v>105</v>
      </c>
      <c r="N119" t="s">
        <v>57</v>
      </c>
      <c r="O119" s="1">
        <v>46007</v>
      </c>
      <c r="Q119" s="1">
        <v>46158</v>
      </c>
      <c r="R119" s="2">
        <v>41.75</v>
      </c>
      <c r="S119">
        <v>1</v>
      </c>
      <c r="T119" t="s">
        <v>58</v>
      </c>
      <c r="U119" t="s">
        <v>173</v>
      </c>
      <c r="V119" s="3">
        <v>0.9</v>
      </c>
      <c r="W119" s="2">
        <v>0</v>
      </c>
      <c r="X119">
        <v>0</v>
      </c>
      <c r="Y119" t="s">
        <v>60</v>
      </c>
      <c r="Z119" t="s">
        <v>61</v>
      </c>
      <c r="AA119">
        <v>0</v>
      </c>
      <c r="AB119" s="2">
        <v>0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37.58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</row>
    <row r="120" spans="1:43" x14ac:dyDescent="0.3">
      <c r="A120" s="1">
        <v>46125</v>
      </c>
      <c r="B120" t="s">
        <v>48</v>
      </c>
      <c r="C120">
        <v>649163</v>
      </c>
      <c r="D120">
        <v>2032693409</v>
      </c>
      <c r="E120" t="s">
        <v>352</v>
      </c>
      <c r="F120" t="s">
        <v>353</v>
      </c>
      <c r="G120" t="s">
        <v>51</v>
      </c>
      <c r="H120" t="s">
        <v>103</v>
      </c>
      <c r="I120" t="s">
        <v>53</v>
      </c>
      <c r="J120" t="s">
        <v>54</v>
      </c>
      <c r="K120">
        <v>816021</v>
      </c>
      <c r="L120" t="s">
        <v>104</v>
      </c>
      <c r="M120" t="s">
        <v>105</v>
      </c>
      <c r="N120" t="s">
        <v>57</v>
      </c>
      <c r="O120" s="1">
        <v>46007</v>
      </c>
      <c r="Q120" s="1">
        <v>46158</v>
      </c>
      <c r="R120" s="2">
        <v>9.1</v>
      </c>
      <c r="S120">
        <v>1</v>
      </c>
      <c r="T120" t="s">
        <v>58</v>
      </c>
      <c r="U120" t="s">
        <v>173</v>
      </c>
      <c r="V120" s="3">
        <v>0.7</v>
      </c>
      <c r="W120" s="2">
        <v>0</v>
      </c>
      <c r="X120">
        <v>0</v>
      </c>
      <c r="Y120" t="s">
        <v>60</v>
      </c>
      <c r="Z120" t="s">
        <v>61</v>
      </c>
      <c r="AA120">
        <v>0</v>
      </c>
      <c r="AB120" s="2">
        <v>0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6.37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</row>
    <row r="121" spans="1:43" x14ac:dyDescent="0.3">
      <c r="A121" s="1">
        <v>46125</v>
      </c>
      <c r="B121" t="s">
        <v>48</v>
      </c>
      <c r="C121">
        <v>649163</v>
      </c>
      <c r="D121">
        <v>2032715766</v>
      </c>
      <c r="E121" t="s">
        <v>354</v>
      </c>
      <c r="F121" t="s">
        <v>237</v>
      </c>
      <c r="G121" t="s">
        <v>51</v>
      </c>
      <c r="H121" t="s">
        <v>80</v>
      </c>
      <c r="I121" t="s">
        <v>53</v>
      </c>
      <c r="J121" t="s">
        <v>54</v>
      </c>
      <c r="K121">
        <v>823350</v>
      </c>
      <c r="L121" t="s">
        <v>120</v>
      </c>
      <c r="M121" t="s">
        <v>121</v>
      </c>
      <c r="N121" t="s">
        <v>57</v>
      </c>
      <c r="O121" s="1">
        <v>46008</v>
      </c>
      <c r="Q121" s="1">
        <v>46159</v>
      </c>
      <c r="R121" s="2">
        <v>11.5</v>
      </c>
      <c r="S121">
        <v>1</v>
      </c>
      <c r="T121" t="s">
        <v>58</v>
      </c>
      <c r="U121" t="s">
        <v>173</v>
      </c>
      <c r="V121" s="3">
        <v>0.7</v>
      </c>
      <c r="W121" s="2">
        <v>0</v>
      </c>
      <c r="X121">
        <v>0</v>
      </c>
      <c r="Y121" t="s">
        <v>60</v>
      </c>
      <c r="Z121" t="s">
        <v>61</v>
      </c>
      <c r="AA121">
        <v>0</v>
      </c>
      <c r="AB121" s="2">
        <v>0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8.0500000000000007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</row>
    <row r="122" spans="1:43" x14ac:dyDescent="0.3">
      <c r="A122" s="1">
        <v>46125</v>
      </c>
      <c r="B122" t="s">
        <v>48</v>
      </c>
      <c r="C122">
        <v>649163</v>
      </c>
      <c r="D122">
        <v>2032774965</v>
      </c>
      <c r="E122" t="s">
        <v>355</v>
      </c>
      <c r="F122" t="s">
        <v>356</v>
      </c>
      <c r="G122" t="s">
        <v>51</v>
      </c>
      <c r="H122" t="s">
        <v>103</v>
      </c>
      <c r="I122" t="s">
        <v>53</v>
      </c>
      <c r="J122" t="s">
        <v>54</v>
      </c>
      <c r="K122">
        <v>816021</v>
      </c>
      <c r="L122" t="s">
        <v>104</v>
      </c>
      <c r="M122" t="s">
        <v>105</v>
      </c>
      <c r="N122" t="s">
        <v>57</v>
      </c>
      <c r="O122" s="1">
        <v>46006</v>
      </c>
      <c r="Q122" s="1">
        <v>46157</v>
      </c>
      <c r="R122" s="2">
        <v>9.1</v>
      </c>
      <c r="S122">
        <v>1</v>
      </c>
      <c r="T122" t="s">
        <v>58</v>
      </c>
      <c r="U122" t="s">
        <v>173</v>
      </c>
      <c r="V122" s="3">
        <v>0.7</v>
      </c>
      <c r="W122" s="2">
        <v>0</v>
      </c>
      <c r="X122">
        <v>0</v>
      </c>
      <c r="Y122" t="s">
        <v>60</v>
      </c>
      <c r="Z122" t="s">
        <v>61</v>
      </c>
      <c r="AA122">
        <v>0</v>
      </c>
      <c r="AB122" s="2">
        <v>0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6.37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</row>
    <row r="123" spans="1:43" x14ac:dyDescent="0.3">
      <c r="A123" s="1">
        <v>46125</v>
      </c>
      <c r="B123" t="s">
        <v>48</v>
      </c>
      <c r="C123">
        <v>649163</v>
      </c>
      <c r="D123">
        <v>2032913540</v>
      </c>
      <c r="E123" t="s">
        <v>357</v>
      </c>
      <c r="F123" t="s">
        <v>358</v>
      </c>
      <c r="G123" t="s">
        <v>51</v>
      </c>
      <c r="H123" t="s">
        <v>103</v>
      </c>
      <c r="I123" t="s">
        <v>53</v>
      </c>
      <c r="J123" t="s">
        <v>54</v>
      </c>
      <c r="K123">
        <v>753748</v>
      </c>
      <c r="L123" t="s">
        <v>146</v>
      </c>
      <c r="M123" t="s">
        <v>147</v>
      </c>
      <c r="N123" t="s">
        <v>57</v>
      </c>
      <c r="O123" s="1">
        <v>46034</v>
      </c>
      <c r="Q123" s="1">
        <v>46154</v>
      </c>
      <c r="R123" s="2">
        <v>29.2</v>
      </c>
      <c r="S123">
        <v>1</v>
      </c>
      <c r="T123" t="s">
        <v>58</v>
      </c>
      <c r="U123" t="s">
        <v>173</v>
      </c>
      <c r="V123" s="3">
        <v>0.7</v>
      </c>
      <c r="W123" s="2">
        <v>0</v>
      </c>
      <c r="X123">
        <v>0</v>
      </c>
      <c r="Y123" t="s">
        <v>60</v>
      </c>
      <c r="Z123" t="s">
        <v>61</v>
      </c>
      <c r="AA123">
        <v>0</v>
      </c>
      <c r="AB123" s="2">
        <v>0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20.440000000000001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</row>
    <row r="124" spans="1:43" x14ac:dyDescent="0.3">
      <c r="A124" s="1">
        <v>46125</v>
      </c>
      <c r="B124" t="s">
        <v>48</v>
      </c>
      <c r="C124">
        <v>649163</v>
      </c>
      <c r="D124">
        <v>2032924844</v>
      </c>
      <c r="E124" t="s">
        <v>359</v>
      </c>
      <c r="F124" t="s">
        <v>360</v>
      </c>
      <c r="G124" t="s">
        <v>51</v>
      </c>
      <c r="H124" t="s">
        <v>114</v>
      </c>
      <c r="I124" t="s">
        <v>53</v>
      </c>
      <c r="J124" t="s">
        <v>54</v>
      </c>
      <c r="K124">
        <v>893473</v>
      </c>
      <c r="L124" t="s">
        <v>361</v>
      </c>
      <c r="M124" t="s">
        <v>362</v>
      </c>
      <c r="N124" t="s">
        <v>57</v>
      </c>
      <c r="O124" s="1">
        <v>46037</v>
      </c>
      <c r="Q124" s="1">
        <v>46157</v>
      </c>
      <c r="R124" s="2">
        <v>44</v>
      </c>
      <c r="S124">
        <v>1</v>
      </c>
      <c r="T124" t="s">
        <v>58</v>
      </c>
      <c r="U124" t="s">
        <v>173</v>
      </c>
      <c r="V124" s="3">
        <v>0.7</v>
      </c>
      <c r="W124" s="2">
        <v>0</v>
      </c>
      <c r="X124">
        <v>0</v>
      </c>
      <c r="Y124" t="s">
        <v>60</v>
      </c>
      <c r="Z124" t="s">
        <v>61</v>
      </c>
      <c r="AA124">
        <v>0</v>
      </c>
      <c r="AB124" s="2">
        <v>0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30.8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</row>
    <row r="125" spans="1:43" x14ac:dyDescent="0.3">
      <c r="A125" s="1">
        <v>46125</v>
      </c>
      <c r="B125" t="s">
        <v>48</v>
      </c>
      <c r="C125">
        <v>649163</v>
      </c>
      <c r="D125">
        <v>2033010787</v>
      </c>
      <c r="E125" t="s">
        <v>363</v>
      </c>
      <c r="F125" t="s">
        <v>364</v>
      </c>
      <c r="G125" t="s">
        <v>51</v>
      </c>
      <c r="H125" t="s">
        <v>93</v>
      </c>
      <c r="I125" t="s">
        <v>53</v>
      </c>
      <c r="J125" t="s">
        <v>97</v>
      </c>
      <c r="K125">
        <v>861933</v>
      </c>
      <c r="L125" t="s">
        <v>213</v>
      </c>
      <c r="M125" t="s">
        <v>214</v>
      </c>
      <c r="N125" t="s">
        <v>57</v>
      </c>
      <c r="O125" s="1">
        <v>46037</v>
      </c>
      <c r="Q125" s="1">
        <v>46157</v>
      </c>
      <c r="R125" s="2">
        <v>24.61</v>
      </c>
      <c r="S125">
        <v>1</v>
      </c>
      <c r="T125" t="s">
        <v>58</v>
      </c>
      <c r="U125" t="s">
        <v>173</v>
      </c>
      <c r="V125" s="3">
        <v>0.7</v>
      </c>
      <c r="W125" s="2">
        <v>0</v>
      </c>
      <c r="X125">
        <v>0</v>
      </c>
      <c r="Y125" t="s">
        <v>60</v>
      </c>
      <c r="Z125" t="s">
        <v>61</v>
      </c>
      <c r="AA125">
        <v>0</v>
      </c>
      <c r="AB125" s="2">
        <v>0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17.23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</row>
    <row r="126" spans="1:43" x14ac:dyDescent="0.3">
      <c r="A126" s="1">
        <v>46125</v>
      </c>
      <c r="B126" t="s">
        <v>48</v>
      </c>
      <c r="C126">
        <v>649163</v>
      </c>
      <c r="D126">
        <v>2033054175</v>
      </c>
      <c r="E126" t="s">
        <v>365</v>
      </c>
      <c r="F126" t="s">
        <v>366</v>
      </c>
      <c r="G126" t="s">
        <v>51</v>
      </c>
      <c r="H126" t="s">
        <v>70</v>
      </c>
      <c r="I126" t="s">
        <v>53</v>
      </c>
      <c r="J126" t="s">
        <v>54</v>
      </c>
      <c r="K126">
        <v>651818</v>
      </c>
      <c r="L126" t="s">
        <v>55</v>
      </c>
      <c r="M126" t="s">
        <v>56</v>
      </c>
      <c r="N126" t="s">
        <v>57</v>
      </c>
      <c r="O126" s="1">
        <v>46038</v>
      </c>
      <c r="Q126" s="1">
        <v>46158</v>
      </c>
      <c r="R126" s="2">
        <v>89.52</v>
      </c>
      <c r="S126">
        <v>1</v>
      </c>
      <c r="T126" t="s">
        <v>58</v>
      </c>
      <c r="U126" t="s">
        <v>173</v>
      </c>
      <c r="V126" s="3">
        <v>0.7</v>
      </c>
      <c r="W126" s="2">
        <v>0</v>
      </c>
      <c r="X126">
        <v>0</v>
      </c>
      <c r="Y126" t="s">
        <v>60</v>
      </c>
      <c r="Z126" t="s">
        <v>61</v>
      </c>
      <c r="AA126">
        <v>0</v>
      </c>
      <c r="AB126" s="2">
        <v>0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62.66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</row>
    <row r="127" spans="1:43" x14ac:dyDescent="0.3">
      <c r="A127" s="1">
        <v>46125</v>
      </c>
      <c r="B127" t="s">
        <v>48</v>
      </c>
      <c r="C127">
        <v>649163</v>
      </c>
      <c r="D127">
        <v>2033057488</v>
      </c>
      <c r="E127" t="s">
        <v>367</v>
      </c>
      <c r="F127" t="s">
        <v>368</v>
      </c>
      <c r="G127" t="s">
        <v>51</v>
      </c>
      <c r="H127" t="s">
        <v>80</v>
      </c>
      <c r="I127" t="s">
        <v>53</v>
      </c>
      <c r="J127" t="s">
        <v>54</v>
      </c>
      <c r="K127">
        <v>806645</v>
      </c>
      <c r="L127" t="s">
        <v>262</v>
      </c>
      <c r="M127" t="s">
        <v>263</v>
      </c>
      <c r="N127" t="s">
        <v>57</v>
      </c>
      <c r="O127" s="1">
        <v>46037</v>
      </c>
      <c r="Q127" s="1">
        <v>46157</v>
      </c>
      <c r="R127" s="2">
        <v>11.5</v>
      </c>
      <c r="S127">
        <v>1</v>
      </c>
      <c r="T127" t="s">
        <v>58</v>
      </c>
      <c r="U127" t="s">
        <v>173</v>
      </c>
      <c r="V127" s="3">
        <v>0.7</v>
      </c>
      <c r="W127" s="2">
        <v>0</v>
      </c>
      <c r="X127">
        <v>0</v>
      </c>
      <c r="Y127" t="s">
        <v>60</v>
      </c>
      <c r="Z127" t="s">
        <v>61</v>
      </c>
      <c r="AA127">
        <v>0</v>
      </c>
      <c r="AB127" s="2">
        <v>0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8.0500000000000007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</row>
    <row r="128" spans="1:43" x14ac:dyDescent="0.3">
      <c r="A128" s="1">
        <v>46125</v>
      </c>
      <c r="B128" t="s">
        <v>48</v>
      </c>
      <c r="C128">
        <v>649163</v>
      </c>
      <c r="D128">
        <v>2033071418</v>
      </c>
      <c r="E128" t="s">
        <v>369</v>
      </c>
      <c r="F128" t="s">
        <v>370</v>
      </c>
      <c r="G128" t="s">
        <v>51</v>
      </c>
      <c r="H128" t="s">
        <v>371</v>
      </c>
      <c r="I128" t="s">
        <v>53</v>
      </c>
      <c r="J128" t="s">
        <v>54</v>
      </c>
      <c r="K128">
        <v>651818</v>
      </c>
      <c r="L128" t="s">
        <v>55</v>
      </c>
      <c r="M128" t="s">
        <v>56</v>
      </c>
      <c r="N128" t="s">
        <v>57</v>
      </c>
      <c r="O128" s="1">
        <v>46034</v>
      </c>
      <c r="Q128" s="1">
        <v>46154</v>
      </c>
      <c r="R128" s="2">
        <v>32.979999999999997</v>
      </c>
      <c r="S128">
        <v>1</v>
      </c>
      <c r="T128" t="s">
        <v>58</v>
      </c>
      <c r="U128" t="s">
        <v>173</v>
      </c>
      <c r="V128" s="3">
        <v>0.7</v>
      </c>
      <c r="W128" s="2">
        <v>0</v>
      </c>
      <c r="X128">
        <v>0</v>
      </c>
      <c r="Y128" t="s">
        <v>60</v>
      </c>
      <c r="Z128" t="s">
        <v>61</v>
      </c>
      <c r="AA128">
        <v>0</v>
      </c>
      <c r="AB128" s="2">
        <v>0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23.09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</row>
    <row r="129" spans="1:43" x14ac:dyDescent="0.3">
      <c r="A129" s="1">
        <v>46125</v>
      </c>
      <c r="B129" t="s">
        <v>48</v>
      </c>
      <c r="C129">
        <v>649163</v>
      </c>
      <c r="D129">
        <v>2033084715</v>
      </c>
      <c r="E129" t="s">
        <v>372</v>
      </c>
      <c r="F129" t="s">
        <v>373</v>
      </c>
      <c r="G129" t="s">
        <v>51</v>
      </c>
      <c r="H129" t="s">
        <v>80</v>
      </c>
      <c r="I129" t="s">
        <v>53</v>
      </c>
      <c r="J129" t="s">
        <v>54</v>
      </c>
      <c r="K129">
        <v>884312</v>
      </c>
      <c r="L129" t="s">
        <v>374</v>
      </c>
      <c r="M129" t="s">
        <v>375</v>
      </c>
      <c r="N129" t="s">
        <v>57</v>
      </c>
      <c r="O129" s="1">
        <v>46036</v>
      </c>
      <c r="Q129" s="1">
        <v>46156</v>
      </c>
      <c r="R129" s="2">
        <v>19</v>
      </c>
      <c r="S129">
        <v>1</v>
      </c>
      <c r="T129" t="s">
        <v>58</v>
      </c>
      <c r="U129" t="s">
        <v>173</v>
      </c>
      <c r="V129" s="3">
        <v>0.7</v>
      </c>
      <c r="W129" s="2">
        <v>0</v>
      </c>
      <c r="X129">
        <v>0</v>
      </c>
      <c r="Y129" t="s">
        <v>60</v>
      </c>
      <c r="Z129" t="s">
        <v>61</v>
      </c>
      <c r="AA129">
        <v>0</v>
      </c>
      <c r="AB129" s="2">
        <v>0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13.3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</row>
    <row r="130" spans="1:43" x14ac:dyDescent="0.3">
      <c r="A130" s="1">
        <v>46125</v>
      </c>
      <c r="B130" t="s">
        <v>48</v>
      </c>
      <c r="C130">
        <v>649163</v>
      </c>
      <c r="D130">
        <v>2033086829</v>
      </c>
      <c r="E130" t="s">
        <v>376</v>
      </c>
      <c r="F130" t="s">
        <v>377</v>
      </c>
      <c r="G130" t="s">
        <v>51</v>
      </c>
      <c r="H130" t="s">
        <v>80</v>
      </c>
      <c r="I130" t="s">
        <v>53</v>
      </c>
      <c r="J130" t="s">
        <v>65</v>
      </c>
      <c r="K130">
        <v>807212</v>
      </c>
      <c r="L130" t="s">
        <v>89</v>
      </c>
      <c r="M130" t="s">
        <v>90</v>
      </c>
      <c r="N130" t="s">
        <v>57</v>
      </c>
      <c r="O130" s="1">
        <v>46033</v>
      </c>
      <c r="Q130" s="1">
        <v>46153</v>
      </c>
      <c r="R130" s="2">
        <v>16.73</v>
      </c>
      <c r="S130">
        <v>1</v>
      </c>
      <c r="T130" t="s">
        <v>58</v>
      </c>
      <c r="U130" t="s">
        <v>173</v>
      </c>
      <c r="V130" s="3">
        <v>0.9</v>
      </c>
      <c r="W130" s="2">
        <v>0</v>
      </c>
      <c r="X130">
        <v>0</v>
      </c>
      <c r="Y130" t="s">
        <v>60</v>
      </c>
      <c r="Z130" t="s">
        <v>61</v>
      </c>
      <c r="AA130">
        <v>0</v>
      </c>
      <c r="AB130" s="2">
        <v>0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15.06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</row>
    <row r="131" spans="1:43" x14ac:dyDescent="0.3">
      <c r="A131" s="1">
        <v>46125</v>
      </c>
      <c r="B131" t="s">
        <v>48</v>
      </c>
      <c r="C131">
        <v>649163</v>
      </c>
      <c r="D131">
        <v>2033088373</v>
      </c>
      <c r="E131" t="s">
        <v>378</v>
      </c>
      <c r="F131" t="s">
        <v>379</v>
      </c>
      <c r="G131" t="s">
        <v>51</v>
      </c>
      <c r="H131" t="s">
        <v>93</v>
      </c>
      <c r="I131" t="s">
        <v>53</v>
      </c>
      <c r="J131" t="s">
        <v>97</v>
      </c>
      <c r="K131">
        <v>823068</v>
      </c>
      <c r="L131" t="s">
        <v>95</v>
      </c>
      <c r="M131" t="s">
        <v>96</v>
      </c>
      <c r="N131" t="s">
        <v>57</v>
      </c>
      <c r="O131" s="1">
        <v>46038</v>
      </c>
      <c r="Q131" s="1">
        <v>46158</v>
      </c>
      <c r="R131" s="2">
        <v>55.58</v>
      </c>
      <c r="S131">
        <v>1</v>
      </c>
      <c r="T131" t="s">
        <v>58</v>
      </c>
      <c r="U131" t="s">
        <v>173</v>
      </c>
      <c r="V131" s="3">
        <v>0.7</v>
      </c>
      <c r="W131" s="2">
        <v>0</v>
      </c>
      <c r="X131">
        <v>0</v>
      </c>
      <c r="Y131" t="s">
        <v>60</v>
      </c>
      <c r="Z131" t="s">
        <v>61</v>
      </c>
      <c r="AA131">
        <v>0</v>
      </c>
      <c r="AB131" s="2">
        <v>0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38.909999999999997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</row>
    <row r="132" spans="1:43" x14ac:dyDescent="0.3">
      <c r="A132" s="1">
        <v>46125</v>
      </c>
      <c r="B132" t="s">
        <v>48</v>
      </c>
      <c r="C132">
        <v>649163</v>
      </c>
      <c r="D132">
        <v>2033089392</v>
      </c>
      <c r="E132" t="s">
        <v>380</v>
      </c>
      <c r="F132" t="s">
        <v>252</v>
      </c>
      <c r="G132" t="s">
        <v>51</v>
      </c>
      <c r="H132" t="s">
        <v>103</v>
      </c>
      <c r="I132" t="s">
        <v>53</v>
      </c>
      <c r="J132" t="s">
        <v>54</v>
      </c>
      <c r="K132">
        <v>816021</v>
      </c>
      <c r="L132" t="s">
        <v>104</v>
      </c>
      <c r="M132" t="s">
        <v>105</v>
      </c>
      <c r="N132" t="s">
        <v>57</v>
      </c>
      <c r="O132" s="1">
        <v>46033</v>
      </c>
      <c r="Q132" s="1">
        <v>46153</v>
      </c>
      <c r="R132" s="2">
        <v>9.1</v>
      </c>
      <c r="S132">
        <v>1</v>
      </c>
      <c r="T132" t="s">
        <v>58</v>
      </c>
      <c r="U132" t="s">
        <v>173</v>
      </c>
      <c r="V132" s="3">
        <v>0.7</v>
      </c>
      <c r="W132" s="2">
        <v>0</v>
      </c>
      <c r="X132">
        <v>0</v>
      </c>
      <c r="Y132" t="s">
        <v>60</v>
      </c>
      <c r="Z132" t="s">
        <v>61</v>
      </c>
      <c r="AA132">
        <v>0</v>
      </c>
      <c r="AB132" s="2">
        <v>0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6.37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</row>
    <row r="133" spans="1:43" x14ac:dyDescent="0.3">
      <c r="A133" s="1">
        <v>46125</v>
      </c>
      <c r="B133" t="s">
        <v>48</v>
      </c>
      <c r="C133">
        <v>649163</v>
      </c>
      <c r="D133">
        <v>2033089394</v>
      </c>
      <c r="E133" t="s">
        <v>380</v>
      </c>
      <c r="F133" t="s">
        <v>252</v>
      </c>
      <c r="G133" t="s">
        <v>51</v>
      </c>
      <c r="H133" t="s">
        <v>103</v>
      </c>
      <c r="I133" t="s">
        <v>53</v>
      </c>
      <c r="J133" t="s">
        <v>97</v>
      </c>
      <c r="K133">
        <v>816021</v>
      </c>
      <c r="L133" t="s">
        <v>104</v>
      </c>
      <c r="M133" t="s">
        <v>105</v>
      </c>
      <c r="N133" t="s">
        <v>57</v>
      </c>
      <c r="O133" s="1">
        <v>46033</v>
      </c>
      <c r="Q133" s="1">
        <v>46153</v>
      </c>
      <c r="R133" s="2">
        <v>6.3</v>
      </c>
      <c r="S133">
        <v>1</v>
      </c>
      <c r="T133" t="s">
        <v>58</v>
      </c>
      <c r="U133" t="s">
        <v>173</v>
      </c>
      <c r="V133" s="3">
        <v>0.7</v>
      </c>
      <c r="W133" s="2">
        <v>0</v>
      </c>
      <c r="X133">
        <v>0</v>
      </c>
      <c r="Y133" t="s">
        <v>60</v>
      </c>
      <c r="Z133" t="s">
        <v>61</v>
      </c>
      <c r="AA133">
        <v>0</v>
      </c>
      <c r="AB133" s="2">
        <v>0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4.41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</row>
    <row r="134" spans="1:43" x14ac:dyDescent="0.3">
      <c r="A134" s="1">
        <v>46125</v>
      </c>
      <c r="B134" t="s">
        <v>48</v>
      </c>
      <c r="C134">
        <v>649163</v>
      </c>
      <c r="D134">
        <v>2033089935</v>
      </c>
      <c r="E134" t="s">
        <v>381</v>
      </c>
      <c r="F134" t="s">
        <v>149</v>
      </c>
      <c r="G134" t="s">
        <v>51</v>
      </c>
      <c r="H134" t="s">
        <v>93</v>
      </c>
      <c r="I134" t="s">
        <v>53</v>
      </c>
      <c r="J134" t="s">
        <v>97</v>
      </c>
      <c r="K134">
        <v>823068</v>
      </c>
      <c r="L134" t="s">
        <v>95</v>
      </c>
      <c r="M134" t="s">
        <v>96</v>
      </c>
      <c r="N134" t="s">
        <v>57</v>
      </c>
      <c r="O134" s="1">
        <v>46035</v>
      </c>
      <c r="Q134" s="1">
        <v>46155</v>
      </c>
      <c r="R134" s="2">
        <v>24.61</v>
      </c>
      <c r="S134">
        <v>1</v>
      </c>
      <c r="T134" t="s">
        <v>58</v>
      </c>
      <c r="U134" t="s">
        <v>173</v>
      </c>
      <c r="V134" s="3">
        <v>0.7</v>
      </c>
      <c r="W134" s="2">
        <v>0</v>
      </c>
      <c r="X134">
        <v>0</v>
      </c>
      <c r="Y134" t="s">
        <v>60</v>
      </c>
      <c r="Z134" t="s">
        <v>61</v>
      </c>
      <c r="AA134">
        <v>0</v>
      </c>
      <c r="AB134" s="2">
        <v>0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17.23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</row>
    <row r="135" spans="1:43" x14ac:dyDescent="0.3">
      <c r="A135" s="1">
        <v>46125</v>
      </c>
      <c r="B135" t="s">
        <v>48</v>
      </c>
      <c r="C135">
        <v>649163</v>
      </c>
      <c r="D135">
        <v>2033107247</v>
      </c>
      <c r="E135" t="s">
        <v>382</v>
      </c>
      <c r="F135" t="s">
        <v>383</v>
      </c>
      <c r="G135" t="s">
        <v>51</v>
      </c>
      <c r="H135" t="s">
        <v>70</v>
      </c>
      <c r="I135" t="s">
        <v>53</v>
      </c>
      <c r="J135" t="s">
        <v>54</v>
      </c>
      <c r="K135">
        <v>875334</v>
      </c>
      <c r="L135" t="s">
        <v>195</v>
      </c>
      <c r="M135" t="s">
        <v>196</v>
      </c>
      <c r="N135" t="s">
        <v>57</v>
      </c>
      <c r="O135" s="1">
        <v>46035</v>
      </c>
      <c r="Q135" s="1">
        <v>46155</v>
      </c>
      <c r="R135" s="2">
        <v>196.06</v>
      </c>
      <c r="S135">
        <v>1</v>
      </c>
      <c r="T135" t="s">
        <v>58</v>
      </c>
      <c r="U135" t="s">
        <v>173</v>
      </c>
      <c r="V135" s="3">
        <v>0.7</v>
      </c>
      <c r="W135" s="2">
        <v>0</v>
      </c>
      <c r="X135">
        <v>0</v>
      </c>
      <c r="Y135" t="s">
        <v>60</v>
      </c>
      <c r="Z135" t="s">
        <v>61</v>
      </c>
      <c r="AA135">
        <v>0</v>
      </c>
      <c r="AB135" s="2">
        <v>0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137.24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</row>
    <row r="136" spans="1:43" x14ac:dyDescent="0.3">
      <c r="A136" s="1">
        <v>46125</v>
      </c>
      <c r="B136" t="s">
        <v>48</v>
      </c>
      <c r="C136">
        <v>649163</v>
      </c>
      <c r="D136">
        <v>2033118932</v>
      </c>
      <c r="E136" t="s">
        <v>384</v>
      </c>
      <c r="F136" t="s">
        <v>385</v>
      </c>
      <c r="G136" t="s">
        <v>51</v>
      </c>
      <c r="H136" t="s">
        <v>270</v>
      </c>
      <c r="I136" t="s">
        <v>53</v>
      </c>
      <c r="J136" t="s">
        <v>54</v>
      </c>
      <c r="K136">
        <v>812994</v>
      </c>
      <c r="L136" t="s">
        <v>110</v>
      </c>
      <c r="M136" t="s">
        <v>111</v>
      </c>
      <c r="N136" t="s">
        <v>57</v>
      </c>
      <c r="O136" s="1">
        <v>46035</v>
      </c>
      <c r="Q136" s="1">
        <v>46155</v>
      </c>
      <c r="R136" s="2">
        <v>45.46</v>
      </c>
      <c r="S136">
        <v>1</v>
      </c>
      <c r="T136" t="s">
        <v>58</v>
      </c>
      <c r="U136" t="s">
        <v>173</v>
      </c>
      <c r="V136" s="3">
        <v>0.7</v>
      </c>
      <c r="W136" s="2">
        <v>0</v>
      </c>
      <c r="X136">
        <v>0</v>
      </c>
      <c r="Y136" t="s">
        <v>60</v>
      </c>
      <c r="Z136" t="s">
        <v>61</v>
      </c>
      <c r="AA136">
        <v>0</v>
      </c>
      <c r="AB136" s="2">
        <v>0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31.82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</row>
    <row r="137" spans="1:43" x14ac:dyDescent="0.3">
      <c r="A137" s="1">
        <v>46125</v>
      </c>
      <c r="B137" t="s">
        <v>48</v>
      </c>
      <c r="C137">
        <v>649163</v>
      </c>
      <c r="D137">
        <v>2033120369</v>
      </c>
      <c r="E137" t="s">
        <v>386</v>
      </c>
      <c r="F137" t="s">
        <v>387</v>
      </c>
      <c r="G137" t="s">
        <v>51</v>
      </c>
      <c r="H137" t="s">
        <v>52</v>
      </c>
      <c r="I137" t="s">
        <v>53</v>
      </c>
      <c r="J137" t="s">
        <v>54</v>
      </c>
      <c r="K137">
        <v>812656</v>
      </c>
      <c r="L137" t="s">
        <v>171</v>
      </c>
      <c r="M137" t="s">
        <v>172</v>
      </c>
      <c r="N137" t="s">
        <v>57</v>
      </c>
      <c r="O137" s="1">
        <v>46036</v>
      </c>
      <c r="Q137" s="1">
        <v>46156</v>
      </c>
      <c r="R137" s="2">
        <v>41.59</v>
      </c>
      <c r="S137">
        <v>1</v>
      </c>
      <c r="T137" t="s">
        <v>58</v>
      </c>
      <c r="U137" t="s">
        <v>173</v>
      </c>
      <c r="V137" s="3">
        <v>0.7</v>
      </c>
      <c r="W137" s="2">
        <v>0</v>
      </c>
      <c r="X137">
        <v>0</v>
      </c>
      <c r="Y137" t="s">
        <v>60</v>
      </c>
      <c r="Z137" t="s">
        <v>61</v>
      </c>
      <c r="AA137">
        <v>0</v>
      </c>
      <c r="AB137" s="2">
        <v>0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29.11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</row>
    <row r="138" spans="1:43" x14ac:dyDescent="0.3">
      <c r="A138" s="1">
        <v>46125</v>
      </c>
      <c r="B138" t="s">
        <v>48</v>
      </c>
      <c r="C138">
        <v>649163</v>
      </c>
      <c r="D138">
        <v>2033124966</v>
      </c>
      <c r="E138" t="s">
        <v>388</v>
      </c>
      <c r="F138" t="s">
        <v>389</v>
      </c>
      <c r="G138" t="s">
        <v>51</v>
      </c>
      <c r="H138" t="s">
        <v>80</v>
      </c>
      <c r="I138" t="s">
        <v>53</v>
      </c>
      <c r="J138" t="s">
        <v>94</v>
      </c>
      <c r="K138">
        <v>814033</v>
      </c>
      <c r="L138" t="s">
        <v>99</v>
      </c>
      <c r="M138" t="s">
        <v>100</v>
      </c>
      <c r="N138" t="s">
        <v>57</v>
      </c>
      <c r="O138" s="1">
        <v>46036</v>
      </c>
      <c r="Q138" s="1">
        <v>46156</v>
      </c>
      <c r="R138" s="2">
        <v>25.08</v>
      </c>
      <c r="S138">
        <v>1</v>
      </c>
      <c r="T138" t="s">
        <v>58</v>
      </c>
      <c r="U138" t="s">
        <v>173</v>
      </c>
      <c r="V138" s="3">
        <v>0.42</v>
      </c>
      <c r="W138" s="2">
        <v>0</v>
      </c>
      <c r="X138">
        <v>0</v>
      </c>
      <c r="Y138" t="s">
        <v>60</v>
      </c>
      <c r="Z138" t="s">
        <v>61</v>
      </c>
      <c r="AA138">
        <v>0</v>
      </c>
      <c r="AB138" s="2">
        <v>0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10.53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</row>
    <row r="139" spans="1:43" x14ac:dyDescent="0.3">
      <c r="A139" s="1">
        <v>46125</v>
      </c>
      <c r="B139" t="s">
        <v>48</v>
      </c>
      <c r="C139">
        <v>649163</v>
      </c>
      <c r="D139">
        <v>2033124967</v>
      </c>
      <c r="E139" t="s">
        <v>388</v>
      </c>
      <c r="F139" t="s">
        <v>389</v>
      </c>
      <c r="G139" t="s">
        <v>51</v>
      </c>
      <c r="H139" t="s">
        <v>80</v>
      </c>
      <c r="I139" t="s">
        <v>53</v>
      </c>
      <c r="J139" t="s">
        <v>54</v>
      </c>
      <c r="K139">
        <v>814033</v>
      </c>
      <c r="L139" t="s">
        <v>99</v>
      </c>
      <c r="M139" t="s">
        <v>100</v>
      </c>
      <c r="N139" t="s">
        <v>57</v>
      </c>
      <c r="O139" s="1">
        <v>46036</v>
      </c>
      <c r="Q139" s="1">
        <v>46156</v>
      </c>
      <c r="R139" s="2">
        <v>74</v>
      </c>
      <c r="S139">
        <v>1</v>
      </c>
      <c r="T139" t="s">
        <v>58</v>
      </c>
      <c r="U139" t="s">
        <v>173</v>
      </c>
      <c r="V139" s="3">
        <v>0.7</v>
      </c>
      <c r="W139" s="2">
        <v>0</v>
      </c>
      <c r="X139">
        <v>0</v>
      </c>
      <c r="Y139" t="s">
        <v>60</v>
      </c>
      <c r="Z139" t="s">
        <v>61</v>
      </c>
      <c r="AA139">
        <v>0</v>
      </c>
      <c r="AB139" s="2">
        <v>0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51.8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</row>
    <row r="140" spans="1:43" x14ac:dyDescent="0.3">
      <c r="A140" s="1">
        <v>46125</v>
      </c>
      <c r="B140" t="s">
        <v>48</v>
      </c>
      <c r="C140">
        <v>649163</v>
      </c>
      <c r="D140">
        <v>2033126148</v>
      </c>
      <c r="E140" t="s">
        <v>390</v>
      </c>
      <c r="F140" t="s">
        <v>391</v>
      </c>
      <c r="G140" t="s">
        <v>51</v>
      </c>
      <c r="H140" t="s">
        <v>52</v>
      </c>
      <c r="I140" t="s">
        <v>53</v>
      </c>
      <c r="J140" t="s">
        <v>54</v>
      </c>
      <c r="K140">
        <v>878036</v>
      </c>
      <c r="L140" t="s">
        <v>156</v>
      </c>
      <c r="M140" t="s">
        <v>157</v>
      </c>
      <c r="N140" t="s">
        <v>57</v>
      </c>
      <c r="O140" s="1">
        <v>46036</v>
      </c>
      <c r="Q140" s="1">
        <v>46156</v>
      </c>
      <c r="R140" s="2">
        <v>57.27</v>
      </c>
      <c r="S140">
        <v>1</v>
      </c>
      <c r="T140" t="s">
        <v>58</v>
      </c>
      <c r="U140" t="s">
        <v>173</v>
      </c>
      <c r="V140" s="3">
        <v>0.7</v>
      </c>
      <c r="W140" s="2">
        <v>0</v>
      </c>
      <c r="X140">
        <v>0</v>
      </c>
      <c r="Y140" t="s">
        <v>60</v>
      </c>
      <c r="Z140" t="s">
        <v>61</v>
      </c>
      <c r="AA140">
        <v>0</v>
      </c>
      <c r="AB140" s="2">
        <v>0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40.090000000000003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</row>
    <row r="141" spans="1:43" x14ac:dyDescent="0.3">
      <c r="A141" s="1">
        <v>46125</v>
      </c>
      <c r="B141" t="s">
        <v>48</v>
      </c>
      <c r="C141">
        <v>649163</v>
      </c>
      <c r="D141">
        <v>2033127250</v>
      </c>
      <c r="E141" t="s">
        <v>392</v>
      </c>
      <c r="F141" t="s">
        <v>393</v>
      </c>
      <c r="G141" t="s">
        <v>51</v>
      </c>
      <c r="H141" t="s">
        <v>70</v>
      </c>
      <c r="I141" t="s">
        <v>53</v>
      </c>
      <c r="J141" t="s">
        <v>54</v>
      </c>
      <c r="K141">
        <v>812994</v>
      </c>
      <c r="L141" t="s">
        <v>110</v>
      </c>
      <c r="M141" t="s">
        <v>111</v>
      </c>
      <c r="N141" t="s">
        <v>57</v>
      </c>
      <c r="O141" s="1">
        <v>46036</v>
      </c>
      <c r="Q141" s="1">
        <v>46156</v>
      </c>
      <c r="R141" s="2">
        <v>40</v>
      </c>
      <c r="S141">
        <v>1</v>
      </c>
      <c r="T141" t="s">
        <v>58</v>
      </c>
      <c r="U141" t="s">
        <v>173</v>
      </c>
      <c r="V141" s="3">
        <v>0.7</v>
      </c>
      <c r="W141" s="2">
        <v>0</v>
      </c>
      <c r="X141">
        <v>0</v>
      </c>
      <c r="Y141" t="s">
        <v>60</v>
      </c>
      <c r="Z141" t="s">
        <v>61</v>
      </c>
      <c r="AA141">
        <v>0</v>
      </c>
      <c r="AB141" s="2">
        <v>0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28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</row>
    <row r="142" spans="1:43" x14ac:dyDescent="0.3">
      <c r="A142" s="1">
        <v>46125</v>
      </c>
      <c r="B142" t="s">
        <v>48</v>
      </c>
      <c r="C142">
        <v>649163</v>
      </c>
      <c r="D142">
        <v>2033128047</v>
      </c>
      <c r="E142" t="s">
        <v>394</v>
      </c>
      <c r="F142" t="s">
        <v>395</v>
      </c>
      <c r="G142" t="s">
        <v>51</v>
      </c>
      <c r="H142" t="s">
        <v>270</v>
      </c>
      <c r="I142" t="s">
        <v>53</v>
      </c>
      <c r="J142" t="s">
        <v>54</v>
      </c>
      <c r="K142">
        <v>823350</v>
      </c>
      <c r="L142" t="s">
        <v>120</v>
      </c>
      <c r="M142" t="s">
        <v>121</v>
      </c>
      <c r="N142" t="s">
        <v>57</v>
      </c>
      <c r="O142" s="1">
        <v>46038</v>
      </c>
      <c r="Q142" s="1">
        <v>46158</v>
      </c>
      <c r="R142" s="2">
        <v>299.38</v>
      </c>
      <c r="S142">
        <v>1</v>
      </c>
      <c r="T142" t="s">
        <v>58</v>
      </c>
      <c r="U142" t="s">
        <v>173</v>
      </c>
      <c r="V142" s="3">
        <v>0.7</v>
      </c>
      <c r="W142" s="2">
        <v>0</v>
      </c>
      <c r="X142">
        <v>0</v>
      </c>
      <c r="Y142" t="s">
        <v>60</v>
      </c>
      <c r="Z142" t="s">
        <v>61</v>
      </c>
      <c r="AA142">
        <v>0</v>
      </c>
      <c r="AB142" s="2">
        <v>0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209.57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</row>
    <row r="143" spans="1:43" x14ac:dyDescent="0.3">
      <c r="A143" s="1">
        <v>46125</v>
      </c>
      <c r="B143" t="s">
        <v>48</v>
      </c>
      <c r="C143">
        <v>649163</v>
      </c>
      <c r="D143">
        <v>2033130829</v>
      </c>
      <c r="E143" t="s">
        <v>396</v>
      </c>
      <c r="F143" t="s">
        <v>155</v>
      </c>
      <c r="G143" t="s">
        <v>51</v>
      </c>
      <c r="H143" t="s">
        <v>52</v>
      </c>
      <c r="I143" t="s">
        <v>53</v>
      </c>
      <c r="J143" t="s">
        <v>54</v>
      </c>
      <c r="K143">
        <v>867497</v>
      </c>
      <c r="L143" t="s">
        <v>311</v>
      </c>
      <c r="M143" t="s">
        <v>312</v>
      </c>
      <c r="N143" t="s">
        <v>57</v>
      </c>
      <c r="O143" s="1">
        <v>46037</v>
      </c>
      <c r="Q143" s="1">
        <v>46157</v>
      </c>
      <c r="R143" s="2">
        <v>22.72</v>
      </c>
      <c r="S143">
        <v>1</v>
      </c>
      <c r="T143" t="s">
        <v>58</v>
      </c>
      <c r="U143" t="s">
        <v>173</v>
      </c>
      <c r="V143" s="3">
        <v>0.7</v>
      </c>
      <c r="W143" s="2">
        <v>0</v>
      </c>
      <c r="X143">
        <v>0</v>
      </c>
      <c r="Y143" t="s">
        <v>60</v>
      </c>
      <c r="Z143" t="s">
        <v>61</v>
      </c>
      <c r="AA143">
        <v>0</v>
      </c>
      <c r="AB143" s="2">
        <v>0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15.9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</row>
    <row r="144" spans="1:43" x14ac:dyDescent="0.3">
      <c r="A144" s="1">
        <v>46125</v>
      </c>
      <c r="B144" t="s">
        <v>48</v>
      </c>
      <c r="C144">
        <v>649163</v>
      </c>
      <c r="D144">
        <v>2033137246</v>
      </c>
      <c r="E144" t="s">
        <v>397</v>
      </c>
      <c r="F144" t="s">
        <v>398</v>
      </c>
      <c r="G144" t="s">
        <v>51</v>
      </c>
      <c r="H144" t="s">
        <v>399</v>
      </c>
      <c r="I144" t="s">
        <v>53</v>
      </c>
      <c r="J144" t="s">
        <v>54</v>
      </c>
      <c r="K144">
        <v>756418</v>
      </c>
      <c r="L144" t="s">
        <v>400</v>
      </c>
      <c r="M144" t="s">
        <v>401</v>
      </c>
      <c r="N144" t="s">
        <v>57</v>
      </c>
      <c r="O144" s="1">
        <v>46036</v>
      </c>
      <c r="Q144" s="1">
        <v>46156</v>
      </c>
      <c r="R144" s="2">
        <v>67.62</v>
      </c>
      <c r="S144">
        <v>1</v>
      </c>
      <c r="T144" t="s">
        <v>58</v>
      </c>
      <c r="U144" t="s">
        <v>173</v>
      </c>
      <c r="V144" s="3">
        <v>0.7</v>
      </c>
      <c r="W144" s="2">
        <v>0</v>
      </c>
      <c r="X144">
        <v>0</v>
      </c>
      <c r="Y144" t="s">
        <v>60</v>
      </c>
      <c r="Z144" t="s">
        <v>61</v>
      </c>
      <c r="AA144">
        <v>0</v>
      </c>
      <c r="AB144" s="2">
        <v>0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47.33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</row>
    <row r="145" spans="1:43" x14ac:dyDescent="0.3">
      <c r="A145" s="1">
        <v>46125</v>
      </c>
      <c r="B145" t="s">
        <v>48</v>
      </c>
      <c r="C145">
        <v>649163</v>
      </c>
      <c r="D145">
        <v>2033144396</v>
      </c>
      <c r="E145" t="s">
        <v>402</v>
      </c>
      <c r="F145" t="s">
        <v>403</v>
      </c>
      <c r="G145" t="s">
        <v>51</v>
      </c>
      <c r="H145" t="s">
        <v>404</v>
      </c>
      <c r="I145" t="s">
        <v>53</v>
      </c>
      <c r="J145" t="s">
        <v>54</v>
      </c>
      <c r="K145">
        <v>651818</v>
      </c>
      <c r="L145" t="s">
        <v>55</v>
      </c>
      <c r="M145" t="s">
        <v>56</v>
      </c>
      <c r="N145" t="s">
        <v>57</v>
      </c>
      <c r="O145" s="1">
        <v>46059</v>
      </c>
      <c r="Q145" s="1">
        <v>46148</v>
      </c>
      <c r="R145" s="2">
        <v>31.28</v>
      </c>
      <c r="S145">
        <v>1</v>
      </c>
      <c r="T145" t="s">
        <v>58</v>
      </c>
      <c r="U145" t="s">
        <v>173</v>
      </c>
      <c r="V145" s="3">
        <v>0.7</v>
      </c>
      <c r="W145" s="2">
        <v>0</v>
      </c>
      <c r="X145">
        <v>0</v>
      </c>
      <c r="Y145" t="s">
        <v>60</v>
      </c>
      <c r="Z145" t="s">
        <v>61</v>
      </c>
      <c r="AA145">
        <v>0</v>
      </c>
      <c r="AB145" s="2">
        <v>0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21.9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</row>
    <row r="146" spans="1:43" x14ac:dyDescent="0.3">
      <c r="A146" s="1">
        <v>46125</v>
      </c>
      <c r="B146" t="s">
        <v>48</v>
      </c>
      <c r="C146">
        <v>649163</v>
      </c>
      <c r="D146">
        <v>2033150197</v>
      </c>
      <c r="E146" t="s">
        <v>405</v>
      </c>
      <c r="F146" t="s">
        <v>406</v>
      </c>
      <c r="G146" t="s">
        <v>51</v>
      </c>
      <c r="H146" t="s">
        <v>103</v>
      </c>
      <c r="I146" t="s">
        <v>53</v>
      </c>
      <c r="J146" t="s">
        <v>54</v>
      </c>
      <c r="K146">
        <v>796984</v>
      </c>
      <c r="L146" t="s">
        <v>199</v>
      </c>
      <c r="M146" t="s">
        <v>200</v>
      </c>
      <c r="N146" t="s">
        <v>57</v>
      </c>
      <c r="O146" s="1">
        <v>46038</v>
      </c>
      <c r="Q146" s="1">
        <v>46158</v>
      </c>
      <c r="R146" s="2">
        <v>9.1</v>
      </c>
      <c r="S146">
        <v>1</v>
      </c>
      <c r="T146" t="s">
        <v>58</v>
      </c>
      <c r="U146" t="s">
        <v>173</v>
      </c>
      <c r="V146" s="3">
        <v>0.7</v>
      </c>
      <c r="W146" s="2">
        <v>0</v>
      </c>
      <c r="X146">
        <v>0</v>
      </c>
      <c r="Y146" t="s">
        <v>60</v>
      </c>
      <c r="Z146" t="s">
        <v>61</v>
      </c>
      <c r="AA146">
        <v>0</v>
      </c>
      <c r="AB146" s="2">
        <v>0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6.37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</row>
    <row r="147" spans="1:43" x14ac:dyDescent="0.3">
      <c r="A147" s="1">
        <v>46125</v>
      </c>
      <c r="B147" t="s">
        <v>48</v>
      </c>
      <c r="C147">
        <v>649163</v>
      </c>
      <c r="D147">
        <v>2033155462</v>
      </c>
      <c r="E147" t="s">
        <v>407</v>
      </c>
      <c r="F147" t="s">
        <v>408</v>
      </c>
      <c r="G147" t="s">
        <v>51</v>
      </c>
      <c r="H147" t="s">
        <v>80</v>
      </c>
      <c r="I147" t="s">
        <v>53</v>
      </c>
      <c r="J147" t="s">
        <v>54</v>
      </c>
      <c r="K147">
        <v>821015</v>
      </c>
      <c r="L147" t="s">
        <v>234</v>
      </c>
      <c r="M147" t="s">
        <v>235</v>
      </c>
      <c r="N147" t="s">
        <v>57</v>
      </c>
      <c r="O147" s="1">
        <v>46037</v>
      </c>
      <c r="Q147" s="1">
        <v>46157</v>
      </c>
      <c r="R147" s="2">
        <v>105.02</v>
      </c>
      <c r="S147">
        <v>1</v>
      </c>
      <c r="T147" t="s">
        <v>58</v>
      </c>
      <c r="U147" t="s">
        <v>173</v>
      </c>
      <c r="V147" s="3">
        <v>0.7</v>
      </c>
      <c r="W147" s="2">
        <v>0</v>
      </c>
      <c r="X147">
        <v>0</v>
      </c>
      <c r="Y147" t="s">
        <v>60</v>
      </c>
      <c r="Z147" t="s">
        <v>61</v>
      </c>
      <c r="AA147">
        <v>0</v>
      </c>
      <c r="AB147" s="2">
        <v>0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73.510000000000005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</row>
    <row r="148" spans="1:43" x14ac:dyDescent="0.3">
      <c r="A148" s="1">
        <v>46125</v>
      </c>
      <c r="B148" t="s">
        <v>48</v>
      </c>
      <c r="C148">
        <v>649163</v>
      </c>
      <c r="D148">
        <v>2033164608</v>
      </c>
      <c r="E148" t="s">
        <v>409</v>
      </c>
      <c r="F148" t="s">
        <v>410</v>
      </c>
      <c r="G148" t="s">
        <v>51</v>
      </c>
      <c r="H148" t="s">
        <v>103</v>
      </c>
      <c r="I148" t="s">
        <v>53</v>
      </c>
      <c r="J148" t="s">
        <v>54</v>
      </c>
      <c r="K148">
        <v>816021</v>
      </c>
      <c r="L148" t="s">
        <v>104</v>
      </c>
      <c r="M148" t="s">
        <v>105</v>
      </c>
      <c r="N148" t="s">
        <v>57</v>
      </c>
      <c r="O148" s="1">
        <v>46038</v>
      </c>
      <c r="Q148" s="1">
        <v>46158</v>
      </c>
      <c r="R148" s="2">
        <v>9.1</v>
      </c>
      <c r="S148">
        <v>1</v>
      </c>
      <c r="T148" t="s">
        <v>58</v>
      </c>
      <c r="U148" t="s">
        <v>173</v>
      </c>
      <c r="V148" s="3">
        <v>0.7</v>
      </c>
      <c r="W148" s="2">
        <v>0</v>
      </c>
      <c r="X148">
        <v>0</v>
      </c>
      <c r="Y148" t="s">
        <v>60</v>
      </c>
      <c r="Z148" t="s">
        <v>61</v>
      </c>
      <c r="AA148">
        <v>0</v>
      </c>
      <c r="AB148" s="2">
        <v>0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6.37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</row>
    <row r="149" spans="1:43" x14ac:dyDescent="0.3">
      <c r="A149" s="1">
        <v>46125</v>
      </c>
      <c r="B149" t="s">
        <v>48</v>
      </c>
      <c r="C149">
        <v>649163</v>
      </c>
      <c r="D149">
        <v>2033167656</v>
      </c>
      <c r="E149" t="s">
        <v>411</v>
      </c>
      <c r="F149" t="s">
        <v>412</v>
      </c>
      <c r="G149" t="s">
        <v>51</v>
      </c>
      <c r="H149" t="s">
        <v>70</v>
      </c>
      <c r="I149" t="s">
        <v>53</v>
      </c>
      <c r="J149" t="s">
        <v>54</v>
      </c>
      <c r="K149">
        <v>839554</v>
      </c>
      <c r="L149" t="s">
        <v>413</v>
      </c>
      <c r="M149" t="s">
        <v>414</v>
      </c>
      <c r="N149" t="s">
        <v>57</v>
      </c>
      <c r="O149" s="1">
        <v>46038</v>
      </c>
      <c r="Q149" s="1">
        <v>46158</v>
      </c>
      <c r="R149" s="2">
        <v>89.52</v>
      </c>
      <c r="S149">
        <v>1</v>
      </c>
      <c r="T149" t="s">
        <v>58</v>
      </c>
      <c r="U149" t="s">
        <v>173</v>
      </c>
      <c r="V149" s="3">
        <v>0.7</v>
      </c>
      <c r="W149" s="2">
        <v>0</v>
      </c>
      <c r="X149">
        <v>0</v>
      </c>
      <c r="Y149" t="s">
        <v>60</v>
      </c>
      <c r="Z149" t="s">
        <v>61</v>
      </c>
      <c r="AA149">
        <v>0</v>
      </c>
      <c r="AB149" s="2">
        <v>0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62.66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</row>
    <row r="150" spans="1:43" x14ac:dyDescent="0.3">
      <c r="A150" s="1">
        <v>46125</v>
      </c>
      <c r="B150" t="s">
        <v>48</v>
      </c>
      <c r="C150">
        <v>649163</v>
      </c>
      <c r="D150">
        <v>2033170438</v>
      </c>
      <c r="E150" t="s">
        <v>415</v>
      </c>
      <c r="F150" t="s">
        <v>416</v>
      </c>
      <c r="G150" t="s">
        <v>51</v>
      </c>
      <c r="H150" t="s">
        <v>52</v>
      </c>
      <c r="I150" t="s">
        <v>53</v>
      </c>
      <c r="J150" t="s">
        <v>54</v>
      </c>
      <c r="K150">
        <v>867497</v>
      </c>
      <c r="L150" t="s">
        <v>311</v>
      </c>
      <c r="M150" t="s">
        <v>312</v>
      </c>
      <c r="N150" t="s">
        <v>57</v>
      </c>
      <c r="O150" s="1">
        <v>46039</v>
      </c>
      <c r="Q150" s="1">
        <v>46159</v>
      </c>
      <c r="R150" s="2">
        <v>33.979999999999997</v>
      </c>
      <c r="S150">
        <v>1</v>
      </c>
      <c r="T150" t="s">
        <v>58</v>
      </c>
      <c r="U150" t="s">
        <v>173</v>
      </c>
      <c r="V150" s="3">
        <v>0.7</v>
      </c>
      <c r="W150" s="2">
        <v>0</v>
      </c>
      <c r="X150">
        <v>0</v>
      </c>
      <c r="Y150" t="s">
        <v>60</v>
      </c>
      <c r="Z150" t="s">
        <v>61</v>
      </c>
      <c r="AA150">
        <v>0</v>
      </c>
      <c r="AB150" s="2">
        <v>0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23.79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</row>
    <row r="151" spans="1:43" x14ac:dyDescent="0.3">
      <c r="A151" s="1">
        <v>46125</v>
      </c>
      <c r="B151" t="s">
        <v>48</v>
      </c>
      <c r="C151">
        <v>649163</v>
      </c>
      <c r="D151">
        <v>2033172629</v>
      </c>
      <c r="E151" t="s">
        <v>417</v>
      </c>
      <c r="F151" t="s">
        <v>107</v>
      </c>
      <c r="G151" t="s">
        <v>51</v>
      </c>
      <c r="H151" t="s">
        <v>70</v>
      </c>
      <c r="I151" t="s">
        <v>53</v>
      </c>
      <c r="J151" t="s">
        <v>54</v>
      </c>
      <c r="K151">
        <v>902625</v>
      </c>
      <c r="L151" t="s">
        <v>281</v>
      </c>
      <c r="M151" t="s">
        <v>282</v>
      </c>
      <c r="N151" t="s">
        <v>57</v>
      </c>
      <c r="O151" s="1">
        <v>46038</v>
      </c>
      <c r="Q151" s="1">
        <v>46158</v>
      </c>
      <c r="R151" s="2">
        <v>22</v>
      </c>
      <c r="S151">
        <v>1</v>
      </c>
      <c r="T151" t="s">
        <v>58</v>
      </c>
      <c r="U151" t="s">
        <v>173</v>
      </c>
      <c r="V151" s="3">
        <v>0.7</v>
      </c>
      <c r="W151" s="2">
        <v>0</v>
      </c>
      <c r="X151">
        <v>0</v>
      </c>
      <c r="Y151" t="s">
        <v>60</v>
      </c>
      <c r="Z151" t="s">
        <v>61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15.4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</row>
    <row r="152" spans="1:43" x14ac:dyDescent="0.3">
      <c r="A152" s="1">
        <v>46125</v>
      </c>
      <c r="B152" t="s">
        <v>48</v>
      </c>
      <c r="C152">
        <v>649163</v>
      </c>
      <c r="D152">
        <v>2033174368</v>
      </c>
      <c r="E152" t="s">
        <v>418</v>
      </c>
      <c r="F152" t="s">
        <v>419</v>
      </c>
      <c r="G152" t="s">
        <v>51</v>
      </c>
      <c r="H152" t="s">
        <v>420</v>
      </c>
      <c r="I152" t="s">
        <v>53</v>
      </c>
      <c r="J152" t="s">
        <v>54</v>
      </c>
      <c r="K152">
        <v>816021</v>
      </c>
      <c r="L152" t="s">
        <v>104</v>
      </c>
      <c r="M152" t="s">
        <v>105</v>
      </c>
      <c r="N152" t="s">
        <v>57</v>
      </c>
      <c r="O152" s="1">
        <v>46038</v>
      </c>
      <c r="Q152" s="1">
        <v>46158</v>
      </c>
      <c r="R152" s="2">
        <v>20.21</v>
      </c>
      <c r="S152">
        <v>1</v>
      </c>
      <c r="T152" t="s">
        <v>58</v>
      </c>
      <c r="U152" t="s">
        <v>173</v>
      </c>
      <c r="V152" s="3">
        <v>0.7</v>
      </c>
      <c r="W152" s="2">
        <v>0</v>
      </c>
      <c r="X152">
        <v>0</v>
      </c>
      <c r="Y152" t="s">
        <v>60</v>
      </c>
      <c r="Z152" t="s">
        <v>61</v>
      </c>
      <c r="AA152">
        <v>0</v>
      </c>
      <c r="AB152" s="2">
        <v>0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14.15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</row>
    <row r="153" spans="1:43" x14ac:dyDescent="0.3">
      <c r="A153" s="1">
        <v>46125</v>
      </c>
      <c r="B153" t="s">
        <v>48</v>
      </c>
      <c r="C153">
        <v>649163</v>
      </c>
      <c r="D153">
        <v>2033176985</v>
      </c>
      <c r="E153" t="s">
        <v>421</v>
      </c>
      <c r="F153" t="s">
        <v>422</v>
      </c>
      <c r="G153" t="s">
        <v>51</v>
      </c>
      <c r="H153" t="s">
        <v>103</v>
      </c>
      <c r="I153" t="s">
        <v>53</v>
      </c>
      <c r="J153" t="s">
        <v>54</v>
      </c>
      <c r="K153">
        <v>816021</v>
      </c>
      <c r="L153" t="s">
        <v>104</v>
      </c>
      <c r="M153" t="s">
        <v>105</v>
      </c>
      <c r="N153" t="s">
        <v>57</v>
      </c>
      <c r="O153" s="1">
        <v>46038</v>
      </c>
      <c r="Q153" s="1">
        <v>46158</v>
      </c>
      <c r="R153" s="2">
        <v>19.489999999999998</v>
      </c>
      <c r="S153">
        <v>1</v>
      </c>
      <c r="T153" t="s">
        <v>58</v>
      </c>
      <c r="U153" t="s">
        <v>173</v>
      </c>
      <c r="V153" s="3">
        <v>0.7</v>
      </c>
      <c r="W153" s="2">
        <v>0</v>
      </c>
      <c r="X153">
        <v>0</v>
      </c>
      <c r="Y153" t="s">
        <v>60</v>
      </c>
      <c r="Z153" t="s">
        <v>61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13.64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</row>
    <row r="154" spans="1:43" x14ac:dyDescent="0.3">
      <c r="A154" s="1">
        <v>46125</v>
      </c>
      <c r="B154" t="s">
        <v>48</v>
      </c>
      <c r="C154">
        <v>649163</v>
      </c>
      <c r="D154">
        <v>2033177917</v>
      </c>
      <c r="E154" t="s">
        <v>423</v>
      </c>
      <c r="F154" t="s">
        <v>424</v>
      </c>
      <c r="G154" t="s">
        <v>51</v>
      </c>
      <c r="H154" t="s">
        <v>80</v>
      </c>
      <c r="I154" t="s">
        <v>53</v>
      </c>
      <c r="J154" t="s">
        <v>54</v>
      </c>
      <c r="K154">
        <v>768887</v>
      </c>
      <c r="L154" t="s">
        <v>425</v>
      </c>
      <c r="M154" t="s">
        <v>123</v>
      </c>
      <c r="N154" t="s">
        <v>57</v>
      </c>
      <c r="O154" s="1">
        <v>46038</v>
      </c>
      <c r="Q154" s="1">
        <v>46158</v>
      </c>
      <c r="R154" s="2">
        <v>52.31</v>
      </c>
      <c r="S154">
        <v>1</v>
      </c>
      <c r="T154" t="s">
        <v>58</v>
      </c>
      <c r="U154" t="s">
        <v>173</v>
      </c>
      <c r="V154" s="3">
        <v>0.7</v>
      </c>
      <c r="W154" s="2">
        <v>0</v>
      </c>
      <c r="X154">
        <v>0</v>
      </c>
      <c r="Y154" t="s">
        <v>60</v>
      </c>
      <c r="Z154" t="s">
        <v>61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36.619999999999997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</row>
    <row r="155" spans="1:43" x14ac:dyDescent="0.3">
      <c r="A155" s="1">
        <v>46125</v>
      </c>
      <c r="B155" t="s">
        <v>48</v>
      </c>
      <c r="C155">
        <v>649163</v>
      </c>
      <c r="D155">
        <v>2033187706</v>
      </c>
      <c r="E155" t="s">
        <v>170</v>
      </c>
      <c r="F155" t="s">
        <v>426</v>
      </c>
      <c r="G155" t="s">
        <v>51</v>
      </c>
      <c r="H155" t="s">
        <v>93</v>
      </c>
      <c r="I155" t="s">
        <v>53</v>
      </c>
      <c r="J155" t="s">
        <v>65</v>
      </c>
      <c r="K155">
        <v>902625</v>
      </c>
      <c r="L155" t="s">
        <v>281</v>
      </c>
      <c r="M155" t="s">
        <v>282</v>
      </c>
      <c r="N155" t="s">
        <v>57</v>
      </c>
      <c r="O155" s="1">
        <v>46039</v>
      </c>
      <c r="Q155" s="1">
        <v>46159</v>
      </c>
      <c r="R155" s="2">
        <v>39</v>
      </c>
      <c r="S155">
        <v>1</v>
      </c>
      <c r="T155" t="s">
        <v>58</v>
      </c>
      <c r="U155" t="s">
        <v>173</v>
      </c>
      <c r="V155" s="3">
        <v>0.9</v>
      </c>
      <c r="W155" s="2">
        <v>0</v>
      </c>
      <c r="X155">
        <v>0</v>
      </c>
      <c r="Y155" t="s">
        <v>60</v>
      </c>
      <c r="Z155" t="s">
        <v>61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35.1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</row>
    <row r="156" spans="1:43" x14ac:dyDescent="0.3">
      <c r="A156" s="1">
        <v>46125</v>
      </c>
      <c r="B156" t="s">
        <v>48</v>
      </c>
      <c r="C156">
        <v>649163</v>
      </c>
      <c r="D156">
        <v>2033190697</v>
      </c>
      <c r="E156" t="s">
        <v>427</v>
      </c>
      <c r="F156" t="s">
        <v>428</v>
      </c>
      <c r="G156" t="s">
        <v>51</v>
      </c>
      <c r="H156" t="s">
        <v>52</v>
      </c>
      <c r="I156" t="s">
        <v>53</v>
      </c>
      <c r="J156" t="s">
        <v>54</v>
      </c>
      <c r="K156">
        <v>878036</v>
      </c>
      <c r="L156" t="s">
        <v>156</v>
      </c>
      <c r="M156" t="s">
        <v>157</v>
      </c>
      <c r="N156" t="s">
        <v>57</v>
      </c>
      <c r="O156" s="1">
        <v>46039</v>
      </c>
      <c r="Q156" s="1">
        <v>46159</v>
      </c>
      <c r="R156" s="2">
        <v>49.46</v>
      </c>
      <c r="S156">
        <v>1</v>
      </c>
      <c r="T156" t="s">
        <v>58</v>
      </c>
      <c r="U156" t="s">
        <v>173</v>
      </c>
      <c r="V156" s="3">
        <v>0.7</v>
      </c>
      <c r="W156" s="2">
        <v>0</v>
      </c>
      <c r="X156">
        <v>0</v>
      </c>
      <c r="Y156" t="s">
        <v>60</v>
      </c>
      <c r="Z156" t="s">
        <v>61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34.619999999999997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</row>
    <row r="157" spans="1:43" x14ac:dyDescent="0.3">
      <c r="A157" s="1">
        <v>46125</v>
      </c>
      <c r="B157" t="s">
        <v>48</v>
      </c>
      <c r="C157">
        <v>649163</v>
      </c>
      <c r="D157">
        <v>2033195124</v>
      </c>
      <c r="E157" t="s">
        <v>429</v>
      </c>
      <c r="F157" t="s">
        <v>430</v>
      </c>
      <c r="G157" t="s">
        <v>51</v>
      </c>
      <c r="H157" t="s">
        <v>80</v>
      </c>
      <c r="I157" t="s">
        <v>53</v>
      </c>
      <c r="J157" t="s">
        <v>54</v>
      </c>
      <c r="K157">
        <v>813184</v>
      </c>
      <c r="L157" t="s">
        <v>127</v>
      </c>
      <c r="M157" t="s">
        <v>128</v>
      </c>
      <c r="N157" t="s">
        <v>57</v>
      </c>
      <c r="O157" s="1">
        <v>46039</v>
      </c>
      <c r="Q157" s="1">
        <v>46159</v>
      </c>
      <c r="R157" s="2">
        <v>204.04</v>
      </c>
      <c r="S157">
        <v>1</v>
      </c>
      <c r="T157" t="s">
        <v>58</v>
      </c>
      <c r="U157" t="s">
        <v>173</v>
      </c>
      <c r="V157" s="3">
        <v>0.7</v>
      </c>
      <c r="W157" s="2">
        <v>0</v>
      </c>
      <c r="X157">
        <v>0</v>
      </c>
      <c r="Y157" t="s">
        <v>60</v>
      </c>
      <c r="Z157" t="s">
        <v>61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142.83000000000001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</row>
    <row r="158" spans="1:43" x14ac:dyDescent="0.3">
      <c r="A158" s="1">
        <v>46125</v>
      </c>
      <c r="B158" t="s">
        <v>48</v>
      </c>
      <c r="C158">
        <v>649163</v>
      </c>
      <c r="D158">
        <v>2033220285</v>
      </c>
      <c r="E158" t="s">
        <v>431</v>
      </c>
      <c r="F158" t="s">
        <v>432</v>
      </c>
      <c r="G158" t="s">
        <v>51</v>
      </c>
      <c r="H158" t="s">
        <v>141</v>
      </c>
      <c r="I158" t="s">
        <v>53</v>
      </c>
      <c r="J158" t="s">
        <v>54</v>
      </c>
      <c r="K158">
        <v>651818</v>
      </c>
      <c r="L158" t="s">
        <v>55</v>
      </c>
      <c r="M158" t="s">
        <v>56</v>
      </c>
      <c r="N158" t="s">
        <v>57</v>
      </c>
      <c r="O158" s="1">
        <v>46059</v>
      </c>
      <c r="Q158" s="1">
        <v>46148</v>
      </c>
      <c r="R158" s="2">
        <v>-51.19</v>
      </c>
      <c r="S158">
        <v>1</v>
      </c>
      <c r="T158" t="s">
        <v>58</v>
      </c>
      <c r="U158" t="s">
        <v>173</v>
      </c>
      <c r="V158" s="3">
        <v>0.7</v>
      </c>
      <c r="W158" s="2">
        <v>0</v>
      </c>
      <c r="X158">
        <v>-1</v>
      </c>
      <c r="Y158" t="s">
        <v>60</v>
      </c>
      <c r="Z158" t="s">
        <v>61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-35.83</v>
      </c>
      <c r="AN158" s="2">
        <v>-35.83</v>
      </c>
      <c r="AO158" s="2">
        <v>0</v>
      </c>
      <c r="AP158" s="2">
        <v>0</v>
      </c>
      <c r="AQ158" s="2">
        <v>0</v>
      </c>
    </row>
    <row r="159" spans="1:43" x14ac:dyDescent="0.3">
      <c r="A159" s="1">
        <v>46125</v>
      </c>
      <c r="B159" t="s">
        <v>48</v>
      </c>
      <c r="C159">
        <v>649163</v>
      </c>
      <c r="D159">
        <v>2033293237</v>
      </c>
      <c r="E159" t="s">
        <v>433</v>
      </c>
      <c r="F159" t="s">
        <v>434</v>
      </c>
      <c r="G159" t="s">
        <v>51</v>
      </c>
      <c r="H159" t="s">
        <v>80</v>
      </c>
      <c r="I159" t="s">
        <v>53</v>
      </c>
      <c r="J159" t="s">
        <v>65</v>
      </c>
      <c r="K159">
        <v>820873</v>
      </c>
      <c r="L159" t="s">
        <v>307</v>
      </c>
      <c r="M159" t="s">
        <v>308</v>
      </c>
      <c r="N159" t="s">
        <v>57</v>
      </c>
      <c r="O159" s="1">
        <v>46065</v>
      </c>
      <c r="Q159" s="1">
        <v>46154</v>
      </c>
      <c r="R159" s="2">
        <v>99.25</v>
      </c>
      <c r="S159">
        <v>1</v>
      </c>
      <c r="T159" t="s">
        <v>58</v>
      </c>
      <c r="U159" t="s">
        <v>173</v>
      </c>
      <c r="V159" s="3">
        <v>0.9</v>
      </c>
      <c r="W159" s="2">
        <v>0</v>
      </c>
      <c r="X159">
        <v>0</v>
      </c>
      <c r="Y159" t="s">
        <v>60</v>
      </c>
      <c r="Z159" t="s">
        <v>61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89.32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</row>
    <row r="160" spans="1:43" x14ac:dyDescent="0.3">
      <c r="A160" s="1">
        <v>46125</v>
      </c>
      <c r="B160" t="s">
        <v>48</v>
      </c>
      <c r="C160">
        <v>649163</v>
      </c>
      <c r="D160">
        <v>2033375395</v>
      </c>
      <c r="E160" t="s">
        <v>435</v>
      </c>
      <c r="F160" t="s">
        <v>436</v>
      </c>
      <c r="G160" t="s">
        <v>51</v>
      </c>
      <c r="H160" t="s">
        <v>80</v>
      </c>
      <c r="I160" t="s">
        <v>53</v>
      </c>
      <c r="J160" t="s">
        <v>54</v>
      </c>
      <c r="K160">
        <v>806645</v>
      </c>
      <c r="L160" t="s">
        <v>262</v>
      </c>
      <c r="M160" t="s">
        <v>263</v>
      </c>
      <c r="N160" t="s">
        <v>57</v>
      </c>
      <c r="O160" s="1">
        <v>46054</v>
      </c>
      <c r="Q160" s="1">
        <v>46143</v>
      </c>
      <c r="R160" s="2">
        <v>290.83999999999997</v>
      </c>
      <c r="S160">
        <v>1</v>
      </c>
      <c r="T160" t="s">
        <v>58</v>
      </c>
      <c r="U160" t="s">
        <v>173</v>
      </c>
      <c r="V160" s="3">
        <v>0.7</v>
      </c>
      <c r="W160" s="2">
        <v>0</v>
      </c>
      <c r="X160">
        <v>0</v>
      </c>
      <c r="Y160" t="s">
        <v>60</v>
      </c>
      <c r="Z160" t="s">
        <v>61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203.59</v>
      </c>
      <c r="AN160" s="2">
        <v>203.59</v>
      </c>
      <c r="AO160" s="2">
        <v>0</v>
      </c>
      <c r="AP160" s="2">
        <v>0</v>
      </c>
      <c r="AQ160" s="2">
        <v>0</v>
      </c>
    </row>
    <row r="161" spans="1:43" x14ac:dyDescent="0.3">
      <c r="A161" s="1">
        <v>46125</v>
      </c>
      <c r="B161" t="s">
        <v>48</v>
      </c>
      <c r="C161">
        <v>649163</v>
      </c>
      <c r="D161">
        <v>2033499220</v>
      </c>
      <c r="E161" t="s">
        <v>437</v>
      </c>
      <c r="F161" t="s">
        <v>438</v>
      </c>
      <c r="G161" t="s">
        <v>51</v>
      </c>
      <c r="H161" t="s">
        <v>270</v>
      </c>
      <c r="I161" t="s">
        <v>53</v>
      </c>
      <c r="J161" t="s">
        <v>54</v>
      </c>
      <c r="K161">
        <v>856824</v>
      </c>
      <c r="L161" t="s">
        <v>71</v>
      </c>
      <c r="M161" t="s">
        <v>72</v>
      </c>
      <c r="N161" t="s">
        <v>86</v>
      </c>
      <c r="O161" s="1">
        <v>46082</v>
      </c>
      <c r="P161" s="1">
        <v>46118</v>
      </c>
      <c r="Q161" s="1">
        <v>46143</v>
      </c>
      <c r="R161" s="2">
        <v>-203.98</v>
      </c>
      <c r="S161">
        <v>1</v>
      </c>
      <c r="T161" t="s">
        <v>58</v>
      </c>
      <c r="U161" t="s">
        <v>173</v>
      </c>
      <c r="V161" s="3">
        <v>0.7</v>
      </c>
      <c r="W161" s="2">
        <v>0</v>
      </c>
      <c r="X161">
        <v>-1</v>
      </c>
      <c r="Y161" t="s">
        <v>60</v>
      </c>
      <c r="Z161" t="s">
        <v>61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-142.79</v>
      </c>
      <c r="AN161" s="2">
        <v>-142.79</v>
      </c>
      <c r="AO161" s="2">
        <v>0</v>
      </c>
      <c r="AP161" s="2">
        <v>0</v>
      </c>
      <c r="AQ161" s="2">
        <v>0</v>
      </c>
    </row>
    <row r="162" spans="1:43" x14ac:dyDescent="0.3">
      <c r="A162" s="1">
        <v>46125</v>
      </c>
      <c r="B162" t="s">
        <v>48</v>
      </c>
      <c r="C162">
        <v>649163</v>
      </c>
      <c r="D162">
        <v>2033585242</v>
      </c>
      <c r="E162" t="s">
        <v>439</v>
      </c>
      <c r="F162" t="s">
        <v>440</v>
      </c>
      <c r="G162" t="s">
        <v>51</v>
      </c>
      <c r="H162" t="s">
        <v>80</v>
      </c>
      <c r="I162" t="s">
        <v>53</v>
      </c>
      <c r="J162" t="s">
        <v>54</v>
      </c>
      <c r="K162">
        <v>840313</v>
      </c>
      <c r="L162" t="s">
        <v>441</v>
      </c>
      <c r="M162" t="s">
        <v>442</v>
      </c>
      <c r="N162" t="s">
        <v>57</v>
      </c>
      <c r="O162" s="1">
        <v>46064</v>
      </c>
      <c r="Q162" s="1">
        <v>46153</v>
      </c>
      <c r="R162" s="2">
        <v>56.5</v>
      </c>
      <c r="S162">
        <v>1</v>
      </c>
      <c r="T162" t="s">
        <v>58</v>
      </c>
      <c r="U162" t="s">
        <v>173</v>
      </c>
      <c r="V162" s="3">
        <v>0.7</v>
      </c>
      <c r="W162" s="2">
        <v>0</v>
      </c>
      <c r="X162">
        <v>0</v>
      </c>
      <c r="Y162" t="s">
        <v>60</v>
      </c>
      <c r="Z162" t="s">
        <v>61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39.549999999999997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</row>
    <row r="163" spans="1:43" x14ac:dyDescent="0.3">
      <c r="A163" s="1">
        <v>46125</v>
      </c>
      <c r="B163" t="s">
        <v>48</v>
      </c>
      <c r="C163">
        <v>649163</v>
      </c>
      <c r="D163">
        <v>2034115985</v>
      </c>
      <c r="E163" t="s">
        <v>443</v>
      </c>
      <c r="F163" t="s">
        <v>62</v>
      </c>
      <c r="G163" t="s">
        <v>51</v>
      </c>
      <c r="H163" t="s">
        <v>64</v>
      </c>
      <c r="I163" t="s">
        <v>444</v>
      </c>
      <c r="J163" t="s">
        <v>445</v>
      </c>
      <c r="K163">
        <v>942810</v>
      </c>
      <c r="L163" t="s">
        <v>446</v>
      </c>
      <c r="M163" t="s">
        <v>447</v>
      </c>
      <c r="N163" t="s">
        <v>57</v>
      </c>
      <c r="O163" s="1">
        <v>46127</v>
      </c>
      <c r="Q163" s="1">
        <v>46157</v>
      </c>
      <c r="R163" s="2">
        <v>20.9</v>
      </c>
      <c r="S163">
        <v>1</v>
      </c>
      <c r="T163" t="s">
        <v>58</v>
      </c>
      <c r="U163" t="s">
        <v>173</v>
      </c>
      <c r="V163" s="3">
        <v>0.75</v>
      </c>
      <c r="W163" s="2">
        <v>0</v>
      </c>
      <c r="X163">
        <v>0</v>
      </c>
      <c r="Y163" t="s">
        <v>60</v>
      </c>
      <c r="Z163" t="s">
        <v>448</v>
      </c>
      <c r="AA163">
        <v>6</v>
      </c>
      <c r="AB163" s="2">
        <v>94.08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15.68</v>
      </c>
      <c r="AM163" s="2">
        <v>0</v>
      </c>
      <c r="AN163" s="2">
        <v>94.08</v>
      </c>
      <c r="AO163" s="2">
        <v>0</v>
      </c>
      <c r="AP163" s="2">
        <v>0</v>
      </c>
      <c r="AQ163" s="2">
        <v>0</v>
      </c>
    </row>
    <row r="164" spans="1:43" x14ac:dyDescent="0.3">
      <c r="A164" s="1">
        <v>46125</v>
      </c>
      <c r="B164" t="s">
        <v>48</v>
      </c>
      <c r="C164">
        <v>649163</v>
      </c>
      <c r="D164">
        <v>2034204961</v>
      </c>
      <c r="E164" t="s">
        <v>449</v>
      </c>
      <c r="F164" t="s">
        <v>450</v>
      </c>
      <c r="G164" t="s">
        <v>51</v>
      </c>
      <c r="H164" t="s">
        <v>85</v>
      </c>
      <c r="I164" t="s">
        <v>444</v>
      </c>
      <c r="J164" t="s">
        <v>451</v>
      </c>
      <c r="K164">
        <v>651818</v>
      </c>
      <c r="L164" t="s">
        <v>55</v>
      </c>
      <c r="M164" t="s">
        <v>56</v>
      </c>
      <c r="N164" t="s">
        <v>57</v>
      </c>
      <c r="O164" s="1">
        <v>46118</v>
      </c>
      <c r="Q164" s="1">
        <v>46148</v>
      </c>
      <c r="R164" s="2">
        <v>30.01</v>
      </c>
      <c r="S164">
        <v>1</v>
      </c>
      <c r="T164" t="s">
        <v>58</v>
      </c>
      <c r="U164" t="s">
        <v>173</v>
      </c>
      <c r="V164" s="3">
        <v>0.75</v>
      </c>
      <c r="W164" s="2">
        <v>0</v>
      </c>
      <c r="X164">
        <v>0</v>
      </c>
      <c r="Y164" t="s">
        <v>60</v>
      </c>
      <c r="Z164" t="s">
        <v>448</v>
      </c>
      <c r="AA164">
        <v>6</v>
      </c>
      <c r="AB164" s="2">
        <v>135.06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22.51</v>
      </c>
      <c r="AM164" s="2">
        <v>0</v>
      </c>
      <c r="AN164" s="2">
        <v>135.06</v>
      </c>
      <c r="AO164" s="2">
        <v>0</v>
      </c>
      <c r="AP164" s="2">
        <v>0</v>
      </c>
      <c r="AQ164" s="2">
        <v>0</v>
      </c>
    </row>
    <row r="165" spans="1:43" x14ac:dyDescent="0.3">
      <c r="A165" s="1">
        <v>46125</v>
      </c>
      <c r="B165" t="s">
        <v>48</v>
      </c>
      <c r="C165">
        <v>649163</v>
      </c>
      <c r="D165">
        <v>2034206692</v>
      </c>
      <c r="E165" t="s">
        <v>452</v>
      </c>
      <c r="F165" t="s">
        <v>453</v>
      </c>
      <c r="G165" t="s">
        <v>51</v>
      </c>
      <c r="H165" t="s">
        <v>85</v>
      </c>
      <c r="I165" t="s">
        <v>444</v>
      </c>
      <c r="J165" t="s">
        <v>454</v>
      </c>
      <c r="K165">
        <v>651818</v>
      </c>
      <c r="L165" t="s">
        <v>55</v>
      </c>
      <c r="M165" t="s">
        <v>56</v>
      </c>
      <c r="N165" t="s">
        <v>57</v>
      </c>
      <c r="O165" s="1">
        <v>46118</v>
      </c>
      <c r="Q165" s="1">
        <v>46148</v>
      </c>
      <c r="R165" s="2">
        <v>146.24</v>
      </c>
      <c r="S165">
        <v>1</v>
      </c>
      <c r="T165" t="s">
        <v>58</v>
      </c>
      <c r="U165" t="s">
        <v>173</v>
      </c>
      <c r="V165" s="3">
        <v>0.75</v>
      </c>
      <c r="W165" s="2">
        <v>0</v>
      </c>
      <c r="X165">
        <v>0</v>
      </c>
      <c r="Y165" t="s">
        <v>60</v>
      </c>
      <c r="Z165" t="s">
        <v>448</v>
      </c>
      <c r="AA165">
        <v>6</v>
      </c>
      <c r="AB165" s="2">
        <v>658.08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109.68</v>
      </c>
      <c r="AM165" s="2">
        <v>0</v>
      </c>
      <c r="AN165" s="2">
        <v>658.08</v>
      </c>
      <c r="AO165" s="2">
        <v>0</v>
      </c>
      <c r="AP165" s="2">
        <v>0</v>
      </c>
      <c r="AQ165" s="2">
        <v>0</v>
      </c>
    </row>
    <row r="166" spans="1:43" x14ac:dyDescent="0.3">
      <c r="A166" s="1">
        <v>46125</v>
      </c>
      <c r="B166" t="s">
        <v>48</v>
      </c>
      <c r="C166">
        <v>649163</v>
      </c>
      <c r="D166">
        <v>2034516479</v>
      </c>
      <c r="E166" t="s">
        <v>455</v>
      </c>
      <c r="F166" t="s">
        <v>456</v>
      </c>
      <c r="G166" t="s">
        <v>51</v>
      </c>
      <c r="H166" t="s">
        <v>457</v>
      </c>
      <c r="I166" t="s">
        <v>444</v>
      </c>
      <c r="J166" t="s">
        <v>451</v>
      </c>
      <c r="K166">
        <v>673059</v>
      </c>
      <c r="L166" t="s">
        <v>115</v>
      </c>
      <c r="M166" t="s">
        <v>116</v>
      </c>
      <c r="N166" t="s">
        <v>57</v>
      </c>
      <c r="O166" s="1">
        <v>46119</v>
      </c>
      <c r="Q166" s="1">
        <v>46149</v>
      </c>
      <c r="R166" s="2">
        <v>13.24</v>
      </c>
      <c r="S166">
        <v>1</v>
      </c>
      <c r="T166" t="s">
        <v>58</v>
      </c>
      <c r="U166" t="s">
        <v>173</v>
      </c>
      <c r="V166" s="3">
        <v>0.75</v>
      </c>
      <c r="W166" s="2">
        <v>0</v>
      </c>
      <c r="X166">
        <v>0</v>
      </c>
      <c r="Y166" t="s">
        <v>60</v>
      </c>
      <c r="Z166" t="s">
        <v>448</v>
      </c>
      <c r="AA166">
        <v>6</v>
      </c>
      <c r="AB166" s="2">
        <v>59.58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9.93</v>
      </c>
      <c r="AM166" s="2">
        <v>0</v>
      </c>
      <c r="AN166" s="2">
        <v>59.58</v>
      </c>
      <c r="AO166" s="2">
        <v>0</v>
      </c>
      <c r="AP166" s="2">
        <v>0</v>
      </c>
      <c r="AQ166" s="2">
        <v>0</v>
      </c>
    </row>
    <row r="167" spans="1:43" x14ac:dyDescent="0.3">
      <c r="A167" s="1">
        <v>46125</v>
      </c>
      <c r="B167" t="s">
        <v>48</v>
      </c>
      <c r="C167">
        <v>649163</v>
      </c>
      <c r="D167">
        <v>2034774462</v>
      </c>
      <c r="E167" t="s">
        <v>458</v>
      </c>
      <c r="F167" t="s">
        <v>459</v>
      </c>
      <c r="G167" t="s">
        <v>51</v>
      </c>
      <c r="H167" t="s">
        <v>103</v>
      </c>
      <c r="I167" t="s">
        <v>444</v>
      </c>
      <c r="J167" t="s">
        <v>451</v>
      </c>
      <c r="K167">
        <v>816021</v>
      </c>
      <c r="L167" t="s">
        <v>104</v>
      </c>
      <c r="M167" t="s">
        <v>105</v>
      </c>
      <c r="N167" t="s">
        <v>57</v>
      </c>
      <c r="O167" s="1">
        <v>46123</v>
      </c>
      <c r="Q167" s="1">
        <v>46153</v>
      </c>
      <c r="R167" s="2">
        <v>10.51</v>
      </c>
      <c r="S167">
        <v>1</v>
      </c>
      <c r="T167" t="s">
        <v>58</v>
      </c>
      <c r="U167" t="s">
        <v>173</v>
      </c>
      <c r="V167" s="3">
        <v>0.75</v>
      </c>
      <c r="W167" s="2">
        <v>0</v>
      </c>
      <c r="X167">
        <v>0</v>
      </c>
      <c r="Y167" t="s">
        <v>60</v>
      </c>
      <c r="Z167" t="s">
        <v>448</v>
      </c>
      <c r="AA167">
        <v>6</v>
      </c>
      <c r="AB167" s="2">
        <v>47.28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7.88</v>
      </c>
      <c r="AM167" s="2">
        <v>0</v>
      </c>
      <c r="AN167" s="2">
        <v>47.28</v>
      </c>
      <c r="AO167" s="2">
        <v>0</v>
      </c>
      <c r="AP167" s="2">
        <v>0</v>
      </c>
      <c r="AQ167" s="2">
        <v>0</v>
      </c>
    </row>
    <row r="168" spans="1:43" x14ac:dyDescent="0.3">
      <c r="A168" s="1">
        <v>46125</v>
      </c>
      <c r="B168" t="s">
        <v>48</v>
      </c>
      <c r="C168">
        <v>649163</v>
      </c>
      <c r="D168">
        <v>2034790173</v>
      </c>
      <c r="E168" t="s">
        <v>460</v>
      </c>
      <c r="F168" t="s">
        <v>461</v>
      </c>
      <c r="G168" t="s">
        <v>51</v>
      </c>
      <c r="H168" t="s">
        <v>182</v>
      </c>
      <c r="I168" t="s">
        <v>444</v>
      </c>
      <c r="J168" t="s">
        <v>451</v>
      </c>
      <c r="K168">
        <v>856163</v>
      </c>
      <c r="L168" t="s">
        <v>120</v>
      </c>
      <c r="M168" t="s">
        <v>183</v>
      </c>
      <c r="N168" t="s">
        <v>57</v>
      </c>
      <c r="O168" s="1">
        <v>46124</v>
      </c>
      <c r="Q168" s="1">
        <v>46154</v>
      </c>
      <c r="R168" s="2">
        <v>99.12</v>
      </c>
      <c r="S168">
        <v>1</v>
      </c>
      <c r="T168" t="s">
        <v>58</v>
      </c>
      <c r="U168" t="s">
        <v>173</v>
      </c>
      <c r="V168" s="3">
        <v>0.75</v>
      </c>
      <c r="W168" s="2">
        <v>0</v>
      </c>
      <c r="X168">
        <v>0</v>
      </c>
      <c r="Y168" t="s">
        <v>60</v>
      </c>
      <c r="Z168" t="s">
        <v>448</v>
      </c>
      <c r="AA168">
        <v>6</v>
      </c>
      <c r="AB168" s="2">
        <v>446.04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74.34</v>
      </c>
      <c r="AM168" s="2">
        <v>0</v>
      </c>
      <c r="AN168" s="2">
        <v>446.04</v>
      </c>
      <c r="AO168" s="2">
        <v>0</v>
      </c>
      <c r="AP168" s="2">
        <v>0</v>
      </c>
      <c r="AQ168" s="2">
        <v>0</v>
      </c>
    </row>
    <row r="169" spans="1:43" x14ac:dyDescent="0.3">
      <c r="A169" s="1">
        <v>46125</v>
      </c>
      <c r="B169" t="s">
        <v>48</v>
      </c>
      <c r="C169">
        <v>649163</v>
      </c>
      <c r="D169">
        <v>2034796226</v>
      </c>
      <c r="E169" t="s">
        <v>462</v>
      </c>
      <c r="F169" t="s">
        <v>463</v>
      </c>
      <c r="G169" t="s">
        <v>51</v>
      </c>
      <c r="H169" t="s">
        <v>298</v>
      </c>
      <c r="I169" t="s">
        <v>444</v>
      </c>
      <c r="J169" t="s">
        <v>451</v>
      </c>
      <c r="K169">
        <v>897926</v>
      </c>
      <c r="L169" t="s">
        <v>244</v>
      </c>
      <c r="M169" t="s">
        <v>245</v>
      </c>
      <c r="N169" t="s">
        <v>57</v>
      </c>
      <c r="O169" s="1">
        <v>46120</v>
      </c>
      <c r="Q169" s="1">
        <v>46150</v>
      </c>
      <c r="R169" s="2">
        <v>59.1</v>
      </c>
      <c r="S169">
        <v>1</v>
      </c>
      <c r="T169" t="s">
        <v>58</v>
      </c>
      <c r="U169" t="s">
        <v>173</v>
      </c>
      <c r="V169" s="3">
        <v>0.75</v>
      </c>
      <c r="W169" s="2">
        <v>0</v>
      </c>
      <c r="X169">
        <v>0</v>
      </c>
      <c r="Y169" t="s">
        <v>60</v>
      </c>
      <c r="Z169" t="s">
        <v>448</v>
      </c>
      <c r="AA169">
        <v>6</v>
      </c>
      <c r="AB169" s="2">
        <v>265.92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44.32</v>
      </c>
      <c r="AM169" s="2">
        <v>0</v>
      </c>
      <c r="AN169" s="2">
        <v>265.92</v>
      </c>
      <c r="AO169" s="2">
        <v>0</v>
      </c>
      <c r="AP169" s="2">
        <v>0</v>
      </c>
      <c r="AQ169" s="2">
        <v>0</v>
      </c>
    </row>
    <row r="170" spans="1:43" x14ac:dyDescent="0.3">
      <c r="A170" s="1">
        <v>46125</v>
      </c>
      <c r="B170" t="s">
        <v>48</v>
      </c>
      <c r="C170">
        <v>649163</v>
      </c>
      <c r="D170">
        <v>2034814749</v>
      </c>
      <c r="E170" t="s">
        <v>464</v>
      </c>
      <c r="F170" t="s">
        <v>419</v>
      </c>
      <c r="G170" t="s">
        <v>51</v>
      </c>
      <c r="H170" t="s">
        <v>399</v>
      </c>
      <c r="I170" t="s">
        <v>444</v>
      </c>
      <c r="J170" t="s">
        <v>454</v>
      </c>
      <c r="K170">
        <v>673059</v>
      </c>
      <c r="L170" t="s">
        <v>115</v>
      </c>
      <c r="M170" t="s">
        <v>116</v>
      </c>
      <c r="N170" t="s">
        <v>57</v>
      </c>
      <c r="O170" s="1">
        <v>46121</v>
      </c>
      <c r="Q170" s="1">
        <v>46151</v>
      </c>
      <c r="R170" s="2">
        <v>71.8</v>
      </c>
      <c r="S170">
        <v>1</v>
      </c>
      <c r="T170" t="s">
        <v>58</v>
      </c>
      <c r="U170" t="s">
        <v>173</v>
      </c>
      <c r="V170" s="3">
        <v>0.75</v>
      </c>
      <c r="W170" s="2">
        <v>0</v>
      </c>
      <c r="X170">
        <v>0</v>
      </c>
      <c r="Y170" t="s">
        <v>60</v>
      </c>
      <c r="Z170" t="s">
        <v>448</v>
      </c>
      <c r="AA170">
        <v>6</v>
      </c>
      <c r="AB170" s="2">
        <v>323.10000000000002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53.85</v>
      </c>
      <c r="AM170" s="2">
        <v>0</v>
      </c>
      <c r="AN170" s="2">
        <v>323.10000000000002</v>
      </c>
      <c r="AO170" s="2">
        <v>0</v>
      </c>
      <c r="AP170" s="2">
        <v>0</v>
      </c>
      <c r="AQ170" s="2">
        <v>0</v>
      </c>
    </row>
    <row r="171" spans="1:43" x14ac:dyDescent="0.3">
      <c r="A171" s="1">
        <v>46125</v>
      </c>
      <c r="B171" t="s">
        <v>48</v>
      </c>
      <c r="C171">
        <v>649163</v>
      </c>
      <c r="D171">
        <v>2034837346</v>
      </c>
      <c r="E171" t="s">
        <v>465</v>
      </c>
      <c r="F171" t="s">
        <v>406</v>
      </c>
      <c r="G171" t="s">
        <v>51</v>
      </c>
      <c r="H171" t="s">
        <v>103</v>
      </c>
      <c r="I171" t="s">
        <v>444</v>
      </c>
      <c r="J171" t="s">
        <v>466</v>
      </c>
      <c r="K171">
        <v>816021</v>
      </c>
      <c r="L171" t="s">
        <v>104</v>
      </c>
      <c r="M171" t="s">
        <v>105</v>
      </c>
      <c r="N171" t="s">
        <v>57</v>
      </c>
      <c r="O171" s="1">
        <v>46122</v>
      </c>
      <c r="Q171" s="1">
        <v>46152</v>
      </c>
      <c r="R171" s="2">
        <v>135.83000000000001</v>
      </c>
      <c r="S171">
        <v>1</v>
      </c>
      <c r="T171" t="s">
        <v>58</v>
      </c>
      <c r="U171" t="s">
        <v>173</v>
      </c>
      <c r="V171" s="3">
        <v>0.65</v>
      </c>
      <c r="W171" s="2">
        <v>0</v>
      </c>
      <c r="X171">
        <v>0</v>
      </c>
      <c r="Y171" t="s">
        <v>60</v>
      </c>
      <c r="Z171" t="s">
        <v>448</v>
      </c>
      <c r="AA171">
        <v>6</v>
      </c>
      <c r="AB171" s="2">
        <v>529.74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88.29</v>
      </c>
      <c r="AM171" s="2">
        <v>0</v>
      </c>
      <c r="AN171" s="2">
        <v>529.74</v>
      </c>
      <c r="AO171" s="2">
        <v>0</v>
      </c>
      <c r="AP171" s="2">
        <v>0</v>
      </c>
      <c r="AQ171" s="2">
        <v>0</v>
      </c>
    </row>
    <row r="172" spans="1:43" x14ac:dyDescent="0.3">
      <c r="A172" s="1">
        <v>46125</v>
      </c>
      <c r="B172" t="s">
        <v>48</v>
      </c>
      <c r="C172">
        <v>649163</v>
      </c>
      <c r="D172">
        <v>2034841867</v>
      </c>
      <c r="E172" t="s">
        <v>467</v>
      </c>
      <c r="F172" t="s">
        <v>468</v>
      </c>
      <c r="G172" t="s">
        <v>51</v>
      </c>
      <c r="H172" t="s">
        <v>114</v>
      </c>
      <c r="I172" t="s">
        <v>444</v>
      </c>
      <c r="J172" t="s">
        <v>451</v>
      </c>
      <c r="K172">
        <v>956422</v>
      </c>
      <c r="L172" t="s">
        <v>469</v>
      </c>
      <c r="M172" t="s">
        <v>470</v>
      </c>
      <c r="N172" t="s">
        <v>57</v>
      </c>
      <c r="O172" s="1">
        <v>46122</v>
      </c>
      <c r="Q172" s="1">
        <v>46152</v>
      </c>
      <c r="R172" s="2">
        <v>35.83</v>
      </c>
      <c r="S172">
        <v>1</v>
      </c>
      <c r="T172" t="s">
        <v>58</v>
      </c>
      <c r="U172" t="s">
        <v>173</v>
      </c>
      <c r="V172" s="3">
        <v>0.75</v>
      </c>
      <c r="W172" s="2">
        <v>0</v>
      </c>
      <c r="X172">
        <v>0</v>
      </c>
      <c r="Y172" t="s">
        <v>60</v>
      </c>
      <c r="Z172" t="s">
        <v>448</v>
      </c>
      <c r="AA172">
        <v>6</v>
      </c>
      <c r="AB172" s="2">
        <v>161.22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26.87</v>
      </c>
      <c r="AM172" s="2">
        <v>0</v>
      </c>
      <c r="AN172" s="2">
        <v>161.22</v>
      </c>
      <c r="AO172" s="2">
        <v>0</v>
      </c>
      <c r="AP172" s="2">
        <v>0</v>
      </c>
      <c r="AQ172" s="2">
        <v>0</v>
      </c>
    </row>
    <row r="173" spans="1:43" x14ac:dyDescent="0.3">
      <c r="A173" s="1">
        <v>46125</v>
      </c>
      <c r="B173" t="s">
        <v>48</v>
      </c>
      <c r="C173">
        <v>649163</v>
      </c>
      <c r="D173">
        <v>2034843832</v>
      </c>
      <c r="E173" t="s">
        <v>471</v>
      </c>
      <c r="F173" t="s">
        <v>472</v>
      </c>
      <c r="G173" t="s">
        <v>51</v>
      </c>
      <c r="H173" t="s">
        <v>52</v>
      </c>
      <c r="I173" t="s">
        <v>444</v>
      </c>
      <c r="J173" t="s">
        <v>451</v>
      </c>
      <c r="K173">
        <v>673059</v>
      </c>
      <c r="L173" t="s">
        <v>115</v>
      </c>
      <c r="M173" t="s">
        <v>116</v>
      </c>
      <c r="N173" t="s">
        <v>57</v>
      </c>
      <c r="O173" s="1">
        <v>46122</v>
      </c>
      <c r="Q173" s="1">
        <v>46152</v>
      </c>
      <c r="R173" s="2">
        <v>50.98</v>
      </c>
      <c r="S173">
        <v>1</v>
      </c>
      <c r="T173" t="s">
        <v>58</v>
      </c>
      <c r="U173" t="s">
        <v>173</v>
      </c>
      <c r="V173" s="3">
        <v>0.75</v>
      </c>
      <c r="W173" s="2">
        <v>0</v>
      </c>
      <c r="X173">
        <v>0</v>
      </c>
      <c r="Y173" t="s">
        <v>60</v>
      </c>
      <c r="Z173" t="s">
        <v>448</v>
      </c>
      <c r="AA173">
        <v>6</v>
      </c>
      <c r="AB173" s="2">
        <v>229.44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38.24</v>
      </c>
      <c r="AM173" s="2">
        <v>0</v>
      </c>
      <c r="AN173" s="2">
        <v>229.44</v>
      </c>
      <c r="AO173" s="2">
        <v>0</v>
      </c>
      <c r="AP173" s="2">
        <v>0</v>
      </c>
      <c r="AQ173" s="2">
        <v>0</v>
      </c>
    </row>
    <row r="174" spans="1:43" x14ac:dyDescent="0.3">
      <c r="A174" s="1">
        <v>46125</v>
      </c>
      <c r="B174" t="s">
        <v>48</v>
      </c>
      <c r="C174">
        <v>649163</v>
      </c>
      <c r="D174">
        <v>2034792989</v>
      </c>
      <c r="E174" t="s">
        <v>473</v>
      </c>
      <c r="F174" t="s">
        <v>474</v>
      </c>
      <c r="G174" t="s">
        <v>51</v>
      </c>
      <c r="H174" t="s">
        <v>80</v>
      </c>
      <c r="I174" t="s">
        <v>475</v>
      </c>
      <c r="J174" t="s">
        <v>476</v>
      </c>
      <c r="K174">
        <v>856163</v>
      </c>
      <c r="L174" t="s">
        <v>120</v>
      </c>
      <c r="M174" t="s">
        <v>183</v>
      </c>
      <c r="N174" t="s">
        <v>57</v>
      </c>
      <c r="O174" s="1">
        <v>46120</v>
      </c>
      <c r="Q174" s="1">
        <v>46150</v>
      </c>
      <c r="R174" s="2">
        <v>15</v>
      </c>
      <c r="S174">
        <v>1</v>
      </c>
      <c r="T174" t="s">
        <v>58</v>
      </c>
      <c r="U174" t="s">
        <v>477</v>
      </c>
      <c r="V174" s="3">
        <v>0.38</v>
      </c>
      <c r="W174" s="2">
        <v>0</v>
      </c>
      <c r="X174">
        <v>0</v>
      </c>
      <c r="Y174" t="s">
        <v>60</v>
      </c>
      <c r="Z174" t="s">
        <v>448</v>
      </c>
      <c r="AA174">
        <v>6</v>
      </c>
      <c r="AB174" s="2">
        <v>34.200000000000003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5.7</v>
      </c>
      <c r="AM174" s="2">
        <v>0</v>
      </c>
      <c r="AN174" s="2">
        <v>34.200000000000003</v>
      </c>
      <c r="AO174" s="2">
        <v>0</v>
      </c>
      <c r="AP174" s="2">
        <v>0</v>
      </c>
      <c r="AQ174" s="2">
        <v>0</v>
      </c>
    </row>
    <row r="175" spans="1:43" x14ac:dyDescent="0.3">
      <c r="A175" s="1">
        <v>46125</v>
      </c>
      <c r="B175" t="s">
        <v>48</v>
      </c>
      <c r="C175">
        <v>649163</v>
      </c>
      <c r="D175">
        <v>2034793910</v>
      </c>
      <c r="E175" t="s">
        <v>478</v>
      </c>
      <c r="F175" t="s">
        <v>479</v>
      </c>
      <c r="G175" t="s">
        <v>51</v>
      </c>
      <c r="H175" t="s">
        <v>80</v>
      </c>
      <c r="I175" t="s">
        <v>475</v>
      </c>
      <c r="J175" t="s">
        <v>476</v>
      </c>
      <c r="K175">
        <v>820873</v>
      </c>
      <c r="L175" t="s">
        <v>307</v>
      </c>
      <c r="M175" t="s">
        <v>308</v>
      </c>
      <c r="N175" t="s">
        <v>57</v>
      </c>
      <c r="O175" s="1">
        <v>46120</v>
      </c>
      <c r="Q175" s="1">
        <v>46150</v>
      </c>
      <c r="R175" s="2">
        <v>15</v>
      </c>
      <c r="S175">
        <v>1</v>
      </c>
      <c r="T175" t="s">
        <v>58</v>
      </c>
      <c r="U175" t="s">
        <v>477</v>
      </c>
      <c r="V175" s="3">
        <v>0.38</v>
      </c>
      <c r="W175" s="2">
        <v>0</v>
      </c>
      <c r="X175">
        <v>0</v>
      </c>
      <c r="Y175" t="s">
        <v>60</v>
      </c>
      <c r="Z175" t="s">
        <v>448</v>
      </c>
      <c r="AA175">
        <v>6</v>
      </c>
      <c r="AB175" s="2">
        <v>34.200000000000003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5.7</v>
      </c>
      <c r="AM175" s="2">
        <v>0</v>
      </c>
      <c r="AN175" s="2">
        <v>34.200000000000003</v>
      </c>
      <c r="AO175" s="2">
        <v>0</v>
      </c>
      <c r="AP175" s="2">
        <v>0</v>
      </c>
      <c r="AQ175" s="2">
        <v>0</v>
      </c>
    </row>
    <row r="176" spans="1:43" x14ac:dyDescent="0.3">
      <c r="A176" s="1">
        <v>46125</v>
      </c>
      <c r="B176" t="s">
        <v>48</v>
      </c>
      <c r="C176">
        <v>649163</v>
      </c>
      <c r="D176">
        <v>2034840569</v>
      </c>
      <c r="E176" t="s">
        <v>480</v>
      </c>
      <c r="F176" t="s">
        <v>481</v>
      </c>
      <c r="G176" t="s">
        <v>51</v>
      </c>
      <c r="H176" t="s">
        <v>223</v>
      </c>
      <c r="I176" t="s">
        <v>475</v>
      </c>
      <c r="J176" t="s">
        <v>482</v>
      </c>
      <c r="K176">
        <v>673059</v>
      </c>
      <c r="L176" t="s">
        <v>115</v>
      </c>
      <c r="M176" t="s">
        <v>116</v>
      </c>
      <c r="N176" t="s">
        <v>57</v>
      </c>
      <c r="O176" s="1">
        <v>46123</v>
      </c>
      <c r="Q176" s="1">
        <v>46153</v>
      </c>
      <c r="R176" s="2">
        <v>15</v>
      </c>
      <c r="S176">
        <v>1</v>
      </c>
      <c r="T176" t="s">
        <v>58</v>
      </c>
      <c r="U176" t="s">
        <v>477</v>
      </c>
      <c r="V176" s="3">
        <v>0.28999999999999998</v>
      </c>
      <c r="W176" s="2">
        <v>0</v>
      </c>
      <c r="X176">
        <v>0</v>
      </c>
      <c r="Y176" t="s">
        <v>60</v>
      </c>
      <c r="Z176" t="s">
        <v>448</v>
      </c>
      <c r="AA176">
        <v>6</v>
      </c>
      <c r="AB176" s="2">
        <v>26.1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4.3499999999999996</v>
      </c>
      <c r="AM176" s="2">
        <v>0</v>
      </c>
      <c r="AN176" s="2">
        <v>26.1</v>
      </c>
      <c r="AO176" s="2">
        <v>0</v>
      </c>
      <c r="AP176" s="2">
        <v>0</v>
      </c>
      <c r="AQ176" s="2">
        <v>0</v>
      </c>
    </row>
    <row r="177" spans="1:43" x14ac:dyDescent="0.3">
      <c r="A177" s="1">
        <v>46125</v>
      </c>
      <c r="B177" t="s">
        <v>48</v>
      </c>
      <c r="C177">
        <v>649163</v>
      </c>
      <c r="D177">
        <v>2034774463</v>
      </c>
      <c r="E177" t="s">
        <v>458</v>
      </c>
      <c r="F177" t="s">
        <v>459</v>
      </c>
      <c r="G177" t="s">
        <v>51</v>
      </c>
      <c r="H177" t="s">
        <v>103</v>
      </c>
      <c r="I177" t="s">
        <v>483</v>
      </c>
      <c r="J177" t="s">
        <v>484</v>
      </c>
      <c r="K177">
        <v>816021</v>
      </c>
      <c r="L177" t="s">
        <v>104</v>
      </c>
      <c r="M177" t="s">
        <v>105</v>
      </c>
      <c r="N177" t="s">
        <v>57</v>
      </c>
      <c r="O177" s="1">
        <v>46123</v>
      </c>
      <c r="Q177" s="1">
        <v>46153</v>
      </c>
      <c r="R177" s="2">
        <v>40.479999999999997</v>
      </c>
      <c r="S177">
        <v>1</v>
      </c>
      <c r="T177" t="s">
        <v>58</v>
      </c>
      <c r="U177" t="s">
        <v>173</v>
      </c>
      <c r="V177" s="4">
        <v>0.375</v>
      </c>
      <c r="W177" s="2">
        <v>0</v>
      </c>
      <c r="X177">
        <v>0</v>
      </c>
      <c r="Y177" t="s">
        <v>60</v>
      </c>
      <c r="Z177" t="s">
        <v>448</v>
      </c>
      <c r="AA177">
        <v>6</v>
      </c>
      <c r="AB177" s="2">
        <v>91.08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15.18</v>
      </c>
      <c r="AM177" s="2">
        <v>0</v>
      </c>
      <c r="AN177" s="2">
        <v>91.08</v>
      </c>
      <c r="AO177" s="2">
        <v>0</v>
      </c>
      <c r="AP177" s="2">
        <v>0</v>
      </c>
      <c r="AQ177" s="2">
        <v>0</v>
      </c>
    </row>
    <row r="178" spans="1:43" x14ac:dyDescent="0.3">
      <c r="A178" s="1">
        <v>46125</v>
      </c>
      <c r="B178" t="s">
        <v>48</v>
      </c>
      <c r="C178">
        <v>649163</v>
      </c>
      <c r="D178">
        <v>2034775870</v>
      </c>
      <c r="E178" t="s">
        <v>485</v>
      </c>
      <c r="F178" t="s">
        <v>486</v>
      </c>
      <c r="G178" t="s">
        <v>51</v>
      </c>
      <c r="H178" t="s">
        <v>295</v>
      </c>
      <c r="I178" t="s">
        <v>483</v>
      </c>
      <c r="J178" t="s">
        <v>484</v>
      </c>
      <c r="K178">
        <v>767312</v>
      </c>
      <c r="L178" t="s">
        <v>134</v>
      </c>
      <c r="M178" t="s">
        <v>98</v>
      </c>
      <c r="N178" t="s">
        <v>57</v>
      </c>
      <c r="O178" s="1">
        <v>46119</v>
      </c>
      <c r="Q178" s="1">
        <v>46149</v>
      </c>
      <c r="R178" s="2">
        <v>19.93</v>
      </c>
      <c r="S178">
        <v>1</v>
      </c>
      <c r="T178" t="s">
        <v>58</v>
      </c>
      <c r="U178" t="s">
        <v>173</v>
      </c>
      <c r="V178" s="4">
        <v>0.375</v>
      </c>
      <c r="W178" s="2">
        <v>0</v>
      </c>
      <c r="X178">
        <v>0</v>
      </c>
      <c r="Y178" t="s">
        <v>60</v>
      </c>
      <c r="Z178" t="s">
        <v>448</v>
      </c>
      <c r="AA178">
        <v>6</v>
      </c>
      <c r="AB178" s="2">
        <v>44.82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7.47</v>
      </c>
      <c r="AM178" s="2">
        <v>0</v>
      </c>
      <c r="AN178" s="2">
        <v>44.82</v>
      </c>
      <c r="AO178" s="2">
        <v>0</v>
      </c>
      <c r="AP178" s="2">
        <v>0</v>
      </c>
      <c r="AQ178" s="2">
        <v>0</v>
      </c>
    </row>
    <row r="179" spans="1:43" x14ac:dyDescent="0.3">
      <c r="A179" s="1">
        <v>46125</v>
      </c>
      <c r="B179" t="s">
        <v>48</v>
      </c>
      <c r="C179">
        <v>649163</v>
      </c>
      <c r="D179">
        <v>2034778430</v>
      </c>
      <c r="E179" t="s">
        <v>487</v>
      </c>
      <c r="F179" t="s">
        <v>488</v>
      </c>
      <c r="G179" t="s">
        <v>51</v>
      </c>
      <c r="H179" t="s">
        <v>114</v>
      </c>
      <c r="I179" t="s">
        <v>483</v>
      </c>
      <c r="J179" t="s">
        <v>484</v>
      </c>
      <c r="K179">
        <v>673059</v>
      </c>
      <c r="L179" t="s">
        <v>115</v>
      </c>
      <c r="M179" t="s">
        <v>116</v>
      </c>
      <c r="N179" t="s">
        <v>57</v>
      </c>
      <c r="O179" s="1">
        <v>46119</v>
      </c>
      <c r="Q179" s="1">
        <v>46149</v>
      </c>
      <c r="R179" s="2">
        <v>48.11</v>
      </c>
      <c r="S179">
        <v>1</v>
      </c>
      <c r="T179" t="s">
        <v>58</v>
      </c>
      <c r="U179" t="s">
        <v>173</v>
      </c>
      <c r="V179" s="4">
        <v>0.375</v>
      </c>
      <c r="W179" s="2">
        <v>0</v>
      </c>
      <c r="X179">
        <v>0</v>
      </c>
      <c r="Y179" t="s">
        <v>60</v>
      </c>
      <c r="Z179" t="s">
        <v>448</v>
      </c>
      <c r="AA179">
        <v>6</v>
      </c>
      <c r="AB179" s="2">
        <v>108.24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18.04</v>
      </c>
      <c r="AM179" s="2">
        <v>0</v>
      </c>
      <c r="AN179" s="2">
        <v>108.24</v>
      </c>
      <c r="AO179" s="2">
        <v>0</v>
      </c>
      <c r="AP179" s="2">
        <v>0</v>
      </c>
      <c r="AQ179" s="2">
        <v>0</v>
      </c>
    </row>
    <row r="180" spans="1:43" x14ac:dyDescent="0.3">
      <c r="A180" s="1">
        <v>46125</v>
      </c>
      <c r="B180" t="s">
        <v>48</v>
      </c>
      <c r="C180">
        <v>649163</v>
      </c>
      <c r="D180">
        <v>2034781435</v>
      </c>
      <c r="E180" t="s">
        <v>489</v>
      </c>
      <c r="F180" t="s">
        <v>98</v>
      </c>
      <c r="G180" t="s">
        <v>51</v>
      </c>
      <c r="H180" t="s">
        <v>270</v>
      </c>
      <c r="I180" t="s">
        <v>483</v>
      </c>
      <c r="J180" t="s">
        <v>484</v>
      </c>
      <c r="K180">
        <v>823350</v>
      </c>
      <c r="L180" t="s">
        <v>120</v>
      </c>
      <c r="M180" t="s">
        <v>121</v>
      </c>
      <c r="N180" t="s">
        <v>57</v>
      </c>
      <c r="O180" s="1">
        <v>46119</v>
      </c>
      <c r="Q180" s="1">
        <v>46149</v>
      </c>
      <c r="R180" s="2">
        <v>90.22</v>
      </c>
      <c r="S180">
        <v>1</v>
      </c>
      <c r="T180" t="s">
        <v>58</v>
      </c>
      <c r="U180" t="s">
        <v>173</v>
      </c>
      <c r="V180" s="4">
        <v>0.375</v>
      </c>
      <c r="W180" s="2">
        <v>0</v>
      </c>
      <c r="X180">
        <v>0</v>
      </c>
      <c r="Y180" t="s">
        <v>60</v>
      </c>
      <c r="Z180" t="s">
        <v>448</v>
      </c>
      <c r="AA180">
        <v>6</v>
      </c>
      <c r="AB180" s="2">
        <v>202.98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33.83</v>
      </c>
      <c r="AM180" s="2">
        <v>0</v>
      </c>
      <c r="AN180" s="2">
        <v>202.98</v>
      </c>
      <c r="AO180" s="2">
        <v>0</v>
      </c>
      <c r="AP180" s="2">
        <v>0</v>
      </c>
      <c r="AQ180" s="2">
        <v>0</v>
      </c>
    </row>
    <row r="181" spans="1:43" x14ac:dyDescent="0.3">
      <c r="A181" s="1">
        <v>46125</v>
      </c>
      <c r="B181" t="s">
        <v>48</v>
      </c>
      <c r="C181">
        <v>649163</v>
      </c>
      <c r="D181">
        <v>2034793971</v>
      </c>
      <c r="E181" t="s">
        <v>490</v>
      </c>
      <c r="F181" t="s">
        <v>491</v>
      </c>
      <c r="G181" t="s">
        <v>51</v>
      </c>
      <c r="H181" t="s">
        <v>103</v>
      </c>
      <c r="I181" t="s">
        <v>483</v>
      </c>
      <c r="J181" t="s">
        <v>484</v>
      </c>
      <c r="K181">
        <v>824082</v>
      </c>
      <c r="L181" t="s">
        <v>150</v>
      </c>
      <c r="M181" t="s">
        <v>151</v>
      </c>
      <c r="N181" t="s">
        <v>57</v>
      </c>
      <c r="O181" s="1">
        <v>46120</v>
      </c>
      <c r="Q181" s="1">
        <v>46150</v>
      </c>
      <c r="R181" s="2">
        <v>116.87</v>
      </c>
      <c r="S181">
        <v>1</v>
      </c>
      <c r="T181" t="s">
        <v>58</v>
      </c>
      <c r="U181" t="s">
        <v>173</v>
      </c>
      <c r="V181" s="4">
        <v>0.375</v>
      </c>
      <c r="W181" s="2">
        <v>0</v>
      </c>
      <c r="X181">
        <v>0</v>
      </c>
      <c r="Y181" t="s">
        <v>60</v>
      </c>
      <c r="Z181" t="s">
        <v>448</v>
      </c>
      <c r="AA181">
        <v>6</v>
      </c>
      <c r="AB181" s="2">
        <v>262.98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43.83</v>
      </c>
      <c r="AM181" s="2">
        <v>0</v>
      </c>
      <c r="AN181" s="2">
        <v>262.98</v>
      </c>
      <c r="AO181" s="2">
        <v>0</v>
      </c>
      <c r="AP181" s="2">
        <v>0</v>
      </c>
      <c r="AQ181" s="2">
        <v>0</v>
      </c>
    </row>
    <row r="182" spans="1:43" x14ac:dyDescent="0.3">
      <c r="A182" s="1">
        <v>46125</v>
      </c>
      <c r="B182" t="s">
        <v>48</v>
      </c>
      <c r="C182">
        <v>649163</v>
      </c>
      <c r="D182">
        <v>2034815377</v>
      </c>
      <c r="E182" t="s">
        <v>492</v>
      </c>
      <c r="F182" t="s">
        <v>493</v>
      </c>
      <c r="G182" t="s">
        <v>51</v>
      </c>
      <c r="H182" t="s">
        <v>103</v>
      </c>
      <c r="I182" t="s">
        <v>483</v>
      </c>
      <c r="J182" t="s">
        <v>484</v>
      </c>
      <c r="K182">
        <v>824082</v>
      </c>
      <c r="L182" t="s">
        <v>150</v>
      </c>
      <c r="M182" t="s">
        <v>151</v>
      </c>
      <c r="N182" t="s">
        <v>57</v>
      </c>
      <c r="O182" s="1">
        <v>46121</v>
      </c>
      <c r="Q182" s="1">
        <v>46151</v>
      </c>
      <c r="R182" s="2">
        <v>59.46</v>
      </c>
      <c r="S182">
        <v>1</v>
      </c>
      <c r="T182" t="s">
        <v>58</v>
      </c>
      <c r="U182" t="s">
        <v>173</v>
      </c>
      <c r="V182" s="4">
        <v>0.375</v>
      </c>
      <c r="W182" s="2">
        <v>0</v>
      </c>
      <c r="X182">
        <v>0</v>
      </c>
      <c r="Y182" t="s">
        <v>60</v>
      </c>
      <c r="Z182" t="s">
        <v>448</v>
      </c>
      <c r="AA182">
        <v>6</v>
      </c>
      <c r="AB182" s="2">
        <v>133.80000000000001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22.3</v>
      </c>
      <c r="AM182" s="2">
        <v>0</v>
      </c>
      <c r="AN182" s="2">
        <v>133.80000000000001</v>
      </c>
      <c r="AO182" s="2">
        <v>0</v>
      </c>
      <c r="AP182" s="2">
        <v>0</v>
      </c>
      <c r="AQ182" s="2">
        <v>0</v>
      </c>
    </row>
    <row r="183" spans="1:43" x14ac:dyDescent="0.3">
      <c r="A183" s="1">
        <v>46125</v>
      </c>
      <c r="B183" t="s">
        <v>48</v>
      </c>
      <c r="C183">
        <v>649163</v>
      </c>
      <c r="D183">
        <v>2034837304</v>
      </c>
      <c r="E183" t="s">
        <v>494</v>
      </c>
      <c r="F183" t="s">
        <v>149</v>
      </c>
      <c r="G183" t="s">
        <v>51</v>
      </c>
      <c r="H183" t="s">
        <v>52</v>
      </c>
      <c r="I183" t="s">
        <v>483</v>
      </c>
      <c r="J183" t="s">
        <v>484</v>
      </c>
      <c r="K183">
        <v>824062</v>
      </c>
      <c r="L183" t="s">
        <v>167</v>
      </c>
      <c r="M183" t="s">
        <v>168</v>
      </c>
      <c r="N183" t="s">
        <v>57</v>
      </c>
      <c r="O183" s="1">
        <v>46122</v>
      </c>
      <c r="Q183" s="1">
        <v>46152</v>
      </c>
      <c r="R183" s="2">
        <v>64.540000000000006</v>
      </c>
      <c r="S183">
        <v>1</v>
      </c>
      <c r="T183" t="s">
        <v>58</v>
      </c>
      <c r="U183" t="s">
        <v>173</v>
      </c>
      <c r="V183" s="4">
        <v>0.375</v>
      </c>
      <c r="W183" s="2">
        <v>0</v>
      </c>
      <c r="X183">
        <v>0</v>
      </c>
      <c r="Y183" t="s">
        <v>60</v>
      </c>
      <c r="Z183" t="s">
        <v>448</v>
      </c>
      <c r="AA183">
        <v>6</v>
      </c>
      <c r="AB183" s="2">
        <v>145.19999999999999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24.2</v>
      </c>
      <c r="AM183" s="2">
        <v>0</v>
      </c>
      <c r="AN183" s="2">
        <v>145.19999999999999</v>
      </c>
      <c r="AO183" s="2">
        <v>0</v>
      </c>
      <c r="AP183" s="2">
        <v>0</v>
      </c>
      <c r="AQ183" s="2">
        <v>0</v>
      </c>
    </row>
    <row r="184" spans="1:43" x14ac:dyDescent="0.3">
      <c r="A184" s="1">
        <v>46125</v>
      </c>
      <c r="B184" t="s">
        <v>48</v>
      </c>
      <c r="C184">
        <v>649163</v>
      </c>
      <c r="D184">
        <v>2034839067</v>
      </c>
      <c r="E184" t="s">
        <v>495</v>
      </c>
      <c r="F184" t="s">
        <v>233</v>
      </c>
      <c r="G184" t="s">
        <v>51</v>
      </c>
      <c r="H184" t="s">
        <v>496</v>
      </c>
      <c r="I184" t="s">
        <v>483</v>
      </c>
      <c r="J184" t="s">
        <v>484</v>
      </c>
      <c r="K184">
        <v>862109</v>
      </c>
      <c r="L184" t="s">
        <v>497</v>
      </c>
      <c r="M184" t="s">
        <v>498</v>
      </c>
      <c r="N184" t="s">
        <v>57</v>
      </c>
      <c r="O184" s="1">
        <v>46125</v>
      </c>
      <c r="Q184" s="1">
        <v>46155</v>
      </c>
      <c r="R184" s="2">
        <v>173.85</v>
      </c>
      <c r="S184">
        <v>1</v>
      </c>
      <c r="T184" t="s">
        <v>58</v>
      </c>
      <c r="U184" t="s">
        <v>173</v>
      </c>
      <c r="V184" s="4">
        <v>0.375</v>
      </c>
      <c r="W184" s="2">
        <v>0</v>
      </c>
      <c r="X184">
        <v>0</v>
      </c>
      <c r="Y184" t="s">
        <v>60</v>
      </c>
      <c r="Z184" t="s">
        <v>448</v>
      </c>
      <c r="AA184">
        <v>6</v>
      </c>
      <c r="AB184" s="2">
        <v>391.14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65.19</v>
      </c>
      <c r="AM184" s="2">
        <v>0</v>
      </c>
      <c r="AN184" s="2">
        <v>391.14</v>
      </c>
      <c r="AO184" s="2">
        <v>0</v>
      </c>
      <c r="AP184" s="2">
        <v>0</v>
      </c>
      <c r="AQ184" s="2">
        <v>0</v>
      </c>
    </row>
    <row r="185" spans="1:43" x14ac:dyDescent="0.3">
      <c r="A185" s="1">
        <v>46125</v>
      </c>
      <c r="B185" t="s">
        <v>48</v>
      </c>
      <c r="C185">
        <v>649163</v>
      </c>
      <c r="D185">
        <v>2034792987</v>
      </c>
      <c r="E185" t="s">
        <v>473</v>
      </c>
      <c r="F185" t="s">
        <v>474</v>
      </c>
      <c r="G185" t="s">
        <v>51</v>
      </c>
      <c r="H185" t="s">
        <v>80</v>
      </c>
      <c r="I185" t="s">
        <v>499</v>
      </c>
      <c r="J185" t="s">
        <v>500</v>
      </c>
      <c r="K185">
        <v>856163</v>
      </c>
      <c r="L185" t="s">
        <v>120</v>
      </c>
      <c r="M185" t="s">
        <v>183</v>
      </c>
      <c r="N185" t="s">
        <v>57</v>
      </c>
      <c r="O185" s="1">
        <v>46120</v>
      </c>
      <c r="Q185" s="1">
        <v>46150</v>
      </c>
      <c r="R185" s="2">
        <v>131.32</v>
      </c>
      <c r="S185">
        <v>1</v>
      </c>
      <c r="T185" t="s">
        <v>58</v>
      </c>
      <c r="U185" t="s">
        <v>173</v>
      </c>
      <c r="V185" s="3">
        <v>0.38</v>
      </c>
      <c r="W185" s="2">
        <v>0</v>
      </c>
      <c r="X185">
        <v>0</v>
      </c>
      <c r="Y185" t="s">
        <v>60</v>
      </c>
      <c r="Z185" t="s">
        <v>448</v>
      </c>
      <c r="AA185">
        <v>6</v>
      </c>
      <c r="AB185" s="2">
        <v>299.39999999999998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49.9</v>
      </c>
      <c r="AM185" s="2">
        <v>0</v>
      </c>
      <c r="AN185" s="2">
        <v>299.39999999999998</v>
      </c>
      <c r="AO185" s="2">
        <v>0</v>
      </c>
      <c r="AP185" s="2">
        <v>0</v>
      </c>
      <c r="AQ185" s="2">
        <v>0</v>
      </c>
    </row>
    <row r="186" spans="1:43" x14ac:dyDescent="0.3">
      <c r="A186" s="1">
        <v>46125</v>
      </c>
      <c r="B186" t="s">
        <v>48</v>
      </c>
      <c r="C186">
        <v>649163</v>
      </c>
      <c r="D186">
        <v>2034793908</v>
      </c>
      <c r="E186" t="s">
        <v>478</v>
      </c>
      <c r="F186" t="s">
        <v>479</v>
      </c>
      <c r="G186" t="s">
        <v>51</v>
      </c>
      <c r="H186" t="s">
        <v>80</v>
      </c>
      <c r="I186" t="s">
        <v>499</v>
      </c>
      <c r="J186" t="s">
        <v>500</v>
      </c>
      <c r="K186">
        <v>820873</v>
      </c>
      <c r="L186" t="s">
        <v>307</v>
      </c>
      <c r="M186" t="s">
        <v>308</v>
      </c>
      <c r="N186" t="s">
        <v>57</v>
      </c>
      <c r="O186" s="1">
        <v>46120</v>
      </c>
      <c r="Q186" s="1">
        <v>46150</v>
      </c>
      <c r="R186" s="2">
        <v>486.8</v>
      </c>
      <c r="S186">
        <v>1</v>
      </c>
      <c r="T186" t="s">
        <v>58</v>
      </c>
      <c r="U186" t="s">
        <v>173</v>
      </c>
      <c r="V186" s="3">
        <v>0.38</v>
      </c>
      <c r="W186" s="2">
        <v>0</v>
      </c>
      <c r="X186">
        <v>0</v>
      </c>
      <c r="Y186" t="s">
        <v>60</v>
      </c>
      <c r="Z186" t="s">
        <v>448</v>
      </c>
      <c r="AA186">
        <v>6</v>
      </c>
      <c r="AB186" s="2">
        <v>1109.8800000000001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184.98</v>
      </c>
      <c r="AM186" s="2">
        <v>0</v>
      </c>
      <c r="AN186" s="2">
        <v>1109.8800000000001</v>
      </c>
      <c r="AO186" s="2">
        <v>0</v>
      </c>
      <c r="AP186" s="2">
        <v>0</v>
      </c>
      <c r="AQ186" s="2">
        <v>0</v>
      </c>
    </row>
    <row r="187" spans="1:43" x14ac:dyDescent="0.3">
      <c r="A187" s="1">
        <v>46125</v>
      </c>
      <c r="B187" t="s">
        <v>48</v>
      </c>
      <c r="C187">
        <v>649163</v>
      </c>
      <c r="D187">
        <v>2034793909</v>
      </c>
      <c r="E187" t="s">
        <v>478</v>
      </c>
      <c r="F187" t="s">
        <v>479</v>
      </c>
      <c r="G187" t="s">
        <v>51</v>
      </c>
      <c r="H187" t="s">
        <v>80</v>
      </c>
      <c r="I187" t="s">
        <v>499</v>
      </c>
      <c r="J187" t="s">
        <v>501</v>
      </c>
      <c r="K187">
        <v>820873</v>
      </c>
      <c r="L187" t="s">
        <v>307</v>
      </c>
      <c r="M187" t="s">
        <v>308</v>
      </c>
      <c r="N187" t="s">
        <v>57</v>
      </c>
      <c r="O187" s="1">
        <v>46120</v>
      </c>
      <c r="Q187" s="1">
        <v>46150</v>
      </c>
      <c r="R187" s="2">
        <v>7.09</v>
      </c>
      <c r="S187">
        <v>1</v>
      </c>
      <c r="T187" t="s">
        <v>58</v>
      </c>
      <c r="U187" t="s">
        <v>173</v>
      </c>
      <c r="V187" s="3">
        <v>0.38</v>
      </c>
      <c r="W187" s="2">
        <v>0</v>
      </c>
      <c r="X187">
        <v>0</v>
      </c>
      <c r="Y187" t="s">
        <v>60</v>
      </c>
      <c r="Z187" t="s">
        <v>448</v>
      </c>
      <c r="AA187">
        <v>6</v>
      </c>
      <c r="AB187" s="2">
        <v>16.14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2.69</v>
      </c>
      <c r="AM187" s="2">
        <v>0</v>
      </c>
      <c r="AN187" s="2">
        <v>16.14</v>
      </c>
      <c r="AO187" s="2">
        <v>0</v>
      </c>
      <c r="AP187" s="2">
        <v>0</v>
      </c>
      <c r="AQ187" s="2">
        <v>0</v>
      </c>
    </row>
    <row r="188" spans="1:43" x14ac:dyDescent="0.3">
      <c r="A188" s="1">
        <v>46125</v>
      </c>
      <c r="B188" t="s">
        <v>48</v>
      </c>
      <c r="C188">
        <v>649163</v>
      </c>
      <c r="D188">
        <v>2034837347</v>
      </c>
      <c r="E188" t="s">
        <v>465</v>
      </c>
      <c r="F188" t="s">
        <v>406</v>
      </c>
      <c r="G188" t="s">
        <v>51</v>
      </c>
      <c r="H188" t="s">
        <v>103</v>
      </c>
      <c r="I188" t="s">
        <v>499</v>
      </c>
      <c r="J188" t="s">
        <v>502</v>
      </c>
      <c r="K188">
        <v>816021</v>
      </c>
      <c r="L188" t="s">
        <v>104</v>
      </c>
      <c r="M188" t="s">
        <v>105</v>
      </c>
      <c r="N188" t="s">
        <v>57</v>
      </c>
      <c r="O188" s="1">
        <v>46122</v>
      </c>
      <c r="Q188" s="1">
        <v>46152</v>
      </c>
      <c r="R188" s="2">
        <v>32.79</v>
      </c>
      <c r="S188">
        <v>1</v>
      </c>
      <c r="T188" t="s">
        <v>58</v>
      </c>
      <c r="U188" t="s">
        <v>173</v>
      </c>
      <c r="V188" s="3">
        <v>0.38</v>
      </c>
      <c r="W188" s="2">
        <v>0</v>
      </c>
      <c r="X188">
        <v>0</v>
      </c>
      <c r="Y188" t="s">
        <v>60</v>
      </c>
      <c r="Z188" t="s">
        <v>448</v>
      </c>
      <c r="AA188">
        <v>6</v>
      </c>
      <c r="AB188" s="2">
        <v>74.760000000000005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12.46</v>
      </c>
      <c r="AM188" s="2">
        <v>0</v>
      </c>
      <c r="AN188" s="2">
        <v>74.760000000000005</v>
      </c>
      <c r="AO188" s="2">
        <v>0</v>
      </c>
      <c r="AP188" s="2">
        <v>0</v>
      </c>
      <c r="AQ188" s="2">
        <v>0</v>
      </c>
    </row>
    <row r="189" spans="1:43" x14ac:dyDescent="0.3">
      <c r="A189" s="1">
        <v>46125</v>
      </c>
      <c r="B189" t="s">
        <v>48</v>
      </c>
      <c r="C189">
        <v>649163</v>
      </c>
      <c r="D189">
        <v>2034204960</v>
      </c>
      <c r="E189" t="s">
        <v>449</v>
      </c>
      <c r="F189" t="s">
        <v>450</v>
      </c>
      <c r="G189" t="s">
        <v>51</v>
      </c>
      <c r="H189" t="s">
        <v>85</v>
      </c>
      <c r="I189" t="s">
        <v>53</v>
      </c>
      <c r="J189" t="s">
        <v>54</v>
      </c>
      <c r="K189">
        <v>651818</v>
      </c>
      <c r="L189" t="s">
        <v>55</v>
      </c>
      <c r="M189" t="s">
        <v>56</v>
      </c>
      <c r="N189" t="s">
        <v>57</v>
      </c>
      <c r="O189" s="1">
        <v>46118</v>
      </c>
      <c r="Q189" s="1">
        <v>46148</v>
      </c>
      <c r="R189" s="2">
        <v>73.56</v>
      </c>
      <c r="S189">
        <v>1</v>
      </c>
      <c r="T189" t="s">
        <v>58</v>
      </c>
      <c r="U189" t="s">
        <v>173</v>
      </c>
      <c r="V189" s="3">
        <v>0.7</v>
      </c>
      <c r="W189" s="2">
        <v>0</v>
      </c>
      <c r="X189">
        <v>0</v>
      </c>
      <c r="Y189" t="s">
        <v>60</v>
      </c>
      <c r="Z189" t="s">
        <v>448</v>
      </c>
      <c r="AA189">
        <v>6</v>
      </c>
      <c r="AB189" s="2">
        <v>308.94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51.49</v>
      </c>
      <c r="AM189" s="2">
        <v>0</v>
      </c>
      <c r="AN189" s="2">
        <v>308.94</v>
      </c>
      <c r="AO189" s="2">
        <v>0</v>
      </c>
      <c r="AP189" s="2">
        <v>0</v>
      </c>
      <c r="AQ189" s="2">
        <v>0</v>
      </c>
    </row>
    <row r="190" spans="1:43" x14ac:dyDescent="0.3">
      <c r="A190" s="1">
        <v>46125</v>
      </c>
      <c r="B190" t="s">
        <v>48</v>
      </c>
      <c r="C190">
        <v>649163</v>
      </c>
      <c r="D190">
        <v>2034206691</v>
      </c>
      <c r="E190" t="s">
        <v>452</v>
      </c>
      <c r="F190" t="s">
        <v>453</v>
      </c>
      <c r="G190" t="s">
        <v>51</v>
      </c>
      <c r="H190" t="s">
        <v>85</v>
      </c>
      <c r="I190" t="s">
        <v>53</v>
      </c>
      <c r="J190" t="s">
        <v>54</v>
      </c>
      <c r="K190">
        <v>651818</v>
      </c>
      <c r="L190" t="s">
        <v>55</v>
      </c>
      <c r="M190" t="s">
        <v>56</v>
      </c>
      <c r="N190" t="s">
        <v>57</v>
      </c>
      <c r="O190" s="1">
        <v>46118</v>
      </c>
      <c r="Q190" s="1">
        <v>46148</v>
      </c>
      <c r="R190" s="2">
        <v>65.16</v>
      </c>
      <c r="S190">
        <v>1</v>
      </c>
      <c r="T190" t="s">
        <v>58</v>
      </c>
      <c r="U190" t="s">
        <v>173</v>
      </c>
      <c r="V190" s="3">
        <v>0.7</v>
      </c>
      <c r="W190" s="2">
        <v>0</v>
      </c>
      <c r="X190">
        <v>0</v>
      </c>
      <c r="Y190" t="s">
        <v>60</v>
      </c>
      <c r="Z190" t="s">
        <v>448</v>
      </c>
      <c r="AA190">
        <v>6</v>
      </c>
      <c r="AB190" s="2">
        <v>273.66000000000003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45.61</v>
      </c>
      <c r="AM190" s="2">
        <v>0</v>
      </c>
      <c r="AN190" s="2">
        <v>273.66000000000003</v>
      </c>
      <c r="AO190" s="2">
        <v>0</v>
      </c>
      <c r="AP190" s="2">
        <v>0</v>
      </c>
      <c r="AQ190" s="2">
        <v>0</v>
      </c>
    </row>
    <row r="191" spans="1:43" x14ac:dyDescent="0.3">
      <c r="A191" s="1">
        <v>46125</v>
      </c>
      <c r="B191" t="s">
        <v>48</v>
      </c>
      <c r="C191">
        <v>649163</v>
      </c>
      <c r="D191">
        <v>2034206693</v>
      </c>
      <c r="E191" t="s">
        <v>452</v>
      </c>
      <c r="F191" t="s">
        <v>453</v>
      </c>
      <c r="G191" t="s">
        <v>51</v>
      </c>
      <c r="H191" t="s">
        <v>85</v>
      </c>
      <c r="I191" t="s">
        <v>53</v>
      </c>
      <c r="J191" t="s">
        <v>65</v>
      </c>
      <c r="K191">
        <v>651818</v>
      </c>
      <c r="L191" t="s">
        <v>55</v>
      </c>
      <c r="M191" t="s">
        <v>56</v>
      </c>
      <c r="N191" t="s">
        <v>57</v>
      </c>
      <c r="O191" s="1">
        <v>46118</v>
      </c>
      <c r="Q191" s="1">
        <v>46148</v>
      </c>
      <c r="R191" s="2">
        <v>51.63</v>
      </c>
      <c r="S191">
        <v>1</v>
      </c>
      <c r="T191" t="s">
        <v>58</v>
      </c>
      <c r="U191" t="s">
        <v>173</v>
      </c>
      <c r="V191" s="3">
        <v>0.9</v>
      </c>
      <c r="W191" s="2">
        <v>0</v>
      </c>
      <c r="X191">
        <v>0</v>
      </c>
      <c r="Y191" t="s">
        <v>60</v>
      </c>
      <c r="Z191" t="s">
        <v>448</v>
      </c>
      <c r="AA191">
        <v>6</v>
      </c>
      <c r="AB191" s="2">
        <v>278.82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46.47</v>
      </c>
      <c r="AM191" s="2">
        <v>0</v>
      </c>
      <c r="AN191" s="2">
        <v>278.82</v>
      </c>
      <c r="AO191" s="2">
        <v>0</v>
      </c>
      <c r="AP191" s="2">
        <v>0</v>
      </c>
      <c r="AQ191" s="2">
        <v>0</v>
      </c>
    </row>
    <row r="192" spans="1:43" x14ac:dyDescent="0.3">
      <c r="A192" s="1">
        <v>46125</v>
      </c>
      <c r="B192" t="s">
        <v>48</v>
      </c>
      <c r="C192">
        <v>649163</v>
      </c>
      <c r="D192">
        <v>2034516480</v>
      </c>
      <c r="E192" t="s">
        <v>455</v>
      </c>
      <c r="F192" t="s">
        <v>456</v>
      </c>
      <c r="G192" t="s">
        <v>51</v>
      </c>
      <c r="H192" t="s">
        <v>457</v>
      </c>
      <c r="I192" t="s">
        <v>53</v>
      </c>
      <c r="J192" t="s">
        <v>54</v>
      </c>
      <c r="K192">
        <v>673059</v>
      </c>
      <c r="L192" t="s">
        <v>115</v>
      </c>
      <c r="M192" t="s">
        <v>116</v>
      </c>
      <c r="N192" t="s">
        <v>57</v>
      </c>
      <c r="O192" s="1">
        <v>46119</v>
      </c>
      <c r="Q192" s="1">
        <v>46149</v>
      </c>
      <c r="R192" s="2">
        <v>66.239999999999995</v>
      </c>
      <c r="S192">
        <v>1</v>
      </c>
      <c r="T192" t="s">
        <v>58</v>
      </c>
      <c r="U192" t="s">
        <v>173</v>
      </c>
      <c r="V192" s="3">
        <v>0.7</v>
      </c>
      <c r="W192" s="2">
        <v>0</v>
      </c>
      <c r="X192">
        <v>0</v>
      </c>
      <c r="Y192" t="s">
        <v>60</v>
      </c>
      <c r="Z192" t="s">
        <v>448</v>
      </c>
      <c r="AA192">
        <v>6</v>
      </c>
      <c r="AB192" s="2">
        <v>278.22000000000003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46.37</v>
      </c>
      <c r="AM192" s="2">
        <v>0</v>
      </c>
      <c r="AN192" s="2">
        <v>278.22000000000003</v>
      </c>
      <c r="AO192" s="2">
        <v>0</v>
      </c>
      <c r="AP192" s="2">
        <v>0</v>
      </c>
      <c r="AQ192" s="2">
        <v>0</v>
      </c>
    </row>
    <row r="193" spans="1:43" x14ac:dyDescent="0.3">
      <c r="A193" s="1">
        <v>46125</v>
      </c>
      <c r="B193" t="s">
        <v>48</v>
      </c>
      <c r="C193">
        <v>649163</v>
      </c>
      <c r="D193">
        <v>2034686687</v>
      </c>
      <c r="E193" t="s">
        <v>503</v>
      </c>
      <c r="F193" t="s">
        <v>504</v>
      </c>
      <c r="G193" t="s">
        <v>51</v>
      </c>
      <c r="H193" t="s">
        <v>80</v>
      </c>
      <c r="I193" t="s">
        <v>53</v>
      </c>
      <c r="J193" t="s">
        <v>94</v>
      </c>
      <c r="K193">
        <v>824062</v>
      </c>
      <c r="L193" t="s">
        <v>167</v>
      </c>
      <c r="M193" t="s">
        <v>168</v>
      </c>
      <c r="N193" t="s">
        <v>57</v>
      </c>
      <c r="O193" s="1">
        <v>46143</v>
      </c>
      <c r="Q193" s="1">
        <v>46174</v>
      </c>
      <c r="R193" s="2">
        <v>57.8</v>
      </c>
      <c r="S193">
        <v>1</v>
      </c>
      <c r="T193" t="s">
        <v>58</v>
      </c>
      <c r="U193" t="s">
        <v>173</v>
      </c>
      <c r="V193" s="3">
        <v>0.42</v>
      </c>
      <c r="W193" s="2">
        <v>0</v>
      </c>
      <c r="X193">
        <v>0</v>
      </c>
      <c r="Y193" t="s">
        <v>60</v>
      </c>
      <c r="Z193" t="s">
        <v>448</v>
      </c>
      <c r="AA193">
        <v>6</v>
      </c>
      <c r="AB193" s="2">
        <v>145.68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24.28</v>
      </c>
      <c r="AM193" s="2">
        <v>0</v>
      </c>
      <c r="AN193" s="2">
        <v>145.68</v>
      </c>
      <c r="AO193" s="2">
        <v>0</v>
      </c>
      <c r="AP193" s="2">
        <v>0</v>
      </c>
      <c r="AQ193" s="2">
        <v>0</v>
      </c>
    </row>
    <row r="194" spans="1:43" x14ac:dyDescent="0.3">
      <c r="A194" s="1">
        <v>46125</v>
      </c>
      <c r="B194" t="s">
        <v>48</v>
      </c>
      <c r="C194">
        <v>649163</v>
      </c>
      <c r="D194">
        <v>2034686690</v>
      </c>
      <c r="E194" t="s">
        <v>503</v>
      </c>
      <c r="F194" t="s">
        <v>504</v>
      </c>
      <c r="G194" t="s">
        <v>51</v>
      </c>
      <c r="H194" t="s">
        <v>80</v>
      </c>
      <c r="I194" t="s">
        <v>53</v>
      </c>
      <c r="J194" t="s">
        <v>54</v>
      </c>
      <c r="K194">
        <v>824062</v>
      </c>
      <c r="L194" t="s">
        <v>167</v>
      </c>
      <c r="M194" t="s">
        <v>168</v>
      </c>
      <c r="N194" t="s">
        <v>57</v>
      </c>
      <c r="O194" s="1">
        <v>46143</v>
      </c>
      <c r="Q194" s="1">
        <v>46174</v>
      </c>
      <c r="R194" s="2">
        <v>11.5</v>
      </c>
      <c r="S194">
        <v>1</v>
      </c>
      <c r="T194" t="s">
        <v>58</v>
      </c>
      <c r="U194" t="s">
        <v>173</v>
      </c>
      <c r="V194" s="3">
        <v>0.7</v>
      </c>
      <c r="W194" s="2">
        <v>0</v>
      </c>
      <c r="X194">
        <v>0</v>
      </c>
      <c r="Y194" t="s">
        <v>60</v>
      </c>
      <c r="Z194" t="s">
        <v>448</v>
      </c>
      <c r="AA194">
        <v>6</v>
      </c>
      <c r="AB194" s="2">
        <v>48.3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8.0500000000000007</v>
      </c>
      <c r="AM194" s="2">
        <v>0</v>
      </c>
      <c r="AN194" s="2">
        <v>48.3</v>
      </c>
      <c r="AO194" s="2">
        <v>0</v>
      </c>
      <c r="AP194" s="2">
        <v>0</v>
      </c>
      <c r="AQ194" s="2">
        <v>0</v>
      </c>
    </row>
    <row r="195" spans="1:43" x14ac:dyDescent="0.3">
      <c r="A195" s="1">
        <v>46125</v>
      </c>
      <c r="B195" t="s">
        <v>48</v>
      </c>
      <c r="C195">
        <v>649163</v>
      </c>
      <c r="D195">
        <v>2034769312</v>
      </c>
      <c r="E195" t="s">
        <v>505</v>
      </c>
      <c r="F195" t="s">
        <v>506</v>
      </c>
      <c r="G195" t="s">
        <v>51</v>
      </c>
      <c r="H195" t="s">
        <v>93</v>
      </c>
      <c r="I195" t="s">
        <v>53</v>
      </c>
      <c r="J195" t="s">
        <v>97</v>
      </c>
      <c r="K195">
        <v>902625</v>
      </c>
      <c r="L195" t="s">
        <v>281</v>
      </c>
      <c r="M195" t="s">
        <v>282</v>
      </c>
      <c r="N195" t="s">
        <v>57</v>
      </c>
      <c r="O195" s="1">
        <v>46119</v>
      </c>
      <c r="Q195" s="1">
        <v>46149</v>
      </c>
      <c r="R195" s="2">
        <v>24.61</v>
      </c>
      <c r="S195">
        <v>1</v>
      </c>
      <c r="T195" t="s">
        <v>58</v>
      </c>
      <c r="U195" t="s">
        <v>173</v>
      </c>
      <c r="V195" s="3">
        <v>0.7</v>
      </c>
      <c r="W195" s="2">
        <v>0</v>
      </c>
      <c r="X195">
        <v>0</v>
      </c>
      <c r="Y195" t="s">
        <v>60</v>
      </c>
      <c r="Z195" t="s">
        <v>448</v>
      </c>
      <c r="AA195">
        <v>6</v>
      </c>
      <c r="AB195" s="2">
        <v>103.38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17.23</v>
      </c>
      <c r="AM195" s="2">
        <v>0</v>
      </c>
      <c r="AN195" s="2">
        <v>103.38</v>
      </c>
      <c r="AO195" s="2">
        <v>0</v>
      </c>
      <c r="AP195" s="2">
        <v>0</v>
      </c>
      <c r="AQ195" s="2">
        <v>0</v>
      </c>
    </row>
    <row r="196" spans="1:43" x14ac:dyDescent="0.3">
      <c r="A196" s="1">
        <v>46125</v>
      </c>
      <c r="B196" t="s">
        <v>48</v>
      </c>
      <c r="C196">
        <v>649163</v>
      </c>
      <c r="D196">
        <v>2034769848</v>
      </c>
      <c r="E196" t="s">
        <v>507</v>
      </c>
      <c r="F196" t="s">
        <v>508</v>
      </c>
      <c r="G196" t="s">
        <v>51</v>
      </c>
      <c r="H196" t="s">
        <v>93</v>
      </c>
      <c r="I196" t="s">
        <v>53</v>
      </c>
      <c r="J196" t="s">
        <v>65</v>
      </c>
      <c r="K196">
        <v>823068</v>
      </c>
      <c r="L196" t="s">
        <v>95</v>
      </c>
      <c r="M196" t="s">
        <v>96</v>
      </c>
      <c r="N196" t="s">
        <v>57</v>
      </c>
      <c r="O196" s="1">
        <v>46119</v>
      </c>
      <c r="Q196" s="1">
        <v>46149</v>
      </c>
      <c r="R196" s="2">
        <v>25.78</v>
      </c>
      <c r="S196">
        <v>1</v>
      </c>
      <c r="T196" t="s">
        <v>58</v>
      </c>
      <c r="U196" t="s">
        <v>173</v>
      </c>
      <c r="V196" s="3">
        <v>0.9</v>
      </c>
      <c r="W196" s="2">
        <v>0</v>
      </c>
      <c r="X196">
        <v>0</v>
      </c>
      <c r="Y196" t="s">
        <v>60</v>
      </c>
      <c r="Z196" t="s">
        <v>448</v>
      </c>
      <c r="AA196">
        <v>6</v>
      </c>
      <c r="AB196" s="2">
        <v>139.19999999999999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23.2</v>
      </c>
      <c r="AM196" s="2">
        <v>0</v>
      </c>
      <c r="AN196" s="2">
        <v>139.19999999999999</v>
      </c>
      <c r="AO196" s="2">
        <v>0</v>
      </c>
      <c r="AP196" s="2">
        <v>0</v>
      </c>
      <c r="AQ196" s="2">
        <v>0</v>
      </c>
    </row>
    <row r="197" spans="1:43" x14ac:dyDescent="0.3">
      <c r="A197" s="1">
        <v>46125</v>
      </c>
      <c r="B197" t="s">
        <v>48</v>
      </c>
      <c r="C197">
        <v>649163</v>
      </c>
      <c r="D197">
        <v>2034774461</v>
      </c>
      <c r="E197" t="s">
        <v>458</v>
      </c>
      <c r="F197" t="s">
        <v>459</v>
      </c>
      <c r="G197" t="s">
        <v>51</v>
      </c>
      <c r="H197" t="s">
        <v>103</v>
      </c>
      <c r="I197" t="s">
        <v>53</v>
      </c>
      <c r="J197" t="s">
        <v>54</v>
      </c>
      <c r="K197">
        <v>816021</v>
      </c>
      <c r="L197" t="s">
        <v>104</v>
      </c>
      <c r="M197" t="s">
        <v>105</v>
      </c>
      <c r="N197" t="s">
        <v>57</v>
      </c>
      <c r="O197" s="1">
        <v>46123</v>
      </c>
      <c r="Q197" s="1">
        <v>46153</v>
      </c>
      <c r="R197" s="2">
        <v>9.6999999999999993</v>
      </c>
      <c r="S197">
        <v>1</v>
      </c>
      <c r="T197" t="s">
        <v>58</v>
      </c>
      <c r="U197" t="s">
        <v>173</v>
      </c>
      <c r="V197" s="3">
        <v>0.7</v>
      </c>
      <c r="W197" s="2">
        <v>0</v>
      </c>
      <c r="X197">
        <v>0</v>
      </c>
      <c r="Y197" t="s">
        <v>60</v>
      </c>
      <c r="Z197" t="s">
        <v>448</v>
      </c>
      <c r="AA197">
        <v>6</v>
      </c>
      <c r="AB197" s="2">
        <v>40.74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6.79</v>
      </c>
      <c r="AM197" s="2">
        <v>0</v>
      </c>
      <c r="AN197" s="2">
        <v>40.74</v>
      </c>
      <c r="AO197" s="2">
        <v>0</v>
      </c>
      <c r="AP197" s="2">
        <v>0</v>
      </c>
      <c r="AQ197" s="2">
        <v>0</v>
      </c>
    </row>
    <row r="198" spans="1:43" x14ac:dyDescent="0.3">
      <c r="A198" s="1">
        <v>46125</v>
      </c>
      <c r="B198" t="s">
        <v>48</v>
      </c>
      <c r="C198">
        <v>649163</v>
      </c>
      <c r="D198">
        <v>2034778429</v>
      </c>
      <c r="E198" t="s">
        <v>487</v>
      </c>
      <c r="F198" t="s">
        <v>488</v>
      </c>
      <c r="G198" t="s">
        <v>51</v>
      </c>
      <c r="H198" t="s">
        <v>114</v>
      </c>
      <c r="I198" t="s">
        <v>53</v>
      </c>
      <c r="J198" t="s">
        <v>54</v>
      </c>
      <c r="K198">
        <v>673059</v>
      </c>
      <c r="L198" t="s">
        <v>115</v>
      </c>
      <c r="M198" t="s">
        <v>116</v>
      </c>
      <c r="N198" t="s">
        <v>57</v>
      </c>
      <c r="O198" s="1">
        <v>46119</v>
      </c>
      <c r="Q198" s="1">
        <v>46149</v>
      </c>
      <c r="R198" s="2">
        <v>34.909999999999997</v>
      </c>
      <c r="S198">
        <v>1</v>
      </c>
      <c r="T198" t="s">
        <v>58</v>
      </c>
      <c r="U198" t="s">
        <v>173</v>
      </c>
      <c r="V198" s="3">
        <v>0.7</v>
      </c>
      <c r="W198" s="2">
        <v>0</v>
      </c>
      <c r="X198">
        <v>0</v>
      </c>
      <c r="Y198" t="s">
        <v>60</v>
      </c>
      <c r="Z198" t="s">
        <v>448</v>
      </c>
      <c r="AA198">
        <v>6</v>
      </c>
      <c r="AB198" s="2">
        <v>146.63999999999999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24.44</v>
      </c>
      <c r="AM198" s="2">
        <v>0</v>
      </c>
      <c r="AN198" s="2">
        <v>146.63999999999999</v>
      </c>
      <c r="AO198" s="2">
        <v>0</v>
      </c>
      <c r="AP198" s="2">
        <v>0</v>
      </c>
      <c r="AQ198" s="2">
        <v>0</v>
      </c>
    </row>
    <row r="199" spans="1:43" x14ac:dyDescent="0.3">
      <c r="A199" s="1">
        <v>46125</v>
      </c>
      <c r="B199" t="s">
        <v>48</v>
      </c>
      <c r="C199">
        <v>649163</v>
      </c>
      <c r="D199">
        <v>2034781436</v>
      </c>
      <c r="E199" t="s">
        <v>489</v>
      </c>
      <c r="F199" t="s">
        <v>98</v>
      </c>
      <c r="G199" t="s">
        <v>51</v>
      </c>
      <c r="H199" t="s">
        <v>270</v>
      </c>
      <c r="I199" t="s">
        <v>53</v>
      </c>
      <c r="J199" t="s">
        <v>54</v>
      </c>
      <c r="K199">
        <v>823350</v>
      </c>
      <c r="L199" t="s">
        <v>120</v>
      </c>
      <c r="M199" t="s">
        <v>121</v>
      </c>
      <c r="N199" t="s">
        <v>57</v>
      </c>
      <c r="O199" s="1">
        <v>46119</v>
      </c>
      <c r="Q199" s="1">
        <v>46149</v>
      </c>
      <c r="R199" s="2">
        <v>10.82</v>
      </c>
      <c r="S199">
        <v>1</v>
      </c>
      <c r="T199" t="s">
        <v>58</v>
      </c>
      <c r="U199" t="s">
        <v>173</v>
      </c>
      <c r="V199" s="3">
        <v>0.7</v>
      </c>
      <c r="W199" s="2">
        <v>0</v>
      </c>
      <c r="X199">
        <v>0</v>
      </c>
      <c r="Y199" t="s">
        <v>60</v>
      </c>
      <c r="Z199" t="s">
        <v>448</v>
      </c>
      <c r="AA199">
        <v>6</v>
      </c>
      <c r="AB199" s="2">
        <v>45.42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7.57</v>
      </c>
      <c r="AM199" s="2">
        <v>0</v>
      </c>
      <c r="AN199" s="2">
        <v>45.42</v>
      </c>
      <c r="AO199" s="2">
        <v>0</v>
      </c>
      <c r="AP199" s="2">
        <v>0</v>
      </c>
      <c r="AQ199" s="2">
        <v>0</v>
      </c>
    </row>
    <row r="200" spans="1:43" x14ac:dyDescent="0.3">
      <c r="A200" s="1">
        <v>46125</v>
      </c>
      <c r="B200" t="s">
        <v>48</v>
      </c>
      <c r="C200">
        <v>649163</v>
      </c>
      <c r="D200">
        <v>2034782482</v>
      </c>
      <c r="E200" t="s">
        <v>509</v>
      </c>
      <c r="F200" t="s">
        <v>510</v>
      </c>
      <c r="G200" t="s">
        <v>51</v>
      </c>
      <c r="H200" t="s">
        <v>75</v>
      </c>
      <c r="I200" t="s">
        <v>53</v>
      </c>
      <c r="J200" t="s">
        <v>54</v>
      </c>
      <c r="K200">
        <v>813184</v>
      </c>
      <c r="L200" t="s">
        <v>127</v>
      </c>
      <c r="M200" t="s">
        <v>128</v>
      </c>
      <c r="N200" t="s">
        <v>57</v>
      </c>
      <c r="O200" s="1">
        <v>46119</v>
      </c>
      <c r="Q200" s="1">
        <v>46149</v>
      </c>
      <c r="R200" s="2">
        <v>28.73</v>
      </c>
      <c r="S200">
        <v>1</v>
      </c>
      <c r="T200" t="s">
        <v>58</v>
      </c>
      <c r="U200" t="s">
        <v>173</v>
      </c>
      <c r="V200" s="3">
        <v>0.7</v>
      </c>
      <c r="W200" s="2">
        <v>0</v>
      </c>
      <c r="X200">
        <v>0</v>
      </c>
      <c r="Y200" t="s">
        <v>60</v>
      </c>
      <c r="Z200" t="s">
        <v>448</v>
      </c>
      <c r="AA200">
        <v>6</v>
      </c>
      <c r="AB200" s="2">
        <v>120.66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20.11</v>
      </c>
      <c r="AM200" s="2">
        <v>0</v>
      </c>
      <c r="AN200" s="2">
        <v>120.66</v>
      </c>
      <c r="AO200" s="2">
        <v>0</v>
      </c>
      <c r="AP200" s="2">
        <v>0</v>
      </c>
      <c r="AQ200" s="2">
        <v>0</v>
      </c>
    </row>
    <row r="201" spans="1:43" x14ac:dyDescent="0.3">
      <c r="A201" s="1">
        <v>46125</v>
      </c>
      <c r="B201" t="s">
        <v>48</v>
      </c>
      <c r="C201">
        <v>649163</v>
      </c>
      <c r="D201">
        <v>2034790172</v>
      </c>
      <c r="E201" t="s">
        <v>460</v>
      </c>
      <c r="F201" t="s">
        <v>461</v>
      </c>
      <c r="G201" t="s">
        <v>51</v>
      </c>
      <c r="H201" t="s">
        <v>182</v>
      </c>
      <c r="I201" t="s">
        <v>53</v>
      </c>
      <c r="J201" t="s">
        <v>54</v>
      </c>
      <c r="K201">
        <v>856163</v>
      </c>
      <c r="L201" t="s">
        <v>120</v>
      </c>
      <c r="M201" t="s">
        <v>183</v>
      </c>
      <c r="N201" t="s">
        <v>57</v>
      </c>
      <c r="O201" s="1">
        <v>46124</v>
      </c>
      <c r="Q201" s="1">
        <v>46154</v>
      </c>
      <c r="R201" s="2">
        <v>35.18</v>
      </c>
      <c r="S201">
        <v>1</v>
      </c>
      <c r="T201" t="s">
        <v>58</v>
      </c>
      <c r="U201" t="s">
        <v>173</v>
      </c>
      <c r="V201" s="3">
        <v>0.7</v>
      </c>
      <c r="W201" s="2">
        <v>0</v>
      </c>
      <c r="X201">
        <v>0</v>
      </c>
      <c r="Y201" t="s">
        <v>60</v>
      </c>
      <c r="Z201" t="s">
        <v>448</v>
      </c>
      <c r="AA201">
        <v>6</v>
      </c>
      <c r="AB201" s="2">
        <v>147.78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24.63</v>
      </c>
      <c r="AM201" s="2">
        <v>0</v>
      </c>
      <c r="AN201" s="2">
        <v>147.78</v>
      </c>
      <c r="AO201" s="2">
        <v>0</v>
      </c>
      <c r="AP201" s="2">
        <v>0</v>
      </c>
      <c r="AQ201" s="2">
        <v>0</v>
      </c>
    </row>
    <row r="202" spans="1:43" x14ac:dyDescent="0.3">
      <c r="A202" s="1">
        <v>46125</v>
      </c>
      <c r="B202" t="s">
        <v>48</v>
      </c>
      <c r="C202">
        <v>649163</v>
      </c>
      <c r="D202">
        <v>2034792988</v>
      </c>
      <c r="E202" t="s">
        <v>473</v>
      </c>
      <c r="F202" t="s">
        <v>474</v>
      </c>
      <c r="G202" t="s">
        <v>51</v>
      </c>
      <c r="H202" t="s">
        <v>80</v>
      </c>
      <c r="I202" t="s">
        <v>53</v>
      </c>
      <c r="J202" t="s">
        <v>54</v>
      </c>
      <c r="K202">
        <v>856163</v>
      </c>
      <c r="L202" t="s">
        <v>120</v>
      </c>
      <c r="M202" t="s">
        <v>183</v>
      </c>
      <c r="N202" t="s">
        <v>57</v>
      </c>
      <c r="O202" s="1">
        <v>46120</v>
      </c>
      <c r="Q202" s="1">
        <v>46150</v>
      </c>
      <c r="R202" s="2">
        <v>81.150000000000006</v>
      </c>
      <c r="S202">
        <v>1</v>
      </c>
      <c r="T202" t="s">
        <v>58</v>
      </c>
      <c r="U202" t="s">
        <v>173</v>
      </c>
      <c r="V202" s="3">
        <v>0.7</v>
      </c>
      <c r="W202" s="2">
        <v>0</v>
      </c>
      <c r="X202">
        <v>0</v>
      </c>
      <c r="Y202" t="s">
        <v>60</v>
      </c>
      <c r="Z202" t="s">
        <v>448</v>
      </c>
      <c r="AA202">
        <v>6</v>
      </c>
      <c r="AB202" s="2">
        <v>340.8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56.8</v>
      </c>
      <c r="AM202" s="2">
        <v>0</v>
      </c>
      <c r="AN202" s="2">
        <v>340.8</v>
      </c>
      <c r="AO202" s="2">
        <v>0</v>
      </c>
      <c r="AP202" s="2">
        <v>0</v>
      </c>
      <c r="AQ202" s="2">
        <v>0</v>
      </c>
    </row>
    <row r="203" spans="1:43" x14ac:dyDescent="0.3">
      <c r="A203" s="1">
        <v>46125</v>
      </c>
      <c r="B203" t="s">
        <v>48</v>
      </c>
      <c r="C203">
        <v>649163</v>
      </c>
      <c r="D203">
        <v>2034797233</v>
      </c>
      <c r="E203" t="s">
        <v>511</v>
      </c>
      <c r="F203" t="s">
        <v>512</v>
      </c>
      <c r="G203" t="s">
        <v>51</v>
      </c>
      <c r="H203" t="s">
        <v>496</v>
      </c>
      <c r="I203" t="s">
        <v>53</v>
      </c>
      <c r="J203" t="s">
        <v>54</v>
      </c>
      <c r="K203">
        <v>862109</v>
      </c>
      <c r="L203" t="s">
        <v>497</v>
      </c>
      <c r="M203" t="s">
        <v>498</v>
      </c>
      <c r="N203" t="s">
        <v>57</v>
      </c>
      <c r="O203" s="1">
        <v>46120</v>
      </c>
      <c r="Q203" s="1">
        <v>46150</v>
      </c>
      <c r="R203" s="2">
        <v>54.83</v>
      </c>
      <c r="S203">
        <v>1</v>
      </c>
      <c r="T203" t="s">
        <v>58</v>
      </c>
      <c r="U203" t="s">
        <v>173</v>
      </c>
      <c r="V203" s="3">
        <v>0.7</v>
      </c>
      <c r="W203" s="2">
        <v>0</v>
      </c>
      <c r="X203">
        <v>0</v>
      </c>
      <c r="Y203" t="s">
        <v>60</v>
      </c>
      <c r="Z203" t="s">
        <v>448</v>
      </c>
      <c r="AA203">
        <v>6</v>
      </c>
      <c r="AB203" s="2">
        <v>230.28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38.380000000000003</v>
      </c>
      <c r="AM203" s="2">
        <v>0</v>
      </c>
      <c r="AN203" s="2">
        <v>230.28</v>
      </c>
      <c r="AO203" s="2">
        <v>0</v>
      </c>
      <c r="AP203" s="2">
        <v>0</v>
      </c>
      <c r="AQ203" s="2">
        <v>0</v>
      </c>
    </row>
    <row r="204" spans="1:43" x14ac:dyDescent="0.3">
      <c r="A204" s="1">
        <v>46125</v>
      </c>
      <c r="B204" t="s">
        <v>48</v>
      </c>
      <c r="C204">
        <v>649163</v>
      </c>
      <c r="D204">
        <v>2034798356</v>
      </c>
      <c r="E204" t="s">
        <v>513</v>
      </c>
      <c r="F204" t="s">
        <v>514</v>
      </c>
      <c r="G204" t="s">
        <v>51</v>
      </c>
      <c r="H204" t="s">
        <v>80</v>
      </c>
      <c r="I204" t="s">
        <v>53</v>
      </c>
      <c r="J204" t="s">
        <v>54</v>
      </c>
      <c r="K204">
        <v>893408</v>
      </c>
      <c r="L204" t="s">
        <v>299</v>
      </c>
      <c r="M204" t="s">
        <v>300</v>
      </c>
      <c r="N204" t="s">
        <v>57</v>
      </c>
      <c r="O204" s="1">
        <v>46120</v>
      </c>
      <c r="Q204" s="1">
        <v>46150</v>
      </c>
      <c r="R204" s="2">
        <v>102.7</v>
      </c>
      <c r="S204">
        <v>1</v>
      </c>
      <c r="T204" t="s">
        <v>58</v>
      </c>
      <c r="U204" t="s">
        <v>173</v>
      </c>
      <c r="V204" s="3">
        <v>0.7</v>
      </c>
      <c r="W204" s="2">
        <v>0</v>
      </c>
      <c r="X204">
        <v>0</v>
      </c>
      <c r="Y204" t="s">
        <v>60</v>
      </c>
      <c r="Z204" t="s">
        <v>448</v>
      </c>
      <c r="AA204">
        <v>6</v>
      </c>
      <c r="AB204" s="2">
        <v>431.34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71.89</v>
      </c>
      <c r="AM204" s="2">
        <v>0</v>
      </c>
      <c r="AN204" s="2">
        <v>431.34</v>
      </c>
      <c r="AO204" s="2">
        <v>0</v>
      </c>
      <c r="AP204" s="2">
        <v>0</v>
      </c>
      <c r="AQ204" s="2">
        <v>0</v>
      </c>
    </row>
    <row r="205" spans="1:43" x14ac:dyDescent="0.3">
      <c r="A205" s="1">
        <v>46125</v>
      </c>
      <c r="B205" t="s">
        <v>48</v>
      </c>
      <c r="C205">
        <v>649163</v>
      </c>
      <c r="D205">
        <v>2034798596</v>
      </c>
      <c r="E205" t="s">
        <v>515</v>
      </c>
      <c r="F205" t="s">
        <v>516</v>
      </c>
      <c r="G205" t="s">
        <v>51</v>
      </c>
      <c r="H205" t="s">
        <v>80</v>
      </c>
      <c r="I205" t="s">
        <v>53</v>
      </c>
      <c r="J205" t="s">
        <v>54</v>
      </c>
      <c r="K205">
        <v>824076</v>
      </c>
      <c r="L205" t="s">
        <v>81</v>
      </c>
      <c r="M205" t="s">
        <v>82</v>
      </c>
      <c r="N205" t="s">
        <v>57</v>
      </c>
      <c r="O205" s="1">
        <v>46120</v>
      </c>
      <c r="Q205" s="1">
        <v>46150</v>
      </c>
      <c r="R205" s="2">
        <v>27.5</v>
      </c>
      <c r="S205">
        <v>1</v>
      </c>
      <c r="T205" t="s">
        <v>58</v>
      </c>
      <c r="U205" t="s">
        <v>173</v>
      </c>
      <c r="V205" s="3">
        <v>0.7</v>
      </c>
      <c r="W205" s="2">
        <v>0</v>
      </c>
      <c r="X205">
        <v>0</v>
      </c>
      <c r="Y205" t="s">
        <v>60</v>
      </c>
      <c r="Z205" t="s">
        <v>448</v>
      </c>
      <c r="AA205">
        <v>6</v>
      </c>
      <c r="AB205" s="2">
        <v>115.5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19.25</v>
      </c>
      <c r="AM205" s="2">
        <v>0</v>
      </c>
      <c r="AN205" s="2">
        <v>115.5</v>
      </c>
      <c r="AO205" s="2">
        <v>0</v>
      </c>
      <c r="AP205" s="2">
        <v>0</v>
      </c>
      <c r="AQ205" s="2">
        <v>0</v>
      </c>
    </row>
    <row r="206" spans="1:43" x14ac:dyDescent="0.3">
      <c r="A206" s="1">
        <v>46125</v>
      </c>
      <c r="B206" t="s">
        <v>48</v>
      </c>
      <c r="C206">
        <v>649163</v>
      </c>
      <c r="D206">
        <v>2034808537</v>
      </c>
      <c r="E206" t="s">
        <v>517</v>
      </c>
      <c r="F206" t="s">
        <v>518</v>
      </c>
      <c r="G206" t="s">
        <v>51</v>
      </c>
      <c r="H206" t="s">
        <v>80</v>
      </c>
      <c r="I206" t="s">
        <v>53</v>
      </c>
      <c r="J206" t="s">
        <v>54</v>
      </c>
      <c r="K206">
        <v>812656</v>
      </c>
      <c r="L206" t="s">
        <v>171</v>
      </c>
      <c r="M206" t="s">
        <v>172</v>
      </c>
      <c r="N206" t="s">
        <v>57</v>
      </c>
      <c r="O206" s="1">
        <v>46124</v>
      </c>
      <c r="Q206" s="1">
        <v>46154</v>
      </c>
      <c r="R206" s="2">
        <v>95.54</v>
      </c>
      <c r="S206">
        <v>1</v>
      </c>
      <c r="T206" t="s">
        <v>58</v>
      </c>
      <c r="U206" t="s">
        <v>173</v>
      </c>
      <c r="V206" s="3">
        <v>0.7</v>
      </c>
      <c r="W206" s="2">
        <v>0</v>
      </c>
      <c r="X206">
        <v>0</v>
      </c>
      <c r="Y206" t="s">
        <v>60</v>
      </c>
      <c r="Z206" t="s">
        <v>448</v>
      </c>
      <c r="AA206">
        <v>6</v>
      </c>
      <c r="AB206" s="2">
        <v>401.28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66.88</v>
      </c>
      <c r="AM206" s="2">
        <v>0</v>
      </c>
      <c r="AN206" s="2">
        <v>401.28</v>
      </c>
      <c r="AO206" s="2">
        <v>0</v>
      </c>
      <c r="AP206" s="2">
        <v>0</v>
      </c>
      <c r="AQ206" s="2">
        <v>0</v>
      </c>
    </row>
    <row r="207" spans="1:43" x14ac:dyDescent="0.3">
      <c r="A207" s="1">
        <v>46125</v>
      </c>
      <c r="B207" t="s">
        <v>48</v>
      </c>
      <c r="C207">
        <v>649163</v>
      </c>
      <c r="D207">
        <v>2034814748</v>
      </c>
      <c r="E207" t="s">
        <v>464</v>
      </c>
      <c r="F207" t="s">
        <v>419</v>
      </c>
      <c r="G207" t="s">
        <v>51</v>
      </c>
      <c r="H207" t="s">
        <v>399</v>
      </c>
      <c r="I207" t="s">
        <v>53</v>
      </c>
      <c r="J207" t="s">
        <v>54</v>
      </c>
      <c r="K207">
        <v>673059</v>
      </c>
      <c r="L207" t="s">
        <v>115</v>
      </c>
      <c r="M207" t="s">
        <v>116</v>
      </c>
      <c r="N207" t="s">
        <v>57</v>
      </c>
      <c r="O207" s="1">
        <v>46121</v>
      </c>
      <c r="Q207" s="1">
        <v>46151</v>
      </c>
      <c r="R207" s="2">
        <v>81.58</v>
      </c>
      <c r="S207">
        <v>1</v>
      </c>
      <c r="T207" t="s">
        <v>58</v>
      </c>
      <c r="U207" t="s">
        <v>173</v>
      </c>
      <c r="V207" s="3">
        <v>0.7</v>
      </c>
      <c r="W207" s="2">
        <v>0</v>
      </c>
      <c r="X207">
        <v>0</v>
      </c>
      <c r="Y207" t="s">
        <v>60</v>
      </c>
      <c r="Z207" t="s">
        <v>448</v>
      </c>
      <c r="AA207">
        <v>6</v>
      </c>
      <c r="AB207" s="2">
        <v>342.66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57.11</v>
      </c>
      <c r="AM207" s="2">
        <v>0</v>
      </c>
      <c r="AN207" s="2">
        <v>342.66</v>
      </c>
      <c r="AO207" s="2">
        <v>0</v>
      </c>
      <c r="AP207" s="2">
        <v>0</v>
      </c>
      <c r="AQ207" s="2">
        <v>0</v>
      </c>
    </row>
    <row r="208" spans="1:43" x14ac:dyDescent="0.3">
      <c r="A208" s="1">
        <v>46125</v>
      </c>
      <c r="B208" t="s">
        <v>48</v>
      </c>
      <c r="C208">
        <v>649163</v>
      </c>
      <c r="D208">
        <v>2034823531</v>
      </c>
      <c r="E208" t="s">
        <v>519</v>
      </c>
      <c r="F208" t="s">
        <v>520</v>
      </c>
      <c r="G208" t="s">
        <v>51</v>
      </c>
      <c r="H208" t="s">
        <v>496</v>
      </c>
      <c r="I208" t="s">
        <v>53</v>
      </c>
      <c r="J208" t="s">
        <v>54</v>
      </c>
      <c r="K208">
        <v>856163</v>
      </c>
      <c r="L208" t="s">
        <v>120</v>
      </c>
      <c r="M208" t="s">
        <v>183</v>
      </c>
      <c r="N208" t="s">
        <v>57</v>
      </c>
      <c r="O208" s="1">
        <v>46143</v>
      </c>
      <c r="Q208" s="1">
        <v>46174</v>
      </c>
      <c r="R208" s="2">
        <v>110.16</v>
      </c>
      <c r="S208">
        <v>1</v>
      </c>
      <c r="T208" t="s">
        <v>58</v>
      </c>
      <c r="U208" t="s">
        <v>173</v>
      </c>
      <c r="V208" s="3">
        <v>0.7</v>
      </c>
      <c r="W208" s="2">
        <v>0</v>
      </c>
      <c r="X208">
        <v>0</v>
      </c>
      <c r="Y208" t="s">
        <v>60</v>
      </c>
      <c r="Z208" t="s">
        <v>448</v>
      </c>
      <c r="AA208">
        <v>6</v>
      </c>
      <c r="AB208" s="2">
        <v>462.66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77.11</v>
      </c>
      <c r="AM208" s="2">
        <v>0</v>
      </c>
      <c r="AN208" s="2">
        <v>462.66</v>
      </c>
      <c r="AO208" s="2">
        <v>0</v>
      </c>
      <c r="AP208" s="2">
        <v>0</v>
      </c>
      <c r="AQ208" s="2">
        <v>0</v>
      </c>
    </row>
    <row r="209" spans="1:43" x14ac:dyDescent="0.3">
      <c r="A209" s="1">
        <v>46125</v>
      </c>
      <c r="B209" t="s">
        <v>48</v>
      </c>
      <c r="C209">
        <v>649163</v>
      </c>
      <c r="D209">
        <v>2034837305</v>
      </c>
      <c r="E209" t="s">
        <v>494</v>
      </c>
      <c r="F209" t="s">
        <v>149</v>
      </c>
      <c r="G209" t="s">
        <v>51</v>
      </c>
      <c r="H209" t="s">
        <v>52</v>
      </c>
      <c r="I209" t="s">
        <v>53</v>
      </c>
      <c r="J209" t="s">
        <v>54</v>
      </c>
      <c r="K209">
        <v>824062</v>
      </c>
      <c r="L209" t="s">
        <v>167</v>
      </c>
      <c r="M209" t="s">
        <v>168</v>
      </c>
      <c r="N209" t="s">
        <v>57</v>
      </c>
      <c r="O209" s="1">
        <v>46122</v>
      </c>
      <c r="Q209" s="1">
        <v>46152</v>
      </c>
      <c r="R209" s="2">
        <v>10.53</v>
      </c>
      <c r="S209">
        <v>1</v>
      </c>
      <c r="T209" t="s">
        <v>58</v>
      </c>
      <c r="U209" t="s">
        <v>173</v>
      </c>
      <c r="V209" s="3">
        <v>0.7</v>
      </c>
      <c r="W209" s="2">
        <v>0</v>
      </c>
      <c r="X209">
        <v>0</v>
      </c>
      <c r="Y209" t="s">
        <v>60</v>
      </c>
      <c r="Z209" t="s">
        <v>448</v>
      </c>
      <c r="AA209">
        <v>6</v>
      </c>
      <c r="AB209" s="2">
        <v>44.22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7.37</v>
      </c>
      <c r="AM209" s="2">
        <v>0</v>
      </c>
      <c r="AN209" s="2">
        <v>44.22</v>
      </c>
      <c r="AO209" s="2">
        <v>0</v>
      </c>
      <c r="AP209" s="2">
        <v>0</v>
      </c>
      <c r="AQ209" s="2">
        <v>0</v>
      </c>
    </row>
    <row r="210" spans="1:43" x14ac:dyDescent="0.3">
      <c r="A210" s="1">
        <v>46125</v>
      </c>
      <c r="B210" t="s">
        <v>48</v>
      </c>
      <c r="C210">
        <v>649163</v>
      </c>
      <c r="D210">
        <v>2034837345</v>
      </c>
      <c r="E210" t="s">
        <v>465</v>
      </c>
      <c r="F210" t="s">
        <v>406</v>
      </c>
      <c r="G210" t="s">
        <v>51</v>
      </c>
      <c r="H210" t="s">
        <v>103</v>
      </c>
      <c r="I210" t="s">
        <v>53</v>
      </c>
      <c r="J210" t="s">
        <v>54</v>
      </c>
      <c r="K210">
        <v>816021</v>
      </c>
      <c r="L210" t="s">
        <v>104</v>
      </c>
      <c r="M210" t="s">
        <v>105</v>
      </c>
      <c r="N210" t="s">
        <v>57</v>
      </c>
      <c r="O210" s="1">
        <v>46122</v>
      </c>
      <c r="Q210" s="1">
        <v>46152</v>
      </c>
      <c r="R210" s="2">
        <v>9.6999999999999993</v>
      </c>
      <c r="S210">
        <v>1</v>
      </c>
      <c r="T210" t="s">
        <v>58</v>
      </c>
      <c r="U210" t="s">
        <v>173</v>
      </c>
      <c r="V210" s="3">
        <v>0.7</v>
      </c>
      <c r="W210" s="2">
        <v>0</v>
      </c>
      <c r="X210">
        <v>0</v>
      </c>
      <c r="Y210" t="s">
        <v>60</v>
      </c>
      <c r="Z210" t="s">
        <v>448</v>
      </c>
      <c r="AA210">
        <v>6</v>
      </c>
      <c r="AB210" s="2">
        <v>40.74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6.79</v>
      </c>
      <c r="AM210" s="2">
        <v>0</v>
      </c>
      <c r="AN210" s="2">
        <v>40.74</v>
      </c>
      <c r="AO210" s="2">
        <v>0</v>
      </c>
      <c r="AP210" s="2">
        <v>0</v>
      </c>
      <c r="AQ210" s="2">
        <v>0</v>
      </c>
    </row>
    <row r="211" spans="1:43" x14ac:dyDescent="0.3">
      <c r="A211" s="1">
        <v>46125</v>
      </c>
      <c r="B211" t="s">
        <v>48</v>
      </c>
      <c r="C211">
        <v>649163</v>
      </c>
      <c r="D211">
        <v>2034839068</v>
      </c>
      <c r="E211" t="s">
        <v>495</v>
      </c>
      <c r="F211" t="s">
        <v>233</v>
      </c>
      <c r="G211" t="s">
        <v>51</v>
      </c>
      <c r="H211" t="s">
        <v>496</v>
      </c>
      <c r="I211" t="s">
        <v>53</v>
      </c>
      <c r="J211" t="s">
        <v>54</v>
      </c>
      <c r="K211">
        <v>862109</v>
      </c>
      <c r="L211" t="s">
        <v>497</v>
      </c>
      <c r="M211" t="s">
        <v>498</v>
      </c>
      <c r="N211" t="s">
        <v>57</v>
      </c>
      <c r="O211" s="1">
        <v>46125</v>
      </c>
      <c r="Q211" s="1">
        <v>46155</v>
      </c>
      <c r="R211" s="2">
        <v>216.13</v>
      </c>
      <c r="S211">
        <v>1</v>
      </c>
      <c r="T211" t="s">
        <v>58</v>
      </c>
      <c r="U211" t="s">
        <v>173</v>
      </c>
      <c r="V211" s="3">
        <v>0.7</v>
      </c>
      <c r="W211" s="2">
        <v>0</v>
      </c>
      <c r="X211">
        <v>0</v>
      </c>
      <c r="Y211" t="s">
        <v>60</v>
      </c>
      <c r="Z211" t="s">
        <v>448</v>
      </c>
      <c r="AA211">
        <v>6</v>
      </c>
      <c r="AB211" s="2">
        <v>907.74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151.29</v>
      </c>
      <c r="AM211" s="2">
        <v>0</v>
      </c>
      <c r="AN211" s="2">
        <v>907.74</v>
      </c>
      <c r="AO211" s="2">
        <v>0</v>
      </c>
      <c r="AP211" s="2">
        <v>0</v>
      </c>
      <c r="AQ211" s="2">
        <v>0</v>
      </c>
    </row>
    <row r="212" spans="1:43" x14ac:dyDescent="0.3">
      <c r="A212" s="1">
        <v>46125</v>
      </c>
      <c r="B212" t="s">
        <v>48</v>
      </c>
      <c r="C212">
        <v>649163</v>
      </c>
      <c r="D212">
        <v>2034840568</v>
      </c>
      <c r="E212" t="s">
        <v>480</v>
      </c>
      <c r="F212" t="s">
        <v>481</v>
      </c>
      <c r="G212" t="s">
        <v>51</v>
      </c>
      <c r="H212" t="s">
        <v>223</v>
      </c>
      <c r="I212" t="s">
        <v>53</v>
      </c>
      <c r="J212" t="s">
        <v>54</v>
      </c>
      <c r="K212">
        <v>673059</v>
      </c>
      <c r="L212" t="s">
        <v>115</v>
      </c>
      <c r="M212" t="s">
        <v>116</v>
      </c>
      <c r="N212" t="s">
        <v>57</v>
      </c>
      <c r="O212" s="1">
        <v>46123</v>
      </c>
      <c r="Q212" s="1">
        <v>46153</v>
      </c>
      <c r="R212" s="2">
        <v>31.28</v>
      </c>
      <c r="S212">
        <v>1</v>
      </c>
      <c r="T212" t="s">
        <v>58</v>
      </c>
      <c r="U212" t="s">
        <v>173</v>
      </c>
      <c r="V212" s="3">
        <v>0.7</v>
      </c>
      <c r="W212" s="2">
        <v>0</v>
      </c>
      <c r="X212">
        <v>0</v>
      </c>
      <c r="Y212" t="s">
        <v>60</v>
      </c>
      <c r="Z212" t="s">
        <v>448</v>
      </c>
      <c r="AA212">
        <v>6</v>
      </c>
      <c r="AB212" s="2">
        <v>131.4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21.9</v>
      </c>
      <c r="AM212" s="2">
        <v>0</v>
      </c>
      <c r="AN212" s="2">
        <v>131.4</v>
      </c>
      <c r="AO212" s="2">
        <v>0</v>
      </c>
      <c r="AP212" s="2">
        <v>0</v>
      </c>
      <c r="AQ212" s="2">
        <v>0</v>
      </c>
    </row>
    <row r="213" spans="1:43" x14ac:dyDescent="0.3">
      <c r="A213" s="1">
        <v>46125</v>
      </c>
      <c r="B213" t="s">
        <v>48</v>
      </c>
      <c r="C213">
        <v>649163</v>
      </c>
      <c r="D213">
        <v>2034843833</v>
      </c>
      <c r="E213" t="s">
        <v>471</v>
      </c>
      <c r="F213" t="s">
        <v>472</v>
      </c>
      <c r="G213" t="s">
        <v>51</v>
      </c>
      <c r="H213" t="s">
        <v>52</v>
      </c>
      <c r="I213" t="s">
        <v>53</v>
      </c>
      <c r="J213" t="s">
        <v>54</v>
      </c>
      <c r="K213">
        <v>673059</v>
      </c>
      <c r="L213" t="s">
        <v>115</v>
      </c>
      <c r="M213" t="s">
        <v>116</v>
      </c>
      <c r="N213" t="s">
        <v>57</v>
      </c>
      <c r="O213" s="1">
        <v>46122</v>
      </c>
      <c r="Q213" s="1">
        <v>46152</v>
      </c>
      <c r="R213" s="2">
        <v>57.27</v>
      </c>
      <c r="S213">
        <v>1</v>
      </c>
      <c r="T213" t="s">
        <v>58</v>
      </c>
      <c r="U213" t="s">
        <v>173</v>
      </c>
      <c r="V213" s="3">
        <v>0.7</v>
      </c>
      <c r="W213" s="2">
        <v>0</v>
      </c>
      <c r="X213">
        <v>0</v>
      </c>
      <c r="Y213" t="s">
        <v>60</v>
      </c>
      <c r="Z213" t="s">
        <v>448</v>
      </c>
      <c r="AA213">
        <v>6</v>
      </c>
      <c r="AB213" s="2">
        <v>240.54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40.090000000000003</v>
      </c>
      <c r="AM213" s="2">
        <v>0</v>
      </c>
      <c r="AN213" s="2">
        <v>240.54</v>
      </c>
      <c r="AO213" s="2">
        <v>0</v>
      </c>
      <c r="AP213" s="2">
        <v>0</v>
      </c>
      <c r="AQ213" s="2">
        <v>0</v>
      </c>
    </row>
    <row r="214" spans="1:43" x14ac:dyDescent="0.3">
      <c r="A214" s="1">
        <v>46125</v>
      </c>
      <c r="B214" t="s">
        <v>48</v>
      </c>
      <c r="C214">
        <v>649163</v>
      </c>
      <c r="D214">
        <v>2034862525</v>
      </c>
      <c r="E214" t="s">
        <v>521</v>
      </c>
      <c r="F214" t="s">
        <v>522</v>
      </c>
      <c r="G214" t="s">
        <v>51</v>
      </c>
      <c r="H214" t="s">
        <v>93</v>
      </c>
      <c r="I214" t="s">
        <v>53</v>
      </c>
      <c r="J214" t="s">
        <v>65</v>
      </c>
      <c r="K214">
        <v>902625</v>
      </c>
      <c r="L214" t="s">
        <v>281</v>
      </c>
      <c r="M214" t="s">
        <v>282</v>
      </c>
      <c r="N214" t="s">
        <v>57</v>
      </c>
      <c r="O214" s="1">
        <v>46123</v>
      </c>
      <c r="Q214" s="1">
        <v>46153</v>
      </c>
      <c r="R214" s="2">
        <v>27.81</v>
      </c>
      <c r="S214">
        <v>1</v>
      </c>
      <c r="T214" t="s">
        <v>58</v>
      </c>
      <c r="U214" t="s">
        <v>173</v>
      </c>
      <c r="V214" s="3">
        <v>0.9</v>
      </c>
      <c r="W214" s="2">
        <v>0</v>
      </c>
      <c r="X214">
        <v>0</v>
      </c>
      <c r="Y214" t="s">
        <v>60</v>
      </c>
      <c r="Z214" t="s">
        <v>448</v>
      </c>
      <c r="AA214">
        <v>6</v>
      </c>
      <c r="AB214" s="2">
        <v>150.18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25.03</v>
      </c>
      <c r="AM214" s="2">
        <v>0</v>
      </c>
      <c r="AN214" s="2">
        <v>150.18</v>
      </c>
      <c r="AO214" s="2">
        <v>0</v>
      </c>
      <c r="AP214" s="2">
        <v>0</v>
      </c>
      <c r="AQ214" s="2">
        <v>0</v>
      </c>
    </row>
    <row r="215" spans="1:43" x14ac:dyDescent="0.3">
      <c r="A215" s="1">
        <v>46125</v>
      </c>
      <c r="B215" t="s">
        <v>48</v>
      </c>
      <c r="C215">
        <v>649163</v>
      </c>
      <c r="D215">
        <v>2034862526</v>
      </c>
      <c r="E215" t="s">
        <v>521</v>
      </c>
      <c r="F215" t="s">
        <v>522</v>
      </c>
      <c r="G215" t="s">
        <v>51</v>
      </c>
      <c r="H215" t="s">
        <v>93</v>
      </c>
      <c r="I215" t="s">
        <v>53</v>
      </c>
      <c r="J215" t="s">
        <v>97</v>
      </c>
      <c r="K215">
        <v>902625</v>
      </c>
      <c r="L215" t="s">
        <v>281</v>
      </c>
      <c r="M215" t="s">
        <v>282</v>
      </c>
      <c r="N215" t="s">
        <v>57</v>
      </c>
      <c r="O215" s="1">
        <v>46123</v>
      </c>
      <c r="Q215" s="1">
        <v>46153</v>
      </c>
      <c r="R215" s="2">
        <v>24.61</v>
      </c>
      <c r="S215">
        <v>1</v>
      </c>
      <c r="T215" t="s">
        <v>58</v>
      </c>
      <c r="U215" t="s">
        <v>173</v>
      </c>
      <c r="V215" s="3">
        <v>0.7</v>
      </c>
      <c r="W215" s="2">
        <v>0</v>
      </c>
      <c r="X215">
        <v>0</v>
      </c>
      <c r="Y215" t="s">
        <v>60</v>
      </c>
      <c r="Z215" t="s">
        <v>448</v>
      </c>
      <c r="AA215">
        <v>6</v>
      </c>
      <c r="AB215" s="2">
        <v>103.38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17.23</v>
      </c>
      <c r="AM215" s="2">
        <v>0</v>
      </c>
      <c r="AN215" s="2">
        <v>103.38</v>
      </c>
      <c r="AO215" s="2">
        <v>0</v>
      </c>
      <c r="AP215" s="2">
        <v>0</v>
      </c>
      <c r="AQ215" s="2">
        <v>0</v>
      </c>
    </row>
    <row r="216" spans="1:43" x14ac:dyDescent="0.3">
      <c r="A216" s="1">
        <v>46125</v>
      </c>
      <c r="B216" t="s">
        <v>48</v>
      </c>
      <c r="C216">
        <v>649163</v>
      </c>
      <c r="D216">
        <v>2034870434</v>
      </c>
      <c r="E216" t="s">
        <v>523</v>
      </c>
      <c r="F216" t="s">
        <v>147</v>
      </c>
      <c r="G216" t="s">
        <v>51</v>
      </c>
      <c r="H216" t="s">
        <v>80</v>
      </c>
      <c r="I216" t="s">
        <v>53</v>
      </c>
      <c r="J216" t="s">
        <v>54</v>
      </c>
      <c r="K216">
        <v>814033</v>
      </c>
      <c r="L216" t="s">
        <v>99</v>
      </c>
      <c r="M216" t="s">
        <v>100</v>
      </c>
      <c r="N216" t="s">
        <v>57</v>
      </c>
      <c r="O216" s="1">
        <v>46143</v>
      </c>
      <c r="Q216" s="1">
        <v>46174</v>
      </c>
      <c r="R216" s="2">
        <v>153.66999999999999</v>
      </c>
      <c r="S216">
        <v>1</v>
      </c>
      <c r="T216" t="s">
        <v>58</v>
      </c>
      <c r="U216" t="s">
        <v>173</v>
      </c>
      <c r="V216" s="3">
        <v>0.7</v>
      </c>
      <c r="W216" s="2">
        <v>0</v>
      </c>
      <c r="X216">
        <v>0</v>
      </c>
      <c r="Y216" t="s">
        <v>60</v>
      </c>
      <c r="Z216" t="s">
        <v>448</v>
      </c>
      <c r="AA216">
        <v>6</v>
      </c>
      <c r="AB216" s="2">
        <v>645.41999999999996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107.57</v>
      </c>
      <c r="AM216" s="2">
        <v>0</v>
      </c>
      <c r="AN216" s="2">
        <v>645.41999999999996</v>
      </c>
      <c r="AO216" s="2">
        <v>0</v>
      </c>
      <c r="AP216" s="2">
        <v>0</v>
      </c>
      <c r="AQ216" s="2">
        <v>0</v>
      </c>
    </row>
    <row r="217" spans="1:43" x14ac:dyDescent="0.3">
      <c r="A217" s="1">
        <v>46125</v>
      </c>
      <c r="B217" t="s">
        <v>48</v>
      </c>
      <c r="C217">
        <v>649163</v>
      </c>
      <c r="D217">
        <v>2034870435</v>
      </c>
      <c r="E217" t="s">
        <v>523</v>
      </c>
      <c r="F217" t="s">
        <v>147</v>
      </c>
      <c r="G217" t="s">
        <v>51</v>
      </c>
      <c r="H217" t="s">
        <v>80</v>
      </c>
      <c r="I217" t="s">
        <v>53</v>
      </c>
      <c r="J217" t="s">
        <v>94</v>
      </c>
      <c r="K217">
        <v>814033</v>
      </c>
      <c r="L217" t="s">
        <v>99</v>
      </c>
      <c r="M217" t="s">
        <v>100</v>
      </c>
      <c r="N217" t="s">
        <v>57</v>
      </c>
      <c r="O217" s="1">
        <v>46143</v>
      </c>
      <c r="Q217" s="1">
        <v>46174</v>
      </c>
      <c r="R217" s="2">
        <v>129.96</v>
      </c>
      <c r="S217">
        <v>1</v>
      </c>
      <c r="T217" t="s">
        <v>58</v>
      </c>
      <c r="U217" t="s">
        <v>173</v>
      </c>
      <c r="V217" s="3">
        <v>0.42</v>
      </c>
      <c r="W217" s="2">
        <v>0</v>
      </c>
      <c r="X217">
        <v>0</v>
      </c>
      <c r="Y217" t="s">
        <v>60</v>
      </c>
      <c r="Z217" t="s">
        <v>448</v>
      </c>
      <c r="AA217">
        <v>6</v>
      </c>
      <c r="AB217" s="2">
        <v>327.48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54.58</v>
      </c>
      <c r="AM217" s="2">
        <v>0</v>
      </c>
      <c r="AN217" s="2">
        <v>327.48</v>
      </c>
      <c r="AO217" s="2">
        <v>0</v>
      </c>
      <c r="AP217" s="2">
        <v>0</v>
      </c>
      <c r="AQ217" s="2">
        <v>0</v>
      </c>
    </row>
    <row r="218" spans="1:43" x14ac:dyDescent="0.3">
      <c r="A218" s="1">
        <v>46125</v>
      </c>
      <c r="B218" t="s">
        <v>48</v>
      </c>
      <c r="C218">
        <v>649163</v>
      </c>
      <c r="D218">
        <v>2034797232</v>
      </c>
      <c r="E218" t="s">
        <v>511</v>
      </c>
      <c r="F218" t="s">
        <v>512</v>
      </c>
      <c r="G218" t="s">
        <v>51</v>
      </c>
      <c r="H218" t="s">
        <v>496</v>
      </c>
      <c r="I218" t="s">
        <v>524</v>
      </c>
      <c r="J218" t="s">
        <v>525</v>
      </c>
      <c r="K218">
        <v>862109</v>
      </c>
      <c r="L218" t="s">
        <v>497</v>
      </c>
      <c r="M218" t="s">
        <v>498</v>
      </c>
      <c r="N218" t="s">
        <v>57</v>
      </c>
      <c r="O218" s="1">
        <v>46120</v>
      </c>
      <c r="Q218" s="1">
        <v>46150</v>
      </c>
      <c r="R218" s="2">
        <v>77.03</v>
      </c>
      <c r="S218">
        <v>1</v>
      </c>
      <c r="T218" t="s">
        <v>58</v>
      </c>
      <c r="U218" t="s">
        <v>526</v>
      </c>
      <c r="V218" s="3">
        <v>0.27</v>
      </c>
      <c r="W218" s="2">
        <v>0</v>
      </c>
      <c r="X218">
        <v>0</v>
      </c>
      <c r="Y218" t="s">
        <v>60</v>
      </c>
      <c r="Z218" t="s">
        <v>448</v>
      </c>
      <c r="AA218">
        <v>6</v>
      </c>
      <c r="AB218" s="2">
        <v>124.8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20.8</v>
      </c>
      <c r="AM218" s="2">
        <v>0</v>
      </c>
      <c r="AN218" s="2">
        <v>124.8</v>
      </c>
      <c r="AO218" s="2">
        <v>0</v>
      </c>
      <c r="AP218" s="2">
        <v>0</v>
      </c>
      <c r="AQ218" s="2">
        <v>0</v>
      </c>
    </row>
    <row r="219" spans="1:43" x14ac:dyDescent="0.3">
      <c r="A219" s="1">
        <v>46125</v>
      </c>
      <c r="B219" t="s">
        <v>48</v>
      </c>
      <c r="C219">
        <v>649163</v>
      </c>
      <c r="D219">
        <v>2034797234</v>
      </c>
      <c r="E219" t="s">
        <v>511</v>
      </c>
      <c r="F219" t="s">
        <v>512</v>
      </c>
      <c r="G219" t="s">
        <v>51</v>
      </c>
      <c r="H219" t="s">
        <v>496</v>
      </c>
      <c r="I219" t="s">
        <v>524</v>
      </c>
      <c r="J219" t="s">
        <v>527</v>
      </c>
      <c r="K219">
        <v>862109</v>
      </c>
      <c r="L219" t="s">
        <v>497</v>
      </c>
      <c r="M219" t="s">
        <v>498</v>
      </c>
      <c r="N219" t="s">
        <v>57</v>
      </c>
      <c r="O219" s="1">
        <v>46120</v>
      </c>
      <c r="Q219" s="1">
        <v>46150</v>
      </c>
      <c r="R219" s="2">
        <v>9.9499999999999993</v>
      </c>
      <c r="S219">
        <v>1</v>
      </c>
      <c r="T219" t="s">
        <v>58</v>
      </c>
      <c r="U219" t="s">
        <v>526</v>
      </c>
      <c r="V219" s="3">
        <v>0.27</v>
      </c>
      <c r="W219" s="2">
        <v>0</v>
      </c>
      <c r="X219">
        <v>0</v>
      </c>
      <c r="Y219" t="s">
        <v>60</v>
      </c>
      <c r="Z219" t="s">
        <v>448</v>
      </c>
      <c r="AA219">
        <v>6</v>
      </c>
      <c r="AB219" s="2">
        <v>16.14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2.69</v>
      </c>
      <c r="AM219" s="2">
        <v>0</v>
      </c>
      <c r="AN219" s="2">
        <v>16.14</v>
      </c>
      <c r="AO219" s="2">
        <v>0</v>
      </c>
      <c r="AP219" s="2">
        <v>0</v>
      </c>
      <c r="AQ219" s="2">
        <v>0</v>
      </c>
    </row>
    <row r="220" spans="1:43" x14ac:dyDescent="0.3">
      <c r="A220" s="1">
        <v>46125</v>
      </c>
      <c r="B220" t="s">
        <v>48</v>
      </c>
      <c r="C220">
        <v>649163</v>
      </c>
      <c r="D220">
        <v>2034840567</v>
      </c>
      <c r="E220" t="s">
        <v>480</v>
      </c>
      <c r="F220" t="s">
        <v>481</v>
      </c>
      <c r="G220" t="s">
        <v>51</v>
      </c>
      <c r="H220" t="s">
        <v>223</v>
      </c>
      <c r="I220" t="s">
        <v>524</v>
      </c>
      <c r="J220" t="s">
        <v>528</v>
      </c>
      <c r="K220">
        <v>673059</v>
      </c>
      <c r="L220" t="s">
        <v>115</v>
      </c>
      <c r="M220" t="s">
        <v>116</v>
      </c>
      <c r="N220" t="s">
        <v>57</v>
      </c>
      <c r="O220" s="1">
        <v>46123</v>
      </c>
      <c r="Q220" s="1">
        <v>46153</v>
      </c>
      <c r="R220" s="2">
        <v>126.53</v>
      </c>
      <c r="S220">
        <v>1</v>
      </c>
      <c r="T220" t="s">
        <v>58</v>
      </c>
      <c r="U220" t="s">
        <v>477</v>
      </c>
      <c r="V220" s="3">
        <v>0.28999999999999998</v>
      </c>
      <c r="W220" s="2">
        <v>0</v>
      </c>
      <c r="X220">
        <v>0</v>
      </c>
      <c r="Y220" t="s">
        <v>60</v>
      </c>
      <c r="Z220" t="s">
        <v>448</v>
      </c>
      <c r="AA220">
        <v>6</v>
      </c>
      <c r="AB220" s="2">
        <v>220.14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36.69</v>
      </c>
      <c r="AM220" s="2">
        <v>0</v>
      </c>
      <c r="AN220" s="2">
        <v>220.14</v>
      </c>
      <c r="AO220" s="2">
        <v>0</v>
      </c>
      <c r="AP220" s="2">
        <v>0</v>
      </c>
      <c r="AQ220" s="2">
        <v>0</v>
      </c>
    </row>
    <row r="221" spans="1:43" x14ac:dyDescent="0.3">
      <c r="A221" s="1">
        <v>46125</v>
      </c>
      <c r="B221" t="s">
        <v>48</v>
      </c>
      <c r="C221">
        <v>649163</v>
      </c>
      <c r="D221">
        <v>2034686688</v>
      </c>
      <c r="E221" t="s">
        <v>503</v>
      </c>
      <c r="F221" t="s">
        <v>504</v>
      </c>
      <c r="G221" t="s">
        <v>51</v>
      </c>
      <c r="H221" t="s">
        <v>80</v>
      </c>
      <c r="I221" t="s">
        <v>529</v>
      </c>
      <c r="J221" t="s">
        <v>530</v>
      </c>
      <c r="K221">
        <v>824062</v>
      </c>
      <c r="L221" t="s">
        <v>167</v>
      </c>
      <c r="M221" t="s">
        <v>168</v>
      </c>
      <c r="N221" t="s">
        <v>57</v>
      </c>
      <c r="O221" s="1">
        <v>46143</v>
      </c>
      <c r="Q221" s="1">
        <v>46174</v>
      </c>
      <c r="R221" s="2">
        <v>197.14</v>
      </c>
      <c r="S221">
        <v>1</v>
      </c>
      <c r="T221" t="s">
        <v>58</v>
      </c>
      <c r="U221" t="s">
        <v>173</v>
      </c>
      <c r="V221" s="3">
        <v>0.51</v>
      </c>
      <c r="W221" s="2">
        <v>0</v>
      </c>
      <c r="X221">
        <v>0</v>
      </c>
      <c r="Y221" t="s">
        <v>60</v>
      </c>
      <c r="Z221" t="s">
        <v>448</v>
      </c>
      <c r="AA221">
        <v>6</v>
      </c>
      <c r="AB221" s="2">
        <v>603.24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100.54</v>
      </c>
      <c r="AM221" s="2">
        <v>0</v>
      </c>
      <c r="AN221" s="2">
        <v>603.24</v>
      </c>
      <c r="AO221" s="2">
        <v>0</v>
      </c>
      <c r="AP221" s="2">
        <v>0</v>
      </c>
      <c r="AQ221" s="2">
        <v>0</v>
      </c>
    </row>
    <row r="222" spans="1:43" x14ac:dyDescent="0.3">
      <c r="A222" s="1">
        <v>46125</v>
      </c>
      <c r="B222" t="s">
        <v>48</v>
      </c>
      <c r="C222">
        <v>649163</v>
      </c>
      <c r="D222">
        <v>2034686689</v>
      </c>
      <c r="E222" t="s">
        <v>503</v>
      </c>
      <c r="F222" t="s">
        <v>504</v>
      </c>
      <c r="G222" t="s">
        <v>51</v>
      </c>
      <c r="H222" t="s">
        <v>80</v>
      </c>
      <c r="I222" t="s">
        <v>529</v>
      </c>
      <c r="J222" t="s">
        <v>531</v>
      </c>
      <c r="K222">
        <v>824062</v>
      </c>
      <c r="L222" t="s">
        <v>167</v>
      </c>
      <c r="M222" t="s">
        <v>168</v>
      </c>
      <c r="N222" t="s">
        <v>57</v>
      </c>
      <c r="O222" s="1">
        <v>46143</v>
      </c>
      <c r="Q222" s="1">
        <v>46174</v>
      </c>
      <c r="R222" s="2">
        <v>5.95</v>
      </c>
      <c r="S222">
        <v>1</v>
      </c>
      <c r="T222" t="s">
        <v>58</v>
      </c>
      <c r="U222" t="s">
        <v>173</v>
      </c>
      <c r="V222" s="3">
        <v>0.51</v>
      </c>
      <c r="W222" s="2">
        <v>0</v>
      </c>
      <c r="X222">
        <v>0</v>
      </c>
      <c r="Y222" t="s">
        <v>60</v>
      </c>
      <c r="Z222" t="s">
        <v>448</v>
      </c>
      <c r="AA222">
        <v>6</v>
      </c>
      <c r="AB222" s="2">
        <v>18.18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3.03</v>
      </c>
      <c r="AM222" s="2">
        <v>0</v>
      </c>
      <c r="AN222" s="2">
        <v>18.18</v>
      </c>
      <c r="AO222" s="2">
        <v>0</v>
      </c>
      <c r="AP222" s="2">
        <v>0</v>
      </c>
      <c r="AQ222" s="2">
        <v>0</v>
      </c>
    </row>
    <row r="223" spans="1:43" x14ac:dyDescent="0.3">
      <c r="A223" s="1">
        <v>46125</v>
      </c>
      <c r="B223" t="s">
        <v>48</v>
      </c>
      <c r="C223">
        <v>649163</v>
      </c>
      <c r="D223">
        <v>2023461093</v>
      </c>
      <c r="E223" t="s">
        <v>532</v>
      </c>
      <c r="F223" t="s">
        <v>358</v>
      </c>
      <c r="G223" t="s">
        <v>51</v>
      </c>
      <c r="H223" t="s">
        <v>256</v>
      </c>
      <c r="I223" t="s">
        <v>533</v>
      </c>
      <c r="J223" t="s">
        <v>534</v>
      </c>
      <c r="K223">
        <v>751867</v>
      </c>
      <c r="L223" t="s">
        <v>535</v>
      </c>
      <c r="M223" t="s">
        <v>149</v>
      </c>
      <c r="N223" t="s">
        <v>57</v>
      </c>
      <c r="O223" s="1">
        <v>45474</v>
      </c>
      <c r="Q223" s="1">
        <v>46143</v>
      </c>
      <c r="R223" s="2">
        <v>56.69</v>
      </c>
      <c r="S223">
        <v>1</v>
      </c>
      <c r="T223" t="s">
        <v>58</v>
      </c>
      <c r="U223" t="s">
        <v>59</v>
      </c>
      <c r="V223" s="4">
        <v>6.5000000000000002E-2</v>
      </c>
      <c r="W223" s="2">
        <v>0</v>
      </c>
      <c r="X223">
        <v>0</v>
      </c>
      <c r="Y223" t="s">
        <v>536</v>
      </c>
      <c r="Z223" t="s">
        <v>61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3.68</v>
      </c>
      <c r="AN223" s="2">
        <v>3.68</v>
      </c>
      <c r="AO223" s="2">
        <v>0</v>
      </c>
      <c r="AP223" s="2">
        <v>0</v>
      </c>
      <c r="AQ223" s="2">
        <v>0</v>
      </c>
    </row>
    <row r="224" spans="1:43" x14ac:dyDescent="0.3">
      <c r="A224" s="1">
        <v>46125</v>
      </c>
      <c r="B224" t="s">
        <v>48</v>
      </c>
      <c r="C224">
        <v>649163</v>
      </c>
      <c r="D224">
        <v>2023499225</v>
      </c>
      <c r="E224" t="s">
        <v>537</v>
      </c>
      <c r="F224" t="s">
        <v>112</v>
      </c>
      <c r="G224" t="s">
        <v>51</v>
      </c>
      <c r="H224" t="s">
        <v>141</v>
      </c>
      <c r="I224" t="s">
        <v>533</v>
      </c>
      <c r="J224" t="s">
        <v>534</v>
      </c>
      <c r="K224">
        <v>751867</v>
      </c>
      <c r="L224" t="s">
        <v>535</v>
      </c>
      <c r="M224" t="s">
        <v>149</v>
      </c>
      <c r="N224" t="s">
        <v>57</v>
      </c>
      <c r="O224" s="1">
        <v>45456</v>
      </c>
      <c r="Q224" s="1">
        <v>46155</v>
      </c>
      <c r="R224" s="2">
        <v>56.69</v>
      </c>
      <c r="S224">
        <v>1</v>
      </c>
      <c r="T224" t="s">
        <v>58</v>
      </c>
      <c r="U224" t="s">
        <v>59</v>
      </c>
      <c r="V224" s="4">
        <v>6.5000000000000002E-2</v>
      </c>
      <c r="W224" s="2">
        <v>0</v>
      </c>
      <c r="X224">
        <v>0</v>
      </c>
      <c r="Y224" t="s">
        <v>536</v>
      </c>
      <c r="Z224" t="s">
        <v>61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3.68</v>
      </c>
      <c r="AN224" s="2">
        <v>3.68</v>
      </c>
      <c r="AO224" s="2">
        <v>0</v>
      </c>
      <c r="AP224" s="2">
        <v>0</v>
      </c>
      <c r="AQ224" s="2">
        <v>0</v>
      </c>
    </row>
    <row r="225" spans="1:43" x14ac:dyDescent="0.3">
      <c r="A225" s="1">
        <v>46125</v>
      </c>
      <c r="B225" t="s">
        <v>48</v>
      </c>
      <c r="C225">
        <v>649163</v>
      </c>
      <c r="D225">
        <v>2023509944</v>
      </c>
      <c r="E225" t="s">
        <v>538</v>
      </c>
      <c r="F225" t="s">
        <v>539</v>
      </c>
      <c r="G225" t="s">
        <v>51</v>
      </c>
      <c r="H225" t="s">
        <v>256</v>
      </c>
      <c r="I225" t="s">
        <v>533</v>
      </c>
      <c r="J225" t="s">
        <v>540</v>
      </c>
      <c r="K225">
        <v>751867</v>
      </c>
      <c r="L225" t="s">
        <v>535</v>
      </c>
      <c r="M225" t="s">
        <v>149</v>
      </c>
      <c r="N225" t="s">
        <v>57</v>
      </c>
      <c r="O225" s="1">
        <v>45457</v>
      </c>
      <c r="Q225" s="1">
        <v>46156</v>
      </c>
      <c r="R225" s="2">
        <v>109.84</v>
      </c>
      <c r="S225">
        <v>1</v>
      </c>
      <c r="T225" t="s">
        <v>58</v>
      </c>
      <c r="U225" t="s">
        <v>59</v>
      </c>
      <c r="V225" s="4">
        <v>6.5000000000000002E-2</v>
      </c>
      <c r="W225" s="2">
        <v>0</v>
      </c>
      <c r="X225">
        <v>0</v>
      </c>
      <c r="Y225" t="s">
        <v>536</v>
      </c>
      <c r="Z225" t="s">
        <v>61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7.14</v>
      </c>
      <c r="AN225" s="2">
        <v>7.14</v>
      </c>
      <c r="AO225" s="2">
        <v>0</v>
      </c>
      <c r="AP225" s="2">
        <v>0</v>
      </c>
      <c r="AQ225" s="2">
        <v>0</v>
      </c>
    </row>
    <row r="226" spans="1:43" x14ac:dyDescent="0.3">
      <c r="A226" s="1">
        <v>46125</v>
      </c>
      <c r="B226" t="s">
        <v>48</v>
      </c>
      <c r="C226">
        <v>649163</v>
      </c>
      <c r="D226">
        <v>2023510924</v>
      </c>
      <c r="E226" t="s">
        <v>541</v>
      </c>
      <c r="F226" t="s">
        <v>419</v>
      </c>
      <c r="G226" t="s">
        <v>51</v>
      </c>
      <c r="H226" t="s">
        <v>256</v>
      </c>
      <c r="I226" t="s">
        <v>533</v>
      </c>
      <c r="J226" t="s">
        <v>534</v>
      </c>
      <c r="K226">
        <v>751867</v>
      </c>
      <c r="L226" t="s">
        <v>535</v>
      </c>
      <c r="M226" t="s">
        <v>149</v>
      </c>
      <c r="N226" t="s">
        <v>57</v>
      </c>
      <c r="O226" s="1">
        <v>45457</v>
      </c>
      <c r="Q226" s="1">
        <v>46156</v>
      </c>
      <c r="R226" s="2">
        <v>56.69</v>
      </c>
      <c r="S226">
        <v>1</v>
      </c>
      <c r="T226" t="s">
        <v>58</v>
      </c>
      <c r="U226" t="s">
        <v>59</v>
      </c>
      <c r="V226" s="4">
        <v>6.5000000000000002E-2</v>
      </c>
      <c r="W226" s="2">
        <v>0</v>
      </c>
      <c r="X226">
        <v>0</v>
      </c>
      <c r="Y226" t="s">
        <v>536</v>
      </c>
      <c r="Z226" t="s">
        <v>61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3.68</v>
      </c>
      <c r="AN226" s="2">
        <v>3.68</v>
      </c>
      <c r="AO226" s="2">
        <v>0</v>
      </c>
      <c r="AP226" s="2">
        <v>0</v>
      </c>
      <c r="AQ226" s="2">
        <v>0</v>
      </c>
    </row>
    <row r="227" spans="1:43" x14ac:dyDescent="0.3">
      <c r="A227" s="1">
        <v>46125</v>
      </c>
      <c r="B227" t="s">
        <v>48</v>
      </c>
      <c r="C227">
        <v>649163</v>
      </c>
      <c r="D227">
        <v>2024382706</v>
      </c>
      <c r="E227" t="s">
        <v>542</v>
      </c>
      <c r="F227" t="s">
        <v>543</v>
      </c>
      <c r="G227" t="s">
        <v>51</v>
      </c>
      <c r="H227" t="s">
        <v>256</v>
      </c>
      <c r="I227" t="s">
        <v>533</v>
      </c>
      <c r="J227" t="s">
        <v>534</v>
      </c>
      <c r="K227">
        <v>650218</v>
      </c>
      <c r="L227" t="s">
        <v>544</v>
      </c>
      <c r="M227" t="s">
        <v>324</v>
      </c>
      <c r="N227" t="s">
        <v>57</v>
      </c>
      <c r="O227" s="1">
        <v>45519</v>
      </c>
      <c r="Q227" s="1">
        <v>46157</v>
      </c>
      <c r="R227" s="2">
        <v>40.159999999999997</v>
      </c>
      <c r="S227">
        <v>1</v>
      </c>
      <c r="T227" t="s">
        <v>58</v>
      </c>
      <c r="U227" t="s">
        <v>59</v>
      </c>
      <c r="V227" s="4">
        <v>6.5000000000000002E-2</v>
      </c>
      <c r="W227" s="2">
        <v>0</v>
      </c>
      <c r="X227">
        <v>0</v>
      </c>
      <c r="Y227" t="s">
        <v>536</v>
      </c>
      <c r="Z227" t="s">
        <v>61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2.61</v>
      </c>
      <c r="AN227" s="2">
        <v>2.61</v>
      </c>
      <c r="AO227" s="2">
        <v>0</v>
      </c>
      <c r="AP227" s="2">
        <v>0</v>
      </c>
      <c r="AQ227" s="2">
        <v>0</v>
      </c>
    </row>
    <row r="228" spans="1:43" x14ac:dyDescent="0.3">
      <c r="A228" s="1">
        <v>46125</v>
      </c>
      <c r="B228" t="s">
        <v>48</v>
      </c>
      <c r="C228">
        <v>649163</v>
      </c>
      <c r="D228">
        <v>2025649889</v>
      </c>
      <c r="E228" t="s">
        <v>545</v>
      </c>
      <c r="F228" t="s">
        <v>546</v>
      </c>
      <c r="G228" t="s">
        <v>51</v>
      </c>
      <c r="H228" t="s">
        <v>256</v>
      </c>
      <c r="I228" t="s">
        <v>533</v>
      </c>
      <c r="J228" t="s">
        <v>534</v>
      </c>
      <c r="K228">
        <v>650218</v>
      </c>
      <c r="L228" t="s">
        <v>544</v>
      </c>
      <c r="M228" t="s">
        <v>324</v>
      </c>
      <c r="N228" t="s">
        <v>86</v>
      </c>
      <c r="O228" s="1">
        <v>45658</v>
      </c>
      <c r="P228" s="1">
        <v>46125</v>
      </c>
      <c r="Q228" s="1">
        <v>46143</v>
      </c>
      <c r="R228" s="2">
        <v>-46.45</v>
      </c>
      <c r="S228">
        <v>1</v>
      </c>
      <c r="T228" t="s">
        <v>58</v>
      </c>
      <c r="U228" t="s">
        <v>59</v>
      </c>
      <c r="V228" s="4">
        <v>6.5000000000000002E-2</v>
      </c>
      <c r="W228" s="2">
        <v>0</v>
      </c>
      <c r="X228">
        <v>-1</v>
      </c>
      <c r="Y228" t="s">
        <v>536</v>
      </c>
      <c r="Z228" t="s">
        <v>61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-3.02</v>
      </c>
      <c r="AN228" s="2">
        <v>-3.02</v>
      </c>
      <c r="AO228" s="2">
        <v>0</v>
      </c>
      <c r="AP228" s="2">
        <v>0</v>
      </c>
      <c r="AQ228" s="2">
        <v>0</v>
      </c>
    </row>
    <row r="229" spans="1:43" x14ac:dyDescent="0.3">
      <c r="A229" s="1">
        <v>46125</v>
      </c>
      <c r="B229" t="s">
        <v>48</v>
      </c>
      <c r="C229">
        <v>649163</v>
      </c>
      <c r="D229">
        <v>2025756063</v>
      </c>
      <c r="E229" t="s">
        <v>547</v>
      </c>
      <c r="F229" t="s">
        <v>548</v>
      </c>
      <c r="G229" t="s">
        <v>51</v>
      </c>
      <c r="H229" t="s">
        <v>256</v>
      </c>
      <c r="I229" t="s">
        <v>533</v>
      </c>
      <c r="J229" t="s">
        <v>534</v>
      </c>
      <c r="K229">
        <v>650218</v>
      </c>
      <c r="L229" t="s">
        <v>544</v>
      </c>
      <c r="M229" t="s">
        <v>324</v>
      </c>
      <c r="N229" t="s">
        <v>57</v>
      </c>
      <c r="O229" s="1">
        <v>45610</v>
      </c>
      <c r="Q229" s="1">
        <v>46156</v>
      </c>
      <c r="R229" s="2">
        <v>46.45</v>
      </c>
      <c r="S229">
        <v>1</v>
      </c>
      <c r="T229" t="s">
        <v>58</v>
      </c>
      <c r="U229" t="s">
        <v>59</v>
      </c>
      <c r="V229" s="4">
        <v>6.5000000000000002E-2</v>
      </c>
      <c r="W229" s="2">
        <v>0</v>
      </c>
      <c r="X229">
        <v>0</v>
      </c>
      <c r="Y229" t="s">
        <v>536</v>
      </c>
      <c r="Z229" t="s">
        <v>61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3.02</v>
      </c>
      <c r="AN229" s="2">
        <v>3.02</v>
      </c>
      <c r="AO229" s="2">
        <v>0</v>
      </c>
      <c r="AP229" s="2">
        <v>0</v>
      </c>
      <c r="AQ229" s="2">
        <v>0</v>
      </c>
    </row>
    <row r="230" spans="1:43" x14ac:dyDescent="0.3">
      <c r="A230" s="1">
        <v>46125</v>
      </c>
      <c r="B230" t="s">
        <v>48</v>
      </c>
      <c r="C230">
        <v>649163</v>
      </c>
      <c r="D230">
        <v>2025771713</v>
      </c>
      <c r="E230" t="s">
        <v>549</v>
      </c>
      <c r="F230" t="s">
        <v>147</v>
      </c>
      <c r="G230" t="s">
        <v>51</v>
      </c>
      <c r="H230" t="s">
        <v>256</v>
      </c>
      <c r="I230" t="s">
        <v>533</v>
      </c>
      <c r="J230" t="s">
        <v>534</v>
      </c>
      <c r="K230">
        <v>650218</v>
      </c>
      <c r="L230" t="s">
        <v>544</v>
      </c>
      <c r="M230" t="s">
        <v>324</v>
      </c>
      <c r="N230" t="s">
        <v>57</v>
      </c>
      <c r="O230" s="1">
        <v>45611</v>
      </c>
      <c r="Q230" s="1">
        <v>46157</v>
      </c>
      <c r="R230" s="2">
        <v>52.69</v>
      </c>
      <c r="S230">
        <v>1</v>
      </c>
      <c r="T230" t="s">
        <v>58</v>
      </c>
      <c r="U230" t="s">
        <v>59</v>
      </c>
      <c r="V230" s="4">
        <v>6.5000000000000002E-2</v>
      </c>
      <c r="W230" s="2">
        <v>0</v>
      </c>
      <c r="X230">
        <v>0</v>
      </c>
      <c r="Y230" t="s">
        <v>536</v>
      </c>
      <c r="Z230" t="s">
        <v>61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3.42</v>
      </c>
      <c r="AN230" s="2">
        <v>3.42</v>
      </c>
      <c r="AO230" s="2">
        <v>0</v>
      </c>
      <c r="AP230" s="2">
        <v>0</v>
      </c>
      <c r="AQ230" s="2">
        <v>0</v>
      </c>
    </row>
    <row r="231" spans="1:43" x14ac:dyDescent="0.3">
      <c r="A231" s="1">
        <v>46125</v>
      </c>
      <c r="B231" t="s">
        <v>48</v>
      </c>
      <c r="C231">
        <v>649163</v>
      </c>
      <c r="D231">
        <v>2026603200</v>
      </c>
      <c r="E231" t="s">
        <v>550</v>
      </c>
      <c r="F231" t="s">
        <v>551</v>
      </c>
      <c r="G231" t="s">
        <v>51</v>
      </c>
      <c r="H231" t="s">
        <v>256</v>
      </c>
      <c r="I231" t="s">
        <v>533</v>
      </c>
      <c r="J231" t="s">
        <v>534</v>
      </c>
      <c r="K231">
        <v>751867</v>
      </c>
      <c r="L231" t="s">
        <v>535</v>
      </c>
      <c r="M231" t="s">
        <v>149</v>
      </c>
      <c r="N231" t="s">
        <v>57</v>
      </c>
      <c r="O231" s="1">
        <v>45673</v>
      </c>
      <c r="Q231" s="1">
        <v>46158</v>
      </c>
      <c r="R231" s="2">
        <v>56.69</v>
      </c>
      <c r="S231">
        <v>1</v>
      </c>
      <c r="T231" t="s">
        <v>58</v>
      </c>
      <c r="U231" t="s">
        <v>59</v>
      </c>
      <c r="V231" s="4">
        <v>6.5000000000000002E-2</v>
      </c>
      <c r="W231" s="2">
        <v>0</v>
      </c>
      <c r="X231">
        <v>0</v>
      </c>
      <c r="Y231" t="s">
        <v>536</v>
      </c>
      <c r="Z231" t="s">
        <v>61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3.68</v>
      </c>
      <c r="AN231" s="2">
        <v>3.68</v>
      </c>
      <c r="AO231" s="2">
        <v>0</v>
      </c>
      <c r="AP231" s="2">
        <v>0</v>
      </c>
      <c r="AQ231" s="2">
        <v>0</v>
      </c>
    </row>
    <row r="232" spans="1:43" x14ac:dyDescent="0.3">
      <c r="A232" s="1">
        <v>46125</v>
      </c>
      <c r="B232" t="s">
        <v>48</v>
      </c>
      <c r="C232">
        <v>649163</v>
      </c>
      <c r="D232">
        <v>2026958695</v>
      </c>
      <c r="E232" t="s">
        <v>552</v>
      </c>
      <c r="F232" t="s">
        <v>252</v>
      </c>
      <c r="G232" t="s">
        <v>51</v>
      </c>
      <c r="H232" t="s">
        <v>256</v>
      </c>
      <c r="I232" t="s">
        <v>533</v>
      </c>
      <c r="J232" t="s">
        <v>534</v>
      </c>
      <c r="K232">
        <v>677095</v>
      </c>
      <c r="L232" t="s">
        <v>553</v>
      </c>
      <c r="M232" t="s">
        <v>107</v>
      </c>
      <c r="N232" t="s">
        <v>57</v>
      </c>
      <c r="O232" s="1">
        <v>45702</v>
      </c>
      <c r="Q232" s="1">
        <v>46156</v>
      </c>
      <c r="R232" s="2">
        <v>52.69</v>
      </c>
      <c r="S232">
        <v>1</v>
      </c>
      <c r="T232" t="s">
        <v>58</v>
      </c>
      <c r="U232" t="s">
        <v>59</v>
      </c>
      <c r="V232" s="4">
        <v>2.5000000000000001E-2</v>
      </c>
      <c r="W232" s="2">
        <v>0</v>
      </c>
      <c r="X232">
        <v>0</v>
      </c>
      <c r="Y232" t="s">
        <v>536</v>
      </c>
      <c r="Z232" t="s">
        <v>61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1.32</v>
      </c>
      <c r="AN232" s="2">
        <v>1.32</v>
      </c>
      <c r="AO232" s="2">
        <v>0</v>
      </c>
      <c r="AP232" s="2">
        <v>0</v>
      </c>
      <c r="AQ232" s="2">
        <v>0</v>
      </c>
    </row>
    <row r="233" spans="1:43" x14ac:dyDescent="0.3">
      <c r="A233" s="1">
        <v>46125</v>
      </c>
      <c r="B233" t="s">
        <v>48</v>
      </c>
      <c r="C233">
        <v>649163</v>
      </c>
      <c r="D233">
        <v>2032136156</v>
      </c>
      <c r="E233" t="s">
        <v>554</v>
      </c>
      <c r="F233" t="s">
        <v>555</v>
      </c>
      <c r="G233" t="s">
        <v>51</v>
      </c>
      <c r="H233" t="s">
        <v>80</v>
      </c>
      <c r="I233" t="s">
        <v>533</v>
      </c>
      <c r="J233" t="s">
        <v>534</v>
      </c>
      <c r="K233">
        <v>894525</v>
      </c>
      <c r="L233" t="s">
        <v>248</v>
      </c>
      <c r="M233" t="s">
        <v>249</v>
      </c>
      <c r="N233" t="s">
        <v>57</v>
      </c>
      <c r="O233" s="1">
        <v>45976</v>
      </c>
      <c r="Q233" s="1">
        <v>46157</v>
      </c>
      <c r="R233" s="2">
        <v>75.67</v>
      </c>
      <c r="S233">
        <v>1</v>
      </c>
      <c r="T233" t="s">
        <v>58</v>
      </c>
      <c r="U233" t="s">
        <v>173</v>
      </c>
      <c r="V233" s="3">
        <v>0.6</v>
      </c>
      <c r="W233" s="2">
        <v>0</v>
      </c>
      <c r="X233">
        <v>0</v>
      </c>
      <c r="Y233" t="s">
        <v>60</v>
      </c>
      <c r="Z233" t="s">
        <v>61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45.4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</row>
    <row r="234" spans="1:43" x14ac:dyDescent="0.3">
      <c r="A234" s="1">
        <v>46125</v>
      </c>
      <c r="B234" t="s">
        <v>48</v>
      </c>
      <c r="C234">
        <v>649163</v>
      </c>
      <c r="D234">
        <v>2032176854</v>
      </c>
      <c r="E234" t="s">
        <v>556</v>
      </c>
      <c r="F234" t="s">
        <v>557</v>
      </c>
      <c r="G234" t="s">
        <v>51</v>
      </c>
      <c r="H234" t="s">
        <v>298</v>
      </c>
      <c r="I234" t="s">
        <v>533</v>
      </c>
      <c r="J234" t="s">
        <v>534</v>
      </c>
      <c r="K234">
        <v>897926</v>
      </c>
      <c r="L234" t="s">
        <v>244</v>
      </c>
      <c r="M234" t="s">
        <v>245</v>
      </c>
      <c r="N234" t="s">
        <v>57</v>
      </c>
      <c r="O234" s="1">
        <v>45976</v>
      </c>
      <c r="Q234" s="1">
        <v>46157</v>
      </c>
      <c r="R234" s="2">
        <v>52.69</v>
      </c>
      <c r="S234">
        <v>1</v>
      </c>
      <c r="T234" t="s">
        <v>58</v>
      </c>
      <c r="U234" t="s">
        <v>173</v>
      </c>
      <c r="V234" s="3">
        <v>0.6</v>
      </c>
      <c r="W234" s="2">
        <v>0</v>
      </c>
      <c r="X234">
        <v>0</v>
      </c>
      <c r="Y234" t="s">
        <v>60</v>
      </c>
      <c r="Z234" t="s">
        <v>61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31.61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</row>
    <row r="235" spans="1:43" x14ac:dyDescent="0.3">
      <c r="A235" s="1">
        <v>46125</v>
      </c>
      <c r="B235" t="s">
        <v>48</v>
      </c>
      <c r="C235">
        <v>649163</v>
      </c>
      <c r="D235">
        <v>2032673611</v>
      </c>
      <c r="E235" t="s">
        <v>558</v>
      </c>
      <c r="F235" t="s">
        <v>479</v>
      </c>
      <c r="G235" t="s">
        <v>51</v>
      </c>
      <c r="H235" t="s">
        <v>256</v>
      </c>
      <c r="I235" t="s">
        <v>533</v>
      </c>
      <c r="J235" t="s">
        <v>534</v>
      </c>
      <c r="K235">
        <v>885445</v>
      </c>
      <c r="L235" t="s">
        <v>559</v>
      </c>
      <c r="M235" t="s">
        <v>470</v>
      </c>
      <c r="N235" t="s">
        <v>57</v>
      </c>
      <c r="O235" s="1">
        <v>46005</v>
      </c>
      <c r="Q235" s="1">
        <v>46156</v>
      </c>
      <c r="R235" s="2">
        <v>52.69</v>
      </c>
      <c r="S235">
        <v>1</v>
      </c>
      <c r="T235" t="s">
        <v>58</v>
      </c>
      <c r="U235" t="s">
        <v>173</v>
      </c>
      <c r="V235" s="3">
        <v>0.6</v>
      </c>
      <c r="W235" s="2">
        <v>0</v>
      </c>
      <c r="X235">
        <v>0</v>
      </c>
      <c r="Y235" t="s">
        <v>60</v>
      </c>
      <c r="Z235" t="s">
        <v>61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31.61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</row>
    <row r="236" spans="1:43" x14ac:dyDescent="0.3">
      <c r="A236" s="1">
        <v>46125</v>
      </c>
      <c r="B236" t="s">
        <v>48</v>
      </c>
      <c r="C236">
        <v>649163</v>
      </c>
      <c r="D236">
        <v>2032676549</v>
      </c>
      <c r="E236" t="s">
        <v>560</v>
      </c>
      <c r="F236" t="s">
        <v>100</v>
      </c>
      <c r="G236" t="s">
        <v>51</v>
      </c>
      <c r="H236" t="s">
        <v>256</v>
      </c>
      <c r="I236" t="s">
        <v>533</v>
      </c>
      <c r="J236" t="s">
        <v>534</v>
      </c>
      <c r="K236">
        <v>885445</v>
      </c>
      <c r="L236" t="s">
        <v>559</v>
      </c>
      <c r="M236" t="s">
        <v>470</v>
      </c>
      <c r="N236" t="s">
        <v>57</v>
      </c>
      <c r="O236" s="1">
        <v>46005</v>
      </c>
      <c r="Q236" s="1">
        <v>46156</v>
      </c>
      <c r="R236" s="2">
        <v>46.45</v>
      </c>
      <c r="S236">
        <v>1</v>
      </c>
      <c r="T236" t="s">
        <v>58</v>
      </c>
      <c r="U236" t="s">
        <v>173</v>
      </c>
      <c r="V236" s="3">
        <v>0.6</v>
      </c>
      <c r="W236" s="2">
        <v>0</v>
      </c>
      <c r="X236">
        <v>0</v>
      </c>
      <c r="Y236" t="s">
        <v>60</v>
      </c>
      <c r="Z236" t="s">
        <v>61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27.87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</row>
    <row r="237" spans="1:43" x14ac:dyDescent="0.3">
      <c r="A237" s="1">
        <v>46125</v>
      </c>
      <c r="B237" t="s">
        <v>48</v>
      </c>
      <c r="C237">
        <v>649163</v>
      </c>
      <c r="D237">
        <v>2033064966</v>
      </c>
      <c r="E237" t="s">
        <v>561</v>
      </c>
      <c r="F237" t="s">
        <v>562</v>
      </c>
      <c r="G237" t="s">
        <v>51</v>
      </c>
      <c r="H237" t="s">
        <v>256</v>
      </c>
      <c r="I237" t="s">
        <v>533</v>
      </c>
      <c r="J237" t="s">
        <v>534</v>
      </c>
      <c r="K237">
        <v>751867</v>
      </c>
      <c r="L237" t="s">
        <v>535</v>
      </c>
      <c r="M237" t="s">
        <v>149</v>
      </c>
      <c r="N237" t="s">
        <v>57</v>
      </c>
      <c r="O237" s="1">
        <v>46034</v>
      </c>
      <c r="Q237" s="1">
        <v>46154</v>
      </c>
      <c r="R237" s="2">
        <v>40.159999999999997</v>
      </c>
      <c r="S237">
        <v>1</v>
      </c>
      <c r="T237" t="s">
        <v>58</v>
      </c>
      <c r="U237" t="s">
        <v>173</v>
      </c>
      <c r="V237" s="3">
        <v>0.6</v>
      </c>
      <c r="W237" s="2">
        <v>0</v>
      </c>
      <c r="X237">
        <v>0</v>
      </c>
      <c r="Y237" t="s">
        <v>60</v>
      </c>
      <c r="Z237" t="s">
        <v>61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24.1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</row>
    <row r="238" spans="1:43" x14ac:dyDescent="0.3">
      <c r="A238" s="1">
        <v>46125</v>
      </c>
      <c r="B238" t="s">
        <v>48</v>
      </c>
      <c r="C238">
        <v>649163</v>
      </c>
      <c r="D238">
        <v>2033129763</v>
      </c>
      <c r="E238" t="s">
        <v>563</v>
      </c>
      <c r="F238" t="s">
        <v>564</v>
      </c>
      <c r="G238" t="s">
        <v>51</v>
      </c>
      <c r="H238" t="s">
        <v>256</v>
      </c>
      <c r="I238" t="s">
        <v>533</v>
      </c>
      <c r="J238" t="s">
        <v>534</v>
      </c>
      <c r="K238">
        <v>751867</v>
      </c>
      <c r="L238" t="s">
        <v>535</v>
      </c>
      <c r="M238" t="s">
        <v>149</v>
      </c>
      <c r="N238" t="s">
        <v>57</v>
      </c>
      <c r="O238" s="1">
        <v>46036</v>
      </c>
      <c r="Q238" s="1">
        <v>46156</v>
      </c>
      <c r="R238" s="2">
        <v>40.159999999999997</v>
      </c>
      <c r="S238">
        <v>1</v>
      </c>
      <c r="T238" t="s">
        <v>58</v>
      </c>
      <c r="U238" t="s">
        <v>173</v>
      </c>
      <c r="V238" s="3">
        <v>0.6</v>
      </c>
      <c r="W238" s="2">
        <v>0</v>
      </c>
      <c r="X238">
        <v>0</v>
      </c>
      <c r="Y238" t="s">
        <v>60</v>
      </c>
      <c r="Z238" t="s">
        <v>61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24.1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</row>
    <row r="239" spans="1:43" x14ac:dyDescent="0.3">
      <c r="A239" s="1">
        <v>46125</v>
      </c>
      <c r="B239" t="s">
        <v>48</v>
      </c>
      <c r="C239">
        <v>649163</v>
      </c>
      <c r="D239">
        <v>2020174611</v>
      </c>
      <c r="E239" t="s">
        <v>565</v>
      </c>
      <c r="F239" t="s">
        <v>566</v>
      </c>
      <c r="G239" t="s">
        <v>51</v>
      </c>
      <c r="H239" t="s">
        <v>93</v>
      </c>
      <c r="I239" t="s">
        <v>444</v>
      </c>
      <c r="J239" t="s">
        <v>567</v>
      </c>
      <c r="K239">
        <v>652037</v>
      </c>
      <c r="L239" t="s">
        <v>164</v>
      </c>
      <c r="M239" t="s">
        <v>165</v>
      </c>
      <c r="N239" t="s">
        <v>57</v>
      </c>
      <c r="O239" s="1">
        <v>45214</v>
      </c>
      <c r="Q239" s="1">
        <v>46157</v>
      </c>
      <c r="R239" s="2">
        <v>246.44</v>
      </c>
      <c r="S239">
        <v>1</v>
      </c>
      <c r="T239" t="s">
        <v>58</v>
      </c>
      <c r="U239" t="s">
        <v>59</v>
      </c>
      <c r="V239" s="3">
        <v>0.1</v>
      </c>
      <c r="W239" s="2">
        <v>0</v>
      </c>
      <c r="X239">
        <v>0</v>
      </c>
      <c r="Y239" t="s">
        <v>536</v>
      </c>
      <c r="Z239" t="s">
        <v>61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24.64</v>
      </c>
      <c r="AN239" s="2">
        <v>24.64</v>
      </c>
      <c r="AO239" s="2">
        <v>0</v>
      </c>
      <c r="AP239" s="2">
        <v>0</v>
      </c>
      <c r="AQ239" s="2">
        <v>0</v>
      </c>
    </row>
    <row r="240" spans="1:43" x14ac:dyDescent="0.3">
      <c r="A240" s="1">
        <v>46125</v>
      </c>
      <c r="B240" t="s">
        <v>48</v>
      </c>
      <c r="C240">
        <v>649163</v>
      </c>
      <c r="D240">
        <v>2024834573</v>
      </c>
      <c r="E240" t="s">
        <v>568</v>
      </c>
      <c r="F240" t="s">
        <v>543</v>
      </c>
      <c r="G240" t="s">
        <v>51</v>
      </c>
      <c r="H240" t="s">
        <v>295</v>
      </c>
      <c r="I240" t="s">
        <v>444</v>
      </c>
      <c r="J240" t="s">
        <v>567</v>
      </c>
      <c r="K240">
        <v>767312</v>
      </c>
      <c r="L240" t="s">
        <v>134</v>
      </c>
      <c r="M240" t="s">
        <v>98</v>
      </c>
      <c r="N240" t="s">
        <v>57</v>
      </c>
      <c r="O240" s="1">
        <v>45549</v>
      </c>
      <c r="Q240" s="1">
        <v>46156</v>
      </c>
      <c r="R240" s="2">
        <v>41.42</v>
      </c>
      <c r="S240">
        <v>1</v>
      </c>
      <c r="T240" t="s">
        <v>58</v>
      </c>
      <c r="U240" t="s">
        <v>59</v>
      </c>
      <c r="V240" s="3">
        <v>0.1</v>
      </c>
      <c r="W240" s="2">
        <v>0</v>
      </c>
      <c r="X240">
        <v>0</v>
      </c>
      <c r="Y240" t="s">
        <v>536</v>
      </c>
      <c r="Z240" t="s">
        <v>61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4.1399999999999997</v>
      </c>
      <c r="AN240" s="2">
        <v>4.1399999999999997</v>
      </c>
      <c r="AO240" s="2">
        <v>0</v>
      </c>
      <c r="AP240" s="2">
        <v>0</v>
      </c>
      <c r="AQ240" s="2">
        <v>0</v>
      </c>
    </row>
    <row r="241" spans="1:43" x14ac:dyDescent="0.3">
      <c r="A241" s="1">
        <v>46125</v>
      </c>
      <c r="B241" t="s">
        <v>48</v>
      </c>
      <c r="C241">
        <v>649163</v>
      </c>
      <c r="D241">
        <v>2025254892</v>
      </c>
      <c r="E241" t="s">
        <v>569</v>
      </c>
      <c r="F241" t="s">
        <v>570</v>
      </c>
      <c r="G241" t="s">
        <v>51</v>
      </c>
      <c r="H241" t="s">
        <v>371</v>
      </c>
      <c r="I241" t="s">
        <v>444</v>
      </c>
      <c r="J241" t="s">
        <v>454</v>
      </c>
      <c r="K241">
        <v>767312</v>
      </c>
      <c r="L241" t="s">
        <v>134</v>
      </c>
      <c r="M241" t="s">
        <v>98</v>
      </c>
      <c r="N241" t="s">
        <v>57</v>
      </c>
      <c r="O241" s="1">
        <v>45576</v>
      </c>
      <c r="Q241" s="1">
        <v>46153</v>
      </c>
      <c r="R241" s="2">
        <v>48.79</v>
      </c>
      <c r="S241">
        <v>1</v>
      </c>
      <c r="T241" t="s">
        <v>58</v>
      </c>
      <c r="U241" t="s">
        <v>59</v>
      </c>
      <c r="V241" s="3">
        <v>0.1</v>
      </c>
      <c r="W241" s="2">
        <v>0</v>
      </c>
      <c r="X241">
        <v>0</v>
      </c>
      <c r="Y241" t="s">
        <v>536</v>
      </c>
      <c r="Z241" t="s">
        <v>61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4.88</v>
      </c>
      <c r="AN241" s="2">
        <v>4.88</v>
      </c>
      <c r="AO241" s="2">
        <v>0</v>
      </c>
      <c r="AP241" s="2">
        <v>0</v>
      </c>
      <c r="AQ241" s="2">
        <v>0</v>
      </c>
    </row>
    <row r="242" spans="1:43" x14ac:dyDescent="0.3">
      <c r="A242" s="1">
        <v>46125</v>
      </c>
      <c r="B242" t="s">
        <v>48</v>
      </c>
      <c r="C242">
        <v>649163</v>
      </c>
      <c r="D242">
        <v>2025262312</v>
      </c>
      <c r="E242" t="s">
        <v>571</v>
      </c>
      <c r="F242" t="s">
        <v>149</v>
      </c>
      <c r="G242" t="s">
        <v>51</v>
      </c>
      <c r="H242" t="s">
        <v>103</v>
      </c>
      <c r="I242" t="s">
        <v>444</v>
      </c>
      <c r="J242" t="s">
        <v>466</v>
      </c>
      <c r="K242">
        <v>796984</v>
      </c>
      <c r="L242" t="s">
        <v>199</v>
      </c>
      <c r="M242" t="s">
        <v>200</v>
      </c>
      <c r="N242" t="s">
        <v>57</v>
      </c>
      <c r="O242" s="1">
        <v>45576</v>
      </c>
      <c r="Q242" s="1">
        <v>46153</v>
      </c>
      <c r="R242" s="2">
        <v>22.71</v>
      </c>
      <c r="S242">
        <v>1</v>
      </c>
      <c r="T242" t="s">
        <v>58</v>
      </c>
      <c r="U242" t="s">
        <v>59</v>
      </c>
      <c r="V242" s="3">
        <v>0.1</v>
      </c>
      <c r="W242" s="2">
        <v>0</v>
      </c>
      <c r="X242">
        <v>0</v>
      </c>
      <c r="Y242" t="s">
        <v>536</v>
      </c>
      <c r="Z242" t="s">
        <v>61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2.27</v>
      </c>
      <c r="AN242" s="2">
        <v>2.27</v>
      </c>
      <c r="AO242" s="2">
        <v>0</v>
      </c>
      <c r="AP242" s="2">
        <v>0</v>
      </c>
      <c r="AQ242" s="2">
        <v>0</v>
      </c>
    </row>
    <row r="243" spans="1:43" x14ac:dyDescent="0.3">
      <c r="A243" s="1">
        <v>46125</v>
      </c>
      <c r="B243" t="s">
        <v>48</v>
      </c>
      <c r="C243">
        <v>649163</v>
      </c>
      <c r="D243">
        <v>2025287065</v>
      </c>
      <c r="E243" t="s">
        <v>572</v>
      </c>
      <c r="F243" t="s">
        <v>573</v>
      </c>
      <c r="G243" t="s">
        <v>51</v>
      </c>
      <c r="H243" t="s">
        <v>223</v>
      </c>
      <c r="I243" t="s">
        <v>444</v>
      </c>
      <c r="J243" t="s">
        <v>567</v>
      </c>
      <c r="K243">
        <v>767312</v>
      </c>
      <c r="L243" t="s">
        <v>134</v>
      </c>
      <c r="M243" t="s">
        <v>98</v>
      </c>
      <c r="N243" t="s">
        <v>57</v>
      </c>
      <c r="O243" s="1">
        <v>45577</v>
      </c>
      <c r="Q243" s="1">
        <v>46154</v>
      </c>
      <c r="R243" s="2">
        <v>13.92</v>
      </c>
      <c r="S243">
        <v>1</v>
      </c>
      <c r="T243" t="s">
        <v>58</v>
      </c>
      <c r="U243" t="s">
        <v>59</v>
      </c>
      <c r="V243" s="3">
        <v>0.1</v>
      </c>
      <c r="W243" s="2">
        <v>0</v>
      </c>
      <c r="X243">
        <v>0</v>
      </c>
      <c r="Y243" t="s">
        <v>536</v>
      </c>
      <c r="Z243" t="s">
        <v>61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1.39</v>
      </c>
      <c r="AN243" s="2">
        <v>1.39</v>
      </c>
      <c r="AO243" s="2">
        <v>0</v>
      </c>
      <c r="AP243" s="2">
        <v>0</v>
      </c>
      <c r="AQ243" s="2">
        <v>0</v>
      </c>
    </row>
    <row r="244" spans="1:43" x14ac:dyDescent="0.3">
      <c r="A244" s="1">
        <v>46125</v>
      </c>
      <c r="B244" t="s">
        <v>48</v>
      </c>
      <c r="C244">
        <v>649163</v>
      </c>
      <c r="D244">
        <v>2025316510</v>
      </c>
      <c r="E244" t="s">
        <v>574</v>
      </c>
      <c r="F244" t="s">
        <v>575</v>
      </c>
      <c r="G244" t="s">
        <v>51</v>
      </c>
      <c r="H244" t="s">
        <v>126</v>
      </c>
      <c r="I244" t="s">
        <v>444</v>
      </c>
      <c r="J244" t="s">
        <v>567</v>
      </c>
      <c r="K244">
        <v>767312</v>
      </c>
      <c r="L244" t="s">
        <v>134</v>
      </c>
      <c r="M244" t="s">
        <v>98</v>
      </c>
      <c r="N244" t="s">
        <v>57</v>
      </c>
      <c r="O244" s="1">
        <v>45580</v>
      </c>
      <c r="Q244" s="1">
        <v>46157</v>
      </c>
      <c r="R244" s="2">
        <v>19.309999999999999</v>
      </c>
      <c r="S244">
        <v>1</v>
      </c>
      <c r="T244" t="s">
        <v>58</v>
      </c>
      <c r="U244" t="s">
        <v>59</v>
      </c>
      <c r="V244" s="3">
        <v>0.1</v>
      </c>
      <c r="W244" s="2">
        <v>0</v>
      </c>
      <c r="X244">
        <v>0</v>
      </c>
      <c r="Y244" t="s">
        <v>536</v>
      </c>
      <c r="Z244" t="s">
        <v>61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1.93</v>
      </c>
      <c r="AN244" s="2">
        <v>1.93</v>
      </c>
      <c r="AO244" s="2">
        <v>0</v>
      </c>
      <c r="AP244" s="2">
        <v>0</v>
      </c>
      <c r="AQ244" s="2">
        <v>0</v>
      </c>
    </row>
    <row r="245" spans="1:43" x14ac:dyDescent="0.3">
      <c r="A245" s="1">
        <v>46125</v>
      </c>
      <c r="B245" t="s">
        <v>48</v>
      </c>
      <c r="C245">
        <v>649163</v>
      </c>
      <c r="D245">
        <v>2025721592</v>
      </c>
      <c r="E245" t="s">
        <v>576</v>
      </c>
      <c r="F245" t="s">
        <v>543</v>
      </c>
      <c r="G245" t="s">
        <v>51</v>
      </c>
      <c r="H245" t="s">
        <v>103</v>
      </c>
      <c r="I245" t="s">
        <v>444</v>
      </c>
      <c r="J245" t="s">
        <v>466</v>
      </c>
      <c r="K245">
        <v>796984</v>
      </c>
      <c r="L245" t="s">
        <v>199</v>
      </c>
      <c r="M245" t="s">
        <v>200</v>
      </c>
      <c r="N245" t="s">
        <v>57</v>
      </c>
      <c r="O245" s="1">
        <v>45608</v>
      </c>
      <c r="Q245" s="1">
        <v>46154</v>
      </c>
      <c r="R245" s="2">
        <v>56.03</v>
      </c>
      <c r="S245">
        <v>1</v>
      </c>
      <c r="T245" t="s">
        <v>58</v>
      </c>
      <c r="U245" t="s">
        <v>59</v>
      </c>
      <c r="V245" s="3">
        <v>0.1</v>
      </c>
      <c r="W245" s="2">
        <v>0</v>
      </c>
      <c r="X245">
        <v>0</v>
      </c>
      <c r="Y245" t="s">
        <v>536</v>
      </c>
      <c r="Z245" t="s">
        <v>61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5.6</v>
      </c>
      <c r="AN245" s="2">
        <v>5.6</v>
      </c>
      <c r="AO245" s="2">
        <v>0</v>
      </c>
      <c r="AP245" s="2">
        <v>0</v>
      </c>
      <c r="AQ245" s="2">
        <v>0</v>
      </c>
    </row>
    <row r="246" spans="1:43" x14ac:dyDescent="0.3">
      <c r="A246" s="1">
        <v>46125</v>
      </c>
      <c r="B246" t="s">
        <v>48</v>
      </c>
      <c r="C246">
        <v>649163</v>
      </c>
      <c r="D246">
        <v>2026061218</v>
      </c>
      <c r="E246" t="s">
        <v>577</v>
      </c>
      <c r="F246" t="s">
        <v>252</v>
      </c>
      <c r="G246" t="s">
        <v>51</v>
      </c>
      <c r="H246" t="s">
        <v>103</v>
      </c>
      <c r="I246" t="s">
        <v>444</v>
      </c>
      <c r="J246" t="s">
        <v>466</v>
      </c>
      <c r="K246">
        <v>796984</v>
      </c>
      <c r="L246" t="s">
        <v>199</v>
      </c>
      <c r="M246" t="s">
        <v>200</v>
      </c>
      <c r="N246" t="s">
        <v>57</v>
      </c>
      <c r="O246" s="1">
        <v>45641</v>
      </c>
      <c r="Q246" s="1">
        <v>46157</v>
      </c>
      <c r="R246" s="2">
        <v>37.130000000000003</v>
      </c>
      <c r="S246">
        <v>1</v>
      </c>
      <c r="T246" t="s">
        <v>58</v>
      </c>
      <c r="U246" t="s">
        <v>59</v>
      </c>
      <c r="V246" s="3">
        <v>0.1</v>
      </c>
      <c r="W246" s="2">
        <v>0</v>
      </c>
      <c r="X246">
        <v>0</v>
      </c>
      <c r="Y246" t="s">
        <v>536</v>
      </c>
      <c r="Z246" t="s">
        <v>61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3.71</v>
      </c>
      <c r="AN246" s="2">
        <v>3.71</v>
      </c>
      <c r="AO246" s="2">
        <v>0</v>
      </c>
      <c r="AP246" s="2">
        <v>0</v>
      </c>
      <c r="AQ246" s="2">
        <v>0</v>
      </c>
    </row>
    <row r="247" spans="1:43" x14ac:dyDescent="0.3">
      <c r="A247" s="1">
        <v>46125</v>
      </c>
      <c r="B247" t="s">
        <v>48</v>
      </c>
      <c r="C247">
        <v>649163</v>
      </c>
      <c r="D247">
        <v>2026133999</v>
      </c>
      <c r="E247" t="s">
        <v>199</v>
      </c>
      <c r="F247" t="s">
        <v>222</v>
      </c>
      <c r="G247" t="s">
        <v>51</v>
      </c>
      <c r="H247" t="s">
        <v>103</v>
      </c>
      <c r="I247" t="s">
        <v>444</v>
      </c>
      <c r="J247" t="s">
        <v>466</v>
      </c>
      <c r="K247">
        <v>816021</v>
      </c>
      <c r="L247" t="s">
        <v>104</v>
      </c>
      <c r="M247" t="s">
        <v>105</v>
      </c>
      <c r="N247" t="s">
        <v>57</v>
      </c>
      <c r="O247" s="1">
        <v>45638</v>
      </c>
      <c r="Q247" s="1">
        <v>46154</v>
      </c>
      <c r="R247" s="2">
        <v>100.33</v>
      </c>
      <c r="S247">
        <v>1</v>
      </c>
      <c r="T247" t="s">
        <v>58</v>
      </c>
      <c r="U247" t="s">
        <v>59</v>
      </c>
      <c r="V247" s="3">
        <v>0.1</v>
      </c>
      <c r="W247" s="2">
        <v>0</v>
      </c>
      <c r="X247">
        <v>0</v>
      </c>
      <c r="Y247" t="s">
        <v>536</v>
      </c>
      <c r="Z247" t="s">
        <v>61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10.029999999999999</v>
      </c>
      <c r="AN247" s="2">
        <v>10.029999999999999</v>
      </c>
      <c r="AO247" s="2">
        <v>0</v>
      </c>
      <c r="AP247" s="2">
        <v>0</v>
      </c>
      <c r="AQ247" s="2">
        <v>0</v>
      </c>
    </row>
    <row r="248" spans="1:43" x14ac:dyDescent="0.3">
      <c r="A248" s="1">
        <v>46125</v>
      </c>
      <c r="B248" t="s">
        <v>48</v>
      </c>
      <c r="C248">
        <v>649163</v>
      </c>
      <c r="D248">
        <v>2026180758</v>
      </c>
      <c r="E248" t="s">
        <v>578</v>
      </c>
      <c r="F248" t="s">
        <v>579</v>
      </c>
      <c r="G248" t="s">
        <v>51</v>
      </c>
      <c r="H248" t="s">
        <v>103</v>
      </c>
      <c r="I248" t="s">
        <v>444</v>
      </c>
      <c r="J248" t="s">
        <v>466</v>
      </c>
      <c r="K248">
        <v>816021</v>
      </c>
      <c r="L248" t="s">
        <v>104</v>
      </c>
      <c r="M248" t="s">
        <v>105</v>
      </c>
      <c r="N248" t="s">
        <v>57</v>
      </c>
      <c r="O248" s="1">
        <v>45641</v>
      </c>
      <c r="Q248" s="1">
        <v>46157</v>
      </c>
      <c r="R248" s="2">
        <v>18.7</v>
      </c>
      <c r="S248">
        <v>1</v>
      </c>
      <c r="T248" t="s">
        <v>58</v>
      </c>
      <c r="U248" t="s">
        <v>59</v>
      </c>
      <c r="V248" s="3">
        <v>0.1</v>
      </c>
      <c r="W248" s="2">
        <v>0</v>
      </c>
      <c r="X248">
        <v>0</v>
      </c>
      <c r="Y248" t="s">
        <v>536</v>
      </c>
      <c r="Z248" t="s">
        <v>61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1.87</v>
      </c>
      <c r="AN248" s="2">
        <v>1.87</v>
      </c>
      <c r="AO248" s="2">
        <v>0</v>
      </c>
      <c r="AP248" s="2">
        <v>0</v>
      </c>
      <c r="AQ248" s="2">
        <v>0</v>
      </c>
    </row>
    <row r="249" spans="1:43" x14ac:dyDescent="0.3">
      <c r="A249" s="1">
        <v>46125</v>
      </c>
      <c r="B249" t="s">
        <v>48</v>
      </c>
      <c r="C249">
        <v>649163</v>
      </c>
      <c r="D249">
        <v>2026184418</v>
      </c>
      <c r="E249" t="s">
        <v>580</v>
      </c>
      <c r="F249" t="s">
        <v>132</v>
      </c>
      <c r="G249" t="s">
        <v>51</v>
      </c>
      <c r="H249" t="s">
        <v>103</v>
      </c>
      <c r="I249" t="s">
        <v>444</v>
      </c>
      <c r="J249" t="s">
        <v>466</v>
      </c>
      <c r="K249">
        <v>816021</v>
      </c>
      <c r="L249" t="s">
        <v>104</v>
      </c>
      <c r="M249" t="s">
        <v>105</v>
      </c>
      <c r="N249" t="s">
        <v>57</v>
      </c>
      <c r="O249" s="1">
        <v>45641</v>
      </c>
      <c r="Q249" s="1">
        <v>46157</v>
      </c>
      <c r="R249" s="2">
        <v>45.51</v>
      </c>
      <c r="S249">
        <v>1</v>
      </c>
      <c r="T249" t="s">
        <v>58</v>
      </c>
      <c r="U249" t="s">
        <v>59</v>
      </c>
      <c r="V249" s="3">
        <v>0.1</v>
      </c>
      <c r="W249" s="2">
        <v>0</v>
      </c>
      <c r="X249">
        <v>0</v>
      </c>
      <c r="Y249" t="s">
        <v>536</v>
      </c>
      <c r="Z249" t="s">
        <v>61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4.55</v>
      </c>
      <c r="AN249" s="2">
        <v>4.55</v>
      </c>
      <c r="AO249" s="2">
        <v>0</v>
      </c>
      <c r="AP249" s="2">
        <v>0</v>
      </c>
      <c r="AQ249" s="2">
        <v>0</v>
      </c>
    </row>
    <row r="250" spans="1:43" x14ac:dyDescent="0.3">
      <c r="A250" s="1">
        <v>46125</v>
      </c>
      <c r="B250" t="s">
        <v>48</v>
      </c>
      <c r="C250">
        <v>649163</v>
      </c>
      <c r="D250">
        <v>2026617754</v>
      </c>
      <c r="E250" t="s">
        <v>581</v>
      </c>
      <c r="F250" t="s">
        <v>98</v>
      </c>
      <c r="G250" t="s">
        <v>51</v>
      </c>
      <c r="H250" t="s">
        <v>70</v>
      </c>
      <c r="I250" t="s">
        <v>444</v>
      </c>
      <c r="J250" t="s">
        <v>567</v>
      </c>
      <c r="K250">
        <v>767312</v>
      </c>
      <c r="L250" t="s">
        <v>134</v>
      </c>
      <c r="M250" t="s">
        <v>98</v>
      </c>
      <c r="N250" t="s">
        <v>57</v>
      </c>
      <c r="O250" s="1">
        <v>45673</v>
      </c>
      <c r="Q250" s="1">
        <v>46158</v>
      </c>
      <c r="R250" s="2">
        <v>72.290000000000006</v>
      </c>
      <c r="S250">
        <v>1</v>
      </c>
      <c r="T250" t="s">
        <v>58</v>
      </c>
      <c r="U250" t="s">
        <v>59</v>
      </c>
      <c r="V250" s="3">
        <v>0.1</v>
      </c>
      <c r="W250" s="2">
        <v>0</v>
      </c>
      <c r="X250">
        <v>0</v>
      </c>
      <c r="Y250" t="s">
        <v>536</v>
      </c>
      <c r="Z250" t="s">
        <v>61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7.23</v>
      </c>
      <c r="AN250" s="2">
        <v>7.23</v>
      </c>
      <c r="AO250" s="2">
        <v>0</v>
      </c>
      <c r="AP250" s="2">
        <v>0</v>
      </c>
      <c r="AQ250" s="2">
        <v>0</v>
      </c>
    </row>
    <row r="251" spans="1:43" x14ac:dyDescent="0.3">
      <c r="A251" s="1">
        <v>46125</v>
      </c>
      <c r="B251" t="s">
        <v>48</v>
      </c>
      <c r="C251">
        <v>649163</v>
      </c>
      <c r="D251">
        <v>2027064141</v>
      </c>
      <c r="E251" t="s">
        <v>582</v>
      </c>
      <c r="F251" t="s">
        <v>116</v>
      </c>
      <c r="G251" t="s">
        <v>51</v>
      </c>
      <c r="H251" t="s">
        <v>126</v>
      </c>
      <c r="I251" t="s">
        <v>444</v>
      </c>
      <c r="J251" t="s">
        <v>454</v>
      </c>
      <c r="K251">
        <v>673059</v>
      </c>
      <c r="L251" t="s">
        <v>115</v>
      </c>
      <c r="M251" t="s">
        <v>116</v>
      </c>
      <c r="N251" t="s">
        <v>57</v>
      </c>
      <c r="O251" s="1">
        <v>45700</v>
      </c>
      <c r="Q251" s="1">
        <v>46154</v>
      </c>
      <c r="R251" s="2">
        <v>94.38</v>
      </c>
      <c r="S251">
        <v>1</v>
      </c>
      <c r="T251" t="s">
        <v>58</v>
      </c>
      <c r="U251" t="s">
        <v>59</v>
      </c>
      <c r="V251" s="3">
        <v>0.1</v>
      </c>
      <c r="W251" s="2">
        <v>0</v>
      </c>
      <c r="X251">
        <v>0</v>
      </c>
      <c r="Y251" t="s">
        <v>536</v>
      </c>
      <c r="Z251" t="s">
        <v>61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9.44</v>
      </c>
      <c r="AN251" s="2">
        <v>9.44</v>
      </c>
      <c r="AO251" s="2">
        <v>0</v>
      </c>
      <c r="AP251" s="2">
        <v>0</v>
      </c>
      <c r="AQ251" s="2">
        <v>0</v>
      </c>
    </row>
    <row r="252" spans="1:43" x14ac:dyDescent="0.3">
      <c r="A252" s="1">
        <v>46125</v>
      </c>
      <c r="B252" t="s">
        <v>48</v>
      </c>
      <c r="C252">
        <v>649163</v>
      </c>
      <c r="D252">
        <v>2027115500</v>
      </c>
      <c r="E252" t="s">
        <v>583</v>
      </c>
      <c r="F252" t="s">
        <v>584</v>
      </c>
      <c r="G252" t="s">
        <v>51</v>
      </c>
      <c r="H252" t="s">
        <v>80</v>
      </c>
      <c r="I252" t="s">
        <v>444</v>
      </c>
      <c r="J252" t="s">
        <v>567</v>
      </c>
      <c r="K252">
        <v>768887</v>
      </c>
      <c r="L252" t="s">
        <v>425</v>
      </c>
      <c r="M252" t="s">
        <v>123</v>
      </c>
      <c r="N252" t="s">
        <v>57</v>
      </c>
      <c r="O252" s="1">
        <v>45703</v>
      </c>
      <c r="Q252" s="1">
        <v>46157</v>
      </c>
      <c r="R252" s="2">
        <v>13.92</v>
      </c>
      <c r="S252">
        <v>1</v>
      </c>
      <c r="T252" t="s">
        <v>58</v>
      </c>
      <c r="U252" t="s">
        <v>59</v>
      </c>
      <c r="V252" s="3">
        <v>0.1</v>
      </c>
      <c r="W252" s="2">
        <v>0</v>
      </c>
      <c r="X252">
        <v>0</v>
      </c>
      <c r="Y252" t="s">
        <v>536</v>
      </c>
      <c r="Z252" t="s">
        <v>61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1.39</v>
      </c>
      <c r="AN252" s="2">
        <v>1.39</v>
      </c>
      <c r="AO252" s="2">
        <v>0</v>
      </c>
      <c r="AP252" s="2">
        <v>0</v>
      </c>
      <c r="AQ252" s="2">
        <v>0</v>
      </c>
    </row>
    <row r="253" spans="1:43" x14ac:dyDescent="0.3">
      <c r="A253" s="1">
        <v>46125</v>
      </c>
      <c r="B253" t="s">
        <v>48</v>
      </c>
      <c r="C253">
        <v>649163</v>
      </c>
      <c r="D253">
        <v>2028303459</v>
      </c>
      <c r="E253" t="s">
        <v>143</v>
      </c>
      <c r="F253" t="s">
        <v>585</v>
      </c>
      <c r="G253" t="s">
        <v>51</v>
      </c>
      <c r="H253" t="s">
        <v>141</v>
      </c>
      <c r="I253" t="s">
        <v>444</v>
      </c>
      <c r="J253" t="s">
        <v>454</v>
      </c>
      <c r="K253">
        <v>651818</v>
      </c>
      <c r="L253" t="s">
        <v>55</v>
      </c>
      <c r="M253" t="s">
        <v>56</v>
      </c>
      <c r="N253" t="s">
        <v>57</v>
      </c>
      <c r="O253" s="1">
        <v>45762</v>
      </c>
      <c r="Q253" s="1">
        <v>46157</v>
      </c>
      <c r="R253" s="2">
        <v>132.5</v>
      </c>
      <c r="S253">
        <v>1</v>
      </c>
      <c r="T253" t="s">
        <v>58</v>
      </c>
      <c r="U253" t="s">
        <v>59</v>
      </c>
      <c r="V253" s="3">
        <v>0.1</v>
      </c>
      <c r="W253" s="2">
        <v>0</v>
      </c>
      <c r="X253">
        <v>0</v>
      </c>
      <c r="Y253" t="s">
        <v>536</v>
      </c>
      <c r="Z253" t="s">
        <v>61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13.25</v>
      </c>
      <c r="AN253" s="2">
        <v>13.25</v>
      </c>
      <c r="AO253" s="2">
        <v>0</v>
      </c>
      <c r="AP253" s="2">
        <v>0</v>
      </c>
      <c r="AQ253" s="2">
        <v>0</v>
      </c>
    </row>
    <row r="254" spans="1:43" x14ac:dyDescent="0.3">
      <c r="A254" s="1">
        <v>46125</v>
      </c>
      <c r="B254" t="s">
        <v>48</v>
      </c>
      <c r="C254">
        <v>649163</v>
      </c>
      <c r="D254">
        <v>2028367117</v>
      </c>
      <c r="E254" t="s">
        <v>586</v>
      </c>
      <c r="F254" t="s">
        <v>587</v>
      </c>
      <c r="G254" t="s">
        <v>51</v>
      </c>
      <c r="H254" t="s">
        <v>223</v>
      </c>
      <c r="I254" t="s">
        <v>444</v>
      </c>
      <c r="J254" t="s">
        <v>567</v>
      </c>
      <c r="K254">
        <v>673059</v>
      </c>
      <c r="L254" t="s">
        <v>115</v>
      </c>
      <c r="M254" t="s">
        <v>116</v>
      </c>
      <c r="N254" t="s">
        <v>57</v>
      </c>
      <c r="O254" s="1">
        <v>45759</v>
      </c>
      <c r="Q254" s="1">
        <v>46154</v>
      </c>
      <c r="R254" s="2">
        <v>27.71</v>
      </c>
      <c r="S254">
        <v>1</v>
      </c>
      <c r="T254" t="s">
        <v>58</v>
      </c>
      <c r="U254" t="s">
        <v>59</v>
      </c>
      <c r="V254" s="3">
        <v>0.1</v>
      </c>
      <c r="W254" s="2">
        <v>0</v>
      </c>
      <c r="X254">
        <v>0</v>
      </c>
      <c r="Y254" t="s">
        <v>536</v>
      </c>
      <c r="Z254" t="s">
        <v>61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2.77</v>
      </c>
      <c r="AN254" s="2">
        <v>2.77</v>
      </c>
      <c r="AO254" s="2">
        <v>0</v>
      </c>
      <c r="AP254" s="2">
        <v>0</v>
      </c>
      <c r="AQ254" s="2">
        <v>0</v>
      </c>
    </row>
    <row r="255" spans="1:43" x14ac:dyDescent="0.3">
      <c r="A255" s="1">
        <v>46125</v>
      </c>
      <c r="B255" t="s">
        <v>48</v>
      </c>
      <c r="C255">
        <v>649163</v>
      </c>
      <c r="D255">
        <v>2028379894</v>
      </c>
      <c r="E255" t="s">
        <v>588</v>
      </c>
      <c r="F255" t="s">
        <v>589</v>
      </c>
      <c r="G255" t="s">
        <v>51</v>
      </c>
      <c r="H255" t="s">
        <v>70</v>
      </c>
      <c r="I255" t="s">
        <v>444</v>
      </c>
      <c r="J255" t="s">
        <v>454</v>
      </c>
      <c r="K255">
        <v>822865</v>
      </c>
      <c r="L255" t="s">
        <v>590</v>
      </c>
      <c r="M255" t="s">
        <v>591</v>
      </c>
      <c r="N255" t="s">
        <v>57</v>
      </c>
      <c r="O255" s="1">
        <v>45760</v>
      </c>
      <c r="Q255" s="1">
        <v>46155</v>
      </c>
      <c r="R255" s="2">
        <v>81.099999999999994</v>
      </c>
      <c r="S255">
        <v>1</v>
      </c>
      <c r="T255" t="s">
        <v>58</v>
      </c>
      <c r="U255" t="s">
        <v>59</v>
      </c>
      <c r="V255" s="3">
        <v>0.1</v>
      </c>
      <c r="W255" s="2">
        <v>0</v>
      </c>
      <c r="X255">
        <v>0</v>
      </c>
      <c r="Y255" t="s">
        <v>536</v>
      </c>
      <c r="Z255" t="s">
        <v>61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8.11</v>
      </c>
      <c r="AN255" s="2">
        <v>8.11</v>
      </c>
      <c r="AO255" s="2">
        <v>0</v>
      </c>
      <c r="AP255" s="2">
        <v>0</v>
      </c>
      <c r="AQ255" s="2">
        <v>0</v>
      </c>
    </row>
    <row r="256" spans="1:43" x14ac:dyDescent="0.3">
      <c r="A256" s="1">
        <v>46125</v>
      </c>
      <c r="B256" t="s">
        <v>48</v>
      </c>
      <c r="C256">
        <v>649163</v>
      </c>
      <c r="D256">
        <v>2028935096</v>
      </c>
      <c r="E256" t="s">
        <v>592</v>
      </c>
      <c r="F256" t="s">
        <v>593</v>
      </c>
      <c r="G256" t="s">
        <v>51</v>
      </c>
      <c r="H256" t="s">
        <v>52</v>
      </c>
      <c r="I256" t="s">
        <v>444</v>
      </c>
      <c r="J256" t="s">
        <v>451</v>
      </c>
      <c r="K256">
        <v>821015</v>
      </c>
      <c r="L256" t="s">
        <v>234</v>
      </c>
      <c r="M256" t="s">
        <v>235</v>
      </c>
      <c r="N256" t="s">
        <v>57</v>
      </c>
      <c r="O256" s="1">
        <v>45792</v>
      </c>
      <c r="Q256" s="1">
        <v>46157</v>
      </c>
      <c r="R256" s="2">
        <v>50.98</v>
      </c>
      <c r="S256">
        <v>1</v>
      </c>
      <c r="T256" t="s">
        <v>58</v>
      </c>
      <c r="U256" t="s">
        <v>59</v>
      </c>
      <c r="V256" s="3">
        <v>0.75</v>
      </c>
      <c r="W256" s="2">
        <v>0</v>
      </c>
      <c r="X256">
        <v>0</v>
      </c>
      <c r="Y256" t="s">
        <v>60</v>
      </c>
      <c r="Z256" t="s">
        <v>61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38.24</v>
      </c>
      <c r="AN256" s="2">
        <v>38.24</v>
      </c>
      <c r="AO256" s="2">
        <v>0</v>
      </c>
      <c r="AP256" s="2">
        <v>0</v>
      </c>
      <c r="AQ256" s="2">
        <v>0</v>
      </c>
    </row>
    <row r="257" spans="1:43" x14ac:dyDescent="0.3">
      <c r="A257" s="1">
        <v>46125</v>
      </c>
      <c r="B257" t="s">
        <v>48</v>
      </c>
      <c r="C257">
        <v>649163</v>
      </c>
      <c r="D257">
        <v>2028941656</v>
      </c>
      <c r="E257" t="s">
        <v>594</v>
      </c>
      <c r="F257" t="s">
        <v>595</v>
      </c>
      <c r="G257" t="s">
        <v>51</v>
      </c>
      <c r="H257" t="s">
        <v>75</v>
      </c>
      <c r="I257" t="s">
        <v>444</v>
      </c>
      <c r="J257" t="s">
        <v>567</v>
      </c>
      <c r="K257">
        <v>822723</v>
      </c>
      <c r="L257" t="s">
        <v>76</v>
      </c>
      <c r="M257" t="s">
        <v>77</v>
      </c>
      <c r="N257" t="s">
        <v>57</v>
      </c>
      <c r="O257" s="1">
        <v>45792</v>
      </c>
      <c r="Q257" s="1">
        <v>46157</v>
      </c>
      <c r="R257" s="2">
        <v>143.63</v>
      </c>
      <c r="S257">
        <v>1</v>
      </c>
      <c r="T257" t="s">
        <v>58</v>
      </c>
      <c r="U257" t="s">
        <v>59</v>
      </c>
      <c r="V257" s="3">
        <v>0.9</v>
      </c>
      <c r="W257" s="2">
        <v>0</v>
      </c>
      <c r="X257">
        <v>0</v>
      </c>
      <c r="Y257" t="s">
        <v>60</v>
      </c>
      <c r="Z257" t="s">
        <v>61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129.27000000000001</v>
      </c>
      <c r="AN257" s="2">
        <v>129.27000000000001</v>
      </c>
      <c r="AO257" s="2">
        <v>0</v>
      </c>
      <c r="AP257" s="2">
        <v>0</v>
      </c>
      <c r="AQ257" s="2">
        <v>0</v>
      </c>
    </row>
    <row r="258" spans="1:43" x14ac:dyDescent="0.3">
      <c r="A258" s="1">
        <v>46125</v>
      </c>
      <c r="B258" t="s">
        <v>48</v>
      </c>
      <c r="C258">
        <v>649163</v>
      </c>
      <c r="D258">
        <v>2028958358</v>
      </c>
      <c r="E258" t="s">
        <v>596</v>
      </c>
      <c r="F258" t="s">
        <v>202</v>
      </c>
      <c r="G258" t="s">
        <v>51</v>
      </c>
      <c r="H258" t="s">
        <v>80</v>
      </c>
      <c r="I258" t="s">
        <v>444</v>
      </c>
      <c r="J258" t="s">
        <v>567</v>
      </c>
      <c r="K258">
        <v>673059</v>
      </c>
      <c r="L258" t="s">
        <v>115</v>
      </c>
      <c r="M258" t="s">
        <v>116</v>
      </c>
      <c r="N258" t="s">
        <v>57</v>
      </c>
      <c r="O258" s="1">
        <v>45793</v>
      </c>
      <c r="Q258" s="1">
        <v>46158</v>
      </c>
      <c r="R258" s="2">
        <v>50.96</v>
      </c>
      <c r="S258">
        <v>1</v>
      </c>
      <c r="T258" t="s">
        <v>58</v>
      </c>
      <c r="U258" t="s">
        <v>59</v>
      </c>
      <c r="V258" s="3">
        <v>0.9</v>
      </c>
      <c r="W258" s="2">
        <v>0</v>
      </c>
      <c r="X258">
        <v>0</v>
      </c>
      <c r="Y258" t="s">
        <v>60</v>
      </c>
      <c r="Z258" t="s">
        <v>61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45.86</v>
      </c>
      <c r="AN258" s="2">
        <v>45.86</v>
      </c>
      <c r="AO258" s="2">
        <v>0</v>
      </c>
      <c r="AP258" s="2">
        <v>0</v>
      </c>
      <c r="AQ258" s="2">
        <v>0</v>
      </c>
    </row>
    <row r="259" spans="1:43" x14ac:dyDescent="0.3">
      <c r="A259" s="1">
        <v>46125</v>
      </c>
      <c r="B259" t="s">
        <v>48</v>
      </c>
      <c r="C259">
        <v>649163</v>
      </c>
      <c r="D259">
        <v>2028965775</v>
      </c>
      <c r="E259" t="s">
        <v>597</v>
      </c>
      <c r="F259" t="s">
        <v>598</v>
      </c>
      <c r="G259" t="s">
        <v>51</v>
      </c>
      <c r="H259" t="s">
        <v>80</v>
      </c>
      <c r="I259" t="s">
        <v>444</v>
      </c>
      <c r="J259" t="s">
        <v>451</v>
      </c>
      <c r="K259">
        <v>792847</v>
      </c>
      <c r="L259" t="s">
        <v>597</v>
      </c>
      <c r="M259" t="s">
        <v>599</v>
      </c>
      <c r="N259" t="s">
        <v>57</v>
      </c>
      <c r="O259" s="1">
        <v>45793</v>
      </c>
      <c r="Q259" s="1">
        <v>46158</v>
      </c>
      <c r="R259" s="2">
        <v>19.3</v>
      </c>
      <c r="S259">
        <v>1</v>
      </c>
      <c r="T259" t="s">
        <v>58</v>
      </c>
      <c r="U259" t="s">
        <v>59</v>
      </c>
      <c r="V259" s="3">
        <v>0.75</v>
      </c>
      <c r="W259" s="2">
        <v>0</v>
      </c>
      <c r="X259">
        <v>0</v>
      </c>
      <c r="Y259" t="s">
        <v>60</v>
      </c>
      <c r="Z259" t="s">
        <v>61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14.48</v>
      </c>
      <c r="AN259" s="2">
        <v>14.48</v>
      </c>
      <c r="AO259" s="2">
        <v>0</v>
      </c>
      <c r="AP259" s="2">
        <v>0</v>
      </c>
      <c r="AQ259" s="2">
        <v>0</v>
      </c>
    </row>
    <row r="260" spans="1:43" x14ac:dyDescent="0.3">
      <c r="A260" s="1">
        <v>46125</v>
      </c>
      <c r="B260" t="s">
        <v>48</v>
      </c>
      <c r="C260">
        <v>649163</v>
      </c>
      <c r="D260">
        <v>2028965806</v>
      </c>
      <c r="E260" t="s">
        <v>597</v>
      </c>
      <c r="F260" t="s">
        <v>145</v>
      </c>
      <c r="G260" t="s">
        <v>51</v>
      </c>
      <c r="H260" t="s">
        <v>600</v>
      </c>
      <c r="I260" t="s">
        <v>444</v>
      </c>
      <c r="J260" t="s">
        <v>451</v>
      </c>
      <c r="K260">
        <v>792847</v>
      </c>
      <c r="L260" t="s">
        <v>597</v>
      </c>
      <c r="M260" t="s">
        <v>599</v>
      </c>
      <c r="N260" t="s">
        <v>57</v>
      </c>
      <c r="O260" s="1">
        <v>45793</v>
      </c>
      <c r="Q260" s="1">
        <v>46158</v>
      </c>
      <c r="R260" s="2">
        <v>73.42</v>
      </c>
      <c r="S260">
        <v>1</v>
      </c>
      <c r="T260" t="s">
        <v>58</v>
      </c>
      <c r="U260" t="s">
        <v>59</v>
      </c>
      <c r="V260" s="3">
        <v>0.75</v>
      </c>
      <c r="W260" s="2">
        <v>0</v>
      </c>
      <c r="X260">
        <v>0</v>
      </c>
      <c r="Y260" t="s">
        <v>60</v>
      </c>
      <c r="Z260" t="s">
        <v>61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55.06</v>
      </c>
      <c r="AN260" s="2">
        <v>55.06</v>
      </c>
      <c r="AO260" s="2">
        <v>0</v>
      </c>
      <c r="AP260" s="2">
        <v>0</v>
      </c>
      <c r="AQ260" s="2">
        <v>0</v>
      </c>
    </row>
    <row r="261" spans="1:43" x14ac:dyDescent="0.3">
      <c r="A261" s="1">
        <v>46125</v>
      </c>
      <c r="B261" t="s">
        <v>48</v>
      </c>
      <c r="C261">
        <v>649163</v>
      </c>
      <c r="D261">
        <v>2029185271</v>
      </c>
      <c r="E261" t="s">
        <v>601</v>
      </c>
      <c r="F261" t="s">
        <v>468</v>
      </c>
      <c r="G261" t="s">
        <v>51</v>
      </c>
      <c r="H261" t="s">
        <v>457</v>
      </c>
      <c r="I261" t="s">
        <v>444</v>
      </c>
      <c r="J261" t="s">
        <v>451</v>
      </c>
      <c r="K261">
        <v>673059</v>
      </c>
      <c r="L261" t="s">
        <v>115</v>
      </c>
      <c r="M261" t="s">
        <v>116</v>
      </c>
      <c r="N261" t="s">
        <v>57</v>
      </c>
      <c r="O261" s="1">
        <v>45825</v>
      </c>
      <c r="Q261" s="1">
        <v>46159</v>
      </c>
      <c r="R261" s="2">
        <v>66.03</v>
      </c>
      <c r="S261">
        <v>1</v>
      </c>
      <c r="T261" t="s">
        <v>58</v>
      </c>
      <c r="U261" t="s">
        <v>59</v>
      </c>
      <c r="V261" s="3">
        <v>0.75</v>
      </c>
      <c r="W261" s="2">
        <v>0</v>
      </c>
      <c r="X261">
        <v>0</v>
      </c>
      <c r="Y261" t="s">
        <v>60</v>
      </c>
      <c r="Z261" t="s">
        <v>61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49.52</v>
      </c>
      <c r="AN261" s="2">
        <v>49.52</v>
      </c>
      <c r="AO261" s="2">
        <v>0</v>
      </c>
      <c r="AP261" s="2">
        <v>0</v>
      </c>
      <c r="AQ261" s="2">
        <v>0</v>
      </c>
    </row>
    <row r="262" spans="1:43" x14ac:dyDescent="0.3">
      <c r="A262" s="1">
        <v>46125</v>
      </c>
      <c r="B262" t="s">
        <v>48</v>
      </c>
      <c r="C262">
        <v>649163</v>
      </c>
      <c r="D262">
        <v>2029657453</v>
      </c>
      <c r="E262" t="s">
        <v>149</v>
      </c>
      <c r="F262" t="s">
        <v>602</v>
      </c>
      <c r="G262" t="s">
        <v>51</v>
      </c>
      <c r="H262" t="s">
        <v>52</v>
      </c>
      <c r="I262" t="s">
        <v>444</v>
      </c>
      <c r="J262" t="s">
        <v>451</v>
      </c>
      <c r="K262">
        <v>673059</v>
      </c>
      <c r="L262" t="s">
        <v>115</v>
      </c>
      <c r="M262" t="s">
        <v>116</v>
      </c>
      <c r="N262" t="s">
        <v>86</v>
      </c>
      <c r="O262" s="1">
        <v>45870</v>
      </c>
      <c r="P262" s="1">
        <v>46125</v>
      </c>
      <c r="Q262" s="1">
        <v>46143</v>
      </c>
      <c r="R262" s="2">
        <v>-70.83</v>
      </c>
      <c r="S262">
        <v>1</v>
      </c>
      <c r="T262" t="s">
        <v>58</v>
      </c>
      <c r="U262" t="s">
        <v>59</v>
      </c>
      <c r="V262" s="3">
        <v>0.75</v>
      </c>
      <c r="W262" s="2">
        <v>0</v>
      </c>
      <c r="X262">
        <v>-1</v>
      </c>
      <c r="Y262" t="s">
        <v>60</v>
      </c>
      <c r="Z262" t="s">
        <v>61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-53.12</v>
      </c>
      <c r="AN262" s="2">
        <v>-53.12</v>
      </c>
      <c r="AO262" s="2">
        <v>0</v>
      </c>
      <c r="AP262" s="2">
        <v>0</v>
      </c>
      <c r="AQ262" s="2">
        <v>0</v>
      </c>
    </row>
    <row r="263" spans="1:43" x14ac:dyDescent="0.3">
      <c r="A263" s="1">
        <v>46125</v>
      </c>
      <c r="B263" t="s">
        <v>48</v>
      </c>
      <c r="C263">
        <v>649163</v>
      </c>
      <c r="D263">
        <v>2029878253</v>
      </c>
      <c r="E263" t="s">
        <v>603</v>
      </c>
      <c r="F263" t="s">
        <v>225</v>
      </c>
      <c r="G263" t="s">
        <v>51</v>
      </c>
      <c r="H263" t="s">
        <v>80</v>
      </c>
      <c r="I263" t="s">
        <v>444</v>
      </c>
      <c r="J263" t="s">
        <v>451</v>
      </c>
      <c r="K263">
        <v>824076</v>
      </c>
      <c r="L263" t="s">
        <v>81</v>
      </c>
      <c r="M263" t="s">
        <v>82</v>
      </c>
      <c r="N263" t="s">
        <v>57</v>
      </c>
      <c r="O263" s="1">
        <v>45853</v>
      </c>
      <c r="Q263" s="1">
        <v>46157</v>
      </c>
      <c r="R263" s="2">
        <v>15.97</v>
      </c>
      <c r="S263">
        <v>1</v>
      </c>
      <c r="T263" t="s">
        <v>58</v>
      </c>
      <c r="U263" t="s">
        <v>59</v>
      </c>
      <c r="V263" s="3">
        <v>0.75</v>
      </c>
      <c r="W263" s="2">
        <v>0</v>
      </c>
      <c r="X263">
        <v>0</v>
      </c>
      <c r="Y263" t="s">
        <v>60</v>
      </c>
      <c r="Z263" t="s">
        <v>61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11.98</v>
      </c>
      <c r="AN263" s="2">
        <v>11.98</v>
      </c>
      <c r="AO263" s="2">
        <v>0</v>
      </c>
      <c r="AP263" s="2">
        <v>0</v>
      </c>
      <c r="AQ263" s="2">
        <v>0</v>
      </c>
    </row>
    <row r="264" spans="1:43" x14ac:dyDescent="0.3">
      <c r="A264" s="1">
        <v>46125</v>
      </c>
      <c r="B264" t="s">
        <v>48</v>
      </c>
      <c r="C264">
        <v>649163</v>
      </c>
      <c r="D264">
        <v>2029951925</v>
      </c>
      <c r="E264" t="s">
        <v>78</v>
      </c>
      <c r="F264" t="s">
        <v>79</v>
      </c>
      <c r="G264" t="s">
        <v>51</v>
      </c>
      <c r="H264" t="s">
        <v>80</v>
      </c>
      <c r="I264" t="s">
        <v>444</v>
      </c>
      <c r="J264" t="s">
        <v>454</v>
      </c>
      <c r="K264">
        <v>824076</v>
      </c>
      <c r="L264" t="s">
        <v>81</v>
      </c>
      <c r="M264" t="s">
        <v>82</v>
      </c>
      <c r="N264" t="s">
        <v>57</v>
      </c>
      <c r="O264" s="1">
        <v>45853</v>
      </c>
      <c r="Q264" s="1">
        <v>46157</v>
      </c>
      <c r="R264" s="2">
        <v>19.25</v>
      </c>
      <c r="S264">
        <v>1</v>
      </c>
      <c r="T264" t="s">
        <v>58</v>
      </c>
      <c r="U264" t="s">
        <v>59</v>
      </c>
      <c r="V264" s="3">
        <v>0.75</v>
      </c>
      <c r="W264" s="2">
        <v>0</v>
      </c>
      <c r="X264">
        <v>0</v>
      </c>
      <c r="Y264" t="s">
        <v>60</v>
      </c>
      <c r="Z264" t="s">
        <v>61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14.44</v>
      </c>
      <c r="AN264" s="2">
        <v>14.44</v>
      </c>
      <c r="AO264" s="2">
        <v>0</v>
      </c>
      <c r="AP264" s="2">
        <v>0</v>
      </c>
      <c r="AQ264" s="2">
        <v>0</v>
      </c>
    </row>
    <row r="265" spans="1:43" x14ac:dyDescent="0.3">
      <c r="A265" s="1">
        <v>46125</v>
      </c>
      <c r="B265" t="s">
        <v>48</v>
      </c>
      <c r="C265">
        <v>649163</v>
      </c>
      <c r="D265">
        <v>2029959146</v>
      </c>
      <c r="E265" t="s">
        <v>83</v>
      </c>
      <c r="F265" t="s">
        <v>84</v>
      </c>
      <c r="G265" t="s">
        <v>51</v>
      </c>
      <c r="H265" t="s">
        <v>85</v>
      </c>
      <c r="I265" t="s">
        <v>444</v>
      </c>
      <c r="J265" t="s">
        <v>454</v>
      </c>
      <c r="K265">
        <v>651818</v>
      </c>
      <c r="L265" t="s">
        <v>55</v>
      </c>
      <c r="M265" t="s">
        <v>56</v>
      </c>
      <c r="N265" t="s">
        <v>86</v>
      </c>
      <c r="O265" s="1">
        <v>45876</v>
      </c>
      <c r="P265" s="1">
        <v>46125</v>
      </c>
      <c r="Q265" s="1">
        <v>46149</v>
      </c>
      <c r="R265" s="2">
        <v>-180.77</v>
      </c>
      <c r="S265">
        <v>1</v>
      </c>
      <c r="T265" t="s">
        <v>58</v>
      </c>
      <c r="U265" t="s">
        <v>59</v>
      </c>
      <c r="V265" s="3">
        <v>0.75</v>
      </c>
      <c r="W265" s="2">
        <v>0</v>
      </c>
      <c r="X265">
        <v>-1</v>
      </c>
      <c r="Y265" t="s">
        <v>60</v>
      </c>
      <c r="Z265" t="s">
        <v>61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-135.58000000000001</v>
      </c>
      <c r="AN265" s="2">
        <v>-135.58000000000001</v>
      </c>
      <c r="AO265" s="2">
        <v>0</v>
      </c>
      <c r="AP265" s="2">
        <v>0</v>
      </c>
      <c r="AQ265" s="2">
        <v>0</v>
      </c>
    </row>
    <row r="266" spans="1:43" x14ac:dyDescent="0.3">
      <c r="A266" s="1">
        <v>46125</v>
      </c>
      <c r="B266" t="s">
        <v>48</v>
      </c>
      <c r="C266">
        <v>649163</v>
      </c>
      <c r="D266">
        <v>2029967975</v>
      </c>
      <c r="E266" t="s">
        <v>91</v>
      </c>
      <c r="F266" t="s">
        <v>92</v>
      </c>
      <c r="G266" t="s">
        <v>51</v>
      </c>
      <c r="H266" t="s">
        <v>93</v>
      </c>
      <c r="I266" t="s">
        <v>444</v>
      </c>
      <c r="J266" t="s">
        <v>567</v>
      </c>
      <c r="K266">
        <v>823068</v>
      </c>
      <c r="L266" t="s">
        <v>95</v>
      </c>
      <c r="M266" t="s">
        <v>96</v>
      </c>
      <c r="N266" t="s">
        <v>57</v>
      </c>
      <c r="O266" s="1">
        <v>45854</v>
      </c>
      <c r="Q266" s="1">
        <v>46158</v>
      </c>
      <c r="R266" s="2">
        <v>107.63</v>
      </c>
      <c r="S266">
        <v>1</v>
      </c>
      <c r="T266" t="s">
        <v>58</v>
      </c>
      <c r="U266" t="s">
        <v>59</v>
      </c>
      <c r="V266" s="3">
        <v>0.9</v>
      </c>
      <c r="W266" s="2">
        <v>0</v>
      </c>
      <c r="X266">
        <v>0</v>
      </c>
      <c r="Y266" t="s">
        <v>60</v>
      </c>
      <c r="Z266" t="s">
        <v>61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96.87</v>
      </c>
      <c r="AN266" s="2">
        <v>96.87</v>
      </c>
      <c r="AO266" s="2">
        <v>0</v>
      </c>
      <c r="AP266" s="2">
        <v>0</v>
      </c>
      <c r="AQ266" s="2">
        <v>0</v>
      </c>
    </row>
    <row r="267" spans="1:43" x14ac:dyDescent="0.3">
      <c r="A267" s="1">
        <v>46125</v>
      </c>
      <c r="B267" t="s">
        <v>48</v>
      </c>
      <c r="C267">
        <v>649163</v>
      </c>
      <c r="D267">
        <v>2029969605</v>
      </c>
      <c r="E267" t="s">
        <v>101</v>
      </c>
      <c r="F267" t="s">
        <v>102</v>
      </c>
      <c r="G267" t="s">
        <v>51</v>
      </c>
      <c r="H267" t="s">
        <v>103</v>
      </c>
      <c r="I267" t="s">
        <v>444</v>
      </c>
      <c r="J267" t="s">
        <v>451</v>
      </c>
      <c r="K267">
        <v>816021</v>
      </c>
      <c r="L267" t="s">
        <v>104</v>
      </c>
      <c r="M267" t="s">
        <v>105</v>
      </c>
      <c r="N267" t="s">
        <v>57</v>
      </c>
      <c r="O267" s="1">
        <v>45854</v>
      </c>
      <c r="Q267" s="1">
        <v>46158</v>
      </c>
      <c r="R267" s="2">
        <v>52.84</v>
      </c>
      <c r="S267">
        <v>1</v>
      </c>
      <c r="T267" t="s">
        <v>58</v>
      </c>
      <c r="U267" t="s">
        <v>59</v>
      </c>
      <c r="V267" s="3">
        <v>0.75</v>
      </c>
      <c r="W267" s="2">
        <v>0</v>
      </c>
      <c r="X267">
        <v>0</v>
      </c>
      <c r="Y267" t="s">
        <v>60</v>
      </c>
      <c r="Z267" t="s">
        <v>61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39.630000000000003</v>
      </c>
      <c r="AN267" s="2">
        <v>39.630000000000003</v>
      </c>
      <c r="AO267" s="2">
        <v>0</v>
      </c>
      <c r="AP267" s="2">
        <v>0</v>
      </c>
      <c r="AQ267" s="2">
        <v>0</v>
      </c>
    </row>
    <row r="268" spans="1:43" x14ac:dyDescent="0.3">
      <c r="A268" s="1">
        <v>46125</v>
      </c>
      <c r="B268" t="s">
        <v>48</v>
      </c>
      <c r="C268">
        <v>649163</v>
      </c>
      <c r="D268">
        <v>2029980504</v>
      </c>
      <c r="E268" t="s">
        <v>112</v>
      </c>
      <c r="F268" t="s">
        <v>113</v>
      </c>
      <c r="G268" t="s">
        <v>51</v>
      </c>
      <c r="H268" t="s">
        <v>114</v>
      </c>
      <c r="I268" t="s">
        <v>444</v>
      </c>
      <c r="J268" t="s">
        <v>451</v>
      </c>
      <c r="K268">
        <v>673059</v>
      </c>
      <c r="L268" t="s">
        <v>115</v>
      </c>
      <c r="M268" t="s">
        <v>116</v>
      </c>
      <c r="N268" t="s">
        <v>57</v>
      </c>
      <c r="O268" s="1">
        <v>45884</v>
      </c>
      <c r="Q268" s="1">
        <v>46157</v>
      </c>
      <c r="R268" s="2">
        <v>85.81</v>
      </c>
      <c r="S268">
        <v>1</v>
      </c>
      <c r="T268" t="s">
        <v>58</v>
      </c>
      <c r="U268" t="s">
        <v>59</v>
      </c>
      <c r="V268" s="3">
        <v>0.75</v>
      </c>
      <c r="W268" s="2">
        <v>0</v>
      </c>
      <c r="X268">
        <v>0</v>
      </c>
      <c r="Y268" t="s">
        <v>60</v>
      </c>
      <c r="Z268" t="s">
        <v>61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64.36</v>
      </c>
      <c r="AN268" s="2">
        <v>64.36</v>
      </c>
      <c r="AO268" s="2">
        <v>0</v>
      </c>
      <c r="AP268" s="2">
        <v>0</v>
      </c>
      <c r="AQ268" s="2">
        <v>0</v>
      </c>
    </row>
    <row r="269" spans="1:43" x14ac:dyDescent="0.3">
      <c r="A269" s="1">
        <v>46125</v>
      </c>
      <c r="B269" t="s">
        <v>48</v>
      </c>
      <c r="C269">
        <v>649163</v>
      </c>
      <c r="D269">
        <v>2030312928</v>
      </c>
      <c r="E269" t="s">
        <v>453</v>
      </c>
      <c r="F269" t="s">
        <v>604</v>
      </c>
      <c r="G269" t="s">
        <v>51</v>
      </c>
      <c r="H269" t="s">
        <v>605</v>
      </c>
      <c r="I269" t="s">
        <v>444</v>
      </c>
      <c r="J269" t="s">
        <v>567</v>
      </c>
      <c r="K269">
        <v>652037</v>
      </c>
      <c r="L269" t="s">
        <v>164</v>
      </c>
      <c r="M269" t="s">
        <v>165</v>
      </c>
      <c r="N269" t="s">
        <v>57</v>
      </c>
      <c r="O269" s="1">
        <v>45874</v>
      </c>
      <c r="Q269" s="1">
        <v>46147</v>
      </c>
      <c r="R269" s="2">
        <v>44.18</v>
      </c>
      <c r="S269">
        <v>1</v>
      </c>
      <c r="T269" t="s">
        <v>58</v>
      </c>
      <c r="U269" t="s">
        <v>59</v>
      </c>
      <c r="V269" s="3">
        <v>0.9</v>
      </c>
      <c r="W269" s="2">
        <v>0</v>
      </c>
      <c r="X269">
        <v>0</v>
      </c>
      <c r="Y269" t="s">
        <v>60</v>
      </c>
      <c r="Z269" t="s">
        <v>61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39.76</v>
      </c>
      <c r="AN269" s="2">
        <v>39.76</v>
      </c>
      <c r="AO269" s="2">
        <v>0</v>
      </c>
      <c r="AP269" s="2">
        <v>0</v>
      </c>
      <c r="AQ269" s="2">
        <v>0</v>
      </c>
    </row>
    <row r="270" spans="1:43" x14ac:dyDescent="0.3">
      <c r="A270" s="1">
        <v>46125</v>
      </c>
      <c r="B270" t="s">
        <v>48</v>
      </c>
      <c r="C270">
        <v>649163</v>
      </c>
      <c r="D270">
        <v>2030336751</v>
      </c>
      <c r="E270" t="s">
        <v>139</v>
      </c>
      <c r="F270" t="s">
        <v>140</v>
      </c>
      <c r="G270" t="s">
        <v>51</v>
      </c>
      <c r="H270" t="s">
        <v>141</v>
      </c>
      <c r="I270" t="s">
        <v>444</v>
      </c>
      <c r="J270" t="s">
        <v>567</v>
      </c>
      <c r="K270">
        <v>651818</v>
      </c>
      <c r="L270" t="s">
        <v>55</v>
      </c>
      <c r="M270" t="s">
        <v>56</v>
      </c>
      <c r="N270" t="s">
        <v>57</v>
      </c>
      <c r="O270" s="1">
        <v>45906</v>
      </c>
      <c r="Q270" s="1">
        <v>46148</v>
      </c>
      <c r="R270" s="2">
        <v>216.41</v>
      </c>
      <c r="S270">
        <v>1</v>
      </c>
      <c r="T270" t="s">
        <v>58</v>
      </c>
      <c r="U270" t="s">
        <v>59</v>
      </c>
      <c r="V270" s="3">
        <v>0.9</v>
      </c>
      <c r="W270" s="2">
        <v>0</v>
      </c>
      <c r="X270">
        <v>0</v>
      </c>
      <c r="Y270" t="s">
        <v>60</v>
      </c>
      <c r="Z270" t="s">
        <v>61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194.77</v>
      </c>
      <c r="AN270" s="2">
        <v>194.77</v>
      </c>
      <c r="AO270" s="2">
        <v>0</v>
      </c>
      <c r="AP270" s="2">
        <v>0</v>
      </c>
      <c r="AQ270" s="2">
        <v>0</v>
      </c>
    </row>
    <row r="271" spans="1:43" x14ac:dyDescent="0.3">
      <c r="A271" s="1">
        <v>46125</v>
      </c>
      <c r="B271" t="s">
        <v>48</v>
      </c>
      <c r="C271">
        <v>649163</v>
      </c>
      <c r="D271">
        <v>2030455582</v>
      </c>
      <c r="E271" t="s">
        <v>152</v>
      </c>
      <c r="F271" t="s">
        <v>153</v>
      </c>
      <c r="G271" t="s">
        <v>51</v>
      </c>
      <c r="H271" t="s">
        <v>103</v>
      </c>
      <c r="I271" t="s">
        <v>444</v>
      </c>
      <c r="J271" t="s">
        <v>466</v>
      </c>
      <c r="K271">
        <v>816021</v>
      </c>
      <c r="L271" t="s">
        <v>104</v>
      </c>
      <c r="M271" t="s">
        <v>105</v>
      </c>
      <c r="N271" t="s">
        <v>57</v>
      </c>
      <c r="O271" s="1">
        <v>45882</v>
      </c>
      <c r="Q271" s="1">
        <v>46155</v>
      </c>
      <c r="R271" s="2">
        <v>29.88</v>
      </c>
      <c r="S271">
        <v>1</v>
      </c>
      <c r="T271" t="s">
        <v>58</v>
      </c>
      <c r="U271" t="s">
        <v>59</v>
      </c>
      <c r="V271" s="3">
        <v>0.65</v>
      </c>
      <c r="W271" s="2">
        <v>0</v>
      </c>
      <c r="X271">
        <v>0</v>
      </c>
      <c r="Y271" t="s">
        <v>60</v>
      </c>
      <c r="Z271" t="s">
        <v>61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19.420000000000002</v>
      </c>
      <c r="AN271" s="2">
        <v>19.420000000000002</v>
      </c>
      <c r="AO271" s="2">
        <v>0</v>
      </c>
      <c r="AP271" s="2">
        <v>0</v>
      </c>
      <c r="AQ271" s="2">
        <v>0</v>
      </c>
    </row>
    <row r="272" spans="1:43" x14ac:dyDescent="0.3">
      <c r="A272" s="1">
        <v>46125</v>
      </c>
      <c r="B272" t="s">
        <v>48</v>
      </c>
      <c r="C272">
        <v>649163</v>
      </c>
      <c r="D272">
        <v>2030474901</v>
      </c>
      <c r="E272" t="s">
        <v>449</v>
      </c>
      <c r="F272" t="s">
        <v>606</v>
      </c>
      <c r="G272" t="s">
        <v>51</v>
      </c>
      <c r="H272" t="s">
        <v>70</v>
      </c>
      <c r="I272" t="s">
        <v>444</v>
      </c>
      <c r="J272" t="s">
        <v>567</v>
      </c>
      <c r="K272">
        <v>767312</v>
      </c>
      <c r="L272" t="s">
        <v>134</v>
      </c>
      <c r="M272" t="s">
        <v>98</v>
      </c>
      <c r="N272" t="s">
        <v>57</v>
      </c>
      <c r="O272" s="1">
        <v>45883</v>
      </c>
      <c r="Q272" s="1">
        <v>46156</v>
      </c>
      <c r="R272" s="2">
        <v>104.71</v>
      </c>
      <c r="S272">
        <v>1</v>
      </c>
      <c r="T272" t="s">
        <v>58</v>
      </c>
      <c r="U272" t="s">
        <v>59</v>
      </c>
      <c r="V272" s="3">
        <v>0.9</v>
      </c>
      <c r="W272" s="2">
        <v>0</v>
      </c>
      <c r="X272">
        <v>0</v>
      </c>
      <c r="Y272" t="s">
        <v>60</v>
      </c>
      <c r="Z272" t="s">
        <v>61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94.24</v>
      </c>
      <c r="AN272" s="2">
        <v>94.24</v>
      </c>
      <c r="AO272" s="2">
        <v>0</v>
      </c>
      <c r="AP272" s="2">
        <v>0</v>
      </c>
      <c r="AQ272" s="2">
        <v>0</v>
      </c>
    </row>
    <row r="273" spans="1:43" x14ac:dyDescent="0.3">
      <c r="A273" s="1">
        <v>46125</v>
      </c>
      <c r="B273" t="s">
        <v>48</v>
      </c>
      <c r="C273">
        <v>649163</v>
      </c>
      <c r="D273">
        <v>2030488872</v>
      </c>
      <c r="E273" t="s">
        <v>160</v>
      </c>
      <c r="F273" t="s">
        <v>161</v>
      </c>
      <c r="G273" t="s">
        <v>51</v>
      </c>
      <c r="H273" t="s">
        <v>93</v>
      </c>
      <c r="I273" t="s">
        <v>444</v>
      </c>
      <c r="J273" t="s">
        <v>567</v>
      </c>
      <c r="K273">
        <v>823068</v>
      </c>
      <c r="L273" t="s">
        <v>95</v>
      </c>
      <c r="M273" t="s">
        <v>96</v>
      </c>
      <c r="N273" t="s">
        <v>57</v>
      </c>
      <c r="O273" s="1">
        <v>45884</v>
      </c>
      <c r="Q273" s="1">
        <v>46157</v>
      </c>
      <c r="R273" s="2">
        <v>46.94</v>
      </c>
      <c r="S273">
        <v>1</v>
      </c>
      <c r="T273" t="s">
        <v>58</v>
      </c>
      <c r="U273" t="s">
        <v>59</v>
      </c>
      <c r="V273" s="3">
        <v>0.9</v>
      </c>
      <c r="W273" s="2">
        <v>0</v>
      </c>
      <c r="X273">
        <v>0</v>
      </c>
      <c r="Y273" t="s">
        <v>60</v>
      </c>
      <c r="Z273" t="s">
        <v>61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42.25</v>
      </c>
      <c r="AN273" s="2">
        <v>42.25</v>
      </c>
      <c r="AO273" s="2">
        <v>0</v>
      </c>
      <c r="AP273" s="2">
        <v>0</v>
      </c>
      <c r="AQ273" s="2">
        <v>0</v>
      </c>
    </row>
    <row r="274" spans="1:43" x14ac:dyDescent="0.3">
      <c r="A274" s="1">
        <v>46125</v>
      </c>
      <c r="B274" t="s">
        <v>48</v>
      </c>
      <c r="C274">
        <v>649163</v>
      </c>
      <c r="D274">
        <v>2030501934</v>
      </c>
      <c r="E274" t="s">
        <v>162</v>
      </c>
      <c r="F274" t="s">
        <v>163</v>
      </c>
      <c r="G274" t="s">
        <v>51</v>
      </c>
      <c r="H274" t="s">
        <v>93</v>
      </c>
      <c r="I274" t="s">
        <v>444</v>
      </c>
      <c r="J274" t="s">
        <v>567</v>
      </c>
      <c r="K274">
        <v>652037</v>
      </c>
      <c r="L274" t="s">
        <v>164</v>
      </c>
      <c r="M274" t="s">
        <v>165</v>
      </c>
      <c r="N274" t="s">
        <v>57</v>
      </c>
      <c r="O274" s="1">
        <v>45884</v>
      </c>
      <c r="Q274" s="1">
        <v>46157</v>
      </c>
      <c r="R274" s="2">
        <v>77.959999999999994</v>
      </c>
      <c r="S274">
        <v>1</v>
      </c>
      <c r="T274" t="s">
        <v>58</v>
      </c>
      <c r="U274" t="s">
        <v>59</v>
      </c>
      <c r="V274" s="3">
        <v>0.9</v>
      </c>
      <c r="W274" s="2">
        <v>0</v>
      </c>
      <c r="X274">
        <v>0</v>
      </c>
      <c r="Y274" t="s">
        <v>60</v>
      </c>
      <c r="Z274" t="s">
        <v>61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70.16</v>
      </c>
      <c r="AN274" s="2">
        <v>70.16</v>
      </c>
      <c r="AO274" s="2">
        <v>0</v>
      </c>
      <c r="AP274" s="2">
        <v>0</v>
      </c>
      <c r="AQ274" s="2">
        <v>0</v>
      </c>
    </row>
    <row r="275" spans="1:43" x14ac:dyDescent="0.3">
      <c r="A275" s="1">
        <v>46125</v>
      </c>
      <c r="B275" t="s">
        <v>48</v>
      </c>
      <c r="C275">
        <v>649163</v>
      </c>
      <c r="D275">
        <v>2030982989</v>
      </c>
      <c r="E275" t="s">
        <v>178</v>
      </c>
      <c r="F275" t="s">
        <v>179</v>
      </c>
      <c r="G275" t="s">
        <v>51</v>
      </c>
      <c r="H275" t="s">
        <v>52</v>
      </c>
      <c r="I275" t="s">
        <v>444</v>
      </c>
      <c r="J275" t="s">
        <v>451</v>
      </c>
      <c r="K275">
        <v>823350</v>
      </c>
      <c r="L275" t="s">
        <v>120</v>
      </c>
      <c r="M275" t="s">
        <v>121</v>
      </c>
      <c r="N275" t="s">
        <v>57</v>
      </c>
      <c r="O275" s="1">
        <v>45915</v>
      </c>
      <c r="Q275" s="1">
        <v>46157</v>
      </c>
      <c r="R275" s="2">
        <v>62.71</v>
      </c>
      <c r="S275">
        <v>1</v>
      </c>
      <c r="T275" t="s">
        <v>58</v>
      </c>
      <c r="U275" t="s">
        <v>173</v>
      </c>
      <c r="V275" s="3">
        <v>0.75</v>
      </c>
      <c r="W275" s="2">
        <v>0</v>
      </c>
      <c r="X275">
        <v>0</v>
      </c>
      <c r="Y275" t="s">
        <v>60</v>
      </c>
      <c r="Z275" t="s">
        <v>61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47.03</v>
      </c>
      <c r="AN275" s="2">
        <v>47.03</v>
      </c>
      <c r="AO275" s="2">
        <v>0</v>
      </c>
      <c r="AP275" s="2">
        <v>0</v>
      </c>
      <c r="AQ275" s="2">
        <v>0</v>
      </c>
    </row>
    <row r="276" spans="1:43" x14ac:dyDescent="0.3">
      <c r="A276" s="1">
        <v>46125</v>
      </c>
      <c r="B276" t="s">
        <v>48</v>
      </c>
      <c r="C276">
        <v>649163</v>
      </c>
      <c r="D276">
        <v>2031017069</v>
      </c>
      <c r="E276" t="s">
        <v>180</v>
      </c>
      <c r="F276" t="s">
        <v>175</v>
      </c>
      <c r="G276" t="s">
        <v>51</v>
      </c>
      <c r="H276" t="s">
        <v>64</v>
      </c>
      <c r="I276" t="s">
        <v>444</v>
      </c>
      <c r="J276" t="s">
        <v>567</v>
      </c>
      <c r="K276">
        <v>877790</v>
      </c>
      <c r="L276" t="s">
        <v>66</v>
      </c>
      <c r="M276" t="s">
        <v>67</v>
      </c>
      <c r="N276" t="s">
        <v>57</v>
      </c>
      <c r="O276" s="1">
        <v>45913</v>
      </c>
      <c r="Q276" s="1">
        <v>46155</v>
      </c>
      <c r="R276" s="2">
        <v>55</v>
      </c>
      <c r="S276">
        <v>1</v>
      </c>
      <c r="T276" t="s">
        <v>58</v>
      </c>
      <c r="U276" t="s">
        <v>173</v>
      </c>
      <c r="V276" s="3">
        <v>0.9</v>
      </c>
      <c r="W276" s="2">
        <v>0</v>
      </c>
      <c r="X276">
        <v>0</v>
      </c>
      <c r="Y276" t="s">
        <v>60</v>
      </c>
      <c r="Z276" t="s">
        <v>61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49.5</v>
      </c>
      <c r="AN276" s="2">
        <v>49.5</v>
      </c>
      <c r="AO276" s="2">
        <v>0</v>
      </c>
      <c r="AP276" s="2">
        <v>0</v>
      </c>
      <c r="AQ276" s="2">
        <v>0</v>
      </c>
    </row>
    <row r="277" spans="1:43" x14ac:dyDescent="0.3">
      <c r="A277" s="1">
        <v>46125</v>
      </c>
      <c r="B277" t="s">
        <v>48</v>
      </c>
      <c r="C277">
        <v>649163</v>
      </c>
      <c r="D277">
        <v>2031270408</v>
      </c>
      <c r="E277" t="s">
        <v>186</v>
      </c>
      <c r="F277" t="s">
        <v>187</v>
      </c>
      <c r="G277" t="s">
        <v>51</v>
      </c>
      <c r="H277" t="s">
        <v>188</v>
      </c>
      <c r="I277" t="s">
        <v>444</v>
      </c>
      <c r="J277" t="s">
        <v>451</v>
      </c>
      <c r="K277">
        <v>651818</v>
      </c>
      <c r="L277" t="s">
        <v>55</v>
      </c>
      <c r="M277" t="s">
        <v>56</v>
      </c>
      <c r="N277" t="s">
        <v>57</v>
      </c>
      <c r="O277" s="1">
        <v>45941</v>
      </c>
      <c r="Q277" s="1">
        <v>46153</v>
      </c>
      <c r="R277" s="2">
        <v>85.15</v>
      </c>
      <c r="S277">
        <v>1</v>
      </c>
      <c r="T277" t="s">
        <v>58</v>
      </c>
      <c r="U277" t="s">
        <v>173</v>
      </c>
      <c r="V277" s="3">
        <v>0.75</v>
      </c>
      <c r="W277" s="2">
        <v>0</v>
      </c>
      <c r="X277">
        <v>0</v>
      </c>
      <c r="Y277" t="s">
        <v>60</v>
      </c>
      <c r="Z277" t="s">
        <v>61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63.86</v>
      </c>
      <c r="AN277" s="2">
        <v>63.86</v>
      </c>
      <c r="AO277" s="2">
        <v>0</v>
      </c>
      <c r="AP277" s="2">
        <v>0</v>
      </c>
      <c r="AQ277" s="2">
        <v>0</v>
      </c>
    </row>
    <row r="278" spans="1:43" x14ac:dyDescent="0.3">
      <c r="A278" s="1">
        <v>46125</v>
      </c>
      <c r="B278" t="s">
        <v>48</v>
      </c>
      <c r="C278">
        <v>649163</v>
      </c>
      <c r="D278">
        <v>2031525342</v>
      </c>
      <c r="E278" t="s">
        <v>607</v>
      </c>
      <c r="F278" t="s">
        <v>608</v>
      </c>
      <c r="G278" t="s">
        <v>51</v>
      </c>
      <c r="H278" t="s">
        <v>70</v>
      </c>
      <c r="I278" t="s">
        <v>444</v>
      </c>
      <c r="J278" t="s">
        <v>567</v>
      </c>
      <c r="K278">
        <v>651818</v>
      </c>
      <c r="L278" t="s">
        <v>55</v>
      </c>
      <c r="M278" t="s">
        <v>56</v>
      </c>
      <c r="N278" t="s">
        <v>57</v>
      </c>
      <c r="O278" s="1">
        <v>45967</v>
      </c>
      <c r="Q278" s="1">
        <v>46148</v>
      </c>
      <c r="R278" s="2">
        <v>48.91</v>
      </c>
      <c r="S278">
        <v>1</v>
      </c>
      <c r="T278" t="s">
        <v>58</v>
      </c>
      <c r="U278" t="s">
        <v>173</v>
      </c>
      <c r="V278" s="3">
        <v>0.9</v>
      </c>
      <c r="W278" s="2">
        <v>0</v>
      </c>
      <c r="X278">
        <v>0</v>
      </c>
      <c r="Y278" t="s">
        <v>60</v>
      </c>
      <c r="Z278" t="s">
        <v>61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44.02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</row>
    <row r="279" spans="1:43" x14ac:dyDescent="0.3">
      <c r="A279" s="1">
        <v>46125</v>
      </c>
      <c r="B279" t="s">
        <v>48</v>
      </c>
      <c r="C279">
        <v>649163</v>
      </c>
      <c r="D279">
        <v>2031593003</v>
      </c>
      <c r="E279" t="s">
        <v>193</v>
      </c>
      <c r="F279" t="s">
        <v>56</v>
      </c>
      <c r="G279" t="s">
        <v>51</v>
      </c>
      <c r="H279" t="s">
        <v>93</v>
      </c>
      <c r="I279" t="s">
        <v>444</v>
      </c>
      <c r="J279" t="s">
        <v>567</v>
      </c>
      <c r="K279">
        <v>823068</v>
      </c>
      <c r="L279" t="s">
        <v>95</v>
      </c>
      <c r="M279" t="s">
        <v>96</v>
      </c>
      <c r="N279" t="s">
        <v>57</v>
      </c>
      <c r="O279" s="1">
        <v>45944</v>
      </c>
      <c r="Q279" s="1">
        <v>46156</v>
      </c>
      <c r="R279" s="2">
        <v>31.71</v>
      </c>
      <c r="S279">
        <v>1</v>
      </c>
      <c r="T279" t="s">
        <v>58</v>
      </c>
      <c r="U279" t="s">
        <v>173</v>
      </c>
      <c r="V279" s="3">
        <v>0.9</v>
      </c>
      <c r="W279" s="2">
        <v>0</v>
      </c>
      <c r="X279">
        <v>0</v>
      </c>
      <c r="Y279" t="s">
        <v>60</v>
      </c>
      <c r="Z279" t="s">
        <v>61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28.54</v>
      </c>
      <c r="AN279" s="2">
        <v>28.54</v>
      </c>
      <c r="AO279" s="2">
        <v>0</v>
      </c>
      <c r="AP279" s="2">
        <v>0</v>
      </c>
      <c r="AQ279" s="2">
        <v>0</v>
      </c>
    </row>
    <row r="280" spans="1:43" x14ac:dyDescent="0.3">
      <c r="A280" s="1">
        <v>46125</v>
      </c>
      <c r="B280" t="s">
        <v>48</v>
      </c>
      <c r="C280">
        <v>649163</v>
      </c>
      <c r="D280">
        <v>2031713686</v>
      </c>
      <c r="E280" t="s">
        <v>205</v>
      </c>
      <c r="F280" t="s">
        <v>206</v>
      </c>
      <c r="G280" t="s">
        <v>51</v>
      </c>
      <c r="H280" t="s">
        <v>93</v>
      </c>
      <c r="I280" t="s">
        <v>444</v>
      </c>
      <c r="J280" t="s">
        <v>567</v>
      </c>
      <c r="K280">
        <v>823068</v>
      </c>
      <c r="L280" t="s">
        <v>95</v>
      </c>
      <c r="M280" t="s">
        <v>96</v>
      </c>
      <c r="N280" t="s">
        <v>57</v>
      </c>
      <c r="O280" s="1">
        <v>45969</v>
      </c>
      <c r="Q280" s="1">
        <v>46150</v>
      </c>
      <c r="R280" s="2">
        <v>119.44</v>
      </c>
      <c r="S280">
        <v>1</v>
      </c>
      <c r="T280" t="s">
        <v>58</v>
      </c>
      <c r="U280" t="s">
        <v>173</v>
      </c>
      <c r="V280" s="3">
        <v>0.9</v>
      </c>
      <c r="W280" s="2">
        <v>0</v>
      </c>
      <c r="X280">
        <v>0</v>
      </c>
      <c r="Y280" t="s">
        <v>60</v>
      </c>
      <c r="Z280" t="s">
        <v>61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107.5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</row>
    <row r="281" spans="1:43" x14ac:dyDescent="0.3">
      <c r="A281" s="1">
        <v>46125</v>
      </c>
      <c r="B281" t="s">
        <v>48</v>
      </c>
      <c r="C281">
        <v>649163</v>
      </c>
      <c r="D281">
        <v>2031848655</v>
      </c>
      <c r="E281" t="s">
        <v>609</v>
      </c>
      <c r="F281" t="s">
        <v>225</v>
      </c>
      <c r="G281" t="s">
        <v>51</v>
      </c>
      <c r="H281" t="s">
        <v>270</v>
      </c>
      <c r="I281" t="s">
        <v>444</v>
      </c>
      <c r="J281" t="s">
        <v>567</v>
      </c>
      <c r="K281">
        <v>753748</v>
      </c>
      <c r="L281" t="s">
        <v>146</v>
      </c>
      <c r="M281" t="s">
        <v>147</v>
      </c>
      <c r="N281" t="s">
        <v>57</v>
      </c>
      <c r="O281" s="1">
        <v>45962</v>
      </c>
      <c r="Q281" s="1">
        <v>46143</v>
      </c>
      <c r="R281" s="2">
        <v>81.63</v>
      </c>
      <c r="S281">
        <v>1</v>
      </c>
      <c r="T281" t="s">
        <v>58</v>
      </c>
      <c r="U281" t="s">
        <v>173</v>
      </c>
      <c r="V281" s="3">
        <v>0.9</v>
      </c>
      <c r="W281" s="2">
        <v>0</v>
      </c>
      <c r="X281">
        <v>0</v>
      </c>
      <c r="Y281" t="s">
        <v>60</v>
      </c>
      <c r="Z281" t="s">
        <v>61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73.47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</row>
    <row r="282" spans="1:43" x14ac:dyDescent="0.3">
      <c r="A282" s="1">
        <v>46125</v>
      </c>
      <c r="B282" t="s">
        <v>48</v>
      </c>
      <c r="C282">
        <v>649163</v>
      </c>
      <c r="D282">
        <v>2032099302</v>
      </c>
      <c r="E282" t="s">
        <v>610</v>
      </c>
      <c r="F282" t="s">
        <v>611</v>
      </c>
      <c r="G282" t="s">
        <v>51</v>
      </c>
      <c r="H282" t="s">
        <v>612</v>
      </c>
      <c r="I282" t="s">
        <v>444</v>
      </c>
      <c r="J282" t="s">
        <v>451</v>
      </c>
      <c r="K282">
        <v>856824</v>
      </c>
      <c r="L282" t="s">
        <v>71</v>
      </c>
      <c r="M282" t="s">
        <v>72</v>
      </c>
      <c r="N282" t="s">
        <v>57</v>
      </c>
      <c r="O282" s="1">
        <v>45972</v>
      </c>
      <c r="Q282" s="1">
        <v>46153</v>
      </c>
      <c r="R282" s="2">
        <v>47.86</v>
      </c>
      <c r="S282">
        <v>1</v>
      </c>
      <c r="T282" t="s">
        <v>58</v>
      </c>
      <c r="U282" t="s">
        <v>173</v>
      </c>
      <c r="V282" s="3">
        <v>0.75</v>
      </c>
      <c r="W282" s="2">
        <v>0</v>
      </c>
      <c r="X282">
        <v>0</v>
      </c>
      <c r="Y282" t="s">
        <v>60</v>
      </c>
      <c r="Z282" t="s">
        <v>61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35.9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</row>
    <row r="283" spans="1:43" x14ac:dyDescent="0.3">
      <c r="A283" s="1">
        <v>46125</v>
      </c>
      <c r="B283" t="s">
        <v>48</v>
      </c>
      <c r="C283">
        <v>649163</v>
      </c>
      <c r="D283">
        <v>2032105228</v>
      </c>
      <c r="E283" t="s">
        <v>240</v>
      </c>
      <c r="F283" t="s">
        <v>241</v>
      </c>
      <c r="G283" t="s">
        <v>51</v>
      </c>
      <c r="H283" t="s">
        <v>80</v>
      </c>
      <c r="I283" t="s">
        <v>444</v>
      </c>
      <c r="J283" t="s">
        <v>454</v>
      </c>
      <c r="K283">
        <v>823350</v>
      </c>
      <c r="L283" t="s">
        <v>120</v>
      </c>
      <c r="M283" t="s">
        <v>121</v>
      </c>
      <c r="N283" t="s">
        <v>57</v>
      </c>
      <c r="O283" s="1">
        <v>45975</v>
      </c>
      <c r="Q283" s="1">
        <v>46156</v>
      </c>
      <c r="R283" s="2">
        <v>31.2</v>
      </c>
      <c r="S283">
        <v>1</v>
      </c>
      <c r="T283" t="s">
        <v>58</v>
      </c>
      <c r="U283" t="s">
        <v>173</v>
      </c>
      <c r="V283" s="3">
        <v>0.75</v>
      </c>
      <c r="W283" s="2">
        <v>0</v>
      </c>
      <c r="X283">
        <v>0</v>
      </c>
      <c r="Y283" t="s">
        <v>60</v>
      </c>
      <c r="Z283" t="s">
        <v>61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23.4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</row>
    <row r="284" spans="1:43" x14ac:dyDescent="0.3">
      <c r="A284" s="1">
        <v>46125</v>
      </c>
      <c r="B284" t="s">
        <v>48</v>
      </c>
      <c r="C284">
        <v>649163</v>
      </c>
      <c r="D284">
        <v>2032116643</v>
      </c>
      <c r="E284" t="s">
        <v>253</v>
      </c>
      <c r="F284" t="s">
        <v>165</v>
      </c>
      <c r="G284" t="s">
        <v>51</v>
      </c>
      <c r="H284" t="s">
        <v>80</v>
      </c>
      <c r="I284" t="s">
        <v>444</v>
      </c>
      <c r="J284" t="s">
        <v>451</v>
      </c>
      <c r="K284">
        <v>823350</v>
      </c>
      <c r="L284" t="s">
        <v>120</v>
      </c>
      <c r="M284" t="s">
        <v>121</v>
      </c>
      <c r="N284" t="s">
        <v>57</v>
      </c>
      <c r="O284" s="1">
        <v>45976</v>
      </c>
      <c r="Q284" s="1">
        <v>46157</v>
      </c>
      <c r="R284" s="2">
        <v>96.34</v>
      </c>
      <c r="S284">
        <v>1</v>
      </c>
      <c r="T284" t="s">
        <v>58</v>
      </c>
      <c r="U284" t="s">
        <v>173</v>
      </c>
      <c r="V284" s="3">
        <v>0.75</v>
      </c>
      <c r="W284" s="2">
        <v>0</v>
      </c>
      <c r="X284">
        <v>0</v>
      </c>
      <c r="Y284" t="s">
        <v>60</v>
      </c>
      <c r="Z284" t="s">
        <v>61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72.260000000000005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</row>
    <row r="285" spans="1:43" x14ac:dyDescent="0.3">
      <c r="A285" s="1">
        <v>46125</v>
      </c>
      <c r="B285" t="s">
        <v>48</v>
      </c>
      <c r="C285">
        <v>649163</v>
      </c>
      <c r="D285">
        <v>2032135721</v>
      </c>
      <c r="E285" t="s">
        <v>613</v>
      </c>
      <c r="F285" t="s">
        <v>614</v>
      </c>
      <c r="G285" t="s">
        <v>51</v>
      </c>
      <c r="H285" t="s">
        <v>612</v>
      </c>
      <c r="I285" t="s">
        <v>444</v>
      </c>
      <c r="J285" t="s">
        <v>451</v>
      </c>
      <c r="K285">
        <v>856824</v>
      </c>
      <c r="L285" t="s">
        <v>71</v>
      </c>
      <c r="M285" t="s">
        <v>72</v>
      </c>
      <c r="N285" t="s">
        <v>57</v>
      </c>
      <c r="O285" s="1">
        <v>45974</v>
      </c>
      <c r="Q285" s="1">
        <v>46155</v>
      </c>
      <c r="R285" s="2">
        <v>65.56</v>
      </c>
      <c r="S285">
        <v>1</v>
      </c>
      <c r="T285" t="s">
        <v>58</v>
      </c>
      <c r="U285" t="s">
        <v>173</v>
      </c>
      <c r="V285" s="3">
        <v>0.75</v>
      </c>
      <c r="W285" s="2">
        <v>0</v>
      </c>
      <c r="X285">
        <v>0</v>
      </c>
      <c r="Y285" t="s">
        <v>60</v>
      </c>
      <c r="Z285" t="s">
        <v>61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49.17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</row>
    <row r="286" spans="1:43" x14ac:dyDescent="0.3">
      <c r="A286" s="1">
        <v>46125</v>
      </c>
      <c r="B286" t="s">
        <v>48</v>
      </c>
      <c r="C286">
        <v>649163</v>
      </c>
      <c r="D286">
        <v>2032404257</v>
      </c>
      <c r="E286" t="s">
        <v>615</v>
      </c>
      <c r="F286" t="s">
        <v>616</v>
      </c>
      <c r="G286" t="s">
        <v>51</v>
      </c>
      <c r="H286" t="s">
        <v>182</v>
      </c>
      <c r="I286" t="s">
        <v>444</v>
      </c>
      <c r="J286" t="s">
        <v>454</v>
      </c>
      <c r="K286">
        <v>753748</v>
      </c>
      <c r="L286" t="s">
        <v>146</v>
      </c>
      <c r="M286" t="s">
        <v>147</v>
      </c>
      <c r="N286" t="s">
        <v>86</v>
      </c>
      <c r="O286" s="1">
        <v>46023</v>
      </c>
      <c r="P286" s="1">
        <v>46118</v>
      </c>
      <c r="Q286" s="1">
        <v>46143</v>
      </c>
      <c r="R286" s="2">
        <v>-60.72</v>
      </c>
      <c r="S286">
        <v>1</v>
      </c>
      <c r="T286" t="s">
        <v>58</v>
      </c>
      <c r="U286" t="s">
        <v>173</v>
      </c>
      <c r="V286" s="3">
        <v>0.75</v>
      </c>
      <c r="W286" s="2">
        <v>0</v>
      </c>
      <c r="X286">
        <v>-1</v>
      </c>
      <c r="Y286" t="s">
        <v>60</v>
      </c>
      <c r="Z286" t="s">
        <v>61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-45.54</v>
      </c>
      <c r="AN286" s="2">
        <v>-45.54</v>
      </c>
      <c r="AO286" s="2">
        <v>0</v>
      </c>
      <c r="AP286" s="2">
        <v>0</v>
      </c>
      <c r="AQ286" s="2">
        <v>0</v>
      </c>
    </row>
    <row r="287" spans="1:43" x14ac:dyDescent="0.3">
      <c r="A287" s="1">
        <v>46125</v>
      </c>
      <c r="B287" t="s">
        <v>48</v>
      </c>
      <c r="C287">
        <v>649163</v>
      </c>
      <c r="D287">
        <v>2032445034</v>
      </c>
      <c r="E287" t="s">
        <v>291</v>
      </c>
      <c r="F287" t="s">
        <v>200</v>
      </c>
      <c r="G287" t="s">
        <v>51</v>
      </c>
      <c r="H287" t="s">
        <v>80</v>
      </c>
      <c r="I287" t="s">
        <v>444</v>
      </c>
      <c r="J287" t="s">
        <v>567</v>
      </c>
      <c r="K287">
        <v>824062</v>
      </c>
      <c r="L287" t="s">
        <v>167</v>
      </c>
      <c r="M287" t="s">
        <v>168</v>
      </c>
      <c r="N287" t="s">
        <v>57</v>
      </c>
      <c r="O287" s="1">
        <v>46006</v>
      </c>
      <c r="Q287" s="1">
        <v>46157</v>
      </c>
      <c r="R287" s="2">
        <v>29.67</v>
      </c>
      <c r="S287">
        <v>1</v>
      </c>
      <c r="T287" t="s">
        <v>58</v>
      </c>
      <c r="U287" t="s">
        <v>173</v>
      </c>
      <c r="V287" s="3">
        <v>0.9</v>
      </c>
      <c r="W287" s="2">
        <v>0</v>
      </c>
      <c r="X287">
        <v>0</v>
      </c>
      <c r="Y287" t="s">
        <v>60</v>
      </c>
      <c r="Z287" t="s">
        <v>61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26.7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</row>
    <row r="288" spans="1:43" x14ac:dyDescent="0.3">
      <c r="A288" s="1">
        <v>46125</v>
      </c>
      <c r="B288" t="s">
        <v>48</v>
      </c>
      <c r="C288">
        <v>649163</v>
      </c>
      <c r="D288">
        <v>2032547221</v>
      </c>
      <c r="E288" t="s">
        <v>292</v>
      </c>
      <c r="F288" t="s">
        <v>165</v>
      </c>
      <c r="G288" t="s">
        <v>51</v>
      </c>
      <c r="H288" t="s">
        <v>70</v>
      </c>
      <c r="I288" t="s">
        <v>444</v>
      </c>
      <c r="J288" t="s">
        <v>567</v>
      </c>
      <c r="K288">
        <v>753748</v>
      </c>
      <c r="L288" t="s">
        <v>146</v>
      </c>
      <c r="M288" t="s">
        <v>147</v>
      </c>
      <c r="N288" t="s">
        <v>57</v>
      </c>
      <c r="O288" s="1">
        <v>46023</v>
      </c>
      <c r="Q288" s="1">
        <v>46143</v>
      </c>
      <c r="R288" s="2">
        <v>279.25</v>
      </c>
      <c r="S288">
        <v>1</v>
      </c>
      <c r="T288" t="s">
        <v>58</v>
      </c>
      <c r="U288" t="s">
        <v>173</v>
      </c>
      <c r="V288" s="3">
        <v>0.9</v>
      </c>
      <c r="W288" s="2">
        <v>0</v>
      </c>
      <c r="X288">
        <v>0</v>
      </c>
      <c r="Y288" t="s">
        <v>60</v>
      </c>
      <c r="Z288" t="s">
        <v>61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251.32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</row>
    <row r="289" spans="1:43" x14ac:dyDescent="0.3">
      <c r="A289" s="1">
        <v>46125</v>
      </c>
      <c r="B289" t="s">
        <v>48</v>
      </c>
      <c r="C289">
        <v>649163</v>
      </c>
      <c r="D289">
        <v>2032592980</v>
      </c>
      <c r="E289" t="s">
        <v>617</v>
      </c>
      <c r="F289" t="s">
        <v>618</v>
      </c>
      <c r="G289" t="s">
        <v>51</v>
      </c>
      <c r="H289" t="s">
        <v>70</v>
      </c>
      <c r="I289" t="s">
        <v>444</v>
      </c>
      <c r="J289" t="s">
        <v>567</v>
      </c>
      <c r="K289">
        <v>753748</v>
      </c>
      <c r="L289" t="s">
        <v>146</v>
      </c>
      <c r="M289" t="s">
        <v>147</v>
      </c>
      <c r="N289" t="s">
        <v>57</v>
      </c>
      <c r="O289" s="1">
        <v>46023</v>
      </c>
      <c r="Q289" s="1">
        <v>46143</v>
      </c>
      <c r="R289" s="2">
        <v>258.75</v>
      </c>
      <c r="S289">
        <v>1</v>
      </c>
      <c r="T289" t="s">
        <v>58</v>
      </c>
      <c r="U289" t="s">
        <v>173</v>
      </c>
      <c r="V289" s="3">
        <v>0.9</v>
      </c>
      <c r="W289" s="2">
        <v>0</v>
      </c>
      <c r="X289">
        <v>0</v>
      </c>
      <c r="Y289" t="s">
        <v>60</v>
      </c>
      <c r="Z289" t="s">
        <v>61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232.88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</row>
    <row r="290" spans="1:43" x14ac:dyDescent="0.3">
      <c r="A290" s="1">
        <v>46125</v>
      </c>
      <c r="B290" t="s">
        <v>48</v>
      </c>
      <c r="C290">
        <v>649163</v>
      </c>
      <c r="D290">
        <v>2032616562</v>
      </c>
      <c r="E290" t="s">
        <v>313</v>
      </c>
      <c r="F290" t="s">
        <v>314</v>
      </c>
      <c r="G290" t="s">
        <v>51</v>
      </c>
      <c r="H290" t="s">
        <v>80</v>
      </c>
      <c r="I290" t="s">
        <v>444</v>
      </c>
      <c r="J290" t="s">
        <v>451</v>
      </c>
      <c r="K290">
        <v>823350</v>
      </c>
      <c r="L290" t="s">
        <v>120</v>
      </c>
      <c r="M290" t="s">
        <v>121</v>
      </c>
      <c r="N290" t="s">
        <v>57</v>
      </c>
      <c r="O290" s="1">
        <v>46005</v>
      </c>
      <c r="Q290" s="1">
        <v>46156</v>
      </c>
      <c r="R290" s="2">
        <v>13.24</v>
      </c>
      <c r="S290">
        <v>1</v>
      </c>
      <c r="T290" t="s">
        <v>58</v>
      </c>
      <c r="U290" t="s">
        <v>173</v>
      </c>
      <c r="V290" s="3">
        <v>0.75</v>
      </c>
      <c r="W290" s="2">
        <v>0</v>
      </c>
      <c r="X290">
        <v>0</v>
      </c>
      <c r="Y290" t="s">
        <v>60</v>
      </c>
      <c r="Z290" t="s">
        <v>61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9.93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</row>
    <row r="291" spans="1:43" x14ac:dyDescent="0.3">
      <c r="A291" s="1">
        <v>46125</v>
      </c>
      <c r="B291" t="s">
        <v>48</v>
      </c>
      <c r="C291">
        <v>649163</v>
      </c>
      <c r="D291">
        <v>2032627614</v>
      </c>
      <c r="E291" t="s">
        <v>317</v>
      </c>
      <c r="F291" t="s">
        <v>318</v>
      </c>
      <c r="G291" t="s">
        <v>51</v>
      </c>
      <c r="H291" t="s">
        <v>103</v>
      </c>
      <c r="I291" t="s">
        <v>444</v>
      </c>
      <c r="J291" t="s">
        <v>451</v>
      </c>
      <c r="K291">
        <v>816021</v>
      </c>
      <c r="L291" t="s">
        <v>104</v>
      </c>
      <c r="M291" t="s">
        <v>105</v>
      </c>
      <c r="N291" t="s">
        <v>57</v>
      </c>
      <c r="O291" s="1">
        <v>46003</v>
      </c>
      <c r="Q291" s="1">
        <v>46154</v>
      </c>
      <c r="R291" s="2">
        <v>69.11</v>
      </c>
      <c r="S291">
        <v>1</v>
      </c>
      <c r="T291" t="s">
        <v>58</v>
      </c>
      <c r="U291" t="s">
        <v>173</v>
      </c>
      <c r="V291" s="3">
        <v>0.75</v>
      </c>
      <c r="W291" s="2">
        <v>0</v>
      </c>
      <c r="X291">
        <v>0</v>
      </c>
      <c r="Y291" t="s">
        <v>60</v>
      </c>
      <c r="Z291" t="s">
        <v>61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51.83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</row>
    <row r="292" spans="1:43" x14ac:dyDescent="0.3">
      <c r="A292" s="1">
        <v>46125</v>
      </c>
      <c r="B292" t="s">
        <v>48</v>
      </c>
      <c r="C292">
        <v>649163</v>
      </c>
      <c r="D292">
        <v>2032634717</v>
      </c>
      <c r="E292" t="s">
        <v>321</v>
      </c>
      <c r="F292" t="s">
        <v>322</v>
      </c>
      <c r="G292" t="s">
        <v>51</v>
      </c>
      <c r="H292" t="s">
        <v>103</v>
      </c>
      <c r="I292" t="s">
        <v>444</v>
      </c>
      <c r="J292" t="s">
        <v>451</v>
      </c>
      <c r="K292">
        <v>816021</v>
      </c>
      <c r="L292" t="s">
        <v>104</v>
      </c>
      <c r="M292" t="s">
        <v>105</v>
      </c>
      <c r="N292" t="s">
        <v>57</v>
      </c>
      <c r="O292" s="1">
        <v>46006</v>
      </c>
      <c r="Q292" s="1">
        <v>46157</v>
      </c>
      <c r="R292" s="2">
        <v>64.27</v>
      </c>
      <c r="S292">
        <v>1</v>
      </c>
      <c r="T292" t="s">
        <v>58</v>
      </c>
      <c r="U292" t="s">
        <v>173</v>
      </c>
      <c r="V292" s="3">
        <v>0.75</v>
      </c>
      <c r="W292" s="2">
        <v>0</v>
      </c>
      <c r="X292">
        <v>0</v>
      </c>
      <c r="Y292" t="s">
        <v>60</v>
      </c>
      <c r="Z292" t="s">
        <v>61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48.2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</row>
    <row r="293" spans="1:43" x14ac:dyDescent="0.3">
      <c r="A293" s="1">
        <v>46125</v>
      </c>
      <c r="B293" t="s">
        <v>48</v>
      </c>
      <c r="C293">
        <v>649163</v>
      </c>
      <c r="D293">
        <v>2032652630</v>
      </c>
      <c r="E293" t="s">
        <v>333</v>
      </c>
      <c r="F293" t="s">
        <v>237</v>
      </c>
      <c r="G293" t="s">
        <v>51</v>
      </c>
      <c r="H293" t="s">
        <v>126</v>
      </c>
      <c r="I293" t="s">
        <v>444</v>
      </c>
      <c r="J293" t="s">
        <v>451</v>
      </c>
      <c r="K293">
        <v>813184</v>
      </c>
      <c r="L293" t="s">
        <v>127</v>
      </c>
      <c r="M293" t="s">
        <v>128</v>
      </c>
      <c r="N293" t="s">
        <v>57</v>
      </c>
      <c r="O293" s="1">
        <v>46004</v>
      </c>
      <c r="Q293" s="1">
        <v>46155</v>
      </c>
      <c r="R293" s="2">
        <v>46.28</v>
      </c>
      <c r="S293">
        <v>1</v>
      </c>
      <c r="T293" t="s">
        <v>58</v>
      </c>
      <c r="U293" t="s">
        <v>173</v>
      </c>
      <c r="V293" s="3">
        <v>0.75</v>
      </c>
      <c r="W293" s="2">
        <v>0</v>
      </c>
      <c r="X293">
        <v>0</v>
      </c>
      <c r="Y293" t="s">
        <v>60</v>
      </c>
      <c r="Z293" t="s">
        <v>61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34.71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</row>
    <row r="294" spans="1:43" x14ac:dyDescent="0.3">
      <c r="A294" s="1">
        <v>46125</v>
      </c>
      <c r="B294" t="s">
        <v>48</v>
      </c>
      <c r="C294">
        <v>649163</v>
      </c>
      <c r="D294">
        <v>2032667004</v>
      </c>
      <c r="E294" t="s">
        <v>338</v>
      </c>
      <c r="F294" t="s">
        <v>339</v>
      </c>
      <c r="G294" t="s">
        <v>51</v>
      </c>
      <c r="H294" t="s">
        <v>270</v>
      </c>
      <c r="I294" t="s">
        <v>444</v>
      </c>
      <c r="J294" t="s">
        <v>451</v>
      </c>
      <c r="K294">
        <v>856824</v>
      </c>
      <c r="L294" t="s">
        <v>71</v>
      </c>
      <c r="M294" t="s">
        <v>72</v>
      </c>
      <c r="N294" t="s">
        <v>57</v>
      </c>
      <c r="O294" s="1">
        <v>46004</v>
      </c>
      <c r="Q294" s="1">
        <v>46155</v>
      </c>
      <c r="R294" s="2">
        <v>66.52</v>
      </c>
      <c r="S294">
        <v>1</v>
      </c>
      <c r="T294" t="s">
        <v>58</v>
      </c>
      <c r="U294" t="s">
        <v>173</v>
      </c>
      <c r="V294" s="3">
        <v>0.75</v>
      </c>
      <c r="W294" s="2">
        <v>0</v>
      </c>
      <c r="X294">
        <v>0</v>
      </c>
      <c r="Y294" t="s">
        <v>60</v>
      </c>
      <c r="Z294" t="s">
        <v>61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49.89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</row>
    <row r="295" spans="1:43" x14ac:dyDescent="0.3">
      <c r="A295" s="1">
        <v>46125</v>
      </c>
      <c r="B295" t="s">
        <v>48</v>
      </c>
      <c r="C295">
        <v>649163</v>
      </c>
      <c r="D295">
        <v>2032675774</v>
      </c>
      <c r="E295" t="s">
        <v>342</v>
      </c>
      <c r="F295" t="s">
        <v>343</v>
      </c>
      <c r="G295" t="s">
        <v>51</v>
      </c>
      <c r="H295" t="s">
        <v>270</v>
      </c>
      <c r="I295" t="s">
        <v>444</v>
      </c>
      <c r="J295" t="s">
        <v>451</v>
      </c>
      <c r="K295">
        <v>823350</v>
      </c>
      <c r="L295" t="s">
        <v>120</v>
      </c>
      <c r="M295" t="s">
        <v>121</v>
      </c>
      <c r="N295" t="s">
        <v>57</v>
      </c>
      <c r="O295" s="1">
        <v>46008</v>
      </c>
      <c r="Q295" s="1">
        <v>46159</v>
      </c>
      <c r="R295" s="2">
        <v>55</v>
      </c>
      <c r="S295">
        <v>1</v>
      </c>
      <c r="T295" t="s">
        <v>58</v>
      </c>
      <c r="U295" t="s">
        <v>173</v>
      </c>
      <c r="V295" s="3">
        <v>0.75</v>
      </c>
      <c r="W295" s="2">
        <v>0</v>
      </c>
      <c r="X295">
        <v>0</v>
      </c>
      <c r="Y295" t="s">
        <v>60</v>
      </c>
      <c r="Z295" t="s">
        <v>61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41.25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</row>
    <row r="296" spans="1:43" x14ac:dyDescent="0.3">
      <c r="A296" s="1">
        <v>46125</v>
      </c>
      <c r="B296" t="s">
        <v>48</v>
      </c>
      <c r="C296">
        <v>649163</v>
      </c>
      <c r="D296">
        <v>2032692415</v>
      </c>
      <c r="E296" t="s">
        <v>350</v>
      </c>
      <c r="F296" t="s">
        <v>351</v>
      </c>
      <c r="G296" t="s">
        <v>51</v>
      </c>
      <c r="H296" t="s">
        <v>93</v>
      </c>
      <c r="I296" t="s">
        <v>444</v>
      </c>
      <c r="J296" t="s">
        <v>567</v>
      </c>
      <c r="K296">
        <v>823068</v>
      </c>
      <c r="L296" t="s">
        <v>95</v>
      </c>
      <c r="M296" t="s">
        <v>96</v>
      </c>
      <c r="N296" t="s">
        <v>57</v>
      </c>
      <c r="O296" s="1">
        <v>46007</v>
      </c>
      <c r="Q296" s="1">
        <v>46158</v>
      </c>
      <c r="R296" s="2">
        <v>98.92</v>
      </c>
      <c r="S296">
        <v>1</v>
      </c>
      <c r="T296" t="s">
        <v>58</v>
      </c>
      <c r="U296" t="s">
        <v>173</v>
      </c>
      <c r="V296" s="3">
        <v>0.9</v>
      </c>
      <c r="W296" s="2">
        <v>0</v>
      </c>
      <c r="X296">
        <v>0</v>
      </c>
      <c r="Y296" t="s">
        <v>60</v>
      </c>
      <c r="Z296" t="s">
        <v>61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89.03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</row>
    <row r="297" spans="1:43" x14ac:dyDescent="0.3">
      <c r="A297" s="1">
        <v>46125</v>
      </c>
      <c r="B297" t="s">
        <v>48</v>
      </c>
      <c r="C297">
        <v>649163</v>
      </c>
      <c r="D297">
        <v>2032693410</v>
      </c>
      <c r="E297" t="s">
        <v>352</v>
      </c>
      <c r="F297" t="s">
        <v>353</v>
      </c>
      <c r="G297" t="s">
        <v>51</v>
      </c>
      <c r="H297" t="s">
        <v>103</v>
      </c>
      <c r="I297" t="s">
        <v>444</v>
      </c>
      <c r="J297" t="s">
        <v>466</v>
      </c>
      <c r="K297">
        <v>816021</v>
      </c>
      <c r="L297" t="s">
        <v>104</v>
      </c>
      <c r="M297" t="s">
        <v>105</v>
      </c>
      <c r="N297" t="s">
        <v>57</v>
      </c>
      <c r="O297" s="1">
        <v>46007</v>
      </c>
      <c r="Q297" s="1">
        <v>46158</v>
      </c>
      <c r="R297" s="2">
        <v>50.78</v>
      </c>
      <c r="S297">
        <v>1</v>
      </c>
      <c r="T297" t="s">
        <v>58</v>
      </c>
      <c r="U297" t="s">
        <v>173</v>
      </c>
      <c r="V297" s="3">
        <v>0.65</v>
      </c>
      <c r="W297" s="2">
        <v>0</v>
      </c>
      <c r="X297">
        <v>0</v>
      </c>
      <c r="Y297" t="s">
        <v>60</v>
      </c>
      <c r="Z297" t="s">
        <v>61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33.01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</row>
    <row r="298" spans="1:43" x14ac:dyDescent="0.3">
      <c r="A298" s="1">
        <v>46125</v>
      </c>
      <c r="B298" t="s">
        <v>48</v>
      </c>
      <c r="C298">
        <v>649163</v>
      </c>
      <c r="D298">
        <v>2032774964</v>
      </c>
      <c r="E298" t="s">
        <v>355</v>
      </c>
      <c r="F298" t="s">
        <v>356</v>
      </c>
      <c r="G298" t="s">
        <v>51</v>
      </c>
      <c r="H298" t="s">
        <v>103</v>
      </c>
      <c r="I298" t="s">
        <v>444</v>
      </c>
      <c r="J298" t="s">
        <v>466</v>
      </c>
      <c r="K298">
        <v>816021</v>
      </c>
      <c r="L298" t="s">
        <v>104</v>
      </c>
      <c r="M298" t="s">
        <v>105</v>
      </c>
      <c r="N298" t="s">
        <v>57</v>
      </c>
      <c r="O298" s="1">
        <v>46006</v>
      </c>
      <c r="Q298" s="1">
        <v>46157</v>
      </c>
      <c r="R298" s="2">
        <v>28.03</v>
      </c>
      <c r="S298">
        <v>1</v>
      </c>
      <c r="T298" t="s">
        <v>58</v>
      </c>
      <c r="U298" t="s">
        <v>173</v>
      </c>
      <c r="V298" s="3">
        <v>0.65</v>
      </c>
      <c r="W298" s="2">
        <v>0</v>
      </c>
      <c r="X298">
        <v>0</v>
      </c>
      <c r="Y298" t="s">
        <v>60</v>
      </c>
      <c r="Z298" t="s">
        <v>61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18.22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</row>
    <row r="299" spans="1:43" x14ac:dyDescent="0.3">
      <c r="A299" s="1">
        <v>46125</v>
      </c>
      <c r="B299" t="s">
        <v>48</v>
      </c>
      <c r="C299">
        <v>649163</v>
      </c>
      <c r="D299">
        <v>2032913539</v>
      </c>
      <c r="E299" t="s">
        <v>357</v>
      </c>
      <c r="F299" t="s">
        <v>358</v>
      </c>
      <c r="G299" t="s">
        <v>51</v>
      </c>
      <c r="H299" t="s">
        <v>103</v>
      </c>
      <c r="I299" t="s">
        <v>444</v>
      </c>
      <c r="J299" t="s">
        <v>451</v>
      </c>
      <c r="K299">
        <v>753748</v>
      </c>
      <c r="L299" t="s">
        <v>146</v>
      </c>
      <c r="M299" t="s">
        <v>147</v>
      </c>
      <c r="N299" t="s">
        <v>57</v>
      </c>
      <c r="O299" s="1">
        <v>46034</v>
      </c>
      <c r="Q299" s="1">
        <v>46154</v>
      </c>
      <c r="R299" s="2">
        <v>101.2</v>
      </c>
      <c r="S299">
        <v>1</v>
      </c>
      <c r="T299" t="s">
        <v>58</v>
      </c>
      <c r="U299" t="s">
        <v>173</v>
      </c>
      <c r="V299" s="3">
        <v>0.75</v>
      </c>
      <c r="W299" s="2">
        <v>0</v>
      </c>
      <c r="X299">
        <v>0</v>
      </c>
      <c r="Y299" t="s">
        <v>60</v>
      </c>
      <c r="Z299" t="s">
        <v>61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75.900000000000006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</row>
    <row r="300" spans="1:43" x14ac:dyDescent="0.3">
      <c r="A300" s="1">
        <v>46125</v>
      </c>
      <c r="B300" t="s">
        <v>48</v>
      </c>
      <c r="C300">
        <v>649163</v>
      </c>
      <c r="D300">
        <v>2033054176</v>
      </c>
      <c r="E300" t="s">
        <v>365</v>
      </c>
      <c r="F300" t="s">
        <v>366</v>
      </c>
      <c r="G300" t="s">
        <v>51</v>
      </c>
      <c r="H300" t="s">
        <v>70</v>
      </c>
      <c r="I300" t="s">
        <v>444</v>
      </c>
      <c r="J300" t="s">
        <v>451</v>
      </c>
      <c r="K300">
        <v>651818</v>
      </c>
      <c r="L300" t="s">
        <v>55</v>
      </c>
      <c r="M300" t="s">
        <v>56</v>
      </c>
      <c r="N300" t="s">
        <v>57</v>
      </c>
      <c r="O300" s="1">
        <v>46038</v>
      </c>
      <c r="Q300" s="1">
        <v>46158</v>
      </c>
      <c r="R300" s="2">
        <v>48.58</v>
      </c>
      <c r="S300">
        <v>1</v>
      </c>
      <c r="T300" t="s">
        <v>58</v>
      </c>
      <c r="U300" t="s">
        <v>173</v>
      </c>
      <c r="V300" s="3">
        <v>0.75</v>
      </c>
      <c r="W300" s="2">
        <v>0</v>
      </c>
      <c r="X300">
        <v>0</v>
      </c>
      <c r="Y300" t="s">
        <v>60</v>
      </c>
      <c r="Z300" t="s">
        <v>61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36.44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</row>
    <row r="301" spans="1:43" x14ac:dyDescent="0.3">
      <c r="A301" s="1">
        <v>46125</v>
      </c>
      <c r="B301" t="s">
        <v>48</v>
      </c>
      <c r="C301">
        <v>649163</v>
      </c>
      <c r="D301">
        <v>2033071419</v>
      </c>
      <c r="E301" t="s">
        <v>369</v>
      </c>
      <c r="F301" t="s">
        <v>370</v>
      </c>
      <c r="G301" t="s">
        <v>51</v>
      </c>
      <c r="H301" t="s">
        <v>371</v>
      </c>
      <c r="I301" t="s">
        <v>444</v>
      </c>
      <c r="J301" t="s">
        <v>454</v>
      </c>
      <c r="K301">
        <v>651818</v>
      </c>
      <c r="L301" t="s">
        <v>55</v>
      </c>
      <c r="M301" t="s">
        <v>56</v>
      </c>
      <c r="N301" t="s">
        <v>57</v>
      </c>
      <c r="O301" s="1">
        <v>46034</v>
      </c>
      <c r="Q301" s="1">
        <v>46154</v>
      </c>
      <c r="R301" s="2">
        <v>302.35000000000002</v>
      </c>
      <c r="S301">
        <v>1</v>
      </c>
      <c r="T301" t="s">
        <v>58</v>
      </c>
      <c r="U301" t="s">
        <v>173</v>
      </c>
      <c r="V301" s="3">
        <v>0.75</v>
      </c>
      <c r="W301" s="2">
        <v>0</v>
      </c>
      <c r="X301">
        <v>0</v>
      </c>
      <c r="Y301" t="s">
        <v>60</v>
      </c>
      <c r="Z301" t="s">
        <v>61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226.76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</row>
    <row r="302" spans="1:43" x14ac:dyDescent="0.3">
      <c r="A302" s="1">
        <v>46125</v>
      </c>
      <c r="B302" t="s">
        <v>48</v>
      </c>
      <c r="C302">
        <v>649163</v>
      </c>
      <c r="D302">
        <v>2033088374</v>
      </c>
      <c r="E302" t="s">
        <v>378</v>
      </c>
      <c r="F302" t="s">
        <v>379</v>
      </c>
      <c r="G302" t="s">
        <v>51</v>
      </c>
      <c r="H302" t="s">
        <v>93</v>
      </c>
      <c r="I302" t="s">
        <v>444</v>
      </c>
      <c r="J302" t="s">
        <v>567</v>
      </c>
      <c r="K302">
        <v>823068</v>
      </c>
      <c r="L302" t="s">
        <v>95</v>
      </c>
      <c r="M302" t="s">
        <v>96</v>
      </c>
      <c r="N302" t="s">
        <v>57</v>
      </c>
      <c r="O302" s="1">
        <v>46038</v>
      </c>
      <c r="Q302" s="1">
        <v>46158</v>
      </c>
      <c r="R302" s="2">
        <v>27.5</v>
      </c>
      <c r="S302">
        <v>1</v>
      </c>
      <c r="T302" t="s">
        <v>58</v>
      </c>
      <c r="U302" t="s">
        <v>173</v>
      </c>
      <c r="V302" s="3">
        <v>0.9</v>
      </c>
      <c r="W302" s="2">
        <v>0</v>
      </c>
      <c r="X302">
        <v>0</v>
      </c>
      <c r="Y302" t="s">
        <v>60</v>
      </c>
      <c r="Z302" t="s">
        <v>61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24.75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</row>
    <row r="303" spans="1:43" x14ac:dyDescent="0.3">
      <c r="A303" s="1">
        <v>46125</v>
      </c>
      <c r="B303" t="s">
        <v>48</v>
      </c>
      <c r="C303">
        <v>649163</v>
      </c>
      <c r="D303">
        <v>2033089393</v>
      </c>
      <c r="E303" t="s">
        <v>380</v>
      </c>
      <c r="F303" t="s">
        <v>252</v>
      </c>
      <c r="G303" t="s">
        <v>51</v>
      </c>
      <c r="H303" t="s">
        <v>103</v>
      </c>
      <c r="I303" t="s">
        <v>444</v>
      </c>
      <c r="J303" t="s">
        <v>451</v>
      </c>
      <c r="K303">
        <v>816021</v>
      </c>
      <c r="L303" t="s">
        <v>104</v>
      </c>
      <c r="M303" t="s">
        <v>105</v>
      </c>
      <c r="N303" t="s">
        <v>57</v>
      </c>
      <c r="O303" s="1">
        <v>46033</v>
      </c>
      <c r="Q303" s="1">
        <v>46153</v>
      </c>
      <c r="R303" s="2">
        <v>11.26</v>
      </c>
      <c r="S303">
        <v>1</v>
      </c>
      <c r="T303" t="s">
        <v>58</v>
      </c>
      <c r="U303" t="s">
        <v>173</v>
      </c>
      <c r="V303" s="3">
        <v>0.75</v>
      </c>
      <c r="W303" s="2">
        <v>0</v>
      </c>
      <c r="X303">
        <v>0</v>
      </c>
      <c r="Y303" t="s">
        <v>60</v>
      </c>
      <c r="Z303" t="s">
        <v>61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8.44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</row>
    <row r="304" spans="1:43" x14ac:dyDescent="0.3">
      <c r="A304" s="1">
        <v>46125</v>
      </c>
      <c r="B304" t="s">
        <v>48</v>
      </c>
      <c r="C304">
        <v>649163</v>
      </c>
      <c r="D304">
        <v>2033089936</v>
      </c>
      <c r="E304" t="s">
        <v>381</v>
      </c>
      <c r="F304" t="s">
        <v>149</v>
      </c>
      <c r="G304" t="s">
        <v>51</v>
      </c>
      <c r="H304" t="s">
        <v>93</v>
      </c>
      <c r="I304" t="s">
        <v>444</v>
      </c>
      <c r="J304" t="s">
        <v>567</v>
      </c>
      <c r="K304">
        <v>823068</v>
      </c>
      <c r="L304" t="s">
        <v>95</v>
      </c>
      <c r="M304" t="s">
        <v>96</v>
      </c>
      <c r="N304" t="s">
        <v>57</v>
      </c>
      <c r="O304" s="1">
        <v>46035</v>
      </c>
      <c r="Q304" s="1">
        <v>46155</v>
      </c>
      <c r="R304" s="2">
        <v>165.12</v>
      </c>
      <c r="S304">
        <v>1</v>
      </c>
      <c r="T304" t="s">
        <v>58</v>
      </c>
      <c r="U304" t="s">
        <v>173</v>
      </c>
      <c r="V304" s="3">
        <v>0.9</v>
      </c>
      <c r="W304" s="2">
        <v>0</v>
      </c>
      <c r="X304">
        <v>0</v>
      </c>
      <c r="Y304" t="s">
        <v>60</v>
      </c>
      <c r="Z304" t="s">
        <v>61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148.61000000000001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</row>
    <row r="305" spans="1:43" x14ac:dyDescent="0.3">
      <c r="A305" s="1">
        <v>46125</v>
      </c>
      <c r="B305" t="s">
        <v>48</v>
      </c>
      <c r="C305">
        <v>649163</v>
      </c>
      <c r="D305">
        <v>2033106166</v>
      </c>
      <c r="E305" t="s">
        <v>619</v>
      </c>
      <c r="F305" t="s">
        <v>620</v>
      </c>
      <c r="G305" t="s">
        <v>51</v>
      </c>
      <c r="H305" t="s">
        <v>270</v>
      </c>
      <c r="I305" t="s">
        <v>444</v>
      </c>
      <c r="J305" t="s">
        <v>567</v>
      </c>
      <c r="K305">
        <v>753748</v>
      </c>
      <c r="L305" t="s">
        <v>146</v>
      </c>
      <c r="M305" t="s">
        <v>147</v>
      </c>
      <c r="N305" t="s">
        <v>57</v>
      </c>
      <c r="O305" s="1">
        <v>46035</v>
      </c>
      <c r="Q305" s="1">
        <v>46155</v>
      </c>
      <c r="R305" s="2">
        <v>152.33000000000001</v>
      </c>
      <c r="S305">
        <v>1</v>
      </c>
      <c r="T305" t="s">
        <v>58</v>
      </c>
      <c r="U305" t="s">
        <v>173</v>
      </c>
      <c r="V305" s="3">
        <v>0.9</v>
      </c>
      <c r="W305" s="2">
        <v>0</v>
      </c>
      <c r="X305">
        <v>0</v>
      </c>
      <c r="Y305" t="s">
        <v>60</v>
      </c>
      <c r="Z305" t="s">
        <v>61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137.1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</row>
    <row r="306" spans="1:43" x14ac:dyDescent="0.3">
      <c r="A306" s="1">
        <v>46125</v>
      </c>
      <c r="B306" t="s">
        <v>48</v>
      </c>
      <c r="C306">
        <v>649163</v>
      </c>
      <c r="D306">
        <v>2033115853</v>
      </c>
      <c r="E306" t="s">
        <v>621</v>
      </c>
      <c r="F306" t="s">
        <v>622</v>
      </c>
      <c r="G306" t="s">
        <v>51</v>
      </c>
      <c r="H306" t="s">
        <v>600</v>
      </c>
      <c r="I306" t="s">
        <v>444</v>
      </c>
      <c r="J306" t="s">
        <v>451</v>
      </c>
      <c r="K306">
        <v>753748</v>
      </c>
      <c r="L306" t="s">
        <v>146</v>
      </c>
      <c r="M306" t="s">
        <v>147</v>
      </c>
      <c r="N306" t="s">
        <v>57</v>
      </c>
      <c r="O306" s="1">
        <v>46035</v>
      </c>
      <c r="Q306" s="1">
        <v>46155</v>
      </c>
      <c r="R306" s="2">
        <v>58.93</v>
      </c>
      <c r="S306">
        <v>1</v>
      </c>
      <c r="T306" t="s">
        <v>58</v>
      </c>
      <c r="U306" t="s">
        <v>173</v>
      </c>
      <c r="V306" s="3">
        <v>0.75</v>
      </c>
      <c r="W306" s="2">
        <v>0</v>
      </c>
      <c r="X306">
        <v>0</v>
      </c>
      <c r="Y306" t="s">
        <v>60</v>
      </c>
      <c r="Z306" t="s">
        <v>61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44.2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</row>
    <row r="307" spans="1:43" x14ac:dyDescent="0.3">
      <c r="A307" s="1">
        <v>46125</v>
      </c>
      <c r="B307" t="s">
        <v>48</v>
      </c>
      <c r="C307">
        <v>649163</v>
      </c>
      <c r="D307">
        <v>2033126149</v>
      </c>
      <c r="E307" t="s">
        <v>390</v>
      </c>
      <c r="F307" t="s">
        <v>391</v>
      </c>
      <c r="G307" t="s">
        <v>51</v>
      </c>
      <c r="H307" t="s">
        <v>52</v>
      </c>
      <c r="I307" t="s">
        <v>444</v>
      </c>
      <c r="J307" t="s">
        <v>451</v>
      </c>
      <c r="K307">
        <v>878036</v>
      </c>
      <c r="L307" t="s">
        <v>156</v>
      </c>
      <c r="M307" t="s">
        <v>157</v>
      </c>
      <c r="N307" t="s">
        <v>57</v>
      </c>
      <c r="O307" s="1">
        <v>46036</v>
      </c>
      <c r="Q307" s="1">
        <v>46156</v>
      </c>
      <c r="R307" s="2">
        <v>48.55</v>
      </c>
      <c r="S307">
        <v>1</v>
      </c>
      <c r="T307" t="s">
        <v>58</v>
      </c>
      <c r="U307" t="s">
        <v>173</v>
      </c>
      <c r="V307" s="3">
        <v>0.75</v>
      </c>
      <c r="W307" s="2">
        <v>0</v>
      </c>
      <c r="X307">
        <v>0</v>
      </c>
      <c r="Y307" t="s">
        <v>60</v>
      </c>
      <c r="Z307" t="s">
        <v>61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36.409999999999997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</row>
    <row r="308" spans="1:43" x14ac:dyDescent="0.3">
      <c r="A308" s="1">
        <v>46125</v>
      </c>
      <c r="B308" t="s">
        <v>48</v>
      </c>
      <c r="C308">
        <v>649163</v>
      </c>
      <c r="D308">
        <v>2033128048</v>
      </c>
      <c r="E308" t="s">
        <v>394</v>
      </c>
      <c r="F308" t="s">
        <v>395</v>
      </c>
      <c r="G308" t="s">
        <v>51</v>
      </c>
      <c r="H308" t="s">
        <v>270</v>
      </c>
      <c r="I308" t="s">
        <v>444</v>
      </c>
      <c r="J308" t="s">
        <v>451</v>
      </c>
      <c r="K308">
        <v>823350</v>
      </c>
      <c r="L308" t="s">
        <v>120</v>
      </c>
      <c r="M308" t="s">
        <v>121</v>
      </c>
      <c r="N308" t="s">
        <v>57</v>
      </c>
      <c r="O308" s="1">
        <v>46038</v>
      </c>
      <c r="Q308" s="1">
        <v>46158</v>
      </c>
      <c r="R308" s="2">
        <v>122.44</v>
      </c>
      <c r="S308">
        <v>1</v>
      </c>
      <c r="T308" t="s">
        <v>58</v>
      </c>
      <c r="U308" t="s">
        <v>173</v>
      </c>
      <c r="V308" s="3">
        <v>0.75</v>
      </c>
      <c r="W308" s="2">
        <v>0</v>
      </c>
      <c r="X308">
        <v>0</v>
      </c>
      <c r="Y308" t="s">
        <v>60</v>
      </c>
      <c r="Z308" t="s">
        <v>61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91.83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</row>
    <row r="309" spans="1:43" x14ac:dyDescent="0.3">
      <c r="A309" s="1">
        <v>46125</v>
      </c>
      <c r="B309" t="s">
        <v>48</v>
      </c>
      <c r="C309">
        <v>649163</v>
      </c>
      <c r="D309">
        <v>2033144397</v>
      </c>
      <c r="E309" t="s">
        <v>402</v>
      </c>
      <c r="F309" t="s">
        <v>403</v>
      </c>
      <c r="G309" t="s">
        <v>51</v>
      </c>
      <c r="H309" t="s">
        <v>404</v>
      </c>
      <c r="I309" t="s">
        <v>444</v>
      </c>
      <c r="J309" t="s">
        <v>454</v>
      </c>
      <c r="K309">
        <v>651818</v>
      </c>
      <c r="L309" t="s">
        <v>55</v>
      </c>
      <c r="M309" t="s">
        <v>56</v>
      </c>
      <c r="N309" t="s">
        <v>57</v>
      </c>
      <c r="O309" s="1">
        <v>46059</v>
      </c>
      <c r="Q309" s="1">
        <v>46148</v>
      </c>
      <c r="R309" s="2">
        <v>24.4</v>
      </c>
      <c r="S309">
        <v>1</v>
      </c>
      <c r="T309" t="s">
        <v>58</v>
      </c>
      <c r="U309" t="s">
        <v>173</v>
      </c>
      <c r="V309" s="3">
        <v>0.75</v>
      </c>
      <c r="W309" s="2">
        <v>0</v>
      </c>
      <c r="X309">
        <v>0</v>
      </c>
      <c r="Y309" t="s">
        <v>60</v>
      </c>
      <c r="Z309" t="s">
        <v>61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18.3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</row>
    <row r="310" spans="1:43" x14ac:dyDescent="0.3">
      <c r="A310" s="1">
        <v>46125</v>
      </c>
      <c r="B310" t="s">
        <v>48</v>
      </c>
      <c r="C310">
        <v>649163</v>
      </c>
      <c r="D310">
        <v>2033155463</v>
      </c>
      <c r="E310" t="s">
        <v>407</v>
      </c>
      <c r="F310" t="s">
        <v>408</v>
      </c>
      <c r="G310" t="s">
        <v>51</v>
      </c>
      <c r="H310" t="s">
        <v>80</v>
      </c>
      <c r="I310" t="s">
        <v>444</v>
      </c>
      <c r="J310" t="s">
        <v>451</v>
      </c>
      <c r="K310">
        <v>821015</v>
      </c>
      <c r="L310" t="s">
        <v>234</v>
      </c>
      <c r="M310" t="s">
        <v>235</v>
      </c>
      <c r="N310" t="s">
        <v>57</v>
      </c>
      <c r="O310" s="1">
        <v>46037</v>
      </c>
      <c r="Q310" s="1">
        <v>46157</v>
      </c>
      <c r="R310" s="2">
        <v>29.17</v>
      </c>
      <c r="S310">
        <v>1</v>
      </c>
      <c r="T310" t="s">
        <v>58</v>
      </c>
      <c r="U310" t="s">
        <v>173</v>
      </c>
      <c r="V310" s="3">
        <v>0.75</v>
      </c>
      <c r="W310" s="2">
        <v>0</v>
      </c>
      <c r="X310">
        <v>0</v>
      </c>
      <c r="Y310" t="s">
        <v>60</v>
      </c>
      <c r="Z310" t="s">
        <v>61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21.88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</row>
    <row r="311" spans="1:43" x14ac:dyDescent="0.3">
      <c r="A311" s="1">
        <v>46125</v>
      </c>
      <c r="B311" t="s">
        <v>48</v>
      </c>
      <c r="C311">
        <v>649163</v>
      </c>
      <c r="D311">
        <v>2033164609</v>
      </c>
      <c r="E311" t="s">
        <v>409</v>
      </c>
      <c r="F311" t="s">
        <v>410</v>
      </c>
      <c r="G311" t="s">
        <v>51</v>
      </c>
      <c r="H311" t="s">
        <v>103</v>
      </c>
      <c r="I311" t="s">
        <v>444</v>
      </c>
      <c r="J311" t="s">
        <v>466</v>
      </c>
      <c r="K311">
        <v>816021</v>
      </c>
      <c r="L311" t="s">
        <v>104</v>
      </c>
      <c r="M311" t="s">
        <v>105</v>
      </c>
      <c r="N311" t="s">
        <v>57</v>
      </c>
      <c r="O311" s="1">
        <v>46038</v>
      </c>
      <c r="Q311" s="1">
        <v>46158</v>
      </c>
      <c r="R311" s="2">
        <v>11.18</v>
      </c>
      <c r="S311">
        <v>1</v>
      </c>
      <c r="T311" t="s">
        <v>58</v>
      </c>
      <c r="U311" t="s">
        <v>173</v>
      </c>
      <c r="V311" s="3">
        <v>0.65</v>
      </c>
      <c r="W311" s="2">
        <v>0</v>
      </c>
      <c r="X311">
        <v>0</v>
      </c>
      <c r="Y311" t="s">
        <v>60</v>
      </c>
      <c r="Z311" t="s">
        <v>61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7.27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</row>
    <row r="312" spans="1:43" x14ac:dyDescent="0.3">
      <c r="A312" s="1">
        <v>46125</v>
      </c>
      <c r="B312" t="s">
        <v>48</v>
      </c>
      <c r="C312">
        <v>649163</v>
      </c>
      <c r="D312">
        <v>2033170077</v>
      </c>
      <c r="E312" t="s">
        <v>623</v>
      </c>
      <c r="F312" t="s">
        <v>453</v>
      </c>
      <c r="G312" t="s">
        <v>51</v>
      </c>
      <c r="H312" t="s">
        <v>93</v>
      </c>
      <c r="I312" t="s">
        <v>444</v>
      </c>
      <c r="J312" t="s">
        <v>567</v>
      </c>
      <c r="K312">
        <v>652037</v>
      </c>
      <c r="L312" t="s">
        <v>164</v>
      </c>
      <c r="M312" t="s">
        <v>165</v>
      </c>
      <c r="N312" t="s">
        <v>57</v>
      </c>
      <c r="O312" s="1">
        <v>46038</v>
      </c>
      <c r="Q312" s="1">
        <v>46158</v>
      </c>
      <c r="R312" s="2">
        <v>26.54</v>
      </c>
      <c r="S312">
        <v>1</v>
      </c>
      <c r="T312" t="s">
        <v>58</v>
      </c>
      <c r="U312" t="s">
        <v>173</v>
      </c>
      <c r="V312" s="3">
        <v>0.9</v>
      </c>
      <c r="W312" s="2">
        <v>0</v>
      </c>
      <c r="X312">
        <v>0</v>
      </c>
      <c r="Y312" t="s">
        <v>60</v>
      </c>
      <c r="Z312" t="s">
        <v>61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23.89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</row>
    <row r="313" spans="1:43" x14ac:dyDescent="0.3">
      <c r="A313" s="1">
        <v>46125</v>
      </c>
      <c r="B313" t="s">
        <v>48</v>
      </c>
      <c r="C313">
        <v>649163</v>
      </c>
      <c r="D313">
        <v>2033174369</v>
      </c>
      <c r="E313" t="s">
        <v>418</v>
      </c>
      <c r="F313" t="s">
        <v>419</v>
      </c>
      <c r="G313" t="s">
        <v>51</v>
      </c>
      <c r="H313" t="s">
        <v>420</v>
      </c>
      <c r="I313" t="s">
        <v>444</v>
      </c>
      <c r="J313" t="s">
        <v>451</v>
      </c>
      <c r="K313">
        <v>816021</v>
      </c>
      <c r="L313" t="s">
        <v>104</v>
      </c>
      <c r="M313" t="s">
        <v>105</v>
      </c>
      <c r="N313" t="s">
        <v>57</v>
      </c>
      <c r="O313" s="1">
        <v>46038</v>
      </c>
      <c r="Q313" s="1">
        <v>46158</v>
      </c>
      <c r="R313" s="2">
        <v>115.18</v>
      </c>
      <c r="S313">
        <v>1</v>
      </c>
      <c r="T313" t="s">
        <v>58</v>
      </c>
      <c r="U313" t="s">
        <v>173</v>
      </c>
      <c r="V313" s="3">
        <v>0.75</v>
      </c>
      <c r="W313" s="2">
        <v>0</v>
      </c>
      <c r="X313">
        <v>0</v>
      </c>
      <c r="Y313" t="s">
        <v>60</v>
      </c>
      <c r="Z313" t="s">
        <v>61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86.38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</row>
    <row r="314" spans="1:43" x14ac:dyDescent="0.3">
      <c r="A314" s="1">
        <v>46125</v>
      </c>
      <c r="B314" t="s">
        <v>48</v>
      </c>
      <c r="C314">
        <v>649163</v>
      </c>
      <c r="D314">
        <v>2033176986</v>
      </c>
      <c r="E314" t="s">
        <v>421</v>
      </c>
      <c r="F314" t="s">
        <v>422</v>
      </c>
      <c r="G314" t="s">
        <v>51</v>
      </c>
      <c r="H314" t="s">
        <v>103</v>
      </c>
      <c r="I314" t="s">
        <v>444</v>
      </c>
      <c r="J314" t="s">
        <v>466</v>
      </c>
      <c r="K314">
        <v>816021</v>
      </c>
      <c r="L314" t="s">
        <v>104</v>
      </c>
      <c r="M314" t="s">
        <v>105</v>
      </c>
      <c r="N314" t="s">
        <v>57</v>
      </c>
      <c r="O314" s="1">
        <v>46038</v>
      </c>
      <c r="Q314" s="1">
        <v>46158</v>
      </c>
      <c r="R314" s="2">
        <v>33.33</v>
      </c>
      <c r="S314">
        <v>1</v>
      </c>
      <c r="T314" t="s">
        <v>58</v>
      </c>
      <c r="U314" t="s">
        <v>173</v>
      </c>
      <c r="V314" s="3">
        <v>0.65</v>
      </c>
      <c r="W314" s="2">
        <v>0</v>
      </c>
      <c r="X314">
        <v>0</v>
      </c>
      <c r="Y314" t="s">
        <v>60</v>
      </c>
      <c r="Z314" t="s">
        <v>61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21.66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</row>
    <row r="315" spans="1:43" x14ac:dyDescent="0.3">
      <c r="A315" s="1">
        <v>46125</v>
      </c>
      <c r="B315" t="s">
        <v>48</v>
      </c>
      <c r="C315">
        <v>649163</v>
      </c>
      <c r="D315">
        <v>2033177918</v>
      </c>
      <c r="E315" t="s">
        <v>423</v>
      </c>
      <c r="F315" t="s">
        <v>424</v>
      </c>
      <c r="G315" t="s">
        <v>51</v>
      </c>
      <c r="H315" t="s">
        <v>80</v>
      </c>
      <c r="I315" t="s">
        <v>444</v>
      </c>
      <c r="J315" t="s">
        <v>454</v>
      </c>
      <c r="K315">
        <v>768887</v>
      </c>
      <c r="L315" t="s">
        <v>425</v>
      </c>
      <c r="M315" t="s">
        <v>123</v>
      </c>
      <c r="N315" t="s">
        <v>57</v>
      </c>
      <c r="O315" s="1">
        <v>46038</v>
      </c>
      <c r="Q315" s="1">
        <v>46158</v>
      </c>
      <c r="R315" s="2">
        <v>25.75</v>
      </c>
      <c r="S315">
        <v>1</v>
      </c>
      <c r="T315" t="s">
        <v>58</v>
      </c>
      <c r="U315" t="s">
        <v>173</v>
      </c>
      <c r="V315" s="3">
        <v>0.75</v>
      </c>
      <c r="W315" s="2">
        <v>0</v>
      </c>
      <c r="X315">
        <v>0</v>
      </c>
      <c r="Y315" t="s">
        <v>60</v>
      </c>
      <c r="Z315" t="s">
        <v>61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19.309999999999999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</row>
    <row r="316" spans="1:43" x14ac:dyDescent="0.3">
      <c r="A316" s="1">
        <v>46125</v>
      </c>
      <c r="B316" t="s">
        <v>48</v>
      </c>
      <c r="C316">
        <v>649163</v>
      </c>
      <c r="D316">
        <v>2033220286</v>
      </c>
      <c r="E316" t="s">
        <v>431</v>
      </c>
      <c r="F316" t="s">
        <v>432</v>
      </c>
      <c r="G316" t="s">
        <v>51</v>
      </c>
      <c r="H316" t="s">
        <v>141</v>
      </c>
      <c r="I316" t="s">
        <v>444</v>
      </c>
      <c r="J316" t="s">
        <v>454</v>
      </c>
      <c r="K316">
        <v>651818</v>
      </c>
      <c r="L316" t="s">
        <v>55</v>
      </c>
      <c r="M316" t="s">
        <v>56</v>
      </c>
      <c r="N316" t="s">
        <v>57</v>
      </c>
      <c r="O316" s="1">
        <v>46059</v>
      </c>
      <c r="Q316" s="1">
        <v>46148</v>
      </c>
      <c r="R316" s="2">
        <v>-80.55</v>
      </c>
      <c r="S316">
        <v>1</v>
      </c>
      <c r="T316" t="s">
        <v>58</v>
      </c>
      <c r="U316" t="s">
        <v>173</v>
      </c>
      <c r="V316" s="3">
        <v>0.75</v>
      </c>
      <c r="W316" s="2">
        <v>0</v>
      </c>
      <c r="X316">
        <v>-1</v>
      </c>
      <c r="Y316" t="s">
        <v>60</v>
      </c>
      <c r="Z316" t="s">
        <v>61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-60.41</v>
      </c>
      <c r="AN316" s="2">
        <v>-60.41</v>
      </c>
      <c r="AO316" s="2">
        <v>0</v>
      </c>
      <c r="AP316" s="2">
        <v>0</v>
      </c>
      <c r="AQ316" s="2">
        <v>0</v>
      </c>
    </row>
    <row r="317" spans="1:43" x14ac:dyDescent="0.3">
      <c r="A317" s="1">
        <v>46125</v>
      </c>
      <c r="B317" t="s">
        <v>48</v>
      </c>
      <c r="C317">
        <v>649163</v>
      </c>
      <c r="D317">
        <v>2033499221</v>
      </c>
      <c r="E317" t="s">
        <v>437</v>
      </c>
      <c r="F317" t="s">
        <v>438</v>
      </c>
      <c r="G317" t="s">
        <v>51</v>
      </c>
      <c r="H317" t="s">
        <v>270</v>
      </c>
      <c r="I317" t="s">
        <v>444</v>
      </c>
      <c r="J317" t="s">
        <v>451</v>
      </c>
      <c r="K317">
        <v>856824</v>
      </c>
      <c r="L317" t="s">
        <v>71</v>
      </c>
      <c r="M317" t="s">
        <v>72</v>
      </c>
      <c r="N317" t="s">
        <v>86</v>
      </c>
      <c r="O317" s="1">
        <v>46082</v>
      </c>
      <c r="P317" s="1">
        <v>46118</v>
      </c>
      <c r="Q317" s="1">
        <v>46143</v>
      </c>
      <c r="R317" s="2">
        <v>-178.7</v>
      </c>
      <c r="S317">
        <v>1</v>
      </c>
      <c r="T317" t="s">
        <v>58</v>
      </c>
      <c r="U317" t="s">
        <v>173</v>
      </c>
      <c r="V317" s="3">
        <v>0.75</v>
      </c>
      <c r="W317" s="2">
        <v>0</v>
      </c>
      <c r="X317">
        <v>-1</v>
      </c>
      <c r="Y317" t="s">
        <v>60</v>
      </c>
      <c r="Z317" t="s">
        <v>61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-134.02000000000001</v>
      </c>
      <c r="AN317" s="2">
        <v>-134.02000000000001</v>
      </c>
      <c r="AO317" s="2">
        <v>0</v>
      </c>
      <c r="AP317" s="2">
        <v>0</v>
      </c>
      <c r="AQ317" s="2">
        <v>0</v>
      </c>
    </row>
    <row r="318" spans="1:43" x14ac:dyDescent="0.3">
      <c r="A318" s="1">
        <v>46125</v>
      </c>
      <c r="B318" t="s">
        <v>48</v>
      </c>
      <c r="C318">
        <v>649163</v>
      </c>
      <c r="D318">
        <v>2033578547</v>
      </c>
      <c r="E318" t="s">
        <v>624</v>
      </c>
      <c r="F318" t="s">
        <v>625</v>
      </c>
      <c r="G318" t="s">
        <v>51</v>
      </c>
      <c r="H318" t="s">
        <v>93</v>
      </c>
      <c r="I318" t="s">
        <v>444</v>
      </c>
      <c r="J318" t="s">
        <v>567</v>
      </c>
      <c r="K318">
        <v>861933</v>
      </c>
      <c r="L318" t="s">
        <v>213</v>
      </c>
      <c r="M318" t="s">
        <v>214</v>
      </c>
      <c r="N318" t="s">
        <v>57</v>
      </c>
      <c r="O318" s="1">
        <v>46066</v>
      </c>
      <c r="Q318" s="1">
        <v>46155</v>
      </c>
      <c r="R318" s="2">
        <v>138</v>
      </c>
      <c r="S318">
        <v>1</v>
      </c>
      <c r="T318" t="s">
        <v>58</v>
      </c>
      <c r="U318" t="s">
        <v>173</v>
      </c>
      <c r="V318" s="3">
        <v>0.9</v>
      </c>
      <c r="W318" s="2">
        <v>0</v>
      </c>
      <c r="X318">
        <v>0</v>
      </c>
      <c r="Y318" t="s">
        <v>60</v>
      </c>
      <c r="Z318" t="s">
        <v>61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124.2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</row>
    <row r="319" spans="1:43" x14ac:dyDescent="0.3">
      <c r="A319" s="1">
        <v>46125</v>
      </c>
      <c r="B319" t="s">
        <v>48</v>
      </c>
      <c r="C319">
        <v>649163</v>
      </c>
      <c r="D319">
        <v>2033621992</v>
      </c>
      <c r="E319" t="s">
        <v>626</v>
      </c>
      <c r="F319" t="s">
        <v>627</v>
      </c>
      <c r="G319" t="s">
        <v>51</v>
      </c>
      <c r="H319" t="s">
        <v>64</v>
      </c>
      <c r="I319" t="s">
        <v>444</v>
      </c>
      <c r="J319" t="s">
        <v>567</v>
      </c>
      <c r="K319">
        <v>942810</v>
      </c>
      <c r="L319" t="s">
        <v>446</v>
      </c>
      <c r="M319" t="s">
        <v>447</v>
      </c>
      <c r="N319" t="s">
        <v>57</v>
      </c>
      <c r="O319" s="1">
        <v>46066</v>
      </c>
      <c r="Q319" s="1">
        <v>46155</v>
      </c>
      <c r="R319" s="2">
        <v>16.600000000000001</v>
      </c>
      <c r="S319">
        <v>1</v>
      </c>
      <c r="T319" t="s">
        <v>58</v>
      </c>
      <c r="U319" t="s">
        <v>173</v>
      </c>
      <c r="V319" s="3">
        <v>0.9</v>
      </c>
      <c r="W319" s="2">
        <v>0</v>
      </c>
      <c r="X319">
        <v>0</v>
      </c>
      <c r="Y319" t="s">
        <v>60</v>
      </c>
      <c r="Z319" t="s">
        <v>61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14.94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</row>
    <row r="320" spans="1:43" x14ac:dyDescent="0.3">
      <c r="A320" s="1">
        <v>46125</v>
      </c>
      <c r="B320" t="s">
        <v>48</v>
      </c>
      <c r="C320">
        <v>649163</v>
      </c>
      <c r="D320">
        <v>2033671194</v>
      </c>
      <c r="E320" t="s">
        <v>628</v>
      </c>
      <c r="F320" t="s">
        <v>107</v>
      </c>
      <c r="G320" t="s">
        <v>51</v>
      </c>
      <c r="H320" t="s">
        <v>612</v>
      </c>
      <c r="I320" t="s">
        <v>444</v>
      </c>
      <c r="J320" t="s">
        <v>454</v>
      </c>
      <c r="K320">
        <v>856824</v>
      </c>
      <c r="L320" t="s">
        <v>71</v>
      </c>
      <c r="M320" t="s">
        <v>72</v>
      </c>
      <c r="N320" t="s">
        <v>57</v>
      </c>
      <c r="O320" s="1">
        <v>46068</v>
      </c>
      <c r="Q320" s="1">
        <v>46157</v>
      </c>
      <c r="R320" s="2">
        <v>23.05</v>
      </c>
      <c r="S320">
        <v>1</v>
      </c>
      <c r="T320" t="s">
        <v>58</v>
      </c>
      <c r="U320" t="s">
        <v>173</v>
      </c>
      <c r="V320" s="3">
        <v>0.75</v>
      </c>
      <c r="W320" s="2">
        <v>0</v>
      </c>
      <c r="X320">
        <v>0</v>
      </c>
      <c r="Y320" t="s">
        <v>60</v>
      </c>
      <c r="Z320" t="s">
        <v>61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17.29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</row>
    <row r="321" spans="1:43" x14ac:dyDescent="0.3">
      <c r="A321" s="1">
        <v>46125</v>
      </c>
      <c r="B321" t="s">
        <v>48</v>
      </c>
      <c r="C321">
        <v>649163</v>
      </c>
      <c r="D321">
        <v>2033684746</v>
      </c>
      <c r="E321" t="s">
        <v>629</v>
      </c>
      <c r="F321" t="s">
        <v>630</v>
      </c>
      <c r="G321" t="s">
        <v>51</v>
      </c>
      <c r="H321" t="s">
        <v>103</v>
      </c>
      <c r="I321" t="s">
        <v>444</v>
      </c>
      <c r="J321" t="s">
        <v>567</v>
      </c>
      <c r="K321">
        <v>816021</v>
      </c>
      <c r="L321" t="s">
        <v>104</v>
      </c>
      <c r="M321" t="s">
        <v>105</v>
      </c>
      <c r="N321" t="s">
        <v>57</v>
      </c>
      <c r="O321" s="1">
        <v>46070</v>
      </c>
      <c r="Q321" s="1">
        <v>46159</v>
      </c>
      <c r="R321" s="2">
        <v>32.630000000000003</v>
      </c>
      <c r="S321">
        <v>1</v>
      </c>
      <c r="T321" t="s">
        <v>58</v>
      </c>
      <c r="U321" t="s">
        <v>173</v>
      </c>
      <c r="V321" s="3">
        <v>0.9</v>
      </c>
      <c r="W321" s="2">
        <v>0</v>
      </c>
      <c r="X321">
        <v>0</v>
      </c>
      <c r="Y321" t="s">
        <v>60</v>
      </c>
      <c r="Z321" t="s">
        <v>61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29.37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</row>
    <row r="322" spans="1:43" x14ac:dyDescent="0.3">
      <c r="A322" s="1">
        <v>46125</v>
      </c>
      <c r="B322" t="s">
        <v>48</v>
      </c>
      <c r="C322">
        <v>649163</v>
      </c>
      <c r="D322">
        <v>2033720704</v>
      </c>
      <c r="E322" t="s">
        <v>631</v>
      </c>
      <c r="F322" t="s">
        <v>632</v>
      </c>
      <c r="G322" t="s">
        <v>51</v>
      </c>
      <c r="H322" t="s">
        <v>70</v>
      </c>
      <c r="I322" t="s">
        <v>444</v>
      </c>
      <c r="J322" t="s">
        <v>567</v>
      </c>
      <c r="K322">
        <v>902625</v>
      </c>
      <c r="L322" t="s">
        <v>281</v>
      </c>
      <c r="M322" t="s">
        <v>282</v>
      </c>
      <c r="N322" t="s">
        <v>57</v>
      </c>
      <c r="O322" s="1">
        <v>46081</v>
      </c>
      <c r="Q322" s="1">
        <v>46140</v>
      </c>
      <c r="R322" s="2">
        <v>21.33</v>
      </c>
      <c r="S322">
        <v>1</v>
      </c>
      <c r="T322" t="s">
        <v>58</v>
      </c>
      <c r="U322" t="s">
        <v>173</v>
      </c>
      <c r="V322" s="3">
        <v>0.9</v>
      </c>
      <c r="W322" s="2">
        <v>0</v>
      </c>
      <c r="X322">
        <v>0</v>
      </c>
      <c r="Y322" t="s">
        <v>60</v>
      </c>
      <c r="Z322" t="s">
        <v>61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19.2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</row>
    <row r="323" spans="1:43" x14ac:dyDescent="0.3">
      <c r="A323" s="1">
        <v>46125</v>
      </c>
      <c r="B323" t="s">
        <v>48</v>
      </c>
      <c r="C323">
        <v>649163</v>
      </c>
      <c r="D323">
        <v>2033874817</v>
      </c>
      <c r="E323" t="s">
        <v>633</v>
      </c>
      <c r="F323" t="s">
        <v>634</v>
      </c>
      <c r="G323" t="s">
        <v>51</v>
      </c>
      <c r="H323" t="s">
        <v>70</v>
      </c>
      <c r="I323" t="s">
        <v>444</v>
      </c>
      <c r="J323" t="s">
        <v>567</v>
      </c>
      <c r="K323">
        <v>673059</v>
      </c>
      <c r="L323" t="s">
        <v>115</v>
      </c>
      <c r="M323" t="s">
        <v>116</v>
      </c>
      <c r="N323" t="s">
        <v>57</v>
      </c>
      <c r="O323" s="1">
        <v>46097</v>
      </c>
      <c r="Q323" s="1">
        <v>46158</v>
      </c>
      <c r="R323" s="2">
        <v>17.48</v>
      </c>
      <c r="S323">
        <v>1</v>
      </c>
      <c r="T323" t="s">
        <v>58</v>
      </c>
      <c r="U323" t="s">
        <v>173</v>
      </c>
      <c r="V323" s="3">
        <v>0.9</v>
      </c>
      <c r="W323" s="2">
        <v>0</v>
      </c>
      <c r="X323">
        <v>0</v>
      </c>
      <c r="Y323" t="s">
        <v>60</v>
      </c>
      <c r="Z323" t="s">
        <v>61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15.73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</row>
    <row r="324" spans="1:43" x14ac:dyDescent="0.3">
      <c r="A324" s="1">
        <v>46125</v>
      </c>
      <c r="B324" t="s">
        <v>48</v>
      </c>
      <c r="C324">
        <v>649163</v>
      </c>
      <c r="D324">
        <v>2033916972</v>
      </c>
      <c r="E324" t="s">
        <v>250</v>
      </c>
      <c r="F324" t="s">
        <v>635</v>
      </c>
      <c r="G324" t="s">
        <v>51</v>
      </c>
      <c r="H324" t="s">
        <v>93</v>
      </c>
      <c r="I324" t="s">
        <v>444</v>
      </c>
      <c r="J324" t="s">
        <v>567</v>
      </c>
      <c r="K324">
        <v>902625</v>
      </c>
      <c r="L324" t="s">
        <v>281</v>
      </c>
      <c r="M324" t="s">
        <v>282</v>
      </c>
      <c r="N324" t="s">
        <v>57</v>
      </c>
      <c r="O324" s="1">
        <v>46079</v>
      </c>
      <c r="Q324" s="1">
        <v>46138</v>
      </c>
      <c r="R324" s="2">
        <v>17.8</v>
      </c>
      <c r="S324">
        <v>1</v>
      </c>
      <c r="T324" t="s">
        <v>58</v>
      </c>
      <c r="U324" t="s">
        <v>173</v>
      </c>
      <c r="V324" s="3">
        <v>0.9</v>
      </c>
      <c r="W324" s="2">
        <v>0</v>
      </c>
      <c r="X324">
        <v>0</v>
      </c>
      <c r="Y324" t="s">
        <v>60</v>
      </c>
      <c r="Z324" t="s">
        <v>61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16.02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</row>
    <row r="325" spans="1:43" x14ac:dyDescent="0.3">
      <c r="A325" s="1">
        <v>46125</v>
      </c>
      <c r="B325" t="s">
        <v>48</v>
      </c>
      <c r="C325">
        <v>649163</v>
      </c>
      <c r="D325">
        <v>2034234839</v>
      </c>
      <c r="E325" t="s">
        <v>636</v>
      </c>
      <c r="F325" t="s">
        <v>637</v>
      </c>
      <c r="G325" t="s">
        <v>51</v>
      </c>
      <c r="H325" t="s">
        <v>103</v>
      </c>
      <c r="I325" t="s">
        <v>444</v>
      </c>
      <c r="J325" t="s">
        <v>451</v>
      </c>
      <c r="K325">
        <v>816021</v>
      </c>
      <c r="L325" t="s">
        <v>104</v>
      </c>
      <c r="M325" t="s">
        <v>105</v>
      </c>
      <c r="N325" t="s">
        <v>57</v>
      </c>
      <c r="O325" s="1">
        <v>46096</v>
      </c>
      <c r="Q325" s="1">
        <v>46157</v>
      </c>
      <c r="R325" s="2">
        <v>44.17</v>
      </c>
      <c r="S325">
        <v>1</v>
      </c>
      <c r="T325" t="s">
        <v>58</v>
      </c>
      <c r="U325" t="s">
        <v>173</v>
      </c>
      <c r="V325" s="3">
        <v>0.75</v>
      </c>
      <c r="W325" s="2">
        <v>0</v>
      </c>
      <c r="X325">
        <v>0</v>
      </c>
      <c r="Y325" t="s">
        <v>60</v>
      </c>
      <c r="Z325" t="s">
        <v>61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33.130000000000003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</row>
    <row r="326" spans="1:43" x14ac:dyDescent="0.3">
      <c r="A326" s="1">
        <v>46125</v>
      </c>
      <c r="B326" t="s">
        <v>48</v>
      </c>
      <c r="C326">
        <v>649163</v>
      </c>
      <c r="D326">
        <v>2034253787</v>
      </c>
      <c r="E326" t="s">
        <v>638</v>
      </c>
      <c r="F326" t="s">
        <v>227</v>
      </c>
      <c r="G326" t="s">
        <v>51</v>
      </c>
      <c r="H326" t="s">
        <v>103</v>
      </c>
      <c r="I326" t="s">
        <v>444</v>
      </c>
      <c r="J326" t="s">
        <v>451</v>
      </c>
      <c r="K326">
        <v>816021</v>
      </c>
      <c r="L326" t="s">
        <v>104</v>
      </c>
      <c r="M326" t="s">
        <v>105</v>
      </c>
      <c r="N326" t="s">
        <v>57</v>
      </c>
      <c r="O326" s="1">
        <v>46092</v>
      </c>
      <c r="Q326" s="1">
        <v>46153</v>
      </c>
      <c r="R326" s="2">
        <v>40.119999999999997</v>
      </c>
      <c r="S326">
        <v>1</v>
      </c>
      <c r="T326" t="s">
        <v>58</v>
      </c>
      <c r="U326" t="s">
        <v>173</v>
      </c>
      <c r="V326" s="3">
        <v>0.75</v>
      </c>
      <c r="W326" s="2">
        <v>0</v>
      </c>
      <c r="X326">
        <v>0</v>
      </c>
      <c r="Y326" t="s">
        <v>60</v>
      </c>
      <c r="Z326" t="s">
        <v>61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30.09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</row>
    <row r="327" spans="1:43" x14ac:dyDescent="0.3">
      <c r="A327" s="1">
        <v>46125</v>
      </c>
      <c r="B327" t="s">
        <v>48</v>
      </c>
      <c r="C327">
        <v>649163</v>
      </c>
      <c r="D327">
        <v>2034256767</v>
      </c>
      <c r="E327" t="s">
        <v>143</v>
      </c>
      <c r="F327" t="s">
        <v>639</v>
      </c>
      <c r="G327" t="s">
        <v>51</v>
      </c>
      <c r="H327" t="s">
        <v>182</v>
      </c>
      <c r="I327" t="s">
        <v>444</v>
      </c>
      <c r="J327" t="s">
        <v>454</v>
      </c>
      <c r="K327">
        <v>651818</v>
      </c>
      <c r="L327" t="s">
        <v>55</v>
      </c>
      <c r="M327" t="s">
        <v>56</v>
      </c>
      <c r="N327" t="s">
        <v>57</v>
      </c>
      <c r="O327" s="1">
        <v>46096</v>
      </c>
      <c r="Q327" s="1">
        <v>46157</v>
      </c>
      <c r="R327" s="2">
        <v>20.67</v>
      </c>
      <c r="S327">
        <v>1</v>
      </c>
      <c r="T327" t="s">
        <v>58</v>
      </c>
      <c r="U327" t="s">
        <v>173</v>
      </c>
      <c r="V327" s="3">
        <v>0.75</v>
      </c>
      <c r="W327" s="2">
        <v>0</v>
      </c>
      <c r="X327">
        <v>0</v>
      </c>
      <c r="Y327" t="s">
        <v>60</v>
      </c>
      <c r="Z327" t="s">
        <v>61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15.5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</row>
    <row r="328" spans="1:43" x14ac:dyDescent="0.3">
      <c r="A328" s="1">
        <v>46125</v>
      </c>
      <c r="B328" t="s">
        <v>48</v>
      </c>
      <c r="C328">
        <v>649163</v>
      </c>
      <c r="D328">
        <v>2034260111</v>
      </c>
      <c r="E328" t="s">
        <v>640</v>
      </c>
      <c r="F328" t="s">
        <v>641</v>
      </c>
      <c r="G328" t="s">
        <v>51</v>
      </c>
      <c r="H328" t="s">
        <v>103</v>
      </c>
      <c r="I328" t="s">
        <v>444</v>
      </c>
      <c r="J328" t="s">
        <v>466</v>
      </c>
      <c r="K328">
        <v>824082</v>
      </c>
      <c r="L328" t="s">
        <v>150</v>
      </c>
      <c r="M328" t="s">
        <v>151</v>
      </c>
      <c r="N328" t="s">
        <v>57</v>
      </c>
      <c r="O328" s="1">
        <v>46096</v>
      </c>
      <c r="Q328" s="1">
        <v>46157</v>
      </c>
      <c r="R328" s="2">
        <v>37.18</v>
      </c>
      <c r="S328">
        <v>1</v>
      </c>
      <c r="T328" t="s">
        <v>58</v>
      </c>
      <c r="U328" t="s">
        <v>173</v>
      </c>
      <c r="V328" s="3">
        <v>0.65</v>
      </c>
      <c r="W328" s="2">
        <v>0</v>
      </c>
      <c r="X328">
        <v>0</v>
      </c>
      <c r="Y328" t="s">
        <v>60</v>
      </c>
      <c r="Z328" t="s">
        <v>61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24.17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</row>
    <row r="329" spans="1:43" x14ac:dyDescent="0.3">
      <c r="A329" s="1">
        <v>46125</v>
      </c>
      <c r="B329" t="s">
        <v>48</v>
      </c>
      <c r="C329">
        <v>649163</v>
      </c>
      <c r="D329">
        <v>2034306132</v>
      </c>
      <c r="E329" t="s">
        <v>642</v>
      </c>
      <c r="F329" t="s">
        <v>175</v>
      </c>
      <c r="G329" t="s">
        <v>51</v>
      </c>
      <c r="H329" t="s">
        <v>64</v>
      </c>
      <c r="I329" t="s">
        <v>444</v>
      </c>
      <c r="J329" t="s">
        <v>454</v>
      </c>
      <c r="K329">
        <v>651818</v>
      </c>
      <c r="L329" t="s">
        <v>55</v>
      </c>
      <c r="M329" t="s">
        <v>56</v>
      </c>
      <c r="N329" t="s">
        <v>57</v>
      </c>
      <c r="O329" s="1">
        <v>46094</v>
      </c>
      <c r="Q329" s="1">
        <v>46155</v>
      </c>
      <c r="R329" s="2">
        <v>76.05</v>
      </c>
      <c r="S329">
        <v>1</v>
      </c>
      <c r="T329" t="s">
        <v>58</v>
      </c>
      <c r="U329" t="s">
        <v>173</v>
      </c>
      <c r="V329" s="3">
        <v>0.75</v>
      </c>
      <c r="W329" s="2">
        <v>0</v>
      </c>
      <c r="X329">
        <v>0</v>
      </c>
      <c r="Y329" t="s">
        <v>60</v>
      </c>
      <c r="Z329" t="s">
        <v>61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57.04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</row>
    <row r="330" spans="1:43" x14ac:dyDescent="0.3">
      <c r="A330" s="1">
        <v>46125</v>
      </c>
      <c r="B330" t="s">
        <v>48</v>
      </c>
      <c r="C330">
        <v>649163</v>
      </c>
      <c r="D330">
        <v>2034375763</v>
      </c>
      <c r="E330" t="s">
        <v>643</v>
      </c>
      <c r="F330" t="s">
        <v>202</v>
      </c>
      <c r="G330" t="s">
        <v>51</v>
      </c>
      <c r="H330" t="s">
        <v>644</v>
      </c>
      <c r="I330" t="s">
        <v>444</v>
      </c>
      <c r="J330" t="s">
        <v>567</v>
      </c>
      <c r="K330">
        <v>673059</v>
      </c>
      <c r="L330" t="s">
        <v>115</v>
      </c>
      <c r="M330" t="s">
        <v>116</v>
      </c>
      <c r="N330" t="s">
        <v>57</v>
      </c>
      <c r="O330" s="1">
        <v>46098</v>
      </c>
      <c r="Q330" s="1">
        <v>46159</v>
      </c>
      <c r="R330" s="2">
        <v>132</v>
      </c>
      <c r="S330">
        <v>1</v>
      </c>
      <c r="T330" t="s">
        <v>58</v>
      </c>
      <c r="U330" t="s">
        <v>173</v>
      </c>
      <c r="V330" s="3">
        <v>0.9</v>
      </c>
      <c r="W330" s="2">
        <v>0</v>
      </c>
      <c r="X330">
        <v>0</v>
      </c>
      <c r="Y330" t="s">
        <v>60</v>
      </c>
      <c r="Z330" t="s">
        <v>61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118.8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</row>
    <row r="331" spans="1:43" x14ac:dyDescent="0.3">
      <c r="A331" s="1">
        <v>46125</v>
      </c>
      <c r="B331" t="s">
        <v>48</v>
      </c>
      <c r="C331">
        <v>649163</v>
      </c>
      <c r="D331">
        <v>2034384323</v>
      </c>
      <c r="E331" t="s">
        <v>645</v>
      </c>
      <c r="F331" t="s">
        <v>147</v>
      </c>
      <c r="G331" t="s">
        <v>51</v>
      </c>
      <c r="H331" t="s">
        <v>141</v>
      </c>
      <c r="I331" t="s">
        <v>444</v>
      </c>
      <c r="J331" t="s">
        <v>567</v>
      </c>
      <c r="K331">
        <v>822733</v>
      </c>
      <c r="L331" t="s">
        <v>219</v>
      </c>
      <c r="M331" t="s">
        <v>220</v>
      </c>
      <c r="N331" t="s">
        <v>57</v>
      </c>
      <c r="O331" s="1">
        <v>46098</v>
      </c>
      <c r="Q331" s="1">
        <v>46159</v>
      </c>
      <c r="R331" s="2">
        <v>16.940000000000001</v>
      </c>
      <c r="S331">
        <v>1</v>
      </c>
      <c r="T331" t="s">
        <v>58</v>
      </c>
      <c r="U331" t="s">
        <v>173</v>
      </c>
      <c r="V331" s="3">
        <v>0.9</v>
      </c>
      <c r="W331" s="2">
        <v>0</v>
      </c>
      <c r="X331">
        <v>0</v>
      </c>
      <c r="Y331" t="s">
        <v>60</v>
      </c>
      <c r="Z331" t="s">
        <v>61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15.25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</row>
    <row r="332" spans="1:43" x14ac:dyDescent="0.3">
      <c r="A332" s="1">
        <v>46125</v>
      </c>
      <c r="B332" t="s">
        <v>48</v>
      </c>
      <c r="C332">
        <v>649163</v>
      </c>
      <c r="D332">
        <v>2034430398</v>
      </c>
      <c r="E332" t="s">
        <v>646</v>
      </c>
      <c r="F332" t="s">
        <v>548</v>
      </c>
      <c r="G332" t="s">
        <v>51</v>
      </c>
      <c r="H332" t="s">
        <v>114</v>
      </c>
      <c r="I332" t="s">
        <v>444</v>
      </c>
      <c r="J332" t="s">
        <v>451</v>
      </c>
      <c r="K332">
        <v>673059</v>
      </c>
      <c r="L332" t="s">
        <v>115</v>
      </c>
      <c r="M332" t="s">
        <v>116</v>
      </c>
      <c r="N332" t="s">
        <v>86</v>
      </c>
      <c r="O332" s="1">
        <v>46113</v>
      </c>
      <c r="P332" s="1">
        <v>46125</v>
      </c>
      <c r="Q332" s="1">
        <v>46143</v>
      </c>
      <c r="R332" s="2">
        <v>-102.2</v>
      </c>
      <c r="S332">
        <v>1</v>
      </c>
      <c r="T332" t="s">
        <v>58</v>
      </c>
      <c r="U332" t="s">
        <v>173</v>
      </c>
      <c r="V332" s="3">
        <v>0.75</v>
      </c>
      <c r="W332" s="2">
        <v>0</v>
      </c>
      <c r="X332">
        <v>-1</v>
      </c>
      <c r="Y332" t="s">
        <v>60</v>
      </c>
      <c r="Z332" t="s">
        <v>61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-76.650000000000006</v>
      </c>
      <c r="AN332" s="2">
        <v>-76.650000000000006</v>
      </c>
      <c r="AO332" s="2">
        <v>0</v>
      </c>
      <c r="AP332" s="2">
        <v>0</v>
      </c>
      <c r="AQ332" s="2">
        <v>0</v>
      </c>
    </row>
    <row r="333" spans="1:43" x14ac:dyDescent="0.3">
      <c r="A333" s="1">
        <v>46125</v>
      </c>
      <c r="B333" t="s">
        <v>48</v>
      </c>
      <c r="C333">
        <v>649163</v>
      </c>
      <c r="D333">
        <v>2034588312</v>
      </c>
      <c r="E333" t="s">
        <v>647</v>
      </c>
      <c r="F333" t="s">
        <v>310</v>
      </c>
      <c r="G333" t="s">
        <v>51</v>
      </c>
      <c r="H333" t="s">
        <v>93</v>
      </c>
      <c r="I333" t="s">
        <v>444</v>
      </c>
      <c r="J333" t="s">
        <v>567</v>
      </c>
      <c r="K333">
        <v>902625</v>
      </c>
      <c r="L333" t="s">
        <v>281</v>
      </c>
      <c r="M333" t="s">
        <v>282</v>
      </c>
      <c r="N333" t="s">
        <v>86</v>
      </c>
      <c r="O333" s="1">
        <v>46108</v>
      </c>
      <c r="P333" s="1">
        <v>46125</v>
      </c>
      <c r="Q333" s="1">
        <v>46139</v>
      </c>
      <c r="R333" s="2">
        <v>-92.76</v>
      </c>
      <c r="S333">
        <v>1</v>
      </c>
      <c r="T333" t="s">
        <v>58</v>
      </c>
      <c r="U333" t="s">
        <v>173</v>
      </c>
      <c r="V333" s="3">
        <v>0.9</v>
      </c>
      <c r="W333" s="2">
        <v>0</v>
      </c>
      <c r="X333">
        <v>-1</v>
      </c>
      <c r="Y333" t="s">
        <v>60</v>
      </c>
      <c r="Z333" t="s">
        <v>61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-83.48</v>
      </c>
      <c r="AN333" s="2">
        <v>-83.48</v>
      </c>
      <c r="AO333" s="2">
        <v>0</v>
      </c>
      <c r="AP333" s="2">
        <v>0</v>
      </c>
      <c r="AQ333" s="2">
        <v>0</v>
      </c>
    </row>
    <row r="334" spans="1:43" x14ac:dyDescent="0.3">
      <c r="A334" s="1">
        <v>46125</v>
      </c>
      <c r="B334" t="s">
        <v>48</v>
      </c>
      <c r="C334">
        <v>649163</v>
      </c>
      <c r="D334">
        <v>2034615253</v>
      </c>
      <c r="E334" t="s">
        <v>648</v>
      </c>
      <c r="F334" t="s">
        <v>649</v>
      </c>
      <c r="G334" t="s">
        <v>51</v>
      </c>
      <c r="H334" t="s">
        <v>650</v>
      </c>
      <c r="I334" t="s">
        <v>444</v>
      </c>
      <c r="J334" t="s">
        <v>567</v>
      </c>
      <c r="K334">
        <v>753748</v>
      </c>
      <c r="L334" t="s">
        <v>146</v>
      </c>
      <c r="M334" t="s">
        <v>147</v>
      </c>
      <c r="N334" t="s">
        <v>86</v>
      </c>
      <c r="O334" s="1">
        <v>46117</v>
      </c>
      <c r="P334" s="1">
        <v>46125</v>
      </c>
      <c r="Q334" s="1">
        <v>46147</v>
      </c>
      <c r="R334" s="2">
        <v>-73.239999999999995</v>
      </c>
      <c r="S334">
        <v>1</v>
      </c>
      <c r="T334" t="s">
        <v>58</v>
      </c>
      <c r="U334" t="s">
        <v>173</v>
      </c>
      <c r="V334" s="3">
        <v>0.9</v>
      </c>
      <c r="W334" s="2">
        <v>0</v>
      </c>
      <c r="X334">
        <v>-1</v>
      </c>
      <c r="Y334" t="s">
        <v>60</v>
      </c>
      <c r="Z334" t="s">
        <v>61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-65.92</v>
      </c>
      <c r="AN334" s="2">
        <v>-65.92</v>
      </c>
      <c r="AO334" s="2">
        <v>0</v>
      </c>
      <c r="AP334" s="2">
        <v>0</v>
      </c>
      <c r="AQ334" s="2">
        <v>0</v>
      </c>
    </row>
    <row r="335" spans="1:43" x14ac:dyDescent="0.3">
      <c r="A335" s="1">
        <v>46125</v>
      </c>
      <c r="B335" t="s">
        <v>48</v>
      </c>
      <c r="C335">
        <v>649163</v>
      </c>
      <c r="D335">
        <v>2023867556</v>
      </c>
      <c r="E335" t="s">
        <v>56</v>
      </c>
      <c r="F335" t="s">
        <v>651</v>
      </c>
      <c r="G335" t="s">
        <v>51</v>
      </c>
      <c r="H335" t="s">
        <v>256</v>
      </c>
      <c r="I335" t="s">
        <v>475</v>
      </c>
      <c r="J335" t="s">
        <v>652</v>
      </c>
      <c r="K335">
        <v>650218</v>
      </c>
      <c r="L335" t="s">
        <v>544</v>
      </c>
      <c r="M335" t="s">
        <v>324</v>
      </c>
      <c r="N335" t="s">
        <v>57</v>
      </c>
      <c r="O335" s="1">
        <v>45483</v>
      </c>
      <c r="Q335" s="1">
        <v>46152</v>
      </c>
      <c r="R335" s="2">
        <v>15</v>
      </c>
      <c r="S335">
        <v>1</v>
      </c>
      <c r="T335" t="s">
        <v>58</v>
      </c>
      <c r="U335" t="s">
        <v>59</v>
      </c>
      <c r="V335" s="3">
        <v>0.1</v>
      </c>
      <c r="W335" s="2">
        <v>0</v>
      </c>
      <c r="X335">
        <v>0</v>
      </c>
      <c r="Y335" t="s">
        <v>536</v>
      </c>
      <c r="Z335" t="s">
        <v>61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1.5</v>
      </c>
      <c r="AN335" s="2">
        <v>1.5</v>
      </c>
      <c r="AO335" s="2">
        <v>0</v>
      </c>
      <c r="AP335" s="2">
        <v>0</v>
      </c>
      <c r="AQ335" s="2">
        <v>0</v>
      </c>
    </row>
    <row r="336" spans="1:43" x14ac:dyDescent="0.3">
      <c r="A336" s="1">
        <v>46125</v>
      </c>
      <c r="B336" t="s">
        <v>48</v>
      </c>
      <c r="C336">
        <v>649163</v>
      </c>
      <c r="D336">
        <v>2024372430</v>
      </c>
      <c r="E336" t="s">
        <v>653</v>
      </c>
      <c r="F336" t="s">
        <v>654</v>
      </c>
      <c r="G336" t="s">
        <v>51</v>
      </c>
      <c r="H336" t="s">
        <v>420</v>
      </c>
      <c r="I336" t="s">
        <v>475</v>
      </c>
      <c r="J336" t="s">
        <v>482</v>
      </c>
      <c r="K336">
        <v>669316</v>
      </c>
      <c r="L336" t="s">
        <v>655</v>
      </c>
      <c r="M336" t="s">
        <v>656</v>
      </c>
      <c r="N336" t="s">
        <v>57</v>
      </c>
      <c r="O336" s="1">
        <v>45518</v>
      </c>
      <c r="Q336" s="1">
        <v>46156</v>
      </c>
      <c r="R336" s="2">
        <v>15</v>
      </c>
      <c r="S336">
        <v>1</v>
      </c>
      <c r="T336" t="s">
        <v>58</v>
      </c>
      <c r="U336" t="s">
        <v>59</v>
      </c>
      <c r="V336" s="3">
        <v>0.28999999999999998</v>
      </c>
      <c r="W336" s="2">
        <v>0</v>
      </c>
      <c r="X336">
        <v>0</v>
      </c>
      <c r="Y336" t="s">
        <v>536</v>
      </c>
      <c r="Z336" t="s">
        <v>61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4.3499999999999996</v>
      </c>
      <c r="AN336" s="2">
        <v>4.3499999999999996</v>
      </c>
      <c r="AO336" s="2">
        <v>0</v>
      </c>
      <c r="AP336" s="2">
        <v>0</v>
      </c>
      <c r="AQ336" s="2">
        <v>0</v>
      </c>
    </row>
    <row r="337" spans="1:43" x14ac:dyDescent="0.3">
      <c r="A337" s="1">
        <v>46125</v>
      </c>
      <c r="B337" t="s">
        <v>48</v>
      </c>
      <c r="C337">
        <v>649163</v>
      </c>
      <c r="D337">
        <v>2024853076</v>
      </c>
      <c r="E337" t="s">
        <v>657</v>
      </c>
      <c r="F337" t="s">
        <v>658</v>
      </c>
      <c r="G337" t="s">
        <v>51</v>
      </c>
      <c r="H337" t="s">
        <v>52</v>
      </c>
      <c r="I337" t="s">
        <v>475</v>
      </c>
      <c r="J337" t="s">
        <v>652</v>
      </c>
      <c r="K337">
        <v>650218</v>
      </c>
      <c r="L337" t="s">
        <v>544</v>
      </c>
      <c r="M337" t="s">
        <v>324</v>
      </c>
      <c r="N337" t="s">
        <v>57</v>
      </c>
      <c r="O337" s="1">
        <v>45550</v>
      </c>
      <c r="Q337" s="1">
        <v>46157</v>
      </c>
      <c r="R337" s="2">
        <v>15</v>
      </c>
      <c r="S337">
        <v>1</v>
      </c>
      <c r="T337" t="s">
        <v>58</v>
      </c>
      <c r="U337" t="s">
        <v>59</v>
      </c>
      <c r="V337" s="3">
        <v>0.1</v>
      </c>
      <c r="W337" s="2">
        <v>0</v>
      </c>
      <c r="X337">
        <v>0</v>
      </c>
      <c r="Y337" t="s">
        <v>536</v>
      </c>
      <c r="Z337" t="s">
        <v>61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1.5</v>
      </c>
      <c r="AN337" s="2">
        <v>1.5</v>
      </c>
      <c r="AO337" s="2">
        <v>0</v>
      </c>
      <c r="AP337" s="2">
        <v>0</v>
      </c>
      <c r="AQ337" s="2">
        <v>0</v>
      </c>
    </row>
    <row r="338" spans="1:43" x14ac:dyDescent="0.3">
      <c r="A338" s="1">
        <v>46125</v>
      </c>
      <c r="B338" t="s">
        <v>48</v>
      </c>
      <c r="C338">
        <v>649163</v>
      </c>
      <c r="D338">
        <v>2033585244</v>
      </c>
      <c r="E338" t="s">
        <v>439</v>
      </c>
      <c r="F338" t="s">
        <v>440</v>
      </c>
      <c r="G338" t="s">
        <v>51</v>
      </c>
      <c r="H338" t="s">
        <v>80</v>
      </c>
      <c r="I338" t="s">
        <v>53</v>
      </c>
      <c r="J338" t="s">
        <v>65</v>
      </c>
      <c r="K338">
        <v>840313</v>
      </c>
      <c r="L338" t="s">
        <v>441</v>
      </c>
      <c r="M338" t="s">
        <v>442</v>
      </c>
      <c r="N338" t="s">
        <v>57</v>
      </c>
      <c r="O338" s="1">
        <v>46064</v>
      </c>
      <c r="Q338" s="1">
        <v>46153</v>
      </c>
      <c r="R338" s="2">
        <v>10.31</v>
      </c>
      <c r="S338">
        <v>1</v>
      </c>
      <c r="T338" t="s">
        <v>58</v>
      </c>
      <c r="U338" t="s">
        <v>173</v>
      </c>
      <c r="V338" s="3">
        <v>0.9</v>
      </c>
      <c r="W338" s="2">
        <v>0</v>
      </c>
      <c r="X338">
        <v>0</v>
      </c>
      <c r="Y338" t="s">
        <v>60</v>
      </c>
      <c r="Z338" t="s">
        <v>61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9.2799999999999994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</row>
    <row r="339" spans="1:43" x14ac:dyDescent="0.3">
      <c r="A339" s="1">
        <v>46125</v>
      </c>
      <c r="B339" t="s">
        <v>48</v>
      </c>
      <c r="C339">
        <v>649163</v>
      </c>
      <c r="D339">
        <v>2033592051</v>
      </c>
      <c r="E339" t="s">
        <v>659</v>
      </c>
      <c r="F339" t="s">
        <v>660</v>
      </c>
      <c r="G339" t="s">
        <v>51</v>
      </c>
      <c r="H339" t="s">
        <v>661</v>
      </c>
      <c r="I339" t="s">
        <v>53</v>
      </c>
      <c r="J339" t="s">
        <v>54</v>
      </c>
      <c r="K339">
        <v>767312</v>
      </c>
      <c r="L339" t="s">
        <v>134</v>
      </c>
      <c r="M339" t="s">
        <v>98</v>
      </c>
      <c r="N339" t="s">
        <v>57</v>
      </c>
      <c r="O339" s="1">
        <v>46068</v>
      </c>
      <c r="Q339" s="1">
        <v>46157</v>
      </c>
      <c r="R339" s="2">
        <v>56.55</v>
      </c>
      <c r="S339">
        <v>1</v>
      </c>
      <c r="T339" t="s">
        <v>58</v>
      </c>
      <c r="U339" t="s">
        <v>173</v>
      </c>
      <c r="V339" s="3">
        <v>0.7</v>
      </c>
      <c r="W339" s="2">
        <v>0</v>
      </c>
      <c r="X339">
        <v>0</v>
      </c>
      <c r="Y339" t="s">
        <v>60</v>
      </c>
      <c r="Z339" t="s">
        <v>61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39.58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</row>
    <row r="340" spans="1:43" x14ac:dyDescent="0.3">
      <c r="A340" s="1">
        <v>46125</v>
      </c>
      <c r="B340" t="s">
        <v>48</v>
      </c>
      <c r="C340">
        <v>649163</v>
      </c>
      <c r="D340">
        <v>2033607437</v>
      </c>
      <c r="E340" t="s">
        <v>662</v>
      </c>
      <c r="F340" t="s">
        <v>663</v>
      </c>
      <c r="G340" t="s">
        <v>51</v>
      </c>
      <c r="H340" t="s">
        <v>80</v>
      </c>
      <c r="I340" t="s">
        <v>53</v>
      </c>
      <c r="J340" t="s">
        <v>54</v>
      </c>
      <c r="K340">
        <v>807212</v>
      </c>
      <c r="L340" t="s">
        <v>89</v>
      </c>
      <c r="M340" t="s">
        <v>90</v>
      </c>
      <c r="N340" t="s">
        <v>57</v>
      </c>
      <c r="O340" s="1">
        <v>46065</v>
      </c>
      <c r="Q340" s="1">
        <v>46154</v>
      </c>
      <c r="R340" s="2">
        <v>76.709999999999994</v>
      </c>
      <c r="S340">
        <v>1</v>
      </c>
      <c r="T340" t="s">
        <v>58</v>
      </c>
      <c r="U340" t="s">
        <v>173</v>
      </c>
      <c r="V340" s="3">
        <v>0.7</v>
      </c>
      <c r="W340" s="2">
        <v>0</v>
      </c>
      <c r="X340">
        <v>0</v>
      </c>
      <c r="Y340" t="s">
        <v>60</v>
      </c>
      <c r="Z340" t="s">
        <v>61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53.7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</row>
    <row r="341" spans="1:43" x14ac:dyDescent="0.3">
      <c r="A341" s="1">
        <v>46125</v>
      </c>
      <c r="B341" t="s">
        <v>48</v>
      </c>
      <c r="C341">
        <v>649163</v>
      </c>
      <c r="D341">
        <v>2033609327</v>
      </c>
      <c r="E341" t="s">
        <v>664</v>
      </c>
      <c r="F341" t="s">
        <v>665</v>
      </c>
      <c r="G341" t="s">
        <v>51</v>
      </c>
      <c r="H341" t="s">
        <v>223</v>
      </c>
      <c r="I341" t="s">
        <v>53</v>
      </c>
      <c r="J341" t="s">
        <v>54</v>
      </c>
      <c r="K341">
        <v>673059</v>
      </c>
      <c r="L341" t="s">
        <v>115</v>
      </c>
      <c r="M341" t="s">
        <v>116</v>
      </c>
      <c r="N341" t="s">
        <v>57</v>
      </c>
      <c r="O341" s="1">
        <v>46065</v>
      </c>
      <c r="Q341" s="1">
        <v>46154</v>
      </c>
      <c r="R341" s="2">
        <v>75.69</v>
      </c>
      <c r="S341">
        <v>1</v>
      </c>
      <c r="T341" t="s">
        <v>58</v>
      </c>
      <c r="U341" t="s">
        <v>173</v>
      </c>
      <c r="V341" s="3">
        <v>0.7</v>
      </c>
      <c r="W341" s="2">
        <v>0</v>
      </c>
      <c r="X341">
        <v>0</v>
      </c>
      <c r="Y341" t="s">
        <v>60</v>
      </c>
      <c r="Z341" t="s">
        <v>61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52.98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</row>
    <row r="342" spans="1:43" x14ac:dyDescent="0.3">
      <c r="A342" s="1">
        <v>46125</v>
      </c>
      <c r="B342" t="s">
        <v>48</v>
      </c>
      <c r="C342">
        <v>649163</v>
      </c>
      <c r="D342">
        <v>2033621991</v>
      </c>
      <c r="E342" t="s">
        <v>626</v>
      </c>
      <c r="F342" t="s">
        <v>627</v>
      </c>
      <c r="G342" t="s">
        <v>51</v>
      </c>
      <c r="H342" t="s">
        <v>64</v>
      </c>
      <c r="I342" t="s">
        <v>53</v>
      </c>
      <c r="J342" t="s">
        <v>54</v>
      </c>
      <c r="K342">
        <v>942810</v>
      </c>
      <c r="L342" t="s">
        <v>446</v>
      </c>
      <c r="M342" t="s">
        <v>447</v>
      </c>
      <c r="N342" t="s">
        <v>57</v>
      </c>
      <c r="O342" s="1">
        <v>46066</v>
      </c>
      <c r="Q342" s="1">
        <v>46155</v>
      </c>
      <c r="R342" s="2">
        <v>15.18</v>
      </c>
      <c r="S342">
        <v>1</v>
      </c>
      <c r="T342" t="s">
        <v>58</v>
      </c>
      <c r="U342" t="s">
        <v>173</v>
      </c>
      <c r="V342" s="3">
        <v>0.7</v>
      </c>
      <c r="W342" s="2">
        <v>0</v>
      </c>
      <c r="X342">
        <v>0</v>
      </c>
      <c r="Y342" t="s">
        <v>60</v>
      </c>
      <c r="Z342" t="s">
        <v>61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10.63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</row>
    <row r="343" spans="1:43" x14ac:dyDescent="0.3">
      <c r="A343" s="1">
        <v>46125</v>
      </c>
      <c r="B343" t="s">
        <v>48</v>
      </c>
      <c r="C343">
        <v>649163</v>
      </c>
      <c r="D343">
        <v>2033650828</v>
      </c>
      <c r="E343" t="s">
        <v>666</v>
      </c>
      <c r="F343" t="s">
        <v>667</v>
      </c>
      <c r="G343" t="s">
        <v>51</v>
      </c>
      <c r="H343" t="s">
        <v>80</v>
      </c>
      <c r="I343" t="s">
        <v>53</v>
      </c>
      <c r="J343" t="s">
        <v>54</v>
      </c>
      <c r="K343">
        <v>806645</v>
      </c>
      <c r="L343" t="s">
        <v>262</v>
      </c>
      <c r="M343" t="s">
        <v>263</v>
      </c>
      <c r="N343" t="s">
        <v>86</v>
      </c>
      <c r="O343" s="1">
        <v>46067</v>
      </c>
      <c r="P343" s="1">
        <v>46125</v>
      </c>
      <c r="Q343" s="1">
        <v>46126</v>
      </c>
      <c r="R343" s="2">
        <v>-28.15</v>
      </c>
      <c r="S343">
        <v>1</v>
      </c>
      <c r="T343" t="s">
        <v>58</v>
      </c>
      <c r="U343" t="s">
        <v>173</v>
      </c>
      <c r="V343" s="3">
        <v>0.7</v>
      </c>
      <c r="W343" s="2">
        <v>0</v>
      </c>
      <c r="X343">
        <v>-1</v>
      </c>
      <c r="Y343" t="s">
        <v>60</v>
      </c>
      <c r="Z343" t="s">
        <v>61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-19.7</v>
      </c>
      <c r="AN343" s="2">
        <v>-19.7</v>
      </c>
      <c r="AO343" s="2">
        <v>0</v>
      </c>
      <c r="AP343" s="2">
        <v>0</v>
      </c>
      <c r="AQ343" s="2">
        <v>0</v>
      </c>
    </row>
    <row r="344" spans="1:43" x14ac:dyDescent="0.3">
      <c r="A344" s="1">
        <v>46125</v>
      </c>
      <c r="B344" t="s">
        <v>48</v>
      </c>
      <c r="C344">
        <v>649163</v>
      </c>
      <c r="D344">
        <v>2033682254</v>
      </c>
      <c r="E344" t="s">
        <v>668</v>
      </c>
      <c r="F344" t="s">
        <v>669</v>
      </c>
      <c r="G344" t="s">
        <v>51</v>
      </c>
      <c r="H344" t="s">
        <v>52</v>
      </c>
      <c r="I344" t="s">
        <v>53</v>
      </c>
      <c r="J344" t="s">
        <v>54</v>
      </c>
      <c r="K344">
        <v>948357</v>
      </c>
      <c r="L344" t="s">
        <v>670</v>
      </c>
      <c r="M344" t="s">
        <v>671</v>
      </c>
      <c r="N344" t="s">
        <v>57</v>
      </c>
      <c r="O344" s="1">
        <v>46070</v>
      </c>
      <c r="Q344" s="1">
        <v>46159</v>
      </c>
      <c r="R344" s="2">
        <v>22.83</v>
      </c>
      <c r="S344">
        <v>1</v>
      </c>
      <c r="T344" t="s">
        <v>58</v>
      </c>
      <c r="U344" t="s">
        <v>173</v>
      </c>
      <c r="V344" s="3">
        <v>0.7</v>
      </c>
      <c r="W344" s="2">
        <v>0</v>
      </c>
      <c r="X344">
        <v>0</v>
      </c>
      <c r="Y344" t="s">
        <v>60</v>
      </c>
      <c r="Z344" t="s">
        <v>61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15.98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</row>
    <row r="345" spans="1:43" x14ac:dyDescent="0.3">
      <c r="A345" s="1">
        <v>46125</v>
      </c>
      <c r="B345" t="s">
        <v>48</v>
      </c>
      <c r="C345">
        <v>649163</v>
      </c>
      <c r="D345">
        <v>2033684745</v>
      </c>
      <c r="E345" t="s">
        <v>629</v>
      </c>
      <c r="F345" t="s">
        <v>630</v>
      </c>
      <c r="G345" t="s">
        <v>51</v>
      </c>
      <c r="H345" t="s">
        <v>103</v>
      </c>
      <c r="I345" t="s">
        <v>53</v>
      </c>
      <c r="J345" t="s">
        <v>54</v>
      </c>
      <c r="K345">
        <v>816021</v>
      </c>
      <c r="L345" t="s">
        <v>104</v>
      </c>
      <c r="M345" t="s">
        <v>105</v>
      </c>
      <c r="N345" t="s">
        <v>57</v>
      </c>
      <c r="O345" s="1">
        <v>46070</v>
      </c>
      <c r="Q345" s="1">
        <v>46159</v>
      </c>
      <c r="R345" s="2">
        <v>9.1</v>
      </c>
      <c r="S345">
        <v>1</v>
      </c>
      <c r="T345" t="s">
        <v>58</v>
      </c>
      <c r="U345" t="s">
        <v>173</v>
      </c>
      <c r="V345" s="3">
        <v>0.7</v>
      </c>
      <c r="W345" s="2">
        <v>0</v>
      </c>
      <c r="X345">
        <v>0</v>
      </c>
      <c r="Y345" t="s">
        <v>60</v>
      </c>
      <c r="Z345" t="s">
        <v>61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6.37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</row>
    <row r="346" spans="1:43" x14ac:dyDescent="0.3">
      <c r="A346" s="1">
        <v>46125</v>
      </c>
      <c r="B346" t="s">
        <v>48</v>
      </c>
      <c r="C346">
        <v>649163</v>
      </c>
      <c r="D346">
        <v>2033720703</v>
      </c>
      <c r="E346" t="s">
        <v>631</v>
      </c>
      <c r="F346" t="s">
        <v>632</v>
      </c>
      <c r="G346" t="s">
        <v>51</v>
      </c>
      <c r="H346" t="s">
        <v>70</v>
      </c>
      <c r="I346" t="s">
        <v>53</v>
      </c>
      <c r="J346" t="s">
        <v>54</v>
      </c>
      <c r="K346">
        <v>902625</v>
      </c>
      <c r="L346" t="s">
        <v>281</v>
      </c>
      <c r="M346" t="s">
        <v>282</v>
      </c>
      <c r="N346" t="s">
        <v>57</v>
      </c>
      <c r="O346" s="1">
        <v>46081</v>
      </c>
      <c r="Q346" s="1">
        <v>46140</v>
      </c>
      <c r="R346" s="2">
        <v>13</v>
      </c>
      <c r="S346">
        <v>1</v>
      </c>
      <c r="T346" t="s">
        <v>58</v>
      </c>
      <c r="U346" t="s">
        <v>173</v>
      </c>
      <c r="V346" s="3">
        <v>0.7</v>
      </c>
      <c r="W346" s="2">
        <v>0</v>
      </c>
      <c r="X346">
        <v>0</v>
      </c>
      <c r="Y346" t="s">
        <v>60</v>
      </c>
      <c r="Z346" t="s">
        <v>61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9.1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</row>
    <row r="347" spans="1:43" x14ac:dyDescent="0.3">
      <c r="A347" s="1">
        <v>46125</v>
      </c>
      <c r="B347" t="s">
        <v>48</v>
      </c>
      <c r="C347">
        <v>649163</v>
      </c>
      <c r="D347">
        <v>2033741861</v>
      </c>
      <c r="E347" t="s">
        <v>672</v>
      </c>
      <c r="F347" t="s">
        <v>673</v>
      </c>
      <c r="G347" t="s">
        <v>51</v>
      </c>
      <c r="H347" t="s">
        <v>457</v>
      </c>
      <c r="I347" t="s">
        <v>53</v>
      </c>
      <c r="J347" t="s">
        <v>54</v>
      </c>
      <c r="K347">
        <v>950271</v>
      </c>
      <c r="L347" t="s">
        <v>674</v>
      </c>
      <c r="M347" t="s">
        <v>675</v>
      </c>
      <c r="N347" t="s">
        <v>57</v>
      </c>
      <c r="O347" s="1">
        <v>46082</v>
      </c>
      <c r="Q347" s="1">
        <v>46143</v>
      </c>
      <c r="R347" s="2">
        <v>92.76</v>
      </c>
      <c r="S347">
        <v>1</v>
      </c>
      <c r="T347" t="s">
        <v>58</v>
      </c>
      <c r="U347" t="s">
        <v>173</v>
      </c>
      <c r="V347" s="3">
        <v>0.7</v>
      </c>
      <c r="W347" s="2">
        <v>0</v>
      </c>
      <c r="X347">
        <v>0</v>
      </c>
      <c r="Y347" t="s">
        <v>60</v>
      </c>
      <c r="Z347" t="s">
        <v>61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64.930000000000007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</row>
    <row r="348" spans="1:43" x14ac:dyDescent="0.3">
      <c r="A348" s="1">
        <v>46125</v>
      </c>
      <c r="B348" t="s">
        <v>48</v>
      </c>
      <c r="C348">
        <v>649163</v>
      </c>
      <c r="D348">
        <v>2033741862</v>
      </c>
      <c r="E348" t="s">
        <v>672</v>
      </c>
      <c r="F348" t="s">
        <v>673</v>
      </c>
      <c r="G348" t="s">
        <v>51</v>
      </c>
      <c r="H348" t="s">
        <v>457</v>
      </c>
      <c r="I348" t="s">
        <v>53</v>
      </c>
      <c r="J348" t="s">
        <v>94</v>
      </c>
      <c r="K348">
        <v>950271</v>
      </c>
      <c r="L348" t="s">
        <v>674</v>
      </c>
      <c r="M348" t="s">
        <v>675</v>
      </c>
      <c r="N348" t="s">
        <v>57</v>
      </c>
      <c r="O348" s="1">
        <v>46082</v>
      </c>
      <c r="Q348" s="1">
        <v>46143</v>
      </c>
      <c r="R348" s="2">
        <v>42.08</v>
      </c>
      <c r="S348">
        <v>1</v>
      </c>
      <c r="T348" t="s">
        <v>58</v>
      </c>
      <c r="U348" t="s">
        <v>173</v>
      </c>
      <c r="V348" s="3">
        <v>0.42</v>
      </c>
      <c r="W348" s="2">
        <v>0</v>
      </c>
      <c r="X348">
        <v>0</v>
      </c>
      <c r="Y348" t="s">
        <v>60</v>
      </c>
      <c r="Z348" t="s">
        <v>61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17.670000000000002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</row>
    <row r="349" spans="1:43" x14ac:dyDescent="0.3">
      <c r="A349" s="1">
        <v>46125</v>
      </c>
      <c r="B349" t="s">
        <v>48</v>
      </c>
      <c r="C349">
        <v>649163</v>
      </c>
      <c r="D349">
        <v>2033874816</v>
      </c>
      <c r="E349" t="s">
        <v>633</v>
      </c>
      <c r="F349" t="s">
        <v>634</v>
      </c>
      <c r="G349" t="s">
        <v>51</v>
      </c>
      <c r="H349" t="s">
        <v>70</v>
      </c>
      <c r="I349" t="s">
        <v>53</v>
      </c>
      <c r="J349" t="s">
        <v>54</v>
      </c>
      <c r="K349">
        <v>673059</v>
      </c>
      <c r="L349" t="s">
        <v>115</v>
      </c>
      <c r="M349" t="s">
        <v>116</v>
      </c>
      <c r="N349" t="s">
        <v>57</v>
      </c>
      <c r="O349" s="1">
        <v>46097</v>
      </c>
      <c r="Q349" s="1">
        <v>46158</v>
      </c>
      <c r="R349" s="2">
        <v>73.22</v>
      </c>
      <c r="S349">
        <v>1</v>
      </c>
      <c r="T349" t="s">
        <v>58</v>
      </c>
      <c r="U349" t="s">
        <v>173</v>
      </c>
      <c r="V349" s="3">
        <v>0.7</v>
      </c>
      <c r="W349" s="2">
        <v>0</v>
      </c>
      <c r="X349">
        <v>0</v>
      </c>
      <c r="Y349" t="s">
        <v>60</v>
      </c>
      <c r="Z349" t="s">
        <v>61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51.25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</row>
    <row r="350" spans="1:43" x14ac:dyDescent="0.3">
      <c r="A350" s="1">
        <v>46125</v>
      </c>
      <c r="B350" t="s">
        <v>48</v>
      </c>
      <c r="C350">
        <v>649163</v>
      </c>
      <c r="D350">
        <v>2033916971</v>
      </c>
      <c r="E350" t="s">
        <v>250</v>
      </c>
      <c r="F350" t="s">
        <v>635</v>
      </c>
      <c r="G350" t="s">
        <v>51</v>
      </c>
      <c r="H350" t="s">
        <v>93</v>
      </c>
      <c r="I350" t="s">
        <v>53</v>
      </c>
      <c r="J350" t="s">
        <v>97</v>
      </c>
      <c r="K350">
        <v>902625</v>
      </c>
      <c r="L350" t="s">
        <v>281</v>
      </c>
      <c r="M350" t="s">
        <v>282</v>
      </c>
      <c r="N350" t="s">
        <v>57</v>
      </c>
      <c r="O350" s="1">
        <v>46079</v>
      </c>
      <c r="Q350" s="1">
        <v>46138</v>
      </c>
      <c r="R350" s="2">
        <v>24.61</v>
      </c>
      <c r="S350">
        <v>1</v>
      </c>
      <c r="T350" t="s">
        <v>58</v>
      </c>
      <c r="U350" t="s">
        <v>173</v>
      </c>
      <c r="V350" s="3">
        <v>0.7</v>
      </c>
      <c r="W350" s="2">
        <v>0</v>
      </c>
      <c r="X350">
        <v>0</v>
      </c>
      <c r="Y350" t="s">
        <v>60</v>
      </c>
      <c r="Z350" t="s">
        <v>61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17.23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</row>
    <row r="351" spans="1:43" x14ac:dyDescent="0.3">
      <c r="A351" s="1">
        <v>46125</v>
      </c>
      <c r="B351" t="s">
        <v>48</v>
      </c>
      <c r="C351">
        <v>649163</v>
      </c>
      <c r="D351">
        <v>2033916973</v>
      </c>
      <c r="E351" t="s">
        <v>250</v>
      </c>
      <c r="F351" t="s">
        <v>635</v>
      </c>
      <c r="G351" t="s">
        <v>51</v>
      </c>
      <c r="H351" t="s">
        <v>93</v>
      </c>
      <c r="I351" t="s">
        <v>53</v>
      </c>
      <c r="J351" t="s">
        <v>94</v>
      </c>
      <c r="K351">
        <v>902625</v>
      </c>
      <c r="L351" t="s">
        <v>281</v>
      </c>
      <c r="M351" t="s">
        <v>282</v>
      </c>
      <c r="N351" t="s">
        <v>57</v>
      </c>
      <c r="O351" s="1">
        <v>46079</v>
      </c>
      <c r="Q351" s="1">
        <v>46138</v>
      </c>
      <c r="R351" s="2">
        <v>21.08</v>
      </c>
      <c r="S351">
        <v>1</v>
      </c>
      <c r="T351" t="s">
        <v>58</v>
      </c>
      <c r="U351" t="s">
        <v>173</v>
      </c>
      <c r="V351" s="3">
        <v>0.42</v>
      </c>
      <c r="W351" s="2">
        <v>0</v>
      </c>
      <c r="X351">
        <v>0</v>
      </c>
      <c r="Y351" t="s">
        <v>60</v>
      </c>
      <c r="Z351" t="s">
        <v>61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8.85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</row>
    <row r="352" spans="1:43" x14ac:dyDescent="0.3">
      <c r="A352" s="1">
        <v>46125</v>
      </c>
      <c r="B352" t="s">
        <v>48</v>
      </c>
      <c r="C352">
        <v>649163</v>
      </c>
      <c r="D352">
        <v>2034099204</v>
      </c>
      <c r="E352" t="s">
        <v>676</v>
      </c>
      <c r="F352" t="s">
        <v>677</v>
      </c>
      <c r="G352" t="s">
        <v>51</v>
      </c>
      <c r="H352" t="s">
        <v>80</v>
      </c>
      <c r="I352" t="s">
        <v>53</v>
      </c>
      <c r="J352" t="s">
        <v>54</v>
      </c>
      <c r="K352">
        <v>669316</v>
      </c>
      <c r="L352" t="s">
        <v>655</v>
      </c>
      <c r="M352" t="s">
        <v>656</v>
      </c>
      <c r="N352" t="s">
        <v>57</v>
      </c>
      <c r="O352" s="1">
        <v>46085</v>
      </c>
      <c r="Q352" s="1">
        <v>46146</v>
      </c>
      <c r="R352" s="2">
        <v>66.510000000000005</v>
      </c>
      <c r="S352">
        <v>1</v>
      </c>
      <c r="T352" t="s">
        <v>58</v>
      </c>
      <c r="U352" t="s">
        <v>173</v>
      </c>
      <c r="V352" s="3">
        <v>0.7</v>
      </c>
      <c r="W352" s="2">
        <v>0</v>
      </c>
      <c r="X352">
        <v>0</v>
      </c>
      <c r="Y352" t="s">
        <v>60</v>
      </c>
      <c r="Z352" t="s">
        <v>61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46.56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</row>
    <row r="353" spans="1:43" x14ac:dyDescent="0.3">
      <c r="A353" s="1">
        <v>46125</v>
      </c>
      <c r="B353" t="s">
        <v>48</v>
      </c>
      <c r="C353">
        <v>649163</v>
      </c>
      <c r="D353">
        <v>2034139833</v>
      </c>
      <c r="E353" t="s">
        <v>250</v>
      </c>
      <c r="F353" t="s">
        <v>109</v>
      </c>
      <c r="G353" t="s">
        <v>51</v>
      </c>
      <c r="H353" t="s">
        <v>93</v>
      </c>
      <c r="I353" t="s">
        <v>53</v>
      </c>
      <c r="J353" t="s">
        <v>97</v>
      </c>
      <c r="K353">
        <v>861933</v>
      </c>
      <c r="L353" t="s">
        <v>213</v>
      </c>
      <c r="M353" t="s">
        <v>214</v>
      </c>
      <c r="N353" t="s">
        <v>57</v>
      </c>
      <c r="O353" s="1">
        <v>46087</v>
      </c>
      <c r="Q353" s="1">
        <v>46148</v>
      </c>
      <c r="R353" s="2">
        <v>24.61</v>
      </c>
      <c r="S353">
        <v>1</v>
      </c>
      <c r="T353" t="s">
        <v>58</v>
      </c>
      <c r="U353" t="s">
        <v>173</v>
      </c>
      <c r="V353" s="3">
        <v>0.7</v>
      </c>
      <c r="W353" s="2">
        <v>0</v>
      </c>
      <c r="X353">
        <v>0</v>
      </c>
      <c r="Y353" t="s">
        <v>60</v>
      </c>
      <c r="Z353" t="s">
        <v>61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17.23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</row>
    <row r="354" spans="1:43" x14ac:dyDescent="0.3">
      <c r="A354" s="1">
        <v>46125</v>
      </c>
      <c r="B354" t="s">
        <v>48</v>
      </c>
      <c r="C354">
        <v>649163</v>
      </c>
      <c r="D354">
        <v>2034139834</v>
      </c>
      <c r="E354" t="s">
        <v>250</v>
      </c>
      <c r="F354" t="s">
        <v>109</v>
      </c>
      <c r="G354" t="s">
        <v>51</v>
      </c>
      <c r="H354" t="s">
        <v>93</v>
      </c>
      <c r="I354" t="s">
        <v>53</v>
      </c>
      <c r="J354" t="s">
        <v>65</v>
      </c>
      <c r="K354">
        <v>861933</v>
      </c>
      <c r="L354" t="s">
        <v>213</v>
      </c>
      <c r="M354" t="s">
        <v>214</v>
      </c>
      <c r="N354" t="s">
        <v>57</v>
      </c>
      <c r="O354" s="1">
        <v>46087</v>
      </c>
      <c r="Q354" s="1">
        <v>46148</v>
      </c>
      <c r="R354" s="2">
        <v>128.69</v>
      </c>
      <c r="S354">
        <v>1</v>
      </c>
      <c r="T354" t="s">
        <v>58</v>
      </c>
      <c r="U354" t="s">
        <v>173</v>
      </c>
      <c r="V354" s="3">
        <v>0.9</v>
      </c>
      <c r="W354" s="2">
        <v>0</v>
      </c>
      <c r="X354">
        <v>0</v>
      </c>
      <c r="Y354" t="s">
        <v>60</v>
      </c>
      <c r="Z354" t="s">
        <v>61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115.82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</row>
    <row r="355" spans="1:43" x14ac:dyDescent="0.3">
      <c r="A355" s="1">
        <v>46125</v>
      </c>
      <c r="B355" t="s">
        <v>48</v>
      </c>
      <c r="C355">
        <v>649163</v>
      </c>
      <c r="D355">
        <v>2034234841</v>
      </c>
      <c r="E355" t="s">
        <v>636</v>
      </c>
      <c r="F355" t="s">
        <v>637</v>
      </c>
      <c r="G355" t="s">
        <v>51</v>
      </c>
      <c r="H355" t="s">
        <v>103</v>
      </c>
      <c r="I355" t="s">
        <v>53</v>
      </c>
      <c r="J355" t="s">
        <v>54</v>
      </c>
      <c r="K355">
        <v>816021</v>
      </c>
      <c r="L355" t="s">
        <v>104</v>
      </c>
      <c r="M355" t="s">
        <v>105</v>
      </c>
      <c r="N355" t="s">
        <v>57</v>
      </c>
      <c r="O355" s="1">
        <v>46096</v>
      </c>
      <c r="Q355" s="1">
        <v>46157</v>
      </c>
      <c r="R355" s="2">
        <v>9.6999999999999993</v>
      </c>
      <c r="S355">
        <v>1</v>
      </c>
      <c r="T355" t="s">
        <v>58</v>
      </c>
      <c r="U355" t="s">
        <v>173</v>
      </c>
      <c r="V355" s="3">
        <v>0.7</v>
      </c>
      <c r="W355" s="2">
        <v>0</v>
      </c>
      <c r="X355">
        <v>0</v>
      </c>
      <c r="Y355" t="s">
        <v>60</v>
      </c>
      <c r="Z355" t="s">
        <v>61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6.79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</row>
    <row r="356" spans="1:43" x14ac:dyDescent="0.3">
      <c r="A356" s="1">
        <v>46125</v>
      </c>
      <c r="B356" t="s">
        <v>48</v>
      </c>
      <c r="C356">
        <v>649163</v>
      </c>
      <c r="D356">
        <v>2034245875</v>
      </c>
      <c r="E356" t="s">
        <v>678</v>
      </c>
      <c r="F356" t="s">
        <v>679</v>
      </c>
      <c r="G356" t="s">
        <v>51</v>
      </c>
      <c r="H356" t="s">
        <v>70</v>
      </c>
      <c r="I356" t="s">
        <v>53</v>
      </c>
      <c r="J356" t="s">
        <v>54</v>
      </c>
      <c r="K356">
        <v>822733</v>
      </c>
      <c r="L356" t="s">
        <v>219</v>
      </c>
      <c r="M356" t="s">
        <v>220</v>
      </c>
      <c r="N356" t="s">
        <v>57</v>
      </c>
      <c r="O356" s="1">
        <v>46092</v>
      </c>
      <c r="Q356" s="1">
        <v>46153</v>
      </c>
      <c r="R356" s="2">
        <v>129.22</v>
      </c>
      <c r="S356">
        <v>1</v>
      </c>
      <c r="T356" t="s">
        <v>58</v>
      </c>
      <c r="U356" t="s">
        <v>173</v>
      </c>
      <c r="V356" s="3">
        <v>0.7</v>
      </c>
      <c r="W356" s="2">
        <v>0</v>
      </c>
      <c r="X356">
        <v>0</v>
      </c>
      <c r="Y356" t="s">
        <v>60</v>
      </c>
      <c r="Z356" t="s">
        <v>61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90.45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</row>
    <row r="357" spans="1:43" x14ac:dyDescent="0.3">
      <c r="A357" s="1">
        <v>46125</v>
      </c>
      <c r="B357" t="s">
        <v>48</v>
      </c>
      <c r="C357">
        <v>649163</v>
      </c>
      <c r="D357">
        <v>2034253789</v>
      </c>
      <c r="E357" t="s">
        <v>638</v>
      </c>
      <c r="F357" t="s">
        <v>227</v>
      </c>
      <c r="G357" t="s">
        <v>51</v>
      </c>
      <c r="H357" t="s">
        <v>103</v>
      </c>
      <c r="I357" t="s">
        <v>53</v>
      </c>
      <c r="J357" t="s">
        <v>54</v>
      </c>
      <c r="K357">
        <v>816021</v>
      </c>
      <c r="L357" t="s">
        <v>104</v>
      </c>
      <c r="M357" t="s">
        <v>105</v>
      </c>
      <c r="N357" t="s">
        <v>57</v>
      </c>
      <c r="O357" s="1">
        <v>46092</v>
      </c>
      <c r="Q357" s="1">
        <v>46153</v>
      </c>
      <c r="R357" s="2">
        <v>9.1</v>
      </c>
      <c r="S357">
        <v>1</v>
      </c>
      <c r="T357" t="s">
        <v>58</v>
      </c>
      <c r="U357" t="s">
        <v>173</v>
      </c>
      <c r="V357" s="3">
        <v>0.7</v>
      </c>
      <c r="W357" s="2">
        <v>0</v>
      </c>
      <c r="X357">
        <v>0</v>
      </c>
      <c r="Y357" t="s">
        <v>60</v>
      </c>
      <c r="Z357" t="s">
        <v>61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6.37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</row>
    <row r="358" spans="1:43" x14ac:dyDescent="0.3">
      <c r="A358" s="1">
        <v>46125</v>
      </c>
      <c r="B358" t="s">
        <v>48</v>
      </c>
      <c r="C358">
        <v>649163</v>
      </c>
      <c r="D358">
        <v>2034256766</v>
      </c>
      <c r="E358" t="s">
        <v>143</v>
      </c>
      <c r="F358" t="s">
        <v>639</v>
      </c>
      <c r="G358" t="s">
        <v>51</v>
      </c>
      <c r="H358" t="s">
        <v>182</v>
      </c>
      <c r="I358" t="s">
        <v>53</v>
      </c>
      <c r="J358" t="s">
        <v>54</v>
      </c>
      <c r="K358">
        <v>651818</v>
      </c>
      <c r="L358" t="s">
        <v>55</v>
      </c>
      <c r="M358" t="s">
        <v>56</v>
      </c>
      <c r="N358" t="s">
        <v>57</v>
      </c>
      <c r="O358" s="1">
        <v>46096</v>
      </c>
      <c r="Q358" s="1">
        <v>46157</v>
      </c>
      <c r="R358" s="2">
        <v>30.68</v>
      </c>
      <c r="S358">
        <v>1</v>
      </c>
      <c r="T358" t="s">
        <v>58</v>
      </c>
      <c r="U358" t="s">
        <v>173</v>
      </c>
      <c r="V358" s="3">
        <v>0.7</v>
      </c>
      <c r="W358" s="2">
        <v>0</v>
      </c>
      <c r="X358">
        <v>0</v>
      </c>
      <c r="Y358" t="s">
        <v>60</v>
      </c>
      <c r="Z358" t="s">
        <v>61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21.48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</row>
    <row r="359" spans="1:43" x14ac:dyDescent="0.3">
      <c r="A359" s="1">
        <v>46125</v>
      </c>
      <c r="B359" t="s">
        <v>48</v>
      </c>
      <c r="C359">
        <v>649163</v>
      </c>
      <c r="D359">
        <v>2034256768</v>
      </c>
      <c r="E359" t="s">
        <v>143</v>
      </c>
      <c r="F359" t="s">
        <v>639</v>
      </c>
      <c r="G359" t="s">
        <v>51</v>
      </c>
      <c r="H359" t="s">
        <v>182</v>
      </c>
      <c r="I359" t="s">
        <v>53</v>
      </c>
      <c r="J359" t="s">
        <v>65</v>
      </c>
      <c r="K359">
        <v>651818</v>
      </c>
      <c r="L359" t="s">
        <v>55</v>
      </c>
      <c r="M359" t="s">
        <v>56</v>
      </c>
      <c r="N359" t="s">
        <v>57</v>
      </c>
      <c r="O359" s="1">
        <v>46096</v>
      </c>
      <c r="Q359" s="1">
        <v>46157</v>
      </c>
      <c r="R359" s="2">
        <v>32.25</v>
      </c>
      <c r="S359">
        <v>1</v>
      </c>
      <c r="T359" t="s">
        <v>58</v>
      </c>
      <c r="U359" t="s">
        <v>173</v>
      </c>
      <c r="V359" s="3">
        <v>0.9</v>
      </c>
      <c r="W359" s="2">
        <v>0</v>
      </c>
      <c r="X359">
        <v>0</v>
      </c>
      <c r="Y359" t="s">
        <v>60</v>
      </c>
      <c r="Z359" t="s">
        <v>61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29.02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</row>
    <row r="360" spans="1:43" x14ac:dyDescent="0.3">
      <c r="A360" s="1">
        <v>46125</v>
      </c>
      <c r="B360" t="s">
        <v>48</v>
      </c>
      <c r="C360">
        <v>649163</v>
      </c>
      <c r="D360">
        <v>2034260110</v>
      </c>
      <c r="E360" t="s">
        <v>640</v>
      </c>
      <c r="F360" t="s">
        <v>641</v>
      </c>
      <c r="G360" t="s">
        <v>51</v>
      </c>
      <c r="H360" t="s">
        <v>103</v>
      </c>
      <c r="I360" t="s">
        <v>53</v>
      </c>
      <c r="J360" t="s">
        <v>54</v>
      </c>
      <c r="K360">
        <v>824082</v>
      </c>
      <c r="L360" t="s">
        <v>150</v>
      </c>
      <c r="M360" t="s">
        <v>151</v>
      </c>
      <c r="N360" t="s">
        <v>57</v>
      </c>
      <c r="O360" s="1">
        <v>46096</v>
      </c>
      <c r="Q360" s="1">
        <v>46157</v>
      </c>
      <c r="R360" s="2">
        <v>9.6999999999999993</v>
      </c>
      <c r="S360">
        <v>1</v>
      </c>
      <c r="T360" t="s">
        <v>58</v>
      </c>
      <c r="U360" t="s">
        <v>173</v>
      </c>
      <c r="V360" s="3">
        <v>0.7</v>
      </c>
      <c r="W360" s="2">
        <v>0</v>
      </c>
      <c r="X360">
        <v>0</v>
      </c>
      <c r="Y360" t="s">
        <v>60</v>
      </c>
      <c r="Z360" t="s">
        <v>61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6.79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</row>
    <row r="361" spans="1:43" x14ac:dyDescent="0.3">
      <c r="A361" s="1">
        <v>46125</v>
      </c>
      <c r="B361" t="s">
        <v>48</v>
      </c>
      <c r="C361">
        <v>649163</v>
      </c>
      <c r="D361">
        <v>2034284252</v>
      </c>
      <c r="E361" t="s">
        <v>680</v>
      </c>
      <c r="F361" t="s">
        <v>681</v>
      </c>
      <c r="G361" t="s">
        <v>51</v>
      </c>
      <c r="H361" t="s">
        <v>600</v>
      </c>
      <c r="I361" t="s">
        <v>53</v>
      </c>
      <c r="J361" t="s">
        <v>54</v>
      </c>
      <c r="K361">
        <v>812994</v>
      </c>
      <c r="L361" t="s">
        <v>110</v>
      </c>
      <c r="M361" t="s">
        <v>111</v>
      </c>
      <c r="N361" t="s">
        <v>57</v>
      </c>
      <c r="O361" s="1">
        <v>46097</v>
      </c>
      <c r="Q361" s="1">
        <v>46158</v>
      </c>
      <c r="R361" s="2">
        <v>122.32</v>
      </c>
      <c r="S361">
        <v>1</v>
      </c>
      <c r="T361" t="s">
        <v>58</v>
      </c>
      <c r="U361" t="s">
        <v>173</v>
      </c>
      <c r="V361" s="3">
        <v>0.7</v>
      </c>
      <c r="W361" s="2">
        <v>0</v>
      </c>
      <c r="X361">
        <v>0</v>
      </c>
      <c r="Y361" t="s">
        <v>60</v>
      </c>
      <c r="Z361" t="s">
        <v>61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85.62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</row>
    <row r="362" spans="1:43" x14ac:dyDescent="0.3">
      <c r="A362" s="1">
        <v>46125</v>
      </c>
      <c r="B362" t="s">
        <v>48</v>
      </c>
      <c r="C362">
        <v>649163</v>
      </c>
      <c r="D362">
        <v>2034289262</v>
      </c>
      <c r="E362" t="s">
        <v>682</v>
      </c>
      <c r="F362" t="s">
        <v>683</v>
      </c>
      <c r="G362" t="s">
        <v>51</v>
      </c>
      <c r="H362" t="s">
        <v>80</v>
      </c>
      <c r="I362" t="s">
        <v>53</v>
      </c>
      <c r="J362" t="s">
        <v>54</v>
      </c>
      <c r="K362">
        <v>756803</v>
      </c>
      <c r="L362" t="s">
        <v>176</v>
      </c>
      <c r="M362" t="s">
        <v>177</v>
      </c>
      <c r="N362" t="s">
        <v>57</v>
      </c>
      <c r="O362" s="1">
        <v>46093</v>
      </c>
      <c r="Q362" s="1">
        <v>46154</v>
      </c>
      <c r="R362" s="2">
        <v>19</v>
      </c>
      <c r="S362">
        <v>1</v>
      </c>
      <c r="T362" t="s">
        <v>58</v>
      </c>
      <c r="U362" t="s">
        <v>173</v>
      </c>
      <c r="V362" s="3">
        <v>0.7</v>
      </c>
      <c r="W362" s="2">
        <v>0</v>
      </c>
      <c r="X362">
        <v>0</v>
      </c>
      <c r="Y362" t="s">
        <v>60</v>
      </c>
      <c r="Z362" t="s">
        <v>61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13.3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</row>
    <row r="363" spans="1:43" x14ac:dyDescent="0.3">
      <c r="A363" s="1">
        <v>46125</v>
      </c>
      <c r="B363" t="s">
        <v>48</v>
      </c>
      <c r="C363">
        <v>649163</v>
      </c>
      <c r="D363">
        <v>2034301217</v>
      </c>
      <c r="E363" t="s">
        <v>684</v>
      </c>
      <c r="F363" t="s">
        <v>685</v>
      </c>
      <c r="G363" t="s">
        <v>51</v>
      </c>
      <c r="H363" t="s">
        <v>295</v>
      </c>
      <c r="I363" t="s">
        <v>53</v>
      </c>
      <c r="J363" t="s">
        <v>54</v>
      </c>
      <c r="K363">
        <v>820140</v>
      </c>
      <c r="L363" t="s">
        <v>686</v>
      </c>
      <c r="M363" t="s">
        <v>249</v>
      </c>
      <c r="N363" t="s">
        <v>57</v>
      </c>
      <c r="O363" s="1">
        <v>46094</v>
      </c>
      <c r="Q363" s="1">
        <v>46155</v>
      </c>
      <c r="R363" s="2">
        <v>86.25</v>
      </c>
      <c r="S363">
        <v>1</v>
      </c>
      <c r="T363" t="s">
        <v>58</v>
      </c>
      <c r="U363" t="s">
        <v>173</v>
      </c>
      <c r="V363" s="3">
        <v>0.3</v>
      </c>
      <c r="W363" s="2">
        <v>0</v>
      </c>
      <c r="X363">
        <v>0</v>
      </c>
      <c r="Y363" t="s">
        <v>60</v>
      </c>
      <c r="Z363" t="s">
        <v>61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25.88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</row>
    <row r="364" spans="1:43" x14ac:dyDescent="0.3">
      <c r="A364" s="1">
        <v>46125</v>
      </c>
      <c r="B364" t="s">
        <v>48</v>
      </c>
      <c r="C364">
        <v>649163</v>
      </c>
      <c r="D364">
        <v>2034302043</v>
      </c>
      <c r="E364" t="s">
        <v>687</v>
      </c>
      <c r="F364" t="s">
        <v>116</v>
      </c>
      <c r="G364" t="s">
        <v>51</v>
      </c>
      <c r="H364" t="s">
        <v>52</v>
      </c>
      <c r="I364" t="s">
        <v>53</v>
      </c>
      <c r="J364" t="s">
        <v>54</v>
      </c>
      <c r="K364">
        <v>878036</v>
      </c>
      <c r="L364" t="s">
        <v>156</v>
      </c>
      <c r="M364" t="s">
        <v>157</v>
      </c>
      <c r="N364" t="s">
        <v>57</v>
      </c>
      <c r="O364" s="1">
        <v>46094</v>
      </c>
      <c r="Q364" s="1">
        <v>46155</v>
      </c>
      <c r="R364" s="2">
        <v>57.38</v>
      </c>
      <c r="S364">
        <v>1</v>
      </c>
      <c r="T364" t="s">
        <v>58</v>
      </c>
      <c r="U364" t="s">
        <v>173</v>
      </c>
      <c r="V364" s="3">
        <v>0.7</v>
      </c>
      <c r="W364" s="2">
        <v>0</v>
      </c>
      <c r="X364">
        <v>0</v>
      </c>
      <c r="Y364" t="s">
        <v>60</v>
      </c>
      <c r="Z364" t="s">
        <v>61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40.17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</row>
    <row r="365" spans="1:43" x14ac:dyDescent="0.3">
      <c r="A365" s="1">
        <v>46125</v>
      </c>
      <c r="B365" t="s">
        <v>48</v>
      </c>
      <c r="C365">
        <v>649163</v>
      </c>
      <c r="D365">
        <v>2034304901</v>
      </c>
      <c r="E365" t="s">
        <v>688</v>
      </c>
      <c r="F365" t="s">
        <v>147</v>
      </c>
      <c r="G365" t="s">
        <v>51</v>
      </c>
      <c r="H365" t="s">
        <v>70</v>
      </c>
      <c r="I365" t="s">
        <v>53</v>
      </c>
      <c r="J365" t="s">
        <v>54</v>
      </c>
      <c r="K365">
        <v>875334</v>
      </c>
      <c r="L365" t="s">
        <v>195</v>
      </c>
      <c r="M365" t="s">
        <v>196</v>
      </c>
      <c r="N365" t="s">
        <v>57</v>
      </c>
      <c r="O365" s="1">
        <v>46094</v>
      </c>
      <c r="Q365" s="1">
        <v>46155</v>
      </c>
      <c r="R365" s="2">
        <v>32.200000000000003</v>
      </c>
      <c r="S365">
        <v>1</v>
      </c>
      <c r="T365" t="s">
        <v>58</v>
      </c>
      <c r="U365" t="s">
        <v>173</v>
      </c>
      <c r="V365" s="3">
        <v>0.7</v>
      </c>
      <c r="W365" s="2">
        <v>0</v>
      </c>
      <c r="X365">
        <v>0</v>
      </c>
      <c r="Y365" t="s">
        <v>60</v>
      </c>
      <c r="Z365" t="s">
        <v>61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22.54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</row>
    <row r="366" spans="1:43" x14ac:dyDescent="0.3">
      <c r="A366" s="1">
        <v>46125</v>
      </c>
      <c r="B366" t="s">
        <v>48</v>
      </c>
      <c r="C366">
        <v>649163</v>
      </c>
      <c r="D366">
        <v>2034306131</v>
      </c>
      <c r="E366" t="s">
        <v>642</v>
      </c>
      <c r="F366" t="s">
        <v>175</v>
      </c>
      <c r="G366" t="s">
        <v>51</v>
      </c>
      <c r="H366" t="s">
        <v>64</v>
      </c>
      <c r="I366" t="s">
        <v>53</v>
      </c>
      <c r="J366" t="s">
        <v>54</v>
      </c>
      <c r="K366">
        <v>651818</v>
      </c>
      <c r="L366" t="s">
        <v>55</v>
      </c>
      <c r="M366" t="s">
        <v>56</v>
      </c>
      <c r="N366" t="s">
        <v>57</v>
      </c>
      <c r="O366" s="1">
        <v>46094</v>
      </c>
      <c r="Q366" s="1">
        <v>46155</v>
      </c>
      <c r="R366" s="2">
        <v>36.76</v>
      </c>
      <c r="S366">
        <v>1</v>
      </c>
      <c r="T366" t="s">
        <v>58</v>
      </c>
      <c r="U366" t="s">
        <v>173</v>
      </c>
      <c r="V366" s="3">
        <v>0.7</v>
      </c>
      <c r="W366" s="2">
        <v>0</v>
      </c>
      <c r="X366">
        <v>0</v>
      </c>
      <c r="Y366" t="s">
        <v>60</v>
      </c>
      <c r="Z366" t="s">
        <v>61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25.73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</row>
    <row r="367" spans="1:43" x14ac:dyDescent="0.3">
      <c r="A367" s="1">
        <v>46125</v>
      </c>
      <c r="B367" t="s">
        <v>48</v>
      </c>
      <c r="C367">
        <v>649163</v>
      </c>
      <c r="D367">
        <v>2034310022</v>
      </c>
      <c r="E367" t="s">
        <v>689</v>
      </c>
      <c r="F367" t="s">
        <v>690</v>
      </c>
      <c r="G367" t="s">
        <v>51</v>
      </c>
      <c r="H367" t="s">
        <v>80</v>
      </c>
      <c r="I367" t="s">
        <v>53</v>
      </c>
      <c r="J367" t="s">
        <v>65</v>
      </c>
      <c r="K367">
        <v>812994</v>
      </c>
      <c r="L367" t="s">
        <v>110</v>
      </c>
      <c r="M367" t="s">
        <v>111</v>
      </c>
      <c r="N367" t="s">
        <v>57</v>
      </c>
      <c r="O367" s="1">
        <v>46094</v>
      </c>
      <c r="Q367" s="1">
        <v>46155</v>
      </c>
      <c r="R367" s="2">
        <v>142.08000000000001</v>
      </c>
      <c r="S367">
        <v>1</v>
      </c>
      <c r="T367" t="s">
        <v>58</v>
      </c>
      <c r="U367" t="s">
        <v>173</v>
      </c>
      <c r="V367" s="3">
        <v>0.9</v>
      </c>
      <c r="W367" s="2">
        <v>0</v>
      </c>
      <c r="X367">
        <v>0</v>
      </c>
      <c r="Y367" t="s">
        <v>60</v>
      </c>
      <c r="Z367" t="s">
        <v>61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127.87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</row>
    <row r="368" spans="1:43" x14ac:dyDescent="0.3">
      <c r="A368" s="1">
        <v>46125</v>
      </c>
      <c r="B368" t="s">
        <v>48</v>
      </c>
      <c r="C368">
        <v>649163</v>
      </c>
      <c r="D368">
        <v>2034315973</v>
      </c>
      <c r="E368" t="s">
        <v>621</v>
      </c>
      <c r="F368" t="s">
        <v>691</v>
      </c>
      <c r="G368" t="s">
        <v>51</v>
      </c>
      <c r="H368" t="s">
        <v>295</v>
      </c>
      <c r="I368" t="s">
        <v>53</v>
      </c>
      <c r="J368" t="s">
        <v>65</v>
      </c>
      <c r="K368">
        <v>767312</v>
      </c>
      <c r="L368" t="s">
        <v>134</v>
      </c>
      <c r="M368" t="s">
        <v>98</v>
      </c>
      <c r="N368" t="s">
        <v>57</v>
      </c>
      <c r="O368" s="1">
        <v>46094</v>
      </c>
      <c r="Q368" s="1">
        <v>46155</v>
      </c>
      <c r="R368" s="2">
        <v>51.63</v>
      </c>
      <c r="S368">
        <v>1</v>
      </c>
      <c r="T368" t="s">
        <v>58</v>
      </c>
      <c r="U368" t="s">
        <v>173</v>
      </c>
      <c r="V368" s="3">
        <v>0.9</v>
      </c>
      <c r="W368" s="2">
        <v>0</v>
      </c>
      <c r="X368">
        <v>0</v>
      </c>
      <c r="Y368" t="s">
        <v>60</v>
      </c>
      <c r="Z368" t="s">
        <v>61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46.47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</row>
    <row r="369" spans="1:43" x14ac:dyDescent="0.3">
      <c r="A369" s="1">
        <v>46125</v>
      </c>
      <c r="B369" t="s">
        <v>48</v>
      </c>
      <c r="C369">
        <v>649163</v>
      </c>
      <c r="D369">
        <v>2034375764</v>
      </c>
      <c r="E369" t="s">
        <v>643</v>
      </c>
      <c r="F369" t="s">
        <v>202</v>
      </c>
      <c r="G369" t="s">
        <v>51</v>
      </c>
      <c r="H369" t="s">
        <v>644</v>
      </c>
      <c r="I369" t="s">
        <v>53</v>
      </c>
      <c r="J369" t="s">
        <v>54</v>
      </c>
      <c r="K369">
        <v>673059</v>
      </c>
      <c r="L369" t="s">
        <v>115</v>
      </c>
      <c r="M369" t="s">
        <v>116</v>
      </c>
      <c r="N369" t="s">
        <v>57</v>
      </c>
      <c r="O369" s="1">
        <v>46098</v>
      </c>
      <c r="Q369" s="1">
        <v>46159</v>
      </c>
      <c r="R369" s="2">
        <v>24.78</v>
      </c>
      <c r="S369">
        <v>1</v>
      </c>
      <c r="T369" t="s">
        <v>58</v>
      </c>
      <c r="U369" t="s">
        <v>173</v>
      </c>
      <c r="V369" s="3">
        <v>0.7</v>
      </c>
      <c r="W369" s="2">
        <v>0</v>
      </c>
      <c r="X369">
        <v>0</v>
      </c>
      <c r="Y369" t="s">
        <v>60</v>
      </c>
      <c r="Z369" t="s">
        <v>61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17.350000000000001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</row>
    <row r="370" spans="1:43" x14ac:dyDescent="0.3">
      <c r="A370" s="1">
        <v>46125</v>
      </c>
      <c r="B370" t="s">
        <v>48</v>
      </c>
      <c r="C370">
        <v>649163</v>
      </c>
      <c r="D370">
        <v>2034375765</v>
      </c>
      <c r="E370" t="s">
        <v>643</v>
      </c>
      <c r="F370" t="s">
        <v>202</v>
      </c>
      <c r="G370" t="s">
        <v>51</v>
      </c>
      <c r="H370" t="s">
        <v>644</v>
      </c>
      <c r="I370" t="s">
        <v>53</v>
      </c>
      <c r="J370" t="s">
        <v>97</v>
      </c>
      <c r="K370">
        <v>673059</v>
      </c>
      <c r="L370" t="s">
        <v>115</v>
      </c>
      <c r="M370" t="s">
        <v>116</v>
      </c>
      <c r="N370" t="s">
        <v>57</v>
      </c>
      <c r="O370" s="1">
        <v>46098</v>
      </c>
      <c r="Q370" s="1">
        <v>46159</v>
      </c>
      <c r="R370" s="2">
        <v>25.73</v>
      </c>
      <c r="S370">
        <v>1</v>
      </c>
      <c r="T370" t="s">
        <v>58</v>
      </c>
      <c r="U370" t="s">
        <v>173</v>
      </c>
      <c r="V370" s="3">
        <v>0.7</v>
      </c>
      <c r="W370" s="2">
        <v>0</v>
      </c>
      <c r="X370">
        <v>0</v>
      </c>
      <c r="Y370" t="s">
        <v>60</v>
      </c>
      <c r="Z370" t="s">
        <v>61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18.010000000000002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</row>
    <row r="371" spans="1:43" x14ac:dyDescent="0.3">
      <c r="A371" s="1">
        <v>46125</v>
      </c>
      <c r="B371" t="s">
        <v>48</v>
      </c>
      <c r="C371">
        <v>649163</v>
      </c>
      <c r="D371">
        <v>2034384322</v>
      </c>
      <c r="E371" t="s">
        <v>645</v>
      </c>
      <c r="F371" t="s">
        <v>147</v>
      </c>
      <c r="G371" t="s">
        <v>51</v>
      </c>
      <c r="H371" t="s">
        <v>141</v>
      </c>
      <c r="I371" t="s">
        <v>53</v>
      </c>
      <c r="J371" t="s">
        <v>54</v>
      </c>
      <c r="K371">
        <v>822733</v>
      </c>
      <c r="L371" t="s">
        <v>219</v>
      </c>
      <c r="M371" t="s">
        <v>220</v>
      </c>
      <c r="N371" t="s">
        <v>57</v>
      </c>
      <c r="O371" s="1">
        <v>46098</v>
      </c>
      <c r="Q371" s="1">
        <v>46159</v>
      </c>
      <c r="R371" s="2">
        <v>59.04</v>
      </c>
      <c r="S371">
        <v>1</v>
      </c>
      <c r="T371" t="s">
        <v>58</v>
      </c>
      <c r="U371" t="s">
        <v>173</v>
      </c>
      <c r="V371" s="3">
        <v>0.7</v>
      </c>
      <c r="W371" s="2">
        <v>0</v>
      </c>
      <c r="X371">
        <v>0</v>
      </c>
      <c r="Y371" t="s">
        <v>60</v>
      </c>
      <c r="Z371" t="s">
        <v>61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41.33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</row>
    <row r="372" spans="1:43" x14ac:dyDescent="0.3">
      <c r="A372" s="1">
        <v>46125</v>
      </c>
      <c r="B372" t="s">
        <v>48</v>
      </c>
      <c r="C372">
        <v>649163</v>
      </c>
      <c r="D372">
        <v>2034385369</v>
      </c>
      <c r="E372" t="s">
        <v>692</v>
      </c>
      <c r="F372" t="s">
        <v>693</v>
      </c>
      <c r="G372" t="s">
        <v>51</v>
      </c>
      <c r="H372" t="s">
        <v>80</v>
      </c>
      <c r="I372" t="s">
        <v>53</v>
      </c>
      <c r="J372" t="s">
        <v>54</v>
      </c>
      <c r="K372">
        <v>756803</v>
      </c>
      <c r="L372" t="s">
        <v>176</v>
      </c>
      <c r="M372" t="s">
        <v>177</v>
      </c>
      <c r="N372" t="s">
        <v>57</v>
      </c>
      <c r="O372" s="1">
        <v>46098</v>
      </c>
      <c r="Q372" s="1">
        <v>46159</v>
      </c>
      <c r="R372" s="2">
        <v>19</v>
      </c>
      <c r="S372">
        <v>1</v>
      </c>
      <c r="T372" t="s">
        <v>58</v>
      </c>
      <c r="U372" t="s">
        <v>173</v>
      </c>
      <c r="V372" s="3">
        <v>0.7</v>
      </c>
      <c r="W372" s="2">
        <v>0</v>
      </c>
      <c r="X372">
        <v>0</v>
      </c>
      <c r="Y372" t="s">
        <v>60</v>
      </c>
      <c r="Z372" t="s">
        <v>61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13.3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</row>
    <row r="373" spans="1:43" x14ac:dyDescent="0.3">
      <c r="A373" s="1">
        <v>46125</v>
      </c>
      <c r="B373" t="s">
        <v>48</v>
      </c>
      <c r="C373">
        <v>649163</v>
      </c>
      <c r="D373">
        <v>2034430399</v>
      </c>
      <c r="E373" t="s">
        <v>646</v>
      </c>
      <c r="F373" t="s">
        <v>548</v>
      </c>
      <c r="G373" t="s">
        <v>51</v>
      </c>
      <c r="H373" t="s">
        <v>114</v>
      </c>
      <c r="I373" t="s">
        <v>53</v>
      </c>
      <c r="J373" t="s">
        <v>54</v>
      </c>
      <c r="K373">
        <v>673059</v>
      </c>
      <c r="L373" t="s">
        <v>115</v>
      </c>
      <c r="M373" t="s">
        <v>116</v>
      </c>
      <c r="N373" t="s">
        <v>86</v>
      </c>
      <c r="O373" s="1">
        <v>46113</v>
      </c>
      <c r="P373" s="1">
        <v>46125</v>
      </c>
      <c r="Q373" s="1">
        <v>46143</v>
      </c>
      <c r="R373" s="2">
        <v>-94.16</v>
      </c>
      <c r="S373">
        <v>1</v>
      </c>
      <c r="T373" t="s">
        <v>58</v>
      </c>
      <c r="U373" t="s">
        <v>173</v>
      </c>
      <c r="V373" s="3">
        <v>0.7</v>
      </c>
      <c r="W373" s="2">
        <v>0</v>
      </c>
      <c r="X373">
        <v>-1</v>
      </c>
      <c r="Y373" t="s">
        <v>60</v>
      </c>
      <c r="Z373" t="s">
        <v>61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-65.91</v>
      </c>
      <c r="AN373" s="2">
        <v>-65.91</v>
      </c>
      <c r="AO373" s="2">
        <v>0</v>
      </c>
      <c r="AP373" s="2">
        <v>0</v>
      </c>
      <c r="AQ373" s="2">
        <v>0</v>
      </c>
    </row>
    <row r="374" spans="1:43" x14ac:dyDescent="0.3">
      <c r="A374" s="1">
        <v>46125</v>
      </c>
      <c r="B374" t="s">
        <v>48</v>
      </c>
      <c r="C374">
        <v>649163</v>
      </c>
      <c r="D374">
        <v>2034588311</v>
      </c>
      <c r="E374" t="s">
        <v>647</v>
      </c>
      <c r="F374" t="s">
        <v>310</v>
      </c>
      <c r="G374" t="s">
        <v>51</v>
      </c>
      <c r="H374" t="s">
        <v>93</v>
      </c>
      <c r="I374" t="s">
        <v>53</v>
      </c>
      <c r="J374" t="s">
        <v>97</v>
      </c>
      <c r="K374">
        <v>902625</v>
      </c>
      <c r="L374" t="s">
        <v>281</v>
      </c>
      <c r="M374" t="s">
        <v>282</v>
      </c>
      <c r="N374" t="s">
        <v>86</v>
      </c>
      <c r="O374" s="1">
        <v>46108</v>
      </c>
      <c r="P374" s="1">
        <v>46125</v>
      </c>
      <c r="Q374" s="1">
        <v>46139</v>
      </c>
      <c r="R374" s="2">
        <v>-24.61</v>
      </c>
      <c r="S374">
        <v>1</v>
      </c>
      <c r="T374" t="s">
        <v>58</v>
      </c>
      <c r="U374" t="s">
        <v>173</v>
      </c>
      <c r="V374" s="3">
        <v>0.7</v>
      </c>
      <c r="W374" s="2">
        <v>0</v>
      </c>
      <c r="X374">
        <v>-1</v>
      </c>
      <c r="Y374" t="s">
        <v>60</v>
      </c>
      <c r="Z374" t="s">
        <v>61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-17.23</v>
      </c>
      <c r="AN374" s="2">
        <v>-17.23</v>
      </c>
      <c r="AO374" s="2">
        <v>0</v>
      </c>
      <c r="AP374" s="2">
        <v>0</v>
      </c>
      <c r="AQ374" s="2">
        <v>0</v>
      </c>
    </row>
    <row r="375" spans="1:43" x14ac:dyDescent="0.3">
      <c r="A375" s="1">
        <v>46125</v>
      </c>
      <c r="B375" t="s">
        <v>48</v>
      </c>
      <c r="C375">
        <v>649163</v>
      </c>
      <c r="D375">
        <v>2034615252</v>
      </c>
      <c r="E375" t="s">
        <v>648</v>
      </c>
      <c r="F375" t="s">
        <v>649</v>
      </c>
      <c r="G375" t="s">
        <v>51</v>
      </c>
      <c r="H375" t="s">
        <v>650</v>
      </c>
      <c r="I375" t="s">
        <v>53</v>
      </c>
      <c r="J375" t="s">
        <v>54</v>
      </c>
      <c r="K375">
        <v>753748</v>
      </c>
      <c r="L375" t="s">
        <v>146</v>
      </c>
      <c r="M375" t="s">
        <v>147</v>
      </c>
      <c r="N375" t="s">
        <v>86</v>
      </c>
      <c r="O375" s="1">
        <v>46117</v>
      </c>
      <c r="P375" s="1">
        <v>46125</v>
      </c>
      <c r="Q375" s="1">
        <v>46147</v>
      </c>
      <c r="R375" s="2">
        <v>-29.47</v>
      </c>
      <c r="S375">
        <v>1</v>
      </c>
      <c r="T375" t="s">
        <v>58</v>
      </c>
      <c r="U375" t="s">
        <v>173</v>
      </c>
      <c r="V375" s="3">
        <v>0.7</v>
      </c>
      <c r="W375" s="2">
        <v>0</v>
      </c>
      <c r="X375">
        <v>-1</v>
      </c>
      <c r="Y375" t="s">
        <v>60</v>
      </c>
      <c r="Z375" t="s">
        <v>61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-20.63</v>
      </c>
      <c r="AN375" s="2">
        <v>-20.63</v>
      </c>
      <c r="AO375" s="2">
        <v>0</v>
      </c>
      <c r="AP375" s="2">
        <v>0</v>
      </c>
      <c r="AQ375" s="2">
        <v>0</v>
      </c>
    </row>
    <row r="376" spans="1:43" x14ac:dyDescent="0.3">
      <c r="A376" s="1">
        <v>46125</v>
      </c>
      <c r="B376" t="s">
        <v>48</v>
      </c>
      <c r="C376">
        <v>649163</v>
      </c>
      <c r="D376">
        <v>2024372431</v>
      </c>
      <c r="E376" t="s">
        <v>653</v>
      </c>
      <c r="F376" t="s">
        <v>654</v>
      </c>
      <c r="G376" t="s">
        <v>51</v>
      </c>
      <c r="H376" t="s">
        <v>420</v>
      </c>
      <c r="I376" t="s">
        <v>524</v>
      </c>
      <c r="J376" t="s">
        <v>528</v>
      </c>
      <c r="K376">
        <v>669316</v>
      </c>
      <c r="L376" t="s">
        <v>655</v>
      </c>
      <c r="M376" t="s">
        <v>656</v>
      </c>
      <c r="N376" t="s">
        <v>57</v>
      </c>
      <c r="O376" s="1">
        <v>45882</v>
      </c>
      <c r="Q376" s="1">
        <v>46155</v>
      </c>
      <c r="R376" s="2">
        <v>315.83999999999997</v>
      </c>
      <c r="S376">
        <v>1</v>
      </c>
      <c r="T376" t="s">
        <v>58</v>
      </c>
      <c r="U376" t="s">
        <v>59</v>
      </c>
      <c r="V376" s="3">
        <v>0.28999999999999998</v>
      </c>
      <c r="W376" s="2">
        <v>0</v>
      </c>
      <c r="X376">
        <v>0</v>
      </c>
      <c r="Y376" t="s">
        <v>60</v>
      </c>
      <c r="Z376" t="s">
        <v>61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91.59</v>
      </c>
      <c r="AN376" s="2">
        <v>91.59</v>
      </c>
      <c r="AO376" s="2">
        <v>0</v>
      </c>
      <c r="AP376" s="2">
        <v>0</v>
      </c>
      <c r="AQ376" s="2">
        <v>0</v>
      </c>
    </row>
    <row r="377" spans="1:43" x14ac:dyDescent="0.3">
      <c r="A377" s="1">
        <v>46125</v>
      </c>
      <c r="B377" t="s">
        <v>48</v>
      </c>
      <c r="C377">
        <v>649163</v>
      </c>
      <c r="D377">
        <v>2031017070</v>
      </c>
      <c r="E377" t="s">
        <v>180</v>
      </c>
      <c r="F377" t="s">
        <v>175</v>
      </c>
      <c r="G377" t="s">
        <v>51</v>
      </c>
      <c r="H377" t="s">
        <v>64</v>
      </c>
      <c r="I377" t="s">
        <v>524</v>
      </c>
      <c r="J377" t="s">
        <v>694</v>
      </c>
      <c r="K377">
        <v>877790</v>
      </c>
      <c r="L377" t="s">
        <v>66</v>
      </c>
      <c r="M377" t="s">
        <v>67</v>
      </c>
      <c r="N377" t="s">
        <v>57</v>
      </c>
      <c r="O377" s="1">
        <v>45913</v>
      </c>
      <c r="Q377" s="1">
        <v>46155</v>
      </c>
      <c r="R377" s="2">
        <v>262.94</v>
      </c>
      <c r="S377">
        <v>1</v>
      </c>
      <c r="T377" t="s">
        <v>58</v>
      </c>
      <c r="U377" t="s">
        <v>526</v>
      </c>
      <c r="V377" s="3">
        <v>0.19</v>
      </c>
      <c r="W377" s="2">
        <v>0</v>
      </c>
      <c r="X377">
        <v>0</v>
      </c>
      <c r="Y377" t="s">
        <v>60</v>
      </c>
      <c r="Z377" t="s">
        <v>61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49.96</v>
      </c>
      <c r="AN377" s="2">
        <v>49.96</v>
      </c>
      <c r="AO377" s="2">
        <v>0</v>
      </c>
      <c r="AP377" s="2">
        <v>0</v>
      </c>
      <c r="AQ377" s="2">
        <v>0</v>
      </c>
    </row>
    <row r="378" spans="1:43" x14ac:dyDescent="0.3">
      <c r="A378" s="1">
        <v>46125</v>
      </c>
      <c r="B378" t="s">
        <v>48</v>
      </c>
      <c r="C378">
        <v>649163</v>
      </c>
      <c r="D378">
        <v>2031581263</v>
      </c>
      <c r="E378" t="s">
        <v>695</v>
      </c>
      <c r="F378" t="s">
        <v>696</v>
      </c>
      <c r="G378" t="s">
        <v>51</v>
      </c>
      <c r="H378" t="s">
        <v>223</v>
      </c>
      <c r="I378" t="s">
        <v>524</v>
      </c>
      <c r="J378" t="s">
        <v>528</v>
      </c>
      <c r="K378">
        <v>897073</v>
      </c>
      <c r="L378" t="s">
        <v>697</v>
      </c>
      <c r="M378" t="s">
        <v>698</v>
      </c>
      <c r="N378" t="s">
        <v>57</v>
      </c>
      <c r="O378" s="1">
        <v>45942</v>
      </c>
      <c r="Q378" s="1">
        <v>46154</v>
      </c>
      <c r="R378" s="2">
        <v>285.18</v>
      </c>
      <c r="S378">
        <v>1</v>
      </c>
      <c r="T378" t="s">
        <v>58</v>
      </c>
      <c r="U378" t="s">
        <v>526</v>
      </c>
      <c r="V378" s="3">
        <v>0.28999999999999998</v>
      </c>
      <c r="W378" s="2">
        <v>0</v>
      </c>
      <c r="X378">
        <v>0</v>
      </c>
      <c r="Y378" t="s">
        <v>60</v>
      </c>
      <c r="Z378" t="s">
        <v>61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82.7</v>
      </c>
      <c r="AN378" s="2">
        <v>82.7</v>
      </c>
      <c r="AO378" s="2">
        <v>0</v>
      </c>
      <c r="AP378" s="2">
        <v>0</v>
      </c>
      <c r="AQ378" s="2">
        <v>0</v>
      </c>
    </row>
    <row r="379" spans="1:43" x14ac:dyDescent="0.3">
      <c r="A379" s="1">
        <v>46125</v>
      </c>
      <c r="B379" t="s">
        <v>48</v>
      </c>
      <c r="C379">
        <v>649163</v>
      </c>
      <c r="D379">
        <v>2031581264</v>
      </c>
      <c r="E379" t="s">
        <v>695</v>
      </c>
      <c r="F379" t="s">
        <v>696</v>
      </c>
      <c r="G379" t="s">
        <v>51</v>
      </c>
      <c r="H379" t="s">
        <v>223</v>
      </c>
      <c r="I379" t="s">
        <v>524</v>
      </c>
      <c r="J379" t="s">
        <v>699</v>
      </c>
      <c r="K379">
        <v>897073</v>
      </c>
      <c r="L379" t="s">
        <v>697</v>
      </c>
      <c r="M379" t="s">
        <v>698</v>
      </c>
      <c r="N379" t="s">
        <v>57</v>
      </c>
      <c r="O379" s="1">
        <v>45942</v>
      </c>
      <c r="Q379" s="1">
        <v>46154</v>
      </c>
      <c r="R379" s="2">
        <v>9.9499999999999993</v>
      </c>
      <c r="S379">
        <v>1</v>
      </c>
      <c r="T379" t="s">
        <v>58</v>
      </c>
      <c r="U379" t="s">
        <v>526</v>
      </c>
      <c r="V379" s="3">
        <v>0.28999999999999998</v>
      </c>
      <c r="W379" s="2">
        <v>0</v>
      </c>
      <c r="X379">
        <v>0</v>
      </c>
      <c r="Y379" t="s">
        <v>60</v>
      </c>
      <c r="Z379" t="s">
        <v>61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2.89</v>
      </c>
      <c r="AN379" s="2">
        <v>2.89</v>
      </c>
      <c r="AO379" s="2">
        <v>0</v>
      </c>
      <c r="AP379" s="2">
        <v>0</v>
      </c>
      <c r="AQ379" s="2">
        <v>0</v>
      </c>
    </row>
    <row r="380" spans="1:43" x14ac:dyDescent="0.3">
      <c r="A380" s="1">
        <v>46125</v>
      </c>
      <c r="B380" t="s">
        <v>48</v>
      </c>
      <c r="C380">
        <v>649163</v>
      </c>
      <c r="D380">
        <v>2032175762</v>
      </c>
      <c r="E380" t="s">
        <v>700</v>
      </c>
      <c r="F380" t="s">
        <v>639</v>
      </c>
      <c r="G380" t="s">
        <v>51</v>
      </c>
      <c r="H380" t="s">
        <v>64</v>
      </c>
      <c r="I380" t="s">
        <v>524</v>
      </c>
      <c r="J380" t="s">
        <v>694</v>
      </c>
      <c r="K380">
        <v>898497</v>
      </c>
      <c r="L380" t="s">
        <v>701</v>
      </c>
      <c r="M380" t="s">
        <v>702</v>
      </c>
      <c r="N380" t="s">
        <v>57</v>
      </c>
      <c r="O380" s="1">
        <v>45976</v>
      </c>
      <c r="Q380" s="1">
        <v>46157</v>
      </c>
      <c r="R380" s="2">
        <v>164.39</v>
      </c>
      <c r="S380">
        <v>1</v>
      </c>
      <c r="T380" t="s">
        <v>58</v>
      </c>
      <c r="U380" t="s">
        <v>526</v>
      </c>
      <c r="V380" s="3">
        <v>0.19</v>
      </c>
      <c r="W380" s="2">
        <v>0</v>
      </c>
      <c r="X380">
        <v>0</v>
      </c>
      <c r="Y380" t="s">
        <v>60</v>
      </c>
      <c r="Z380" t="s">
        <v>61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31.23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</row>
    <row r="381" spans="1:43" x14ac:dyDescent="0.3">
      <c r="A381" s="1">
        <v>46125</v>
      </c>
      <c r="B381" t="s">
        <v>48</v>
      </c>
      <c r="C381">
        <v>649163</v>
      </c>
      <c r="D381">
        <v>2032192508</v>
      </c>
      <c r="E381" t="s">
        <v>279</v>
      </c>
      <c r="F381" t="s">
        <v>280</v>
      </c>
      <c r="G381" t="s">
        <v>51</v>
      </c>
      <c r="H381" t="s">
        <v>93</v>
      </c>
      <c r="I381" t="s">
        <v>524</v>
      </c>
      <c r="J381" t="s">
        <v>703</v>
      </c>
      <c r="K381">
        <v>902625</v>
      </c>
      <c r="L381" t="s">
        <v>281</v>
      </c>
      <c r="M381" t="s">
        <v>282</v>
      </c>
      <c r="N381" t="s">
        <v>57</v>
      </c>
      <c r="O381" s="1">
        <v>45977</v>
      </c>
      <c r="Q381" s="1">
        <v>46158</v>
      </c>
      <c r="R381" s="2">
        <v>9.9499999999999993</v>
      </c>
      <c r="S381">
        <v>1</v>
      </c>
      <c r="T381" t="s">
        <v>58</v>
      </c>
      <c r="U381" t="s">
        <v>704</v>
      </c>
      <c r="V381" s="3">
        <v>0.27</v>
      </c>
      <c r="W381" s="2">
        <v>0</v>
      </c>
      <c r="X381">
        <v>0</v>
      </c>
      <c r="Y381" t="s">
        <v>60</v>
      </c>
      <c r="Z381" t="s">
        <v>61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2.69</v>
      </c>
      <c r="AN381" s="2">
        <v>2.69</v>
      </c>
      <c r="AO381" s="2">
        <v>0</v>
      </c>
      <c r="AP381" s="2">
        <v>0</v>
      </c>
      <c r="AQ381" s="2">
        <v>0</v>
      </c>
    </row>
    <row r="382" spans="1:43" x14ac:dyDescent="0.3">
      <c r="A382" s="1">
        <v>46125</v>
      </c>
      <c r="B382" t="s">
        <v>48</v>
      </c>
      <c r="C382">
        <v>649163</v>
      </c>
      <c r="D382">
        <v>2032192509</v>
      </c>
      <c r="E382" t="s">
        <v>279</v>
      </c>
      <c r="F382" t="s">
        <v>280</v>
      </c>
      <c r="G382" t="s">
        <v>51</v>
      </c>
      <c r="H382" t="s">
        <v>93</v>
      </c>
      <c r="I382" t="s">
        <v>524</v>
      </c>
      <c r="J382" t="s">
        <v>703</v>
      </c>
      <c r="K382">
        <v>902625</v>
      </c>
      <c r="L382" t="s">
        <v>281</v>
      </c>
      <c r="M382" t="s">
        <v>282</v>
      </c>
      <c r="N382" t="s">
        <v>57</v>
      </c>
      <c r="O382" s="1">
        <v>45977</v>
      </c>
      <c r="Q382" s="1">
        <v>46158</v>
      </c>
      <c r="R382" s="2">
        <v>5</v>
      </c>
      <c r="S382">
        <v>1</v>
      </c>
      <c r="T382" t="s">
        <v>58</v>
      </c>
      <c r="U382" t="s">
        <v>704</v>
      </c>
      <c r="V382" s="3">
        <v>0.27</v>
      </c>
      <c r="W382" s="2">
        <v>0</v>
      </c>
      <c r="X382">
        <v>0</v>
      </c>
      <c r="Y382" t="s">
        <v>60</v>
      </c>
      <c r="Z382" t="s">
        <v>61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1.35</v>
      </c>
      <c r="AN382" s="2">
        <v>1.35</v>
      </c>
      <c r="AO382" s="2">
        <v>0</v>
      </c>
      <c r="AP382" s="2">
        <v>0</v>
      </c>
      <c r="AQ382" s="2">
        <v>0</v>
      </c>
    </row>
    <row r="383" spans="1:43" x14ac:dyDescent="0.3">
      <c r="A383" s="1">
        <v>46125</v>
      </c>
      <c r="B383" t="s">
        <v>48</v>
      </c>
      <c r="C383">
        <v>649163</v>
      </c>
      <c r="D383">
        <v>2032499983</v>
      </c>
      <c r="E383" t="s">
        <v>197</v>
      </c>
      <c r="F383" t="s">
        <v>705</v>
      </c>
      <c r="G383" t="s">
        <v>51</v>
      </c>
      <c r="H383" t="s">
        <v>64</v>
      </c>
      <c r="I383" t="s">
        <v>524</v>
      </c>
      <c r="J383" t="s">
        <v>706</v>
      </c>
      <c r="K383">
        <v>877790</v>
      </c>
      <c r="L383" t="s">
        <v>66</v>
      </c>
      <c r="M383" t="s">
        <v>67</v>
      </c>
      <c r="N383" t="s">
        <v>86</v>
      </c>
      <c r="O383" s="1">
        <v>45996</v>
      </c>
      <c r="P383" s="1">
        <v>46118</v>
      </c>
      <c r="Q383" s="1">
        <v>46147</v>
      </c>
      <c r="R383" s="2">
        <v>-431.38</v>
      </c>
      <c r="S383">
        <v>1</v>
      </c>
      <c r="T383" t="s">
        <v>58</v>
      </c>
      <c r="U383" t="s">
        <v>477</v>
      </c>
      <c r="V383" s="3">
        <v>0.19</v>
      </c>
      <c r="W383" s="2">
        <v>0</v>
      </c>
      <c r="X383">
        <v>-1</v>
      </c>
      <c r="Y383" t="s">
        <v>60</v>
      </c>
      <c r="Z383" t="s">
        <v>61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-81.96</v>
      </c>
      <c r="AN383" s="2">
        <v>-81.96</v>
      </c>
      <c r="AO383" s="2">
        <v>0</v>
      </c>
      <c r="AP383" s="2">
        <v>0</v>
      </c>
      <c r="AQ383" s="2">
        <v>0</v>
      </c>
    </row>
    <row r="384" spans="1:43" x14ac:dyDescent="0.3">
      <c r="A384" s="1">
        <v>46125</v>
      </c>
      <c r="B384" t="s">
        <v>48</v>
      </c>
      <c r="C384">
        <v>649163</v>
      </c>
      <c r="D384">
        <v>2033115852</v>
      </c>
      <c r="E384" t="s">
        <v>621</v>
      </c>
      <c r="F384" t="s">
        <v>622</v>
      </c>
      <c r="G384" t="s">
        <v>51</v>
      </c>
      <c r="H384" t="s">
        <v>600</v>
      </c>
      <c r="I384" t="s">
        <v>524</v>
      </c>
      <c r="J384" t="s">
        <v>528</v>
      </c>
      <c r="K384">
        <v>753748</v>
      </c>
      <c r="L384" t="s">
        <v>146</v>
      </c>
      <c r="M384" t="s">
        <v>147</v>
      </c>
      <c r="N384" t="s">
        <v>57</v>
      </c>
      <c r="O384" s="1">
        <v>46035</v>
      </c>
      <c r="Q384" s="1">
        <v>46155</v>
      </c>
      <c r="R384" s="2">
        <v>422.96</v>
      </c>
      <c r="S384">
        <v>1</v>
      </c>
      <c r="T384" t="s">
        <v>58</v>
      </c>
      <c r="U384" t="s">
        <v>477</v>
      </c>
      <c r="V384" s="3">
        <v>0.28999999999999998</v>
      </c>
      <c r="W384" s="2">
        <v>0</v>
      </c>
      <c r="X384">
        <v>0</v>
      </c>
      <c r="Y384" t="s">
        <v>60</v>
      </c>
      <c r="Z384" t="s">
        <v>61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122.66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</row>
    <row r="385" spans="1:43" x14ac:dyDescent="0.3">
      <c r="A385" s="1">
        <v>46125</v>
      </c>
      <c r="B385" t="s">
        <v>48</v>
      </c>
      <c r="C385">
        <v>649163</v>
      </c>
      <c r="D385">
        <v>2033175259</v>
      </c>
      <c r="E385" t="s">
        <v>707</v>
      </c>
      <c r="F385" t="s">
        <v>708</v>
      </c>
      <c r="G385" t="s">
        <v>51</v>
      </c>
      <c r="H385" t="s">
        <v>93</v>
      </c>
      <c r="I385" t="s">
        <v>524</v>
      </c>
      <c r="J385" t="s">
        <v>703</v>
      </c>
      <c r="K385">
        <v>902625</v>
      </c>
      <c r="L385" t="s">
        <v>281</v>
      </c>
      <c r="M385" t="s">
        <v>282</v>
      </c>
      <c r="N385" t="s">
        <v>57</v>
      </c>
      <c r="O385" s="1">
        <v>46038</v>
      </c>
      <c r="Q385" s="1">
        <v>46158</v>
      </c>
      <c r="R385" s="2">
        <v>9.9499999999999993</v>
      </c>
      <c r="S385">
        <v>1</v>
      </c>
      <c r="T385" t="s">
        <v>58</v>
      </c>
      <c r="U385" t="s">
        <v>704</v>
      </c>
      <c r="V385" s="3">
        <v>0.27</v>
      </c>
      <c r="W385" s="2">
        <v>0</v>
      </c>
      <c r="X385">
        <v>0</v>
      </c>
      <c r="Y385" t="s">
        <v>60</v>
      </c>
      <c r="Z385" t="s">
        <v>61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2.69</v>
      </c>
      <c r="AN385" s="2">
        <v>2.69</v>
      </c>
      <c r="AO385" s="2">
        <v>0</v>
      </c>
      <c r="AP385" s="2">
        <v>0</v>
      </c>
      <c r="AQ385" s="2">
        <v>0</v>
      </c>
    </row>
    <row r="386" spans="1:43" x14ac:dyDescent="0.3">
      <c r="A386" s="1">
        <v>46125</v>
      </c>
      <c r="B386" t="s">
        <v>48</v>
      </c>
      <c r="C386">
        <v>649163</v>
      </c>
      <c r="D386">
        <v>2033175260</v>
      </c>
      <c r="E386" t="s">
        <v>707</v>
      </c>
      <c r="F386" t="s">
        <v>708</v>
      </c>
      <c r="G386" t="s">
        <v>51</v>
      </c>
      <c r="H386" t="s">
        <v>93</v>
      </c>
      <c r="I386" t="s">
        <v>524</v>
      </c>
      <c r="J386" t="s">
        <v>703</v>
      </c>
      <c r="K386">
        <v>902625</v>
      </c>
      <c r="L386" t="s">
        <v>281</v>
      </c>
      <c r="M386" t="s">
        <v>282</v>
      </c>
      <c r="N386" t="s">
        <v>57</v>
      </c>
      <c r="O386" s="1">
        <v>46038</v>
      </c>
      <c r="Q386" s="1">
        <v>46158</v>
      </c>
      <c r="R386" s="2">
        <v>5</v>
      </c>
      <c r="S386">
        <v>1</v>
      </c>
      <c r="T386" t="s">
        <v>58</v>
      </c>
      <c r="U386" t="s">
        <v>704</v>
      </c>
      <c r="V386" s="3">
        <v>0.27</v>
      </c>
      <c r="W386" s="2">
        <v>0</v>
      </c>
      <c r="X386">
        <v>0</v>
      </c>
      <c r="Y386" t="s">
        <v>60</v>
      </c>
      <c r="Z386" t="s">
        <v>61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1.35</v>
      </c>
      <c r="AN386" s="2">
        <v>1.35</v>
      </c>
      <c r="AO386" s="2">
        <v>0</v>
      </c>
      <c r="AP386" s="2">
        <v>0</v>
      </c>
      <c r="AQ386" s="2">
        <v>0</v>
      </c>
    </row>
    <row r="387" spans="1:43" x14ac:dyDescent="0.3">
      <c r="A387" s="1">
        <v>46125</v>
      </c>
      <c r="B387" t="s">
        <v>48</v>
      </c>
      <c r="C387">
        <v>649163</v>
      </c>
      <c r="D387">
        <v>2033609326</v>
      </c>
      <c r="E387" t="s">
        <v>664</v>
      </c>
      <c r="F387" t="s">
        <v>665</v>
      </c>
      <c r="G387" t="s">
        <v>51</v>
      </c>
      <c r="H387" t="s">
        <v>223</v>
      </c>
      <c r="I387" t="s">
        <v>524</v>
      </c>
      <c r="J387" t="s">
        <v>528</v>
      </c>
      <c r="K387">
        <v>673059</v>
      </c>
      <c r="L387" t="s">
        <v>115</v>
      </c>
      <c r="M387" t="s">
        <v>116</v>
      </c>
      <c r="N387" t="s">
        <v>57</v>
      </c>
      <c r="O387" s="1">
        <v>46065</v>
      </c>
      <c r="Q387" s="1">
        <v>46154</v>
      </c>
      <c r="R387" s="2">
        <v>111.32</v>
      </c>
      <c r="S387">
        <v>1</v>
      </c>
      <c r="T387" t="s">
        <v>58</v>
      </c>
      <c r="U387" t="s">
        <v>477</v>
      </c>
      <c r="V387" s="3">
        <v>0.28999999999999998</v>
      </c>
      <c r="W387" s="2">
        <v>0</v>
      </c>
      <c r="X387">
        <v>0</v>
      </c>
      <c r="Y387" t="s">
        <v>60</v>
      </c>
      <c r="Z387" t="s">
        <v>61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32.28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</row>
    <row r="388" spans="1:43" x14ac:dyDescent="0.3">
      <c r="A388" s="1">
        <v>46125</v>
      </c>
      <c r="B388" t="s">
        <v>48</v>
      </c>
      <c r="C388">
        <v>649163</v>
      </c>
      <c r="D388">
        <v>2033621990</v>
      </c>
      <c r="E388" t="s">
        <v>626</v>
      </c>
      <c r="F388" t="s">
        <v>627</v>
      </c>
      <c r="G388" t="s">
        <v>51</v>
      </c>
      <c r="H388" t="s">
        <v>64</v>
      </c>
      <c r="I388" t="s">
        <v>524</v>
      </c>
      <c r="J388" t="s">
        <v>706</v>
      </c>
      <c r="K388">
        <v>942810</v>
      </c>
      <c r="L388" t="s">
        <v>446</v>
      </c>
      <c r="M388" t="s">
        <v>447</v>
      </c>
      <c r="N388" t="s">
        <v>57</v>
      </c>
      <c r="O388" s="1">
        <v>46066</v>
      </c>
      <c r="Q388" s="1">
        <v>46155</v>
      </c>
      <c r="R388" s="2">
        <v>153.04</v>
      </c>
      <c r="S388">
        <v>1</v>
      </c>
      <c r="T388" t="s">
        <v>58</v>
      </c>
      <c r="U388" t="s">
        <v>477</v>
      </c>
      <c r="V388" s="3">
        <v>0.19</v>
      </c>
      <c r="W388" s="2">
        <v>0</v>
      </c>
      <c r="X388">
        <v>0</v>
      </c>
      <c r="Y388" t="s">
        <v>60</v>
      </c>
      <c r="Z388" t="s">
        <v>61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29.08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</row>
    <row r="389" spans="1:43" x14ac:dyDescent="0.3">
      <c r="A389" s="1">
        <v>46125</v>
      </c>
      <c r="B389" t="s">
        <v>48</v>
      </c>
      <c r="C389">
        <v>649163</v>
      </c>
      <c r="D389">
        <v>2033890178</v>
      </c>
      <c r="E389" t="s">
        <v>709</v>
      </c>
      <c r="F389" t="s">
        <v>710</v>
      </c>
      <c r="G389" t="s">
        <v>51</v>
      </c>
      <c r="H389" t="s">
        <v>114</v>
      </c>
      <c r="I389" t="s">
        <v>524</v>
      </c>
      <c r="J389" t="s">
        <v>711</v>
      </c>
      <c r="K389">
        <v>942810</v>
      </c>
      <c r="L389" t="s">
        <v>446</v>
      </c>
      <c r="M389" t="s">
        <v>447</v>
      </c>
      <c r="N389" t="s">
        <v>57</v>
      </c>
      <c r="O389" s="1">
        <v>46092</v>
      </c>
      <c r="Q389" s="1">
        <v>46153</v>
      </c>
      <c r="R389" s="2">
        <v>197.29</v>
      </c>
      <c r="S389">
        <v>1</v>
      </c>
      <c r="T389" t="s">
        <v>58</v>
      </c>
      <c r="U389" t="s">
        <v>477</v>
      </c>
      <c r="V389" s="3">
        <v>0.19</v>
      </c>
      <c r="W389" s="2">
        <v>0</v>
      </c>
      <c r="X389">
        <v>0</v>
      </c>
      <c r="Y389" t="s">
        <v>60</v>
      </c>
      <c r="Z389" t="s">
        <v>61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37.49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</row>
    <row r="390" spans="1:43" x14ac:dyDescent="0.3">
      <c r="A390" s="1">
        <v>46125</v>
      </c>
      <c r="B390" t="s">
        <v>48</v>
      </c>
      <c r="C390">
        <v>649163</v>
      </c>
      <c r="D390">
        <v>2033890179</v>
      </c>
      <c r="E390" t="s">
        <v>709</v>
      </c>
      <c r="F390" t="s">
        <v>710</v>
      </c>
      <c r="G390" t="s">
        <v>51</v>
      </c>
      <c r="H390" t="s">
        <v>114</v>
      </c>
      <c r="I390" t="s">
        <v>524</v>
      </c>
      <c r="J390" t="s">
        <v>712</v>
      </c>
      <c r="K390">
        <v>942810</v>
      </c>
      <c r="L390" t="s">
        <v>446</v>
      </c>
      <c r="M390" t="s">
        <v>447</v>
      </c>
      <c r="N390" t="s">
        <v>57</v>
      </c>
      <c r="O390" s="1">
        <v>46092</v>
      </c>
      <c r="Q390" s="1">
        <v>46153</v>
      </c>
      <c r="R390" s="2">
        <v>9.9499999999999993</v>
      </c>
      <c r="S390">
        <v>1</v>
      </c>
      <c r="T390" t="s">
        <v>58</v>
      </c>
      <c r="U390" t="s">
        <v>477</v>
      </c>
      <c r="V390" s="3">
        <v>0.19</v>
      </c>
      <c r="W390" s="2">
        <v>0</v>
      </c>
      <c r="X390">
        <v>0</v>
      </c>
      <c r="Y390" t="s">
        <v>60</v>
      </c>
      <c r="Z390" t="s">
        <v>61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1.89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</row>
    <row r="391" spans="1:43" x14ac:dyDescent="0.3">
      <c r="A391" s="1">
        <v>46125</v>
      </c>
      <c r="B391" t="s">
        <v>48</v>
      </c>
      <c r="C391">
        <v>649163</v>
      </c>
      <c r="D391">
        <v>2034254003</v>
      </c>
      <c r="E391" t="s">
        <v>713</v>
      </c>
      <c r="F391" t="s">
        <v>714</v>
      </c>
      <c r="G391" t="s">
        <v>51</v>
      </c>
      <c r="H391" t="s">
        <v>70</v>
      </c>
      <c r="I391" t="s">
        <v>524</v>
      </c>
      <c r="J391" t="s">
        <v>715</v>
      </c>
      <c r="K391">
        <v>822733</v>
      </c>
      <c r="L391" t="s">
        <v>219</v>
      </c>
      <c r="M391" t="s">
        <v>220</v>
      </c>
      <c r="N391" t="s">
        <v>57</v>
      </c>
      <c r="O391" s="1">
        <v>46092</v>
      </c>
      <c r="Q391" s="1">
        <v>46153</v>
      </c>
      <c r="R391" s="2">
        <v>227.48</v>
      </c>
      <c r="S391">
        <v>1</v>
      </c>
      <c r="T391" t="s">
        <v>58</v>
      </c>
      <c r="U391" t="s">
        <v>704</v>
      </c>
      <c r="V391" s="3">
        <v>0.24</v>
      </c>
      <c r="W391" s="2">
        <v>0</v>
      </c>
      <c r="X391">
        <v>0</v>
      </c>
      <c r="Y391" t="s">
        <v>60</v>
      </c>
      <c r="Z391" t="s">
        <v>61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54.6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</row>
    <row r="392" spans="1:43" x14ac:dyDescent="0.3">
      <c r="A392" s="1">
        <v>46125</v>
      </c>
      <c r="B392" t="s">
        <v>48</v>
      </c>
      <c r="C392">
        <v>649163</v>
      </c>
      <c r="D392">
        <v>2034254004</v>
      </c>
      <c r="E392" t="s">
        <v>713</v>
      </c>
      <c r="F392" t="s">
        <v>714</v>
      </c>
      <c r="G392" t="s">
        <v>51</v>
      </c>
      <c r="H392" t="s">
        <v>70</v>
      </c>
      <c r="I392" t="s">
        <v>524</v>
      </c>
      <c r="J392" t="s">
        <v>716</v>
      </c>
      <c r="K392">
        <v>822733</v>
      </c>
      <c r="L392" t="s">
        <v>219</v>
      </c>
      <c r="M392" t="s">
        <v>220</v>
      </c>
      <c r="N392" t="s">
        <v>57</v>
      </c>
      <c r="O392" s="1">
        <v>46092</v>
      </c>
      <c r="Q392" s="1">
        <v>46153</v>
      </c>
      <c r="R392" s="2">
        <v>9.9499999999999993</v>
      </c>
      <c r="S392">
        <v>1</v>
      </c>
      <c r="T392" t="s">
        <v>58</v>
      </c>
      <c r="U392" t="s">
        <v>704</v>
      </c>
      <c r="V392" s="3">
        <v>0.24</v>
      </c>
      <c r="W392" s="2">
        <v>0</v>
      </c>
      <c r="X392">
        <v>0</v>
      </c>
      <c r="Y392" t="s">
        <v>60</v>
      </c>
      <c r="Z392" t="s">
        <v>61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2.39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</row>
    <row r="393" spans="1:43" x14ac:dyDescent="0.3">
      <c r="A393" s="1">
        <v>46125</v>
      </c>
      <c r="B393" t="s">
        <v>48</v>
      </c>
      <c r="C393">
        <v>649163</v>
      </c>
      <c r="D393">
        <v>2034306134</v>
      </c>
      <c r="E393" t="s">
        <v>642</v>
      </c>
      <c r="F393" t="s">
        <v>175</v>
      </c>
      <c r="G393" t="s">
        <v>51</v>
      </c>
      <c r="H393" t="s">
        <v>64</v>
      </c>
      <c r="I393" t="s">
        <v>524</v>
      </c>
      <c r="J393" t="s">
        <v>717</v>
      </c>
      <c r="K393">
        <v>651818</v>
      </c>
      <c r="L393" t="s">
        <v>55</v>
      </c>
      <c r="M393" t="s">
        <v>56</v>
      </c>
      <c r="N393" t="s">
        <v>57</v>
      </c>
      <c r="O393" s="1">
        <v>46094</v>
      </c>
      <c r="Q393" s="1">
        <v>46155</v>
      </c>
      <c r="R393" s="2">
        <v>479.14</v>
      </c>
      <c r="S393">
        <v>1</v>
      </c>
      <c r="T393" t="s">
        <v>58</v>
      </c>
      <c r="U393" t="s">
        <v>526</v>
      </c>
      <c r="V393" s="3">
        <v>0.19</v>
      </c>
      <c r="W393" s="2">
        <v>0</v>
      </c>
      <c r="X393">
        <v>0</v>
      </c>
      <c r="Y393" t="s">
        <v>60</v>
      </c>
      <c r="Z393" t="s">
        <v>61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91.04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</row>
    <row r="394" spans="1:43" x14ac:dyDescent="0.3">
      <c r="A394" s="1">
        <v>46125</v>
      </c>
      <c r="B394" t="s">
        <v>48</v>
      </c>
      <c r="C394">
        <v>649163</v>
      </c>
      <c r="D394">
        <v>2034686259</v>
      </c>
      <c r="E394" t="s">
        <v>718</v>
      </c>
      <c r="F394" t="s">
        <v>719</v>
      </c>
      <c r="G394" t="s">
        <v>51</v>
      </c>
      <c r="H394" t="s">
        <v>420</v>
      </c>
      <c r="I394" t="s">
        <v>524</v>
      </c>
      <c r="J394" t="s">
        <v>720</v>
      </c>
      <c r="K394">
        <v>840313</v>
      </c>
      <c r="L394" t="s">
        <v>441</v>
      </c>
      <c r="M394" t="s">
        <v>442</v>
      </c>
      <c r="N394" t="s">
        <v>86</v>
      </c>
      <c r="O394" s="1">
        <v>46113</v>
      </c>
      <c r="P394" s="1">
        <v>46125</v>
      </c>
      <c r="Q394" s="1">
        <v>46143</v>
      </c>
      <c r="R394" s="2">
        <v>-866.46</v>
      </c>
      <c r="S394">
        <v>1</v>
      </c>
      <c r="T394" t="s">
        <v>58</v>
      </c>
      <c r="U394" t="s">
        <v>721</v>
      </c>
      <c r="V394" s="3">
        <v>0.28999999999999998</v>
      </c>
      <c r="W394" s="2">
        <v>0</v>
      </c>
      <c r="X394">
        <v>-1</v>
      </c>
      <c r="Y394" t="s">
        <v>60</v>
      </c>
      <c r="Z394" t="s">
        <v>61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-251.27</v>
      </c>
      <c r="AN394" s="2">
        <v>-251.27</v>
      </c>
      <c r="AO394" s="2">
        <v>0</v>
      </c>
      <c r="AP394" s="2">
        <v>0</v>
      </c>
      <c r="AQ394" s="2">
        <v>0</v>
      </c>
    </row>
    <row r="395" spans="1:43" x14ac:dyDescent="0.3">
      <c r="A395" s="1">
        <v>46125</v>
      </c>
      <c r="B395" t="s">
        <v>48</v>
      </c>
      <c r="C395">
        <v>649163</v>
      </c>
      <c r="D395">
        <v>2034686260</v>
      </c>
      <c r="E395" t="s">
        <v>718</v>
      </c>
      <c r="F395" t="s">
        <v>719</v>
      </c>
      <c r="G395" t="s">
        <v>51</v>
      </c>
      <c r="H395" t="s">
        <v>420</v>
      </c>
      <c r="I395" t="s">
        <v>524</v>
      </c>
      <c r="J395" t="s">
        <v>722</v>
      </c>
      <c r="K395">
        <v>840313</v>
      </c>
      <c r="L395" t="s">
        <v>441</v>
      </c>
      <c r="M395" t="s">
        <v>442</v>
      </c>
      <c r="N395" t="s">
        <v>86</v>
      </c>
      <c r="O395" s="1">
        <v>46113</v>
      </c>
      <c r="P395" s="1">
        <v>46125</v>
      </c>
      <c r="Q395" s="1">
        <v>46143</v>
      </c>
      <c r="R395" s="2">
        <v>-9.9499999999999993</v>
      </c>
      <c r="S395">
        <v>1</v>
      </c>
      <c r="T395" t="s">
        <v>58</v>
      </c>
      <c r="U395" t="s">
        <v>721</v>
      </c>
      <c r="V395" s="3">
        <v>0.28999999999999998</v>
      </c>
      <c r="W395" s="2">
        <v>0</v>
      </c>
      <c r="X395">
        <v>-1</v>
      </c>
      <c r="Y395" t="s">
        <v>60</v>
      </c>
      <c r="Z395" t="s">
        <v>61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-2.89</v>
      </c>
      <c r="AN395" s="2">
        <v>-2.89</v>
      </c>
      <c r="AO395" s="2">
        <v>0</v>
      </c>
      <c r="AP395" s="2">
        <v>0</v>
      </c>
      <c r="AQ395" s="2">
        <v>0</v>
      </c>
    </row>
    <row r="396" spans="1:43" x14ac:dyDescent="0.3">
      <c r="A396" s="1">
        <v>46125</v>
      </c>
      <c r="B396" t="s">
        <v>48</v>
      </c>
      <c r="C396">
        <v>649163</v>
      </c>
      <c r="D396">
        <v>2017278501</v>
      </c>
      <c r="E396" t="s">
        <v>723</v>
      </c>
      <c r="F396" t="s">
        <v>724</v>
      </c>
      <c r="G396" t="s">
        <v>51</v>
      </c>
      <c r="H396" t="s">
        <v>256</v>
      </c>
      <c r="I396" t="s">
        <v>529</v>
      </c>
      <c r="J396" t="s">
        <v>725</v>
      </c>
      <c r="K396">
        <v>649164</v>
      </c>
      <c r="L396" t="s">
        <v>726</v>
      </c>
      <c r="M396" t="s">
        <v>153</v>
      </c>
      <c r="N396" t="s">
        <v>57</v>
      </c>
      <c r="O396" s="1">
        <v>44932</v>
      </c>
      <c r="Q396" s="1">
        <v>46148</v>
      </c>
      <c r="R396" s="2">
        <v>48.22</v>
      </c>
      <c r="S396">
        <v>1</v>
      </c>
      <c r="T396" t="s">
        <v>58</v>
      </c>
      <c r="U396" t="s">
        <v>59</v>
      </c>
      <c r="V396" s="4">
        <v>5.2499999999999998E-2</v>
      </c>
      <c r="W396" s="2">
        <v>0</v>
      </c>
      <c r="X396">
        <v>0</v>
      </c>
      <c r="Y396" t="s">
        <v>536</v>
      </c>
      <c r="Z396" t="s">
        <v>61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2.5299999999999998</v>
      </c>
      <c r="AN396" s="2">
        <v>2.5299999999999998</v>
      </c>
      <c r="AO396" s="2">
        <v>0</v>
      </c>
      <c r="AP396" s="2">
        <v>0</v>
      </c>
      <c r="AQ396" s="2">
        <v>0</v>
      </c>
    </row>
    <row r="397" spans="1:43" x14ac:dyDescent="0.3">
      <c r="A397" s="1">
        <v>46125</v>
      </c>
      <c r="B397" t="s">
        <v>48</v>
      </c>
      <c r="C397">
        <v>649163</v>
      </c>
      <c r="D397">
        <v>2019687400</v>
      </c>
      <c r="E397" t="s">
        <v>727</v>
      </c>
      <c r="F397" t="s">
        <v>728</v>
      </c>
      <c r="G397" t="s">
        <v>51</v>
      </c>
      <c r="H397" t="s">
        <v>256</v>
      </c>
      <c r="I397" t="s">
        <v>529</v>
      </c>
      <c r="J397" t="s">
        <v>725</v>
      </c>
      <c r="K397">
        <v>678320</v>
      </c>
      <c r="L397" t="s">
        <v>729</v>
      </c>
      <c r="M397" t="s">
        <v>730</v>
      </c>
      <c r="N397" t="s">
        <v>57</v>
      </c>
      <c r="O397" s="1">
        <v>45150</v>
      </c>
      <c r="Q397" s="1">
        <v>46154</v>
      </c>
      <c r="R397" s="2">
        <v>64.540000000000006</v>
      </c>
      <c r="S397">
        <v>1</v>
      </c>
      <c r="T397" t="s">
        <v>58</v>
      </c>
      <c r="U397" t="s">
        <v>59</v>
      </c>
      <c r="V397" s="4">
        <v>5.2499999999999998E-2</v>
      </c>
      <c r="W397" s="2">
        <v>0</v>
      </c>
      <c r="X397">
        <v>0</v>
      </c>
      <c r="Y397" t="s">
        <v>536</v>
      </c>
      <c r="Z397" t="s">
        <v>61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3.39</v>
      </c>
      <c r="AN397" s="2">
        <v>3.39</v>
      </c>
      <c r="AO397" s="2">
        <v>0</v>
      </c>
      <c r="AP397" s="2">
        <v>0</v>
      </c>
      <c r="AQ397" s="2">
        <v>0</v>
      </c>
    </row>
    <row r="398" spans="1:43" x14ac:dyDescent="0.3">
      <c r="A398" s="1">
        <v>46125</v>
      </c>
      <c r="B398" t="s">
        <v>48</v>
      </c>
      <c r="C398">
        <v>649163</v>
      </c>
      <c r="D398">
        <v>2024254141</v>
      </c>
      <c r="E398" t="s">
        <v>731</v>
      </c>
      <c r="F398" t="s">
        <v>732</v>
      </c>
      <c r="G398" t="s">
        <v>51</v>
      </c>
      <c r="H398" t="s">
        <v>256</v>
      </c>
      <c r="I398" t="s">
        <v>529</v>
      </c>
      <c r="J398" t="s">
        <v>725</v>
      </c>
      <c r="K398">
        <v>649247</v>
      </c>
      <c r="L398" t="s">
        <v>733</v>
      </c>
      <c r="M398" t="s">
        <v>734</v>
      </c>
      <c r="N398" t="s">
        <v>57</v>
      </c>
      <c r="O398" s="1">
        <v>45510</v>
      </c>
      <c r="Q398" s="1">
        <v>46148</v>
      </c>
      <c r="R398" s="2">
        <v>45.54</v>
      </c>
      <c r="S398">
        <v>1</v>
      </c>
      <c r="T398" t="s">
        <v>58</v>
      </c>
      <c r="U398" t="s">
        <v>59</v>
      </c>
      <c r="V398" s="4">
        <v>5.2499999999999998E-2</v>
      </c>
      <c r="W398" s="2">
        <v>0</v>
      </c>
      <c r="X398">
        <v>0</v>
      </c>
      <c r="Y398" t="s">
        <v>536</v>
      </c>
      <c r="Z398" t="s">
        <v>61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2.39</v>
      </c>
      <c r="AN398" s="2">
        <v>2.39</v>
      </c>
      <c r="AO398" s="2">
        <v>0</v>
      </c>
      <c r="AP398" s="2">
        <v>0</v>
      </c>
      <c r="AQ398" s="2">
        <v>0</v>
      </c>
    </row>
    <row r="399" spans="1:43" x14ac:dyDescent="0.3">
      <c r="A399" s="1">
        <v>46125</v>
      </c>
      <c r="B399" t="s">
        <v>48</v>
      </c>
      <c r="C399">
        <v>649163</v>
      </c>
      <c r="D399">
        <v>2026694436</v>
      </c>
      <c r="E399" t="s">
        <v>735</v>
      </c>
      <c r="F399" t="s">
        <v>736</v>
      </c>
      <c r="G399" t="s">
        <v>51</v>
      </c>
      <c r="H399" t="s">
        <v>80</v>
      </c>
      <c r="I399" t="s">
        <v>529</v>
      </c>
      <c r="J399" t="s">
        <v>530</v>
      </c>
      <c r="K399">
        <v>651818</v>
      </c>
      <c r="L399" t="s">
        <v>55</v>
      </c>
      <c r="M399" t="s">
        <v>56</v>
      </c>
      <c r="N399" t="s">
        <v>57</v>
      </c>
      <c r="O399" s="1">
        <v>45695</v>
      </c>
      <c r="Q399" s="1">
        <v>46149</v>
      </c>
      <c r="R399" s="2">
        <v>172.98</v>
      </c>
      <c r="S399">
        <v>1</v>
      </c>
      <c r="T399" t="s">
        <v>58</v>
      </c>
      <c r="U399" t="s">
        <v>59</v>
      </c>
      <c r="V399" s="3">
        <v>0.08</v>
      </c>
      <c r="W399" s="2">
        <v>0</v>
      </c>
      <c r="X399">
        <v>0</v>
      </c>
      <c r="Y399" t="s">
        <v>536</v>
      </c>
      <c r="Z399" t="s">
        <v>61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13.84</v>
      </c>
      <c r="AN399" s="2">
        <v>13.84</v>
      </c>
      <c r="AO399" s="2">
        <v>0</v>
      </c>
      <c r="AP399" s="2">
        <v>0</v>
      </c>
      <c r="AQ399" s="2">
        <v>0</v>
      </c>
    </row>
    <row r="400" spans="1:43" x14ac:dyDescent="0.3">
      <c r="A400" s="1">
        <v>46125</v>
      </c>
      <c r="B400" t="s">
        <v>48</v>
      </c>
      <c r="C400">
        <v>649163</v>
      </c>
      <c r="D400">
        <v>2026694437</v>
      </c>
      <c r="E400" t="s">
        <v>735</v>
      </c>
      <c r="F400" t="s">
        <v>736</v>
      </c>
      <c r="G400" t="s">
        <v>51</v>
      </c>
      <c r="H400" t="s">
        <v>80</v>
      </c>
      <c r="I400" t="s">
        <v>529</v>
      </c>
      <c r="J400" t="s">
        <v>531</v>
      </c>
      <c r="K400">
        <v>651818</v>
      </c>
      <c r="L400" t="s">
        <v>55</v>
      </c>
      <c r="M400" t="s">
        <v>56</v>
      </c>
      <c r="N400" t="s">
        <v>57</v>
      </c>
      <c r="O400" s="1">
        <v>45695</v>
      </c>
      <c r="Q400" s="1">
        <v>46149</v>
      </c>
      <c r="R400" s="2">
        <v>14.95</v>
      </c>
      <c r="S400">
        <v>1</v>
      </c>
      <c r="T400" t="s">
        <v>58</v>
      </c>
      <c r="U400" t="s">
        <v>59</v>
      </c>
      <c r="V400" s="3">
        <v>0.08</v>
      </c>
      <c r="W400" s="2">
        <v>0</v>
      </c>
      <c r="X400">
        <v>0</v>
      </c>
      <c r="Y400" t="s">
        <v>536</v>
      </c>
      <c r="Z400" t="s">
        <v>61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1.2</v>
      </c>
      <c r="AN400" s="2">
        <v>1.2</v>
      </c>
      <c r="AO400" s="2">
        <v>0</v>
      </c>
      <c r="AP400" s="2">
        <v>0</v>
      </c>
      <c r="AQ400" s="2">
        <v>0</v>
      </c>
    </row>
    <row r="401" spans="1:43" x14ac:dyDescent="0.3">
      <c r="A401" s="1">
        <v>46125</v>
      </c>
      <c r="B401" t="s">
        <v>48</v>
      </c>
      <c r="C401">
        <v>649163</v>
      </c>
      <c r="D401">
        <v>2027604739</v>
      </c>
      <c r="E401" t="s">
        <v>737</v>
      </c>
      <c r="F401" t="s">
        <v>738</v>
      </c>
      <c r="G401" t="s">
        <v>51</v>
      </c>
      <c r="H401" t="s">
        <v>661</v>
      </c>
      <c r="I401" t="s">
        <v>529</v>
      </c>
      <c r="J401" t="s">
        <v>725</v>
      </c>
      <c r="K401">
        <v>766422</v>
      </c>
      <c r="L401" t="s">
        <v>739</v>
      </c>
      <c r="M401" t="s">
        <v>56</v>
      </c>
      <c r="N401" t="s">
        <v>57</v>
      </c>
      <c r="O401" s="1">
        <v>45723</v>
      </c>
      <c r="Q401" s="1">
        <v>46149</v>
      </c>
      <c r="R401" s="2">
        <v>51.04</v>
      </c>
      <c r="S401">
        <v>1</v>
      </c>
      <c r="T401" t="s">
        <v>58</v>
      </c>
      <c r="U401" t="s">
        <v>59</v>
      </c>
      <c r="V401" s="4">
        <v>5.2499999999999998E-2</v>
      </c>
      <c r="W401" s="2">
        <v>0</v>
      </c>
      <c r="X401">
        <v>0</v>
      </c>
      <c r="Y401" t="s">
        <v>536</v>
      </c>
      <c r="Z401" t="s">
        <v>61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2.68</v>
      </c>
      <c r="AN401" s="2">
        <v>2.68</v>
      </c>
      <c r="AO401" s="2">
        <v>0</v>
      </c>
      <c r="AP401" s="2">
        <v>0</v>
      </c>
      <c r="AQ401" s="2">
        <v>0</v>
      </c>
    </row>
    <row r="402" spans="1:43" x14ac:dyDescent="0.3">
      <c r="A402" s="1">
        <v>46125</v>
      </c>
      <c r="B402" t="s">
        <v>48</v>
      </c>
      <c r="C402">
        <v>649163</v>
      </c>
      <c r="D402">
        <v>2027605652</v>
      </c>
      <c r="E402" t="s">
        <v>740</v>
      </c>
      <c r="F402" t="s">
        <v>741</v>
      </c>
      <c r="G402" t="s">
        <v>51</v>
      </c>
      <c r="H402" t="s">
        <v>80</v>
      </c>
      <c r="I402" t="s">
        <v>529</v>
      </c>
      <c r="J402" t="s">
        <v>725</v>
      </c>
      <c r="K402">
        <v>764123</v>
      </c>
      <c r="L402" t="s">
        <v>742</v>
      </c>
      <c r="M402" t="s">
        <v>743</v>
      </c>
      <c r="N402" t="s">
        <v>57</v>
      </c>
      <c r="O402" s="1">
        <v>45722</v>
      </c>
      <c r="Q402" s="1">
        <v>46148</v>
      </c>
      <c r="R402" s="2">
        <v>83.39</v>
      </c>
      <c r="S402">
        <v>1</v>
      </c>
      <c r="T402" t="s">
        <v>58</v>
      </c>
      <c r="U402" t="s">
        <v>59</v>
      </c>
      <c r="V402" s="4">
        <v>5.2499999999999998E-2</v>
      </c>
      <c r="W402" s="2">
        <v>0</v>
      </c>
      <c r="X402">
        <v>0</v>
      </c>
      <c r="Y402" t="s">
        <v>536</v>
      </c>
      <c r="Z402" t="s">
        <v>61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4.38</v>
      </c>
      <c r="AN402" s="2">
        <v>4.38</v>
      </c>
      <c r="AO402" s="2">
        <v>0</v>
      </c>
      <c r="AP402" s="2">
        <v>0</v>
      </c>
      <c r="AQ402" s="2">
        <v>0</v>
      </c>
    </row>
    <row r="403" spans="1:43" x14ac:dyDescent="0.3">
      <c r="A403" s="1">
        <v>46125</v>
      </c>
      <c r="B403" t="s">
        <v>48</v>
      </c>
      <c r="C403">
        <v>649163</v>
      </c>
      <c r="D403">
        <v>2029358060</v>
      </c>
      <c r="E403" t="s">
        <v>744</v>
      </c>
      <c r="F403" t="s">
        <v>745</v>
      </c>
      <c r="G403" t="s">
        <v>51</v>
      </c>
      <c r="H403" t="s">
        <v>256</v>
      </c>
      <c r="I403" t="s">
        <v>529</v>
      </c>
      <c r="J403" t="s">
        <v>725</v>
      </c>
      <c r="K403">
        <v>649247</v>
      </c>
      <c r="L403" t="s">
        <v>733</v>
      </c>
      <c r="M403" t="s">
        <v>734</v>
      </c>
      <c r="N403" t="s">
        <v>57</v>
      </c>
      <c r="O403" s="1">
        <v>45817</v>
      </c>
      <c r="Q403" s="1">
        <v>46151</v>
      </c>
      <c r="R403" s="2">
        <v>60.6</v>
      </c>
      <c r="S403">
        <v>1</v>
      </c>
      <c r="T403" t="s">
        <v>58</v>
      </c>
      <c r="U403" t="s">
        <v>59</v>
      </c>
      <c r="V403" s="3">
        <v>0.47</v>
      </c>
      <c r="W403" s="2">
        <v>0</v>
      </c>
      <c r="X403">
        <v>0</v>
      </c>
      <c r="Y403" t="s">
        <v>60</v>
      </c>
      <c r="Z403" t="s">
        <v>61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28.48</v>
      </c>
      <c r="AN403" s="2">
        <v>28.48</v>
      </c>
      <c r="AO403" s="2">
        <v>0</v>
      </c>
      <c r="AP403" s="2">
        <v>0</v>
      </c>
      <c r="AQ403" s="2">
        <v>0</v>
      </c>
    </row>
    <row r="404" spans="1:43" x14ac:dyDescent="0.3">
      <c r="A404" s="1">
        <v>46125</v>
      </c>
      <c r="B404" t="s">
        <v>48</v>
      </c>
      <c r="C404">
        <v>649163</v>
      </c>
      <c r="D404">
        <v>2030739940</v>
      </c>
      <c r="E404" t="s">
        <v>98</v>
      </c>
      <c r="F404" t="s">
        <v>378</v>
      </c>
      <c r="G404" t="s">
        <v>51</v>
      </c>
      <c r="H404" t="s">
        <v>70</v>
      </c>
      <c r="I404" t="s">
        <v>529</v>
      </c>
      <c r="J404" t="s">
        <v>530</v>
      </c>
      <c r="K404">
        <v>651818</v>
      </c>
      <c r="L404" t="s">
        <v>55</v>
      </c>
      <c r="M404" t="s">
        <v>56</v>
      </c>
      <c r="N404" t="s">
        <v>57</v>
      </c>
      <c r="O404" s="1">
        <v>45906</v>
      </c>
      <c r="Q404" s="1">
        <v>46148</v>
      </c>
      <c r="R404" s="2">
        <v>176.78</v>
      </c>
      <c r="S404">
        <v>1</v>
      </c>
      <c r="T404" t="s">
        <v>58</v>
      </c>
      <c r="U404" t="s">
        <v>59</v>
      </c>
      <c r="V404" s="3">
        <v>0.51</v>
      </c>
      <c r="W404" s="2">
        <v>0</v>
      </c>
      <c r="X404">
        <v>0</v>
      </c>
      <c r="Y404" t="s">
        <v>60</v>
      </c>
      <c r="Z404" t="s">
        <v>61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90.16</v>
      </c>
      <c r="AN404" s="2">
        <v>90.16</v>
      </c>
      <c r="AO404" s="2">
        <v>0</v>
      </c>
      <c r="AP404" s="2">
        <v>0</v>
      </c>
      <c r="AQ404" s="2">
        <v>0</v>
      </c>
    </row>
    <row r="405" spans="1:43" x14ac:dyDescent="0.3">
      <c r="A405" s="1">
        <v>46125</v>
      </c>
      <c r="B405" t="s">
        <v>48</v>
      </c>
      <c r="C405">
        <v>649163</v>
      </c>
      <c r="D405">
        <v>2030739941</v>
      </c>
      <c r="E405" t="s">
        <v>98</v>
      </c>
      <c r="F405" t="s">
        <v>378</v>
      </c>
      <c r="G405" t="s">
        <v>51</v>
      </c>
      <c r="H405" t="s">
        <v>70</v>
      </c>
      <c r="I405" t="s">
        <v>529</v>
      </c>
      <c r="J405" t="s">
        <v>531</v>
      </c>
      <c r="K405">
        <v>651818</v>
      </c>
      <c r="L405" t="s">
        <v>55</v>
      </c>
      <c r="M405" t="s">
        <v>56</v>
      </c>
      <c r="N405" t="s">
        <v>57</v>
      </c>
      <c r="O405" s="1">
        <v>45906</v>
      </c>
      <c r="Q405" s="1">
        <v>46148</v>
      </c>
      <c r="R405" s="2">
        <v>14.95</v>
      </c>
      <c r="S405">
        <v>1</v>
      </c>
      <c r="T405" t="s">
        <v>58</v>
      </c>
      <c r="U405" t="s">
        <v>59</v>
      </c>
      <c r="V405" s="3">
        <v>0.51</v>
      </c>
      <c r="W405" s="2">
        <v>0</v>
      </c>
      <c r="X405">
        <v>0</v>
      </c>
      <c r="Y405" t="s">
        <v>60</v>
      </c>
      <c r="Z405" t="s">
        <v>61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7.62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</row>
    <row r="406" spans="1:43" x14ac:dyDescent="0.3">
      <c r="A406" s="1">
        <v>46125</v>
      </c>
      <c r="B406" t="s">
        <v>48</v>
      </c>
      <c r="C406">
        <v>649163</v>
      </c>
      <c r="D406">
        <v>2030820657</v>
      </c>
      <c r="E406" t="s">
        <v>746</v>
      </c>
      <c r="F406" t="s">
        <v>149</v>
      </c>
      <c r="G406" t="s">
        <v>51</v>
      </c>
      <c r="H406" t="s">
        <v>256</v>
      </c>
      <c r="I406" t="s">
        <v>529</v>
      </c>
      <c r="J406" t="s">
        <v>725</v>
      </c>
      <c r="K406">
        <v>728134</v>
      </c>
      <c r="L406" t="s">
        <v>747</v>
      </c>
      <c r="M406" t="s">
        <v>748</v>
      </c>
      <c r="N406" t="s">
        <v>86</v>
      </c>
      <c r="O406" s="1">
        <v>45931</v>
      </c>
      <c r="P406" s="1">
        <v>46118</v>
      </c>
      <c r="Q406" s="1">
        <v>46143</v>
      </c>
      <c r="R406" s="2">
        <v>-31.35</v>
      </c>
      <c r="S406">
        <v>1</v>
      </c>
      <c r="T406" t="s">
        <v>58</v>
      </c>
      <c r="U406" t="s">
        <v>173</v>
      </c>
      <c r="V406" s="3">
        <v>0.47</v>
      </c>
      <c r="W406" s="2">
        <v>0</v>
      </c>
      <c r="X406">
        <v>-1</v>
      </c>
      <c r="Y406" t="s">
        <v>60</v>
      </c>
      <c r="Z406" t="s">
        <v>61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-14.73</v>
      </c>
      <c r="AN406" s="2">
        <v>-14.73</v>
      </c>
      <c r="AO406" s="2">
        <v>0</v>
      </c>
      <c r="AP406" s="2">
        <v>0</v>
      </c>
      <c r="AQ406" s="2">
        <v>0</v>
      </c>
    </row>
    <row r="407" spans="1:43" x14ac:dyDescent="0.3">
      <c r="A407" s="1">
        <v>46125</v>
      </c>
      <c r="B407" t="s">
        <v>48</v>
      </c>
      <c r="C407">
        <v>649163</v>
      </c>
      <c r="D407">
        <v>2031848856</v>
      </c>
      <c r="E407" t="s">
        <v>209</v>
      </c>
      <c r="F407" t="s">
        <v>210</v>
      </c>
      <c r="G407" t="s">
        <v>51</v>
      </c>
      <c r="H407" t="s">
        <v>70</v>
      </c>
      <c r="I407" t="s">
        <v>529</v>
      </c>
      <c r="J407" t="s">
        <v>530</v>
      </c>
      <c r="K407">
        <v>651818</v>
      </c>
      <c r="L407" t="s">
        <v>55</v>
      </c>
      <c r="M407" t="s">
        <v>56</v>
      </c>
      <c r="N407" t="s">
        <v>57</v>
      </c>
      <c r="O407" s="1">
        <v>45967</v>
      </c>
      <c r="Q407" s="1">
        <v>46148</v>
      </c>
      <c r="R407" s="2">
        <v>132.28</v>
      </c>
      <c r="S407">
        <v>1</v>
      </c>
      <c r="T407" t="s">
        <v>58</v>
      </c>
      <c r="U407" t="s">
        <v>173</v>
      </c>
      <c r="V407" s="3">
        <v>0.51</v>
      </c>
      <c r="W407" s="2">
        <v>0</v>
      </c>
      <c r="X407">
        <v>0</v>
      </c>
      <c r="Y407" t="s">
        <v>60</v>
      </c>
      <c r="Z407" t="s">
        <v>61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67.459999999999994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</row>
    <row r="408" spans="1:43" x14ac:dyDescent="0.3">
      <c r="A408" s="1">
        <v>46125</v>
      </c>
      <c r="B408" t="s">
        <v>48</v>
      </c>
      <c r="C408">
        <v>649163</v>
      </c>
      <c r="D408">
        <v>2031848857</v>
      </c>
      <c r="E408" t="s">
        <v>209</v>
      </c>
      <c r="F408" t="s">
        <v>210</v>
      </c>
      <c r="G408" t="s">
        <v>51</v>
      </c>
      <c r="H408" t="s">
        <v>70</v>
      </c>
      <c r="I408" t="s">
        <v>529</v>
      </c>
      <c r="J408" t="s">
        <v>531</v>
      </c>
      <c r="K408">
        <v>651818</v>
      </c>
      <c r="L408" t="s">
        <v>55</v>
      </c>
      <c r="M408" t="s">
        <v>56</v>
      </c>
      <c r="N408" t="s">
        <v>57</v>
      </c>
      <c r="O408" s="1">
        <v>45967</v>
      </c>
      <c r="Q408" s="1">
        <v>46148</v>
      </c>
      <c r="R408" s="2">
        <v>5.95</v>
      </c>
      <c r="S408">
        <v>1</v>
      </c>
      <c r="T408" t="s">
        <v>58</v>
      </c>
      <c r="U408" t="s">
        <v>173</v>
      </c>
      <c r="V408" s="3">
        <v>0.51</v>
      </c>
      <c r="W408" s="2">
        <v>0</v>
      </c>
      <c r="X408">
        <v>0</v>
      </c>
      <c r="Y408" t="s">
        <v>60</v>
      </c>
      <c r="Z408" t="s">
        <v>61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3.03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</row>
    <row r="409" spans="1:43" x14ac:dyDescent="0.3">
      <c r="A409" s="1">
        <v>46125</v>
      </c>
      <c r="B409" t="s">
        <v>48</v>
      </c>
      <c r="C409">
        <v>649163</v>
      </c>
      <c r="D409">
        <v>2033064593</v>
      </c>
      <c r="E409" t="s">
        <v>749</v>
      </c>
      <c r="F409" t="s">
        <v>750</v>
      </c>
      <c r="G409" t="s">
        <v>51</v>
      </c>
      <c r="H409" t="s">
        <v>114</v>
      </c>
      <c r="I409" t="s">
        <v>529</v>
      </c>
      <c r="J409" t="s">
        <v>725</v>
      </c>
      <c r="K409">
        <v>888536</v>
      </c>
      <c r="L409" t="s">
        <v>469</v>
      </c>
      <c r="M409" t="s">
        <v>751</v>
      </c>
      <c r="N409" t="s">
        <v>57</v>
      </c>
      <c r="O409" s="1">
        <v>46032</v>
      </c>
      <c r="Q409" s="1">
        <v>46152</v>
      </c>
      <c r="R409" s="2">
        <v>76.209999999999994</v>
      </c>
      <c r="S409">
        <v>1</v>
      </c>
      <c r="T409" t="s">
        <v>58</v>
      </c>
      <c r="U409" t="s">
        <v>173</v>
      </c>
      <c r="V409" s="3">
        <v>0.47</v>
      </c>
      <c r="W409" s="2">
        <v>0</v>
      </c>
      <c r="X409">
        <v>0</v>
      </c>
      <c r="Y409" t="s">
        <v>60</v>
      </c>
      <c r="Z409" t="s">
        <v>61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35.82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</row>
    <row r="410" spans="1:43" x14ac:dyDescent="0.3">
      <c r="A410" s="1">
        <v>46125</v>
      </c>
      <c r="B410" t="s">
        <v>48</v>
      </c>
      <c r="C410">
        <v>649163</v>
      </c>
      <c r="D410">
        <v>2024991182</v>
      </c>
      <c r="E410" t="s">
        <v>752</v>
      </c>
      <c r="F410" t="s">
        <v>753</v>
      </c>
      <c r="G410" t="s">
        <v>51</v>
      </c>
      <c r="H410" t="s">
        <v>182</v>
      </c>
      <c r="I410" t="s">
        <v>475</v>
      </c>
      <c r="J410" t="s">
        <v>652</v>
      </c>
      <c r="K410">
        <v>650218</v>
      </c>
      <c r="L410" t="s">
        <v>544</v>
      </c>
      <c r="M410" t="s">
        <v>324</v>
      </c>
      <c r="N410" t="s">
        <v>86</v>
      </c>
      <c r="O410" s="1">
        <v>45566</v>
      </c>
      <c r="P410" s="1">
        <v>46118</v>
      </c>
      <c r="Q410" s="1">
        <v>46143</v>
      </c>
      <c r="R410" s="2">
        <v>-15</v>
      </c>
      <c r="S410">
        <v>1</v>
      </c>
      <c r="T410" t="s">
        <v>58</v>
      </c>
      <c r="U410" t="s">
        <v>59</v>
      </c>
      <c r="V410" s="3">
        <v>0.1</v>
      </c>
      <c r="W410" s="2">
        <v>0</v>
      </c>
      <c r="X410">
        <v>-1</v>
      </c>
      <c r="Y410" t="s">
        <v>536</v>
      </c>
      <c r="Z410" t="s">
        <v>61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-1.5</v>
      </c>
      <c r="AN410" s="2">
        <v>-1.5</v>
      </c>
      <c r="AO410" s="2">
        <v>0</v>
      </c>
      <c r="AP410" s="2">
        <v>0</v>
      </c>
      <c r="AQ410" s="2">
        <v>0</v>
      </c>
    </row>
    <row r="411" spans="1:43" x14ac:dyDescent="0.3">
      <c r="A411" s="1">
        <v>46125</v>
      </c>
      <c r="B411" t="s">
        <v>48</v>
      </c>
      <c r="C411">
        <v>649163</v>
      </c>
      <c r="D411">
        <v>2026586623</v>
      </c>
      <c r="E411" t="s">
        <v>754</v>
      </c>
      <c r="F411" t="s">
        <v>410</v>
      </c>
      <c r="G411" t="s">
        <v>51</v>
      </c>
      <c r="H411" t="s">
        <v>755</v>
      </c>
      <c r="I411" t="s">
        <v>475</v>
      </c>
      <c r="J411" t="s">
        <v>652</v>
      </c>
      <c r="K411">
        <v>756418</v>
      </c>
      <c r="L411" t="s">
        <v>400</v>
      </c>
      <c r="M411" t="s">
        <v>401</v>
      </c>
      <c r="N411" t="s">
        <v>57</v>
      </c>
      <c r="O411" s="1">
        <v>45672</v>
      </c>
      <c r="Q411" s="1">
        <v>46157</v>
      </c>
      <c r="R411" s="2">
        <v>15</v>
      </c>
      <c r="S411">
        <v>1</v>
      </c>
      <c r="T411" t="s">
        <v>58</v>
      </c>
      <c r="U411" t="s">
        <v>59</v>
      </c>
      <c r="V411" s="3">
        <v>0.1</v>
      </c>
      <c r="W411" s="2">
        <v>0</v>
      </c>
      <c r="X411">
        <v>0</v>
      </c>
      <c r="Y411" t="s">
        <v>536</v>
      </c>
      <c r="Z411" t="s">
        <v>61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1.5</v>
      </c>
      <c r="AN411" s="2">
        <v>1.5</v>
      </c>
      <c r="AO411" s="2">
        <v>0</v>
      </c>
      <c r="AP411" s="2">
        <v>0</v>
      </c>
      <c r="AQ411" s="2">
        <v>0</v>
      </c>
    </row>
    <row r="412" spans="1:43" x14ac:dyDescent="0.3">
      <c r="A412" s="1">
        <v>46125</v>
      </c>
      <c r="B412" t="s">
        <v>48</v>
      </c>
      <c r="C412">
        <v>649163</v>
      </c>
      <c r="D412">
        <v>2027080634</v>
      </c>
      <c r="E412" t="s">
        <v>756</v>
      </c>
      <c r="F412" t="s">
        <v>434</v>
      </c>
      <c r="G412" t="s">
        <v>51</v>
      </c>
      <c r="H412" t="s">
        <v>757</v>
      </c>
      <c r="I412" t="s">
        <v>475</v>
      </c>
      <c r="J412" t="s">
        <v>482</v>
      </c>
      <c r="K412">
        <v>824062</v>
      </c>
      <c r="L412" t="s">
        <v>167</v>
      </c>
      <c r="M412" t="s">
        <v>168</v>
      </c>
      <c r="N412" t="s">
        <v>57</v>
      </c>
      <c r="O412" s="1">
        <v>45701</v>
      </c>
      <c r="Q412" s="1">
        <v>46155</v>
      </c>
      <c r="R412" s="2">
        <v>15</v>
      </c>
      <c r="S412">
        <v>1</v>
      </c>
      <c r="T412" t="s">
        <v>58</v>
      </c>
      <c r="U412" t="s">
        <v>59</v>
      </c>
      <c r="V412" s="3">
        <v>0.28999999999999998</v>
      </c>
      <c r="W412" s="2">
        <v>0</v>
      </c>
      <c r="X412">
        <v>0</v>
      </c>
      <c r="Y412" t="s">
        <v>536</v>
      </c>
      <c r="Z412" t="s">
        <v>61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4.3499999999999996</v>
      </c>
      <c r="AN412" s="2">
        <v>4.3499999999999996</v>
      </c>
      <c r="AO412" s="2">
        <v>0</v>
      </c>
      <c r="AP412" s="2">
        <v>0</v>
      </c>
      <c r="AQ412" s="2">
        <v>0</v>
      </c>
    </row>
    <row r="413" spans="1:43" x14ac:dyDescent="0.3">
      <c r="A413" s="1">
        <v>46125</v>
      </c>
      <c r="B413" t="s">
        <v>48</v>
      </c>
      <c r="C413">
        <v>649163</v>
      </c>
      <c r="D413">
        <v>2027849976</v>
      </c>
      <c r="E413" t="s">
        <v>758</v>
      </c>
      <c r="F413" t="s">
        <v>318</v>
      </c>
      <c r="G413" t="s">
        <v>51</v>
      </c>
      <c r="H413" t="s">
        <v>759</v>
      </c>
      <c r="I413" t="s">
        <v>475</v>
      </c>
      <c r="J413" t="s">
        <v>652</v>
      </c>
      <c r="K413">
        <v>650218</v>
      </c>
      <c r="L413" t="s">
        <v>544</v>
      </c>
      <c r="M413" t="s">
        <v>324</v>
      </c>
      <c r="N413" t="s">
        <v>57</v>
      </c>
      <c r="O413" s="1">
        <v>45733</v>
      </c>
      <c r="Q413" s="1">
        <v>46159</v>
      </c>
      <c r="R413" s="2">
        <v>15</v>
      </c>
      <c r="S413">
        <v>1</v>
      </c>
      <c r="T413" t="s">
        <v>58</v>
      </c>
      <c r="U413" t="s">
        <v>59</v>
      </c>
      <c r="V413" s="3">
        <v>0.1</v>
      </c>
      <c r="W413" s="2">
        <v>0</v>
      </c>
      <c r="X413">
        <v>0</v>
      </c>
      <c r="Y413" t="s">
        <v>536</v>
      </c>
      <c r="Z413" t="s">
        <v>61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1.5</v>
      </c>
      <c r="AN413" s="2">
        <v>1.5</v>
      </c>
      <c r="AO413" s="2">
        <v>0</v>
      </c>
      <c r="AP413" s="2">
        <v>0</v>
      </c>
      <c r="AQ413" s="2">
        <v>0</v>
      </c>
    </row>
    <row r="414" spans="1:43" x14ac:dyDescent="0.3">
      <c r="A414" s="1">
        <v>46125</v>
      </c>
      <c r="B414" t="s">
        <v>48</v>
      </c>
      <c r="C414">
        <v>649163</v>
      </c>
      <c r="D414">
        <v>2028367121</v>
      </c>
      <c r="E414" t="s">
        <v>586</v>
      </c>
      <c r="F414" t="s">
        <v>587</v>
      </c>
      <c r="G414" t="s">
        <v>51</v>
      </c>
      <c r="H414" t="s">
        <v>223</v>
      </c>
      <c r="I414" t="s">
        <v>475</v>
      </c>
      <c r="J414" t="s">
        <v>476</v>
      </c>
      <c r="K414">
        <v>673059</v>
      </c>
      <c r="L414" t="s">
        <v>115</v>
      </c>
      <c r="M414" t="s">
        <v>116</v>
      </c>
      <c r="N414" t="s">
        <v>57</v>
      </c>
      <c r="O414" s="1">
        <v>45759</v>
      </c>
      <c r="Q414" s="1">
        <v>46154</v>
      </c>
      <c r="R414" s="2">
        <v>15</v>
      </c>
      <c r="S414">
        <v>1</v>
      </c>
      <c r="T414" t="s">
        <v>58</v>
      </c>
      <c r="U414" t="s">
        <v>59</v>
      </c>
      <c r="V414" s="3">
        <v>0.1</v>
      </c>
      <c r="W414" s="2">
        <v>0</v>
      </c>
      <c r="X414">
        <v>0</v>
      </c>
      <c r="Y414" t="s">
        <v>536</v>
      </c>
      <c r="Z414" t="s">
        <v>61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1.5</v>
      </c>
      <c r="AN414" s="2">
        <v>1.5</v>
      </c>
      <c r="AO414" s="2">
        <v>0</v>
      </c>
      <c r="AP414" s="2">
        <v>0</v>
      </c>
      <c r="AQ414" s="2">
        <v>0</v>
      </c>
    </row>
    <row r="415" spans="1:43" x14ac:dyDescent="0.3">
      <c r="A415" s="1">
        <v>46125</v>
      </c>
      <c r="B415" t="s">
        <v>48</v>
      </c>
      <c r="C415">
        <v>649163</v>
      </c>
      <c r="D415">
        <v>2028437289</v>
      </c>
      <c r="E415" t="s">
        <v>760</v>
      </c>
      <c r="F415" t="s">
        <v>761</v>
      </c>
      <c r="G415" t="s">
        <v>51</v>
      </c>
      <c r="H415" t="s">
        <v>223</v>
      </c>
      <c r="I415" t="s">
        <v>475</v>
      </c>
      <c r="J415" t="s">
        <v>482</v>
      </c>
      <c r="K415">
        <v>673059</v>
      </c>
      <c r="L415" t="s">
        <v>115</v>
      </c>
      <c r="M415" t="s">
        <v>116</v>
      </c>
      <c r="N415" t="s">
        <v>57</v>
      </c>
      <c r="O415" s="1">
        <v>45764</v>
      </c>
      <c r="Q415" s="1">
        <v>46159</v>
      </c>
      <c r="R415" s="2">
        <v>15</v>
      </c>
      <c r="S415">
        <v>1</v>
      </c>
      <c r="T415" t="s">
        <v>58</v>
      </c>
      <c r="U415" t="s">
        <v>59</v>
      </c>
      <c r="V415" s="3">
        <v>0.28999999999999998</v>
      </c>
      <c r="W415" s="2">
        <v>0</v>
      </c>
      <c r="X415">
        <v>0</v>
      </c>
      <c r="Y415" t="s">
        <v>536</v>
      </c>
      <c r="Z415" t="s">
        <v>61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4.3499999999999996</v>
      </c>
      <c r="AN415" s="2">
        <v>4.3499999999999996</v>
      </c>
      <c r="AO415" s="2">
        <v>0</v>
      </c>
      <c r="AP415" s="2">
        <v>0</v>
      </c>
      <c r="AQ415" s="2">
        <v>0</v>
      </c>
    </row>
    <row r="416" spans="1:43" x14ac:dyDescent="0.3">
      <c r="A416" s="1">
        <v>46125</v>
      </c>
      <c r="B416" t="s">
        <v>48</v>
      </c>
      <c r="C416">
        <v>649163</v>
      </c>
      <c r="D416">
        <v>2028958359</v>
      </c>
      <c r="E416" t="s">
        <v>596</v>
      </c>
      <c r="F416" t="s">
        <v>202</v>
      </c>
      <c r="G416" t="s">
        <v>51</v>
      </c>
      <c r="H416" t="s">
        <v>80</v>
      </c>
      <c r="I416" t="s">
        <v>475</v>
      </c>
      <c r="J416" t="s">
        <v>762</v>
      </c>
      <c r="K416">
        <v>673059</v>
      </c>
      <c r="L416" t="s">
        <v>115</v>
      </c>
      <c r="M416" t="s">
        <v>116</v>
      </c>
      <c r="N416" t="s">
        <v>57</v>
      </c>
      <c r="O416" s="1">
        <v>45793</v>
      </c>
      <c r="Q416" s="1">
        <v>46158</v>
      </c>
      <c r="R416" s="2">
        <v>15</v>
      </c>
      <c r="S416">
        <v>1</v>
      </c>
      <c r="T416" t="s">
        <v>58</v>
      </c>
      <c r="U416" t="s">
        <v>59</v>
      </c>
      <c r="V416" s="3">
        <v>0.19</v>
      </c>
      <c r="W416" s="2">
        <v>0</v>
      </c>
      <c r="X416">
        <v>0</v>
      </c>
      <c r="Y416" t="s">
        <v>60</v>
      </c>
      <c r="Z416" t="s">
        <v>61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2.85</v>
      </c>
      <c r="AN416" s="2">
        <v>2.85</v>
      </c>
      <c r="AO416" s="2">
        <v>0</v>
      </c>
      <c r="AP416" s="2">
        <v>0</v>
      </c>
      <c r="AQ416" s="2">
        <v>0</v>
      </c>
    </row>
    <row r="417" spans="1:43" x14ac:dyDescent="0.3">
      <c r="A417" s="1">
        <v>46125</v>
      </c>
      <c r="B417" t="s">
        <v>48</v>
      </c>
      <c r="C417">
        <v>649163</v>
      </c>
      <c r="D417">
        <v>2030691612</v>
      </c>
      <c r="E417" t="s">
        <v>763</v>
      </c>
      <c r="F417" t="s">
        <v>764</v>
      </c>
      <c r="G417" t="s">
        <v>51</v>
      </c>
      <c r="H417" t="s">
        <v>52</v>
      </c>
      <c r="I417" t="s">
        <v>475</v>
      </c>
      <c r="J417" t="s">
        <v>482</v>
      </c>
      <c r="K417">
        <v>673059</v>
      </c>
      <c r="L417" t="s">
        <v>115</v>
      </c>
      <c r="M417" t="s">
        <v>116</v>
      </c>
      <c r="N417" t="s">
        <v>57</v>
      </c>
      <c r="O417" s="1">
        <v>45901</v>
      </c>
      <c r="Q417" s="1">
        <v>46143</v>
      </c>
      <c r="R417" s="2">
        <v>15</v>
      </c>
      <c r="S417">
        <v>1</v>
      </c>
      <c r="T417" t="s">
        <v>58</v>
      </c>
      <c r="U417" t="s">
        <v>59</v>
      </c>
      <c r="V417" s="3">
        <v>0.28999999999999998</v>
      </c>
      <c r="W417" s="2">
        <v>0</v>
      </c>
      <c r="X417">
        <v>0</v>
      </c>
      <c r="Y417" t="s">
        <v>60</v>
      </c>
      <c r="Z417" t="s">
        <v>61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4.3499999999999996</v>
      </c>
      <c r="AN417" s="2">
        <v>4.3499999999999996</v>
      </c>
      <c r="AO417" s="2">
        <v>0</v>
      </c>
      <c r="AP417" s="2">
        <v>0</v>
      </c>
      <c r="AQ417" s="2">
        <v>0</v>
      </c>
    </row>
    <row r="418" spans="1:43" x14ac:dyDescent="0.3">
      <c r="A418" s="1">
        <v>46125</v>
      </c>
      <c r="B418" t="s">
        <v>48</v>
      </c>
      <c r="C418">
        <v>649163</v>
      </c>
      <c r="D418">
        <v>2031017071</v>
      </c>
      <c r="E418" t="s">
        <v>180</v>
      </c>
      <c r="F418" t="s">
        <v>175</v>
      </c>
      <c r="G418" t="s">
        <v>51</v>
      </c>
      <c r="H418" t="s">
        <v>64</v>
      </c>
      <c r="I418" t="s">
        <v>475</v>
      </c>
      <c r="J418" t="s">
        <v>765</v>
      </c>
      <c r="K418">
        <v>877790</v>
      </c>
      <c r="L418" t="s">
        <v>66</v>
      </c>
      <c r="M418" t="s">
        <v>67</v>
      </c>
      <c r="N418" t="s">
        <v>57</v>
      </c>
      <c r="O418" s="1">
        <v>45913</v>
      </c>
      <c r="Q418" s="1">
        <v>46155</v>
      </c>
      <c r="R418" s="2">
        <v>15</v>
      </c>
      <c r="S418">
        <v>1</v>
      </c>
      <c r="T418" t="s">
        <v>58</v>
      </c>
      <c r="U418" t="s">
        <v>526</v>
      </c>
      <c r="V418" s="3">
        <v>0.19</v>
      </c>
      <c r="W418" s="2">
        <v>0</v>
      </c>
      <c r="X418">
        <v>0</v>
      </c>
      <c r="Y418" t="s">
        <v>60</v>
      </c>
      <c r="Z418" t="s">
        <v>61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2.85</v>
      </c>
      <c r="AN418" s="2">
        <v>2.85</v>
      </c>
      <c r="AO418" s="2">
        <v>0</v>
      </c>
      <c r="AP418" s="2">
        <v>0</v>
      </c>
      <c r="AQ418" s="2">
        <v>0</v>
      </c>
    </row>
    <row r="419" spans="1:43" x14ac:dyDescent="0.3">
      <c r="A419" s="1">
        <v>46125</v>
      </c>
      <c r="B419" t="s">
        <v>48</v>
      </c>
      <c r="C419">
        <v>649163</v>
      </c>
      <c r="D419">
        <v>2031581265</v>
      </c>
      <c r="E419" t="s">
        <v>695</v>
      </c>
      <c r="F419" t="s">
        <v>696</v>
      </c>
      <c r="G419" t="s">
        <v>51</v>
      </c>
      <c r="H419" t="s">
        <v>223</v>
      </c>
      <c r="I419" t="s">
        <v>475</v>
      </c>
      <c r="J419" t="s">
        <v>482</v>
      </c>
      <c r="K419">
        <v>897073</v>
      </c>
      <c r="L419" t="s">
        <v>697</v>
      </c>
      <c r="M419" t="s">
        <v>698</v>
      </c>
      <c r="N419" t="s">
        <v>57</v>
      </c>
      <c r="O419" s="1">
        <v>45942</v>
      </c>
      <c r="Q419" s="1">
        <v>46154</v>
      </c>
      <c r="R419" s="2">
        <v>15</v>
      </c>
      <c r="S419">
        <v>1</v>
      </c>
      <c r="T419" t="s">
        <v>58</v>
      </c>
      <c r="U419" t="s">
        <v>526</v>
      </c>
      <c r="V419" s="3">
        <v>0.28999999999999998</v>
      </c>
      <c r="W419" s="2">
        <v>0</v>
      </c>
      <c r="X419">
        <v>0</v>
      </c>
      <c r="Y419" t="s">
        <v>60</v>
      </c>
      <c r="Z419" t="s">
        <v>61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4.3499999999999996</v>
      </c>
      <c r="AN419" s="2">
        <v>4.3499999999999996</v>
      </c>
      <c r="AO419" s="2">
        <v>0</v>
      </c>
      <c r="AP419" s="2">
        <v>0</v>
      </c>
      <c r="AQ419" s="2">
        <v>0</v>
      </c>
    </row>
    <row r="420" spans="1:43" x14ac:dyDescent="0.3">
      <c r="A420" s="1">
        <v>46125</v>
      </c>
      <c r="B420" t="s">
        <v>48</v>
      </c>
      <c r="C420">
        <v>649163</v>
      </c>
      <c r="D420">
        <v>2031617149</v>
      </c>
      <c r="E420" t="s">
        <v>201</v>
      </c>
      <c r="F420" t="s">
        <v>202</v>
      </c>
      <c r="G420" t="s">
        <v>51</v>
      </c>
      <c r="H420" t="s">
        <v>80</v>
      </c>
      <c r="I420" t="s">
        <v>475</v>
      </c>
      <c r="J420" t="s">
        <v>476</v>
      </c>
      <c r="K420">
        <v>814033</v>
      </c>
      <c r="L420" t="s">
        <v>99</v>
      </c>
      <c r="M420" t="s">
        <v>100</v>
      </c>
      <c r="N420" t="s">
        <v>57</v>
      </c>
      <c r="O420" s="1">
        <v>45945</v>
      </c>
      <c r="Q420" s="1">
        <v>46157</v>
      </c>
      <c r="R420" s="2">
        <v>15</v>
      </c>
      <c r="S420">
        <v>1</v>
      </c>
      <c r="T420" t="s">
        <v>58</v>
      </c>
      <c r="U420" t="s">
        <v>477</v>
      </c>
      <c r="V420" s="3">
        <v>0.38</v>
      </c>
      <c r="W420" s="2">
        <v>0</v>
      </c>
      <c r="X420">
        <v>0</v>
      </c>
      <c r="Y420" t="s">
        <v>60</v>
      </c>
      <c r="Z420" t="s">
        <v>61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5.7</v>
      </c>
      <c r="AN420" s="2">
        <v>5.7</v>
      </c>
      <c r="AO420" s="2">
        <v>0</v>
      </c>
      <c r="AP420" s="2">
        <v>0</v>
      </c>
      <c r="AQ420" s="2">
        <v>0</v>
      </c>
    </row>
    <row r="421" spans="1:43" x14ac:dyDescent="0.3">
      <c r="A421" s="1">
        <v>46125</v>
      </c>
      <c r="B421" t="s">
        <v>48</v>
      </c>
      <c r="C421">
        <v>649163</v>
      </c>
      <c r="D421">
        <v>2032175763</v>
      </c>
      <c r="E421" t="s">
        <v>700</v>
      </c>
      <c r="F421" t="s">
        <v>639</v>
      </c>
      <c r="G421" t="s">
        <v>51</v>
      </c>
      <c r="H421" t="s">
        <v>64</v>
      </c>
      <c r="I421" t="s">
        <v>475</v>
      </c>
      <c r="J421" t="s">
        <v>765</v>
      </c>
      <c r="K421">
        <v>898497</v>
      </c>
      <c r="L421" t="s">
        <v>701</v>
      </c>
      <c r="M421" t="s">
        <v>702</v>
      </c>
      <c r="N421" t="s">
        <v>57</v>
      </c>
      <c r="O421" s="1">
        <v>45976</v>
      </c>
      <c r="Q421" s="1">
        <v>46157</v>
      </c>
      <c r="R421" s="2">
        <v>15</v>
      </c>
      <c r="S421">
        <v>1</v>
      </c>
      <c r="T421" t="s">
        <v>58</v>
      </c>
      <c r="U421" t="s">
        <v>526</v>
      </c>
      <c r="V421" s="3">
        <v>0.19</v>
      </c>
      <c r="W421" s="2">
        <v>0</v>
      </c>
      <c r="X421">
        <v>0</v>
      </c>
      <c r="Y421" t="s">
        <v>60</v>
      </c>
      <c r="Z421" t="s">
        <v>61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2.85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</row>
    <row r="422" spans="1:43" x14ac:dyDescent="0.3">
      <c r="A422" s="1">
        <v>46125</v>
      </c>
      <c r="B422" t="s">
        <v>48</v>
      </c>
      <c r="C422">
        <v>649163</v>
      </c>
      <c r="D422">
        <v>2032200716</v>
      </c>
      <c r="E422" t="s">
        <v>285</v>
      </c>
      <c r="F422" t="s">
        <v>286</v>
      </c>
      <c r="G422" t="s">
        <v>51</v>
      </c>
      <c r="H422" t="s">
        <v>80</v>
      </c>
      <c r="I422" t="s">
        <v>475</v>
      </c>
      <c r="J422" t="s">
        <v>476</v>
      </c>
      <c r="K422">
        <v>824062</v>
      </c>
      <c r="L422" t="s">
        <v>167</v>
      </c>
      <c r="M422" t="s">
        <v>168</v>
      </c>
      <c r="N422" t="s">
        <v>86</v>
      </c>
      <c r="O422" s="1">
        <v>45992</v>
      </c>
      <c r="P422" s="1">
        <v>46118</v>
      </c>
      <c r="Q422" s="1">
        <v>46143</v>
      </c>
      <c r="R422" s="2">
        <v>-15.48</v>
      </c>
      <c r="S422">
        <v>1</v>
      </c>
      <c r="T422" t="s">
        <v>58</v>
      </c>
      <c r="U422" t="s">
        <v>477</v>
      </c>
      <c r="V422" s="3">
        <v>0.38</v>
      </c>
      <c r="W422" s="2">
        <v>0</v>
      </c>
      <c r="X422">
        <v>-1</v>
      </c>
      <c r="Y422" t="s">
        <v>60</v>
      </c>
      <c r="Z422" t="s">
        <v>61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-5.88</v>
      </c>
      <c r="AN422" s="2">
        <v>-5.88</v>
      </c>
      <c r="AO422" s="2">
        <v>0</v>
      </c>
      <c r="AP422" s="2">
        <v>0</v>
      </c>
      <c r="AQ422" s="2">
        <v>0</v>
      </c>
    </row>
    <row r="423" spans="1:43" x14ac:dyDescent="0.3">
      <c r="A423" s="1">
        <v>46125</v>
      </c>
      <c r="B423" t="s">
        <v>48</v>
      </c>
      <c r="C423">
        <v>649163</v>
      </c>
      <c r="D423">
        <v>2032203620</v>
      </c>
      <c r="E423" t="s">
        <v>129</v>
      </c>
      <c r="F423" t="s">
        <v>107</v>
      </c>
      <c r="G423" t="s">
        <v>51</v>
      </c>
      <c r="H423" t="s">
        <v>52</v>
      </c>
      <c r="I423" t="s">
        <v>475</v>
      </c>
      <c r="J423" t="s">
        <v>482</v>
      </c>
      <c r="K423">
        <v>877182</v>
      </c>
      <c r="L423" t="s">
        <v>130</v>
      </c>
      <c r="M423" t="s">
        <v>131</v>
      </c>
      <c r="N423" t="s">
        <v>57</v>
      </c>
      <c r="O423" s="1">
        <v>45978</v>
      </c>
      <c r="Q423" s="1">
        <v>46159</v>
      </c>
      <c r="R423" s="2">
        <v>15</v>
      </c>
      <c r="S423">
        <v>1</v>
      </c>
      <c r="T423" t="s">
        <v>58</v>
      </c>
      <c r="U423" t="s">
        <v>766</v>
      </c>
      <c r="V423" s="3">
        <v>0.28999999999999998</v>
      </c>
      <c r="W423" s="2">
        <v>0</v>
      </c>
      <c r="X423">
        <v>0</v>
      </c>
      <c r="Y423" t="s">
        <v>60</v>
      </c>
      <c r="Z423" t="s">
        <v>61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4.3499999999999996</v>
      </c>
      <c r="AN423" s="2">
        <v>4.3499999999999996</v>
      </c>
      <c r="AO423" s="2">
        <v>0</v>
      </c>
      <c r="AP423" s="2">
        <v>0</v>
      </c>
      <c r="AQ423" s="2">
        <v>0</v>
      </c>
    </row>
    <row r="424" spans="1:43" x14ac:dyDescent="0.3">
      <c r="A424" s="1">
        <v>46125</v>
      </c>
      <c r="B424" t="s">
        <v>48</v>
      </c>
      <c r="C424">
        <v>649163</v>
      </c>
      <c r="D424">
        <v>2032445035</v>
      </c>
      <c r="E424" t="s">
        <v>291</v>
      </c>
      <c r="F424" t="s">
        <v>200</v>
      </c>
      <c r="G424" t="s">
        <v>51</v>
      </c>
      <c r="H424" t="s">
        <v>80</v>
      </c>
      <c r="I424" t="s">
        <v>475</v>
      </c>
      <c r="J424" t="s">
        <v>476</v>
      </c>
      <c r="K424">
        <v>824062</v>
      </c>
      <c r="L424" t="s">
        <v>167</v>
      </c>
      <c r="M424" t="s">
        <v>168</v>
      </c>
      <c r="N424" t="s">
        <v>57</v>
      </c>
      <c r="O424" s="1">
        <v>46006</v>
      </c>
      <c r="Q424" s="1">
        <v>46157</v>
      </c>
      <c r="R424" s="2">
        <v>15</v>
      </c>
      <c r="S424">
        <v>1</v>
      </c>
      <c r="T424" t="s">
        <v>58</v>
      </c>
      <c r="U424" t="s">
        <v>477</v>
      </c>
      <c r="V424" s="3">
        <v>0.38</v>
      </c>
      <c r="W424" s="2">
        <v>0</v>
      </c>
      <c r="X424">
        <v>0</v>
      </c>
      <c r="Y424" t="s">
        <v>60</v>
      </c>
      <c r="Z424" t="s">
        <v>61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5.7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</row>
    <row r="425" spans="1:43" x14ac:dyDescent="0.3">
      <c r="A425" s="1">
        <v>46125</v>
      </c>
      <c r="B425" t="s">
        <v>48</v>
      </c>
      <c r="C425">
        <v>649163</v>
      </c>
      <c r="D425">
        <v>2032499984</v>
      </c>
      <c r="E425" t="s">
        <v>197</v>
      </c>
      <c r="F425" t="s">
        <v>705</v>
      </c>
      <c r="G425" t="s">
        <v>51</v>
      </c>
      <c r="H425" t="s">
        <v>64</v>
      </c>
      <c r="I425" t="s">
        <v>475</v>
      </c>
      <c r="J425" t="s">
        <v>765</v>
      </c>
      <c r="K425">
        <v>877790</v>
      </c>
      <c r="L425" t="s">
        <v>66</v>
      </c>
      <c r="M425" t="s">
        <v>67</v>
      </c>
      <c r="N425" t="s">
        <v>86</v>
      </c>
      <c r="O425" s="1">
        <v>45996</v>
      </c>
      <c r="P425" s="1">
        <v>46118</v>
      </c>
      <c r="Q425" s="1">
        <v>46147</v>
      </c>
      <c r="R425" s="2">
        <v>-16.940000000000001</v>
      </c>
      <c r="S425">
        <v>1</v>
      </c>
      <c r="T425" t="s">
        <v>58</v>
      </c>
      <c r="U425" t="s">
        <v>477</v>
      </c>
      <c r="V425" s="3">
        <v>0.19</v>
      </c>
      <c r="W425" s="2">
        <v>0</v>
      </c>
      <c r="X425">
        <v>-1</v>
      </c>
      <c r="Y425" t="s">
        <v>60</v>
      </c>
      <c r="Z425" t="s">
        <v>61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-3.22</v>
      </c>
      <c r="AN425" s="2">
        <v>-3.22</v>
      </c>
      <c r="AO425" s="2">
        <v>0</v>
      </c>
      <c r="AP425" s="2">
        <v>0</v>
      </c>
      <c r="AQ425" s="2">
        <v>0</v>
      </c>
    </row>
    <row r="426" spans="1:43" x14ac:dyDescent="0.3">
      <c r="A426" s="1">
        <v>46125</v>
      </c>
      <c r="B426" t="s">
        <v>48</v>
      </c>
      <c r="C426">
        <v>649163</v>
      </c>
      <c r="D426">
        <v>2032604914</v>
      </c>
      <c r="E426" t="s">
        <v>296</v>
      </c>
      <c r="F426" t="s">
        <v>297</v>
      </c>
      <c r="G426" t="s">
        <v>51</v>
      </c>
      <c r="H426" t="s">
        <v>298</v>
      </c>
      <c r="I426" t="s">
        <v>475</v>
      </c>
      <c r="J426" t="s">
        <v>652</v>
      </c>
      <c r="K426">
        <v>893408</v>
      </c>
      <c r="L426" t="s">
        <v>299</v>
      </c>
      <c r="M426" t="s">
        <v>300</v>
      </c>
      <c r="N426" t="s">
        <v>57</v>
      </c>
      <c r="O426" s="1">
        <v>46002</v>
      </c>
      <c r="Q426" s="1">
        <v>46153</v>
      </c>
      <c r="R426" s="2">
        <v>15</v>
      </c>
      <c r="S426">
        <v>1</v>
      </c>
      <c r="T426" t="s">
        <v>58</v>
      </c>
      <c r="U426" t="s">
        <v>173</v>
      </c>
      <c r="V426" s="3">
        <v>0.38</v>
      </c>
      <c r="W426" s="2">
        <v>0</v>
      </c>
      <c r="X426">
        <v>0</v>
      </c>
      <c r="Y426" t="s">
        <v>60</v>
      </c>
      <c r="Z426" t="s">
        <v>61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5.7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</row>
    <row r="427" spans="1:43" x14ac:dyDescent="0.3">
      <c r="A427" s="1">
        <v>46125</v>
      </c>
      <c r="B427" t="s">
        <v>48</v>
      </c>
      <c r="C427">
        <v>649163</v>
      </c>
      <c r="D427">
        <v>2032634421</v>
      </c>
      <c r="E427" t="s">
        <v>767</v>
      </c>
      <c r="F427" t="s">
        <v>768</v>
      </c>
      <c r="G427" t="s">
        <v>51</v>
      </c>
      <c r="H427" t="s">
        <v>256</v>
      </c>
      <c r="I427" t="s">
        <v>475</v>
      </c>
      <c r="J427" t="s">
        <v>652</v>
      </c>
      <c r="K427">
        <v>650218</v>
      </c>
      <c r="L427" t="s">
        <v>544</v>
      </c>
      <c r="M427" t="s">
        <v>324</v>
      </c>
      <c r="N427" t="s">
        <v>57</v>
      </c>
      <c r="O427" s="1">
        <v>46003</v>
      </c>
      <c r="Q427" s="1">
        <v>46154</v>
      </c>
      <c r="R427" s="2">
        <v>15</v>
      </c>
      <c r="S427">
        <v>1</v>
      </c>
      <c r="T427" t="s">
        <v>58</v>
      </c>
      <c r="U427" t="s">
        <v>173</v>
      </c>
      <c r="V427" s="3">
        <v>0.38</v>
      </c>
      <c r="W427" s="2">
        <v>0</v>
      </c>
      <c r="X427">
        <v>0</v>
      </c>
      <c r="Y427" t="s">
        <v>60</v>
      </c>
      <c r="Z427" t="s">
        <v>61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5.7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</row>
    <row r="428" spans="1:43" x14ac:dyDescent="0.3">
      <c r="A428" s="1">
        <v>46125</v>
      </c>
      <c r="B428" t="s">
        <v>48</v>
      </c>
      <c r="C428">
        <v>649163</v>
      </c>
      <c r="D428">
        <v>2032695214</v>
      </c>
      <c r="E428" t="s">
        <v>769</v>
      </c>
      <c r="F428" t="s">
        <v>770</v>
      </c>
      <c r="G428" t="s">
        <v>51</v>
      </c>
      <c r="H428" t="s">
        <v>298</v>
      </c>
      <c r="I428" t="s">
        <v>475</v>
      </c>
      <c r="J428" t="s">
        <v>652</v>
      </c>
      <c r="K428">
        <v>893408</v>
      </c>
      <c r="L428" t="s">
        <v>299</v>
      </c>
      <c r="M428" t="s">
        <v>300</v>
      </c>
      <c r="N428" t="s">
        <v>57</v>
      </c>
      <c r="O428" s="1">
        <v>46007</v>
      </c>
      <c r="Q428" s="1">
        <v>46158</v>
      </c>
      <c r="R428" s="2">
        <v>15</v>
      </c>
      <c r="S428">
        <v>1</v>
      </c>
      <c r="T428" t="s">
        <v>58</v>
      </c>
      <c r="U428" t="s">
        <v>173</v>
      </c>
      <c r="V428" s="3">
        <v>0.38</v>
      </c>
      <c r="W428" s="2">
        <v>0</v>
      </c>
      <c r="X428">
        <v>0</v>
      </c>
      <c r="Y428" t="s">
        <v>60</v>
      </c>
      <c r="Z428" t="s">
        <v>61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5.7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</row>
    <row r="429" spans="1:43" x14ac:dyDescent="0.3">
      <c r="A429" s="1">
        <v>46125</v>
      </c>
      <c r="B429" t="s">
        <v>48</v>
      </c>
      <c r="C429">
        <v>649163</v>
      </c>
      <c r="D429">
        <v>2033115854</v>
      </c>
      <c r="E429" t="s">
        <v>621</v>
      </c>
      <c r="F429" t="s">
        <v>622</v>
      </c>
      <c r="G429" t="s">
        <v>51</v>
      </c>
      <c r="H429" t="s">
        <v>600</v>
      </c>
      <c r="I429" t="s">
        <v>475</v>
      </c>
      <c r="J429" t="s">
        <v>482</v>
      </c>
      <c r="K429">
        <v>753748</v>
      </c>
      <c r="L429" t="s">
        <v>146</v>
      </c>
      <c r="M429" t="s">
        <v>147</v>
      </c>
      <c r="N429" t="s">
        <v>57</v>
      </c>
      <c r="O429" s="1">
        <v>46035</v>
      </c>
      <c r="Q429" s="1">
        <v>46155</v>
      </c>
      <c r="R429" s="2">
        <v>15</v>
      </c>
      <c r="S429">
        <v>1</v>
      </c>
      <c r="T429" t="s">
        <v>58</v>
      </c>
      <c r="U429" t="s">
        <v>477</v>
      </c>
      <c r="V429" s="3">
        <v>0.28999999999999998</v>
      </c>
      <c r="W429" s="2">
        <v>0</v>
      </c>
      <c r="X429">
        <v>0</v>
      </c>
      <c r="Y429" t="s">
        <v>60</v>
      </c>
      <c r="Z429" t="s">
        <v>61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4.3499999999999996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</row>
    <row r="430" spans="1:43" x14ac:dyDescent="0.3">
      <c r="A430" s="1">
        <v>46125</v>
      </c>
      <c r="B430" t="s">
        <v>48</v>
      </c>
      <c r="C430">
        <v>649163</v>
      </c>
      <c r="D430">
        <v>2033127916</v>
      </c>
      <c r="E430" t="s">
        <v>771</v>
      </c>
      <c r="F430" t="s">
        <v>227</v>
      </c>
      <c r="G430" t="s">
        <v>51</v>
      </c>
      <c r="H430" t="s">
        <v>114</v>
      </c>
      <c r="I430" t="s">
        <v>475</v>
      </c>
      <c r="J430" t="s">
        <v>652</v>
      </c>
      <c r="K430">
        <v>673059</v>
      </c>
      <c r="L430" t="s">
        <v>115</v>
      </c>
      <c r="M430" t="s">
        <v>116</v>
      </c>
      <c r="N430" t="s">
        <v>57</v>
      </c>
      <c r="O430" s="1">
        <v>46038</v>
      </c>
      <c r="Q430" s="1">
        <v>46158</v>
      </c>
      <c r="R430" s="2">
        <v>15</v>
      </c>
      <c r="S430">
        <v>1</v>
      </c>
      <c r="T430" t="s">
        <v>58</v>
      </c>
      <c r="U430" t="s">
        <v>173</v>
      </c>
      <c r="V430" s="3">
        <v>0.38</v>
      </c>
      <c r="W430" s="2">
        <v>0</v>
      </c>
      <c r="X430">
        <v>0</v>
      </c>
      <c r="Y430" t="s">
        <v>60</v>
      </c>
      <c r="Z430" t="s">
        <v>61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5.7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</row>
    <row r="431" spans="1:43" x14ac:dyDescent="0.3">
      <c r="A431" s="1">
        <v>46125</v>
      </c>
      <c r="B431" t="s">
        <v>48</v>
      </c>
      <c r="C431">
        <v>649163</v>
      </c>
      <c r="D431">
        <v>2033172631</v>
      </c>
      <c r="E431" t="s">
        <v>417</v>
      </c>
      <c r="F431" t="s">
        <v>107</v>
      </c>
      <c r="G431" t="s">
        <v>51</v>
      </c>
      <c r="H431" t="s">
        <v>70</v>
      </c>
      <c r="I431" t="s">
        <v>475</v>
      </c>
      <c r="J431" t="s">
        <v>476</v>
      </c>
      <c r="K431">
        <v>902625</v>
      </c>
      <c r="L431" t="s">
        <v>281</v>
      </c>
      <c r="M431" t="s">
        <v>282</v>
      </c>
      <c r="N431" t="s">
        <v>57</v>
      </c>
      <c r="O431" s="1">
        <v>46038</v>
      </c>
      <c r="Q431" s="1">
        <v>46158</v>
      </c>
      <c r="R431" s="2">
        <v>15</v>
      </c>
      <c r="S431">
        <v>1</v>
      </c>
      <c r="T431" t="s">
        <v>58</v>
      </c>
      <c r="U431" t="s">
        <v>477</v>
      </c>
      <c r="V431" s="3">
        <v>0.38</v>
      </c>
      <c r="W431" s="2">
        <v>0</v>
      </c>
      <c r="X431">
        <v>0</v>
      </c>
      <c r="Y431" t="s">
        <v>60</v>
      </c>
      <c r="Z431" t="s">
        <v>61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5.7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</row>
    <row r="432" spans="1:43" x14ac:dyDescent="0.3">
      <c r="A432" s="1">
        <v>46125</v>
      </c>
      <c r="B432" t="s">
        <v>48</v>
      </c>
      <c r="C432">
        <v>649163</v>
      </c>
      <c r="D432">
        <v>2033514022</v>
      </c>
      <c r="E432" t="s">
        <v>772</v>
      </c>
      <c r="F432" t="s">
        <v>773</v>
      </c>
      <c r="G432" t="s">
        <v>51</v>
      </c>
      <c r="H432" t="s">
        <v>80</v>
      </c>
      <c r="I432" t="s">
        <v>475</v>
      </c>
      <c r="J432" t="s">
        <v>476</v>
      </c>
      <c r="K432">
        <v>820873</v>
      </c>
      <c r="L432" t="s">
        <v>307</v>
      </c>
      <c r="M432" t="s">
        <v>308</v>
      </c>
      <c r="N432" t="s">
        <v>86</v>
      </c>
      <c r="O432" s="1">
        <v>46059</v>
      </c>
      <c r="P432" s="1">
        <v>46125</v>
      </c>
      <c r="Q432" s="1">
        <v>46148</v>
      </c>
      <c r="R432" s="2">
        <v>-13.5</v>
      </c>
      <c r="S432">
        <v>1</v>
      </c>
      <c r="T432" t="s">
        <v>58</v>
      </c>
      <c r="U432" t="s">
        <v>477</v>
      </c>
      <c r="V432" s="3">
        <v>0.38</v>
      </c>
      <c r="W432" s="2">
        <v>0</v>
      </c>
      <c r="X432">
        <v>-1</v>
      </c>
      <c r="Y432" t="s">
        <v>60</v>
      </c>
      <c r="Z432" t="s">
        <v>61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-5.13</v>
      </c>
      <c r="AN432" s="2">
        <v>-5.13</v>
      </c>
      <c r="AO432" s="2">
        <v>0</v>
      </c>
      <c r="AP432" s="2">
        <v>0</v>
      </c>
      <c r="AQ432" s="2">
        <v>0</v>
      </c>
    </row>
    <row r="433" spans="1:43" x14ac:dyDescent="0.3">
      <c r="A433" s="1">
        <v>46125</v>
      </c>
      <c r="B433" t="s">
        <v>48</v>
      </c>
      <c r="C433">
        <v>649163</v>
      </c>
      <c r="D433">
        <v>2033609328</v>
      </c>
      <c r="E433" t="s">
        <v>664</v>
      </c>
      <c r="F433" t="s">
        <v>665</v>
      </c>
      <c r="G433" t="s">
        <v>51</v>
      </c>
      <c r="H433" t="s">
        <v>223</v>
      </c>
      <c r="I433" t="s">
        <v>475</v>
      </c>
      <c r="J433" t="s">
        <v>482</v>
      </c>
      <c r="K433">
        <v>673059</v>
      </c>
      <c r="L433" t="s">
        <v>115</v>
      </c>
      <c r="M433" t="s">
        <v>116</v>
      </c>
      <c r="N433" t="s">
        <v>57</v>
      </c>
      <c r="O433" s="1">
        <v>46065</v>
      </c>
      <c r="Q433" s="1">
        <v>46154</v>
      </c>
      <c r="R433" s="2">
        <v>15</v>
      </c>
      <c r="S433">
        <v>1</v>
      </c>
      <c r="T433" t="s">
        <v>58</v>
      </c>
      <c r="U433" t="s">
        <v>477</v>
      </c>
      <c r="V433" s="3">
        <v>0.28999999999999998</v>
      </c>
      <c r="W433" s="2">
        <v>0</v>
      </c>
      <c r="X433">
        <v>0</v>
      </c>
      <c r="Y433" t="s">
        <v>60</v>
      </c>
      <c r="Z433" t="s">
        <v>61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4.3499999999999996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</row>
    <row r="434" spans="1:43" x14ac:dyDescent="0.3">
      <c r="A434" s="1">
        <v>46125</v>
      </c>
      <c r="B434" t="s">
        <v>48</v>
      </c>
      <c r="C434">
        <v>649163</v>
      </c>
      <c r="D434">
        <v>2033612293</v>
      </c>
      <c r="E434" t="s">
        <v>689</v>
      </c>
      <c r="F434" t="s">
        <v>774</v>
      </c>
      <c r="G434" t="s">
        <v>51</v>
      </c>
      <c r="H434" t="s">
        <v>80</v>
      </c>
      <c r="I434" t="s">
        <v>475</v>
      </c>
      <c r="J434" t="s">
        <v>476</v>
      </c>
      <c r="K434">
        <v>812994</v>
      </c>
      <c r="L434" t="s">
        <v>110</v>
      </c>
      <c r="M434" t="s">
        <v>111</v>
      </c>
      <c r="N434" t="s">
        <v>57</v>
      </c>
      <c r="O434" s="1">
        <v>46065</v>
      </c>
      <c r="Q434" s="1">
        <v>46154</v>
      </c>
      <c r="R434" s="2">
        <v>15</v>
      </c>
      <c r="S434">
        <v>1</v>
      </c>
      <c r="T434" t="s">
        <v>58</v>
      </c>
      <c r="U434" t="s">
        <v>477</v>
      </c>
      <c r="V434" s="3">
        <v>0.38</v>
      </c>
      <c r="W434" s="2">
        <v>0</v>
      </c>
      <c r="X434">
        <v>0</v>
      </c>
      <c r="Y434" t="s">
        <v>60</v>
      </c>
      <c r="Z434" t="s">
        <v>61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5.7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</row>
    <row r="435" spans="1:43" x14ac:dyDescent="0.3">
      <c r="A435" s="1">
        <v>46125</v>
      </c>
      <c r="B435" t="s">
        <v>48</v>
      </c>
      <c r="C435">
        <v>649163</v>
      </c>
      <c r="D435">
        <v>2033621993</v>
      </c>
      <c r="E435" t="s">
        <v>626</v>
      </c>
      <c r="F435" t="s">
        <v>627</v>
      </c>
      <c r="G435" t="s">
        <v>51</v>
      </c>
      <c r="H435" t="s">
        <v>64</v>
      </c>
      <c r="I435" t="s">
        <v>475</v>
      </c>
      <c r="J435" t="s">
        <v>765</v>
      </c>
      <c r="K435">
        <v>942810</v>
      </c>
      <c r="L435" t="s">
        <v>446</v>
      </c>
      <c r="M435" t="s">
        <v>447</v>
      </c>
      <c r="N435" t="s">
        <v>57</v>
      </c>
      <c r="O435" s="1">
        <v>46066</v>
      </c>
      <c r="Q435" s="1">
        <v>46155</v>
      </c>
      <c r="R435" s="2">
        <v>15</v>
      </c>
      <c r="S435">
        <v>1</v>
      </c>
      <c r="T435" t="s">
        <v>58</v>
      </c>
      <c r="U435" t="s">
        <v>477</v>
      </c>
      <c r="V435" s="3">
        <v>0.19</v>
      </c>
      <c r="W435" s="2">
        <v>0</v>
      </c>
      <c r="X435">
        <v>0</v>
      </c>
      <c r="Y435" t="s">
        <v>60</v>
      </c>
      <c r="Z435" t="s">
        <v>61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2.85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</row>
    <row r="436" spans="1:43" x14ac:dyDescent="0.3">
      <c r="A436" s="1">
        <v>46125</v>
      </c>
      <c r="B436" t="s">
        <v>48</v>
      </c>
      <c r="C436">
        <v>649163</v>
      </c>
      <c r="D436">
        <v>2033717646</v>
      </c>
      <c r="E436" t="s">
        <v>775</v>
      </c>
      <c r="F436" t="s">
        <v>202</v>
      </c>
      <c r="G436" t="s">
        <v>51</v>
      </c>
      <c r="H436" t="s">
        <v>80</v>
      </c>
      <c r="I436" t="s">
        <v>475</v>
      </c>
      <c r="J436" t="s">
        <v>762</v>
      </c>
      <c r="K436">
        <v>820873</v>
      </c>
      <c r="L436" t="s">
        <v>307</v>
      </c>
      <c r="M436" t="s">
        <v>308</v>
      </c>
      <c r="N436" t="s">
        <v>86</v>
      </c>
      <c r="O436" s="1">
        <v>46072</v>
      </c>
      <c r="P436" s="1">
        <v>46125</v>
      </c>
      <c r="Q436" s="1">
        <v>46131</v>
      </c>
      <c r="R436" s="2">
        <v>-5.81</v>
      </c>
      <c r="S436">
        <v>1</v>
      </c>
      <c r="T436" t="s">
        <v>58</v>
      </c>
      <c r="U436" t="s">
        <v>477</v>
      </c>
      <c r="V436" s="3">
        <v>0.19</v>
      </c>
      <c r="W436" s="2">
        <v>0</v>
      </c>
      <c r="X436">
        <v>-1</v>
      </c>
      <c r="Y436" t="s">
        <v>60</v>
      </c>
      <c r="Z436" t="s">
        <v>61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-1.1000000000000001</v>
      </c>
      <c r="AN436" s="2">
        <v>-1.1000000000000001</v>
      </c>
      <c r="AO436" s="2">
        <v>0</v>
      </c>
      <c r="AP436" s="2">
        <v>0</v>
      </c>
      <c r="AQ436" s="2">
        <v>0</v>
      </c>
    </row>
    <row r="437" spans="1:43" x14ac:dyDescent="0.3">
      <c r="A437" s="1">
        <v>46125</v>
      </c>
      <c r="B437" t="s">
        <v>48</v>
      </c>
      <c r="C437">
        <v>649163</v>
      </c>
      <c r="D437">
        <v>2033890180</v>
      </c>
      <c r="E437" t="s">
        <v>709</v>
      </c>
      <c r="F437" t="s">
        <v>710</v>
      </c>
      <c r="G437" t="s">
        <v>51</v>
      </c>
      <c r="H437" t="s">
        <v>114</v>
      </c>
      <c r="I437" t="s">
        <v>475</v>
      </c>
      <c r="J437" t="s">
        <v>776</v>
      </c>
      <c r="K437">
        <v>942810</v>
      </c>
      <c r="L437" t="s">
        <v>446</v>
      </c>
      <c r="M437" t="s">
        <v>447</v>
      </c>
      <c r="N437" t="s">
        <v>57</v>
      </c>
      <c r="O437" s="1">
        <v>46092</v>
      </c>
      <c r="Q437" s="1">
        <v>46153</v>
      </c>
      <c r="R437" s="2">
        <v>15</v>
      </c>
      <c r="S437">
        <v>1</v>
      </c>
      <c r="T437" t="s">
        <v>58</v>
      </c>
      <c r="U437" t="s">
        <v>477</v>
      </c>
      <c r="V437" s="3">
        <v>0.19</v>
      </c>
      <c r="W437" s="2">
        <v>0</v>
      </c>
      <c r="X437">
        <v>0</v>
      </c>
      <c r="Y437" t="s">
        <v>60</v>
      </c>
      <c r="Z437" t="s">
        <v>61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2.85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</row>
    <row r="438" spans="1:43" x14ac:dyDescent="0.3">
      <c r="A438" s="1">
        <v>46125</v>
      </c>
      <c r="B438" t="s">
        <v>48</v>
      </c>
      <c r="C438">
        <v>649163</v>
      </c>
      <c r="D438">
        <v>2034254005</v>
      </c>
      <c r="E438" t="s">
        <v>713</v>
      </c>
      <c r="F438" t="s">
        <v>714</v>
      </c>
      <c r="G438" t="s">
        <v>51</v>
      </c>
      <c r="H438" t="s">
        <v>70</v>
      </c>
      <c r="I438" t="s">
        <v>475</v>
      </c>
      <c r="J438" t="s">
        <v>777</v>
      </c>
      <c r="K438">
        <v>822733</v>
      </c>
      <c r="L438" t="s">
        <v>219</v>
      </c>
      <c r="M438" t="s">
        <v>220</v>
      </c>
      <c r="N438" t="s">
        <v>57</v>
      </c>
      <c r="O438" s="1">
        <v>46092</v>
      </c>
      <c r="Q438" s="1">
        <v>46153</v>
      </c>
      <c r="R438" s="2">
        <v>15</v>
      </c>
      <c r="S438">
        <v>1</v>
      </c>
      <c r="T438" t="s">
        <v>58</v>
      </c>
      <c r="U438" t="s">
        <v>704</v>
      </c>
      <c r="V438" s="3">
        <v>0.24</v>
      </c>
      <c r="W438" s="2">
        <v>0</v>
      </c>
      <c r="X438">
        <v>0</v>
      </c>
      <c r="Y438" t="s">
        <v>60</v>
      </c>
      <c r="Z438" t="s">
        <v>61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3.6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</row>
    <row r="439" spans="1:43" x14ac:dyDescent="0.3">
      <c r="A439" s="1">
        <v>46125</v>
      </c>
      <c r="B439" t="s">
        <v>48</v>
      </c>
      <c r="C439">
        <v>649163</v>
      </c>
      <c r="D439">
        <v>2034289263</v>
      </c>
      <c r="E439" t="s">
        <v>682</v>
      </c>
      <c r="F439" t="s">
        <v>683</v>
      </c>
      <c r="G439" t="s">
        <v>51</v>
      </c>
      <c r="H439" t="s">
        <v>80</v>
      </c>
      <c r="I439" t="s">
        <v>475</v>
      </c>
      <c r="J439" t="s">
        <v>652</v>
      </c>
      <c r="K439">
        <v>756803</v>
      </c>
      <c r="L439" t="s">
        <v>176</v>
      </c>
      <c r="M439" t="s">
        <v>177</v>
      </c>
      <c r="N439" t="s">
        <v>57</v>
      </c>
      <c r="O439" s="1">
        <v>46093</v>
      </c>
      <c r="Q439" s="1">
        <v>46154</v>
      </c>
      <c r="R439" s="2">
        <v>15</v>
      </c>
      <c r="S439">
        <v>1</v>
      </c>
      <c r="T439" t="s">
        <v>58</v>
      </c>
      <c r="U439" t="s">
        <v>173</v>
      </c>
      <c r="V439" s="3">
        <v>0.38</v>
      </c>
      <c r="W439" s="2">
        <v>0</v>
      </c>
      <c r="X439">
        <v>0</v>
      </c>
      <c r="Y439" t="s">
        <v>60</v>
      </c>
      <c r="Z439" t="s">
        <v>61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5.7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</row>
    <row r="440" spans="1:43" x14ac:dyDescent="0.3">
      <c r="A440" s="1">
        <v>46125</v>
      </c>
      <c r="B440" t="s">
        <v>48</v>
      </c>
      <c r="C440">
        <v>649163</v>
      </c>
      <c r="D440">
        <v>2034306135</v>
      </c>
      <c r="E440" t="s">
        <v>642</v>
      </c>
      <c r="F440" t="s">
        <v>175</v>
      </c>
      <c r="G440" t="s">
        <v>51</v>
      </c>
      <c r="H440" t="s">
        <v>64</v>
      </c>
      <c r="I440" t="s">
        <v>475</v>
      </c>
      <c r="J440" t="s">
        <v>765</v>
      </c>
      <c r="K440">
        <v>651818</v>
      </c>
      <c r="L440" t="s">
        <v>55</v>
      </c>
      <c r="M440" t="s">
        <v>56</v>
      </c>
      <c r="N440" t="s">
        <v>57</v>
      </c>
      <c r="O440" s="1">
        <v>46094</v>
      </c>
      <c r="Q440" s="1">
        <v>46155</v>
      </c>
      <c r="R440" s="2">
        <v>15</v>
      </c>
      <c r="S440">
        <v>1</v>
      </c>
      <c r="T440" t="s">
        <v>58</v>
      </c>
      <c r="U440" t="s">
        <v>526</v>
      </c>
      <c r="V440" s="3">
        <v>0.19</v>
      </c>
      <c r="W440" s="2">
        <v>0</v>
      </c>
      <c r="X440">
        <v>0</v>
      </c>
      <c r="Y440" t="s">
        <v>60</v>
      </c>
      <c r="Z440" t="s">
        <v>61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2.85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</row>
    <row r="441" spans="1:43" x14ac:dyDescent="0.3">
      <c r="A441" s="1">
        <v>46125</v>
      </c>
      <c r="B441" t="s">
        <v>48</v>
      </c>
      <c r="C441">
        <v>649163</v>
      </c>
      <c r="D441">
        <v>2034324487</v>
      </c>
      <c r="E441" t="s">
        <v>778</v>
      </c>
      <c r="F441" t="s">
        <v>779</v>
      </c>
      <c r="G441" t="s">
        <v>51</v>
      </c>
      <c r="H441" t="s">
        <v>80</v>
      </c>
      <c r="I441" t="s">
        <v>475</v>
      </c>
      <c r="J441" t="s">
        <v>780</v>
      </c>
      <c r="K441">
        <v>840313</v>
      </c>
      <c r="L441" t="s">
        <v>441</v>
      </c>
      <c r="M441" t="s">
        <v>442</v>
      </c>
      <c r="N441" t="s">
        <v>57</v>
      </c>
      <c r="O441" s="1">
        <v>46097</v>
      </c>
      <c r="Q441" s="1">
        <v>46158</v>
      </c>
      <c r="R441" s="2">
        <v>98.41</v>
      </c>
      <c r="S441">
        <v>1</v>
      </c>
      <c r="T441" t="s">
        <v>58</v>
      </c>
      <c r="U441" t="s">
        <v>173</v>
      </c>
      <c r="V441" s="3">
        <v>0.38</v>
      </c>
      <c r="W441" s="2">
        <v>0</v>
      </c>
      <c r="X441">
        <v>0</v>
      </c>
      <c r="Y441" t="s">
        <v>60</v>
      </c>
      <c r="Z441" t="s">
        <v>61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37.4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</row>
    <row r="442" spans="1:43" x14ac:dyDescent="0.3">
      <c r="A442" s="1">
        <v>46125</v>
      </c>
      <c r="B442" t="s">
        <v>48</v>
      </c>
      <c r="C442">
        <v>649163</v>
      </c>
      <c r="D442">
        <v>2034324488</v>
      </c>
      <c r="E442" t="s">
        <v>778</v>
      </c>
      <c r="F442" t="s">
        <v>779</v>
      </c>
      <c r="G442" t="s">
        <v>51</v>
      </c>
      <c r="H442" t="s">
        <v>80</v>
      </c>
      <c r="I442" t="s">
        <v>475</v>
      </c>
      <c r="J442" t="s">
        <v>476</v>
      </c>
      <c r="K442">
        <v>840313</v>
      </c>
      <c r="L442" t="s">
        <v>441</v>
      </c>
      <c r="M442" t="s">
        <v>442</v>
      </c>
      <c r="N442" t="s">
        <v>57</v>
      </c>
      <c r="O442" s="1">
        <v>46097</v>
      </c>
      <c r="Q442" s="1">
        <v>46158</v>
      </c>
      <c r="R442" s="2">
        <v>15</v>
      </c>
      <c r="S442">
        <v>1</v>
      </c>
      <c r="T442" t="s">
        <v>58</v>
      </c>
      <c r="U442" t="s">
        <v>477</v>
      </c>
      <c r="V442" s="3">
        <v>0.38</v>
      </c>
      <c r="W442" s="2">
        <v>0</v>
      </c>
      <c r="X442">
        <v>0</v>
      </c>
      <c r="Y442" t="s">
        <v>60</v>
      </c>
      <c r="Z442" t="s">
        <v>61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5.7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</row>
    <row r="443" spans="1:43" x14ac:dyDescent="0.3">
      <c r="A443" s="1">
        <v>46125</v>
      </c>
      <c r="B443" t="s">
        <v>48</v>
      </c>
      <c r="C443">
        <v>649163</v>
      </c>
      <c r="D443">
        <v>2034385371</v>
      </c>
      <c r="E443" t="s">
        <v>692</v>
      </c>
      <c r="F443" t="s">
        <v>693</v>
      </c>
      <c r="G443" t="s">
        <v>51</v>
      </c>
      <c r="H443" t="s">
        <v>80</v>
      </c>
      <c r="I443" t="s">
        <v>475</v>
      </c>
      <c r="J443" t="s">
        <v>652</v>
      </c>
      <c r="K443">
        <v>756803</v>
      </c>
      <c r="L443" t="s">
        <v>176</v>
      </c>
      <c r="M443" t="s">
        <v>177</v>
      </c>
      <c r="N443" t="s">
        <v>57</v>
      </c>
      <c r="O443" s="1">
        <v>46098</v>
      </c>
      <c r="Q443" s="1">
        <v>46159</v>
      </c>
      <c r="R443" s="2">
        <v>15</v>
      </c>
      <c r="S443">
        <v>1</v>
      </c>
      <c r="T443" t="s">
        <v>58</v>
      </c>
      <c r="U443" t="s">
        <v>173</v>
      </c>
      <c r="V443" s="3">
        <v>0.38</v>
      </c>
      <c r="W443" s="2">
        <v>0</v>
      </c>
      <c r="X443">
        <v>0</v>
      </c>
      <c r="Y443" t="s">
        <v>60</v>
      </c>
      <c r="Z443" t="s">
        <v>61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5.7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</row>
    <row r="444" spans="1:43" x14ac:dyDescent="0.3">
      <c r="A444" s="1">
        <v>46125</v>
      </c>
      <c r="B444" t="s">
        <v>48</v>
      </c>
      <c r="C444">
        <v>649163</v>
      </c>
      <c r="D444">
        <v>2034686261</v>
      </c>
      <c r="E444" t="s">
        <v>718</v>
      </c>
      <c r="F444" t="s">
        <v>719</v>
      </c>
      <c r="G444" t="s">
        <v>51</v>
      </c>
      <c r="H444" t="s">
        <v>420</v>
      </c>
      <c r="I444" t="s">
        <v>475</v>
      </c>
      <c r="J444" t="s">
        <v>482</v>
      </c>
      <c r="K444">
        <v>840313</v>
      </c>
      <c r="L444" t="s">
        <v>441</v>
      </c>
      <c r="M444" t="s">
        <v>442</v>
      </c>
      <c r="N444" t="s">
        <v>86</v>
      </c>
      <c r="O444" s="1">
        <v>46113</v>
      </c>
      <c r="P444" s="1">
        <v>46125</v>
      </c>
      <c r="Q444" s="1">
        <v>46143</v>
      </c>
      <c r="R444" s="2">
        <v>-15</v>
      </c>
      <c r="S444">
        <v>1</v>
      </c>
      <c r="T444" t="s">
        <v>58</v>
      </c>
      <c r="U444" t="s">
        <v>721</v>
      </c>
      <c r="V444" s="3">
        <v>0.28999999999999998</v>
      </c>
      <c r="W444" s="2">
        <v>0</v>
      </c>
      <c r="X444">
        <v>-1</v>
      </c>
      <c r="Y444" t="s">
        <v>60</v>
      </c>
      <c r="Z444" t="s">
        <v>61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-4.3499999999999996</v>
      </c>
      <c r="AN444" s="2">
        <v>-4.3499999999999996</v>
      </c>
      <c r="AO444" s="2">
        <v>0</v>
      </c>
      <c r="AP444" s="2">
        <v>0</v>
      </c>
      <c r="AQ444" s="2">
        <v>0</v>
      </c>
    </row>
    <row r="445" spans="1:43" x14ac:dyDescent="0.3">
      <c r="A445" s="1">
        <v>46125</v>
      </c>
      <c r="B445" t="s">
        <v>48</v>
      </c>
      <c r="C445">
        <v>649163</v>
      </c>
      <c r="D445">
        <v>2016549422</v>
      </c>
      <c r="E445" t="s">
        <v>781</v>
      </c>
      <c r="F445" t="s">
        <v>153</v>
      </c>
      <c r="G445" t="s">
        <v>51</v>
      </c>
      <c r="H445" t="s">
        <v>256</v>
      </c>
      <c r="I445" t="s">
        <v>483</v>
      </c>
      <c r="J445" t="s">
        <v>484</v>
      </c>
      <c r="K445">
        <v>650794</v>
      </c>
      <c r="L445" t="s">
        <v>164</v>
      </c>
      <c r="M445" t="s">
        <v>782</v>
      </c>
      <c r="N445" t="s">
        <v>57</v>
      </c>
      <c r="O445" s="1">
        <v>44849</v>
      </c>
      <c r="Q445" s="1">
        <v>46157</v>
      </c>
      <c r="R445" s="2">
        <v>149.46</v>
      </c>
      <c r="S445">
        <v>1</v>
      </c>
      <c r="T445" t="s">
        <v>58</v>
      </c>
      <c r="U445" t="s">
        <v>59</v>
      </c>
      <c r="V445" s="3">
        <v>0.06</v>
      </c>
      <c r="W445" s="2">
        <v>0</v>
      </c>
      <c r="X445">
        <v>0</v>
      </c>
      <c r="Y445" t="s">
        <v>536</v>
      </c>
      <c r="Z445" t="s">
        <v>61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8.9700000000000006</v>
      </c>
      <c r="AN445" s="2">
        <v>8.9700000000000006</v>
      </c>
      <c r="AO445" s="2">
        <v>0</v>
      </c>
      <c r="AP445" s="2">
        <v>0</v>
      </c>
      <c r="AQ445" s="2">
        <v>0</v>
      </c>
    </row>
    <row r="446" spans="1:43" x14ac:dyDescent="0.3">
      <c r="A446" s="1">
        <v>46125</v>
      </c>
      <c r="B446" t="s">
        <v>48</v>
      </c>
      <c r="C446">
        <v>649163</v>
      </c>
      <c r="D446">
        <v>2017069747</v>
      </c>
      <c r="E446" t="s">
        <v>783</v>
      </c>
      <c r="F446" t="s">
        <v>175</v>
      </c>
      <c r="G446" t="s">
        <v>51</v>
      </c>
      <c r="H446" t="s">
        <v>256</v>
      </c>
      <c r="I446" t="s">
        <v>483</v>
      </c>
      <c r="J446" t="s">
        <v>484</v>
      </c>
      <c r="K446">
        <v>650794</v>
      </c>
      <c r="L446" t="s">
        <v>164</v>
      </c>
      <c r="M446" t="s">
        <v>782</v>
      </c>
      <c r="N446" t="s">
        <v>57</v>
      </c>
      <c r="O446" s="1">
        <v>44909</v>
      </c>
      <c r="Q446" s="1">
        <v>46156</v>
      </c>
      <c r="R446" s="2">
        <v>36.65</v>
      </c>
      <c r="S446">
        <v>1</v>
      </c>
      <c r="T446" t="s">
        <v>58</v>
      </c>
      <c r="U446" t="s">
        <v>59</v>
      </c>
      <c r="V446" s="3">
        <v>0.06</v>
      </c>
      <c r="W446" s="2">
        <v>0</v>
      </c>
      <c r="X446">
        <v>0</v>
      </c>
      <c r="Y446" t="s">
        <v>536</v>
      </c>
      <c r="Z446" t="s">
        <v>61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2.2000000000000002</v>
      </c>
      <c r="AN446" s="2">
        <v>2.2000000000000002</v>
      </c>
      <c r="AO446" s="2">
        <v>0</v>
      </c>
      <c r="AP446" s="2">
        <v>0</v>
      </c>
      <c r="AQ446" s="2">
        <v>0</v>
      </c>
    </row>
    <row r="447" spans="1:43" x14ac:dyDescent="0.3">
      <c r="A447" s="1">
        <v>46125</v>
      </c>
      <c r="B447" t="s">
        <v>48</v>
      </c>
      <c r="C447">
        <v>649163</v>
      </c>
      <c r="D447">
        <v>2017105567</v>
      </c>
      <c r="E447" t="s">
        <v>784</v>
      </c>
      <c r="F447" t="s">
        <v>785</v>
      </c>
      <c r="G447" t="s">
        <v>51</v>
      </c>
      <c r="H447" t="s">
        <v>256</v>
      </c>
      <c r="I447" t="s">
        <v>483</v>
      </c>
      <c r="J447" t="s">
        <v>484</v>
      </c>
      <c r="K447">
        <v>649247</v>
      </c>
      <c r="L447" t="s">
        <v>733</v>
      </c>
      <c r="M447" t="s">
        <v>734</v>
      </c>
      <c r="N447" t="s">
        <v>57</v>
      </c>
      <c r="O447" s="1">
        <v>44911</v>
      </c>
      <c r="Q447" s="1">
        <v>46158</v>
      </c>
      <c r="R447" s="2">
        <v>101.58</v>
      </c>
      <c r="S447">
        <v>1</v>
      </c>
      <c r="T447" t="s">
        <v>58</v>
      </c>
      <c r="U447" t="s">
        <v>59</v>
      </c>
      <c r="V447" s="3">
        <v>0.06</v>
      </c>
      <c r="W447" s="2">
        <v>0</v>
      </c>
      <c r="X447">
        <v>0</v>
      </c>
      <c r="Y447" t="s">
        <v>536</v>
      </c>
      <c r="Z447" t="s">
        <v>61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6.09</v>
      </c>
      <c r="AN447" s="2">
        <v>6.09</v>
      </c>
      <c r="AO447" s="2">
        <v>0</v>
      </c>
      <c r="AP447" s="2">
        <v>0</v>
      </c>
      <c r="AQ447" s="2">
        <v>0</v>
      </c>
    </row>
    <row r="448" spans="1:43" x14ac:dyDescent="0.3">
      <c r="A448" s="1">
        <v>46125</v>
      </c>
      <c r="B448" t="s">
        <v>48</v>
      </c>
      <c r="C448">
        <v>649163</v>
      </c>
      <c r="D448">
        <v>2017683726</v>
      </c>
      <c r="E448" t="s">
        <v>786</v>
      </c>
      <c r="F448" t="s">
        <v>787</v>
      </c>
      <c r="G448" t="s">
        <v>51</v>
      </c>
      <c r="H448" t="s">
        <v>52</v>
      </c>
      <c r="I448" t="s">
        <v>483</v>
      </c>
      <c r="J448" t="s">
        <v>484</v>
      </c>
      <c r="K448">
        <v>649793</v>
      </c>
      <c r="L448" t="s">
        <v>115</v>
      </c>
      <c r="M448" t="s">
        <v>788</v>
      </c>
      <c r="N448" t="s">
        <v>57</v>
      </c>
      <c r="O448" s="1">
        <v>44974</v>
      </c>
      <c r="Q448" s="1">
        <v>46159</v>
      </c>
      <c r="R448" s="2">
        <v>31.88</v>
      </c>
      <c r="S448">
        <v>1</v>
      </c>
      <c r="T448" t="s">
        <v>58</v>
      </c>
      <c r="U448" t="s">
        <v>59</v>
      </c>
      <c r="V448" s="3">
        <v>0.06</v>
      </c>
      <c r="W448" s="2">
        <v>0</v>
      </c>
      <c r="X448">
        <v>0</v>
      </c>
      <c r="Y448" t="s">
        <v>536</v>
      </c>
      <c r="Z448" t="s">
        <v>61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1.91</v>
      </c>
      <c r="AN448" s="2">
        <v>1.91</v>
      </c>
      <c r="AO448" s="2">
        <v>0</v>
      </c>
      <c r="AP448" s="2">
        <v>0</v>
      </c>
      <c r="AQ448" s="2">
        <v>0</v>
      </c>
    </row>
    <row r="449" spans="1:43" x14ac:dyDescent="0.3">
      <c r="A449" s="1">
        <v>46125</v>
      </c>
      <c r="B449" t="s">
        <v>48</v>
      </c>
      <c r="C449">
        <v>649163</v>
      </c>
      <c r="D449">
        <v>2019352254</v>
      </c>
      <c r="E449" t="s">
        <v>789</v>
      </c>
      <c r="F449" t="s">
        <v>790</v>
      </c>
      <c r="G449" t="s">
        <v>51</v>
      </c>
      <c r="H449" t="s">
        <v>256</v>
      </c>
      <c r="I449" t="s">
        <v>483</v>
      </c>
      <c r="J449" t="s">
        <v>484</v>
      </c>
      <c r="K449">
        <v>649247</v>
      </c>
      <c r="L449" t="s">
        <v>733</v>
      </c>
      <c r="M449" t="s">
        <v>734</v>
      </c>
      <c r="N449" t="s">
        <v>57</v>
      </c>
      <c r="O449" s="1">
        <v>45120</v>
      </c>
      <c r="Q449" s="1">
        <v>46155</v>
      </c>
      <c r="R449" s="2">
        <v>49.98</v>
      </c>
      <c r="S449">
        <v>1</v>
      </c>
      <c r="T449" t="s">
        <v>58</v>
      </c>
      <c r="U449" t="s">
        <v>59</v>
      </c>
      <c r="V449" s="3">
        <v>0.06</v>
      </c>
      <c r="W449" s="2">
        <v>0</v>
      </c>
      <c r="X449">
        <v>0</v>
      </c>
      <c r="Y449" t="s">
        <v>536</v>
      </c>
      <c r="Z449" t="s">
        <v>61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3</v>
      </c>
      <c r="AN449" s="2">
        <v>3</v>
      </c>
      <c r="AO449" s="2">
        <v>0</v>
      </c>
      <c r="AP449" s="2">
        <v>0</v>
      </c>
      <c r="AQ449" s="2">
        <v>0</v>
      </c>
    </row>
    <row r="450" spans="1:43" x14ac:dyDescent="0.3">
      <c r="A450" s="1">
        <v>46125</v>
      </c>
      <c r="B450" t="s">
        <v>48</v>
      </c>
      <c r="C450">
        <v>649163</v>
      </c>
      <c r="D450">
        <v>2020037859</v>
      </c>
      <c r="E450" t="s">
        <v>791</v>
      </c>
      <c r="F450" t="s">
        <v>175</v>
      </c>
      <c r="G450" t="s">
        <v>51</v>
      </c>
      <c r="H450" t="s">
        <v>256</v>
      </c>
      <c r="I450" t="s">
        <v>483</v>
      </c>
      <c r="J450" t="s">
        <v>484</v>
      </c>
      <c r="K450">
        <v>702406</v>
      </c>
      <c r="L450" t="s">
        <v>257</v>
      </c>
      <c r="M450" t="s">
        <v>250</v>
      </c>
      <c r="N450" t="s">
        <v>57</v>
      </c>
      <c r="O450" s="1">
        <v>45182</v>
      </c>
      <c r="Q450" s="1">
        <v>46155</v>
      </c>
      <c r="R450" s="2">
        <v>151.88</v>
      </c>
      <c r="S450">
        <v>1</v>
      </c>
      <c r="T450" t="s">
        <v>58</v>
      </c>
      <c r="U450" t="s">
        <v>59</v>
      </c>
      <c r="V450" s="3">
        <v>0.06</v>
      </c>
      <c r="W450" s="2">
        <v>0</v>
      </c>
      <c r="X450">
        <v>0</v>
      </c>
      <c r="Y450" t="s">
        <v>536</v>
      </c>
      <c r="Z450" t="s">
        <v>61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9.11</v>
      </c>
      <c r="AN450" s="2">
        <v>9.11</v>
      </c>
      <c r="AO450" s="2">
        <v>0</v>
      </c>
      <c r="AP450" s="2">
        <v>0</v>
      </c>
      <c r="AQ450" s="2">
        <v>0</v>
      </c>
    </row>
    <row r="451" spans="1:43" x14ac:dyDescent="0.3">
      <c r="A451" s="1">
        <v>46125</v>
      </c>
      <c r="B451" t="s">
        <v>48</v>
      </c>
      <c r="C451">
        <v>649163</v>
      </c>
      <c r="D451">
        <v>2020039861</v>
      </c>
      <c r="E451" t="s">
        <v>201</v>
      </c>
      <c r="F451" t="s">
        <v>792</v>
      </c>
      <c r="G451" t="s">
        <v>51</v>
      </c>
      <c r="H451" t="s">
        <v>80</v>
      </c>
      <c r="I451" t="s">
        <v>483</v>
      </c>
      <c r="J451" t="s">
        <v>484</v>
      </c>
      <c r="K451">
        <v>673059</v>
      </c>
      <c r="L451" t="s">
        <v>115</v>
      </c>
      <c r="M451" t="s">
        <v>116</v>
      </c>
      <c r="N451" t="s">
        <v>57</v>
      </c>
      <c r="O451" s="1">
        <v>45182</v>
      </c>
      <c r="Q451" s="1">
        <v>46155</v>
      </c>
      <c r="R451" s="2">
        <v>53.57</v>
      </c>
      <c r="S451">
        <v>1</v>
      </c>
      <c r="T451" t="s">
        <v>58</v>
      </c>
      <c r="U451" t="s">
        <v>59</v>
      </c>
      <c r="V451" s="3">
        <v>0.06</v>
      </c>
      <c r="W451" s="2">
        <v>0</v>
      </c>
      <c r="X451">
        <v>0</v>
      </c>
      <c r="Y451" t="s">
        <v>536</v>
      </c>
      <c r="Z451" t="s">
        <v>61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3.21</v>
      </c>
      <c r="AN451" s="2">
        <v>3.21</v>
      </c>
      <c r="AO451" s="2">
        <v>0</v>
      </c>
      <c r="AP451" s="2">
        <v>0</v>
      </c>
      <c r="AQ451" s="2">
        <v>0</v>
      </c>
    </row>
    <row r="452" spans="1:43" x14ac:dyDescent="0.3">
      <c r="A452" s="1">
        <v>46125</v>
      </c>
      <c r="B452" t="s">
        <v>48</v>
      </c>
      <c r="C452">
        <v>649163</v>
      </c>
      <c r="D452">
        <v>2020776384</v>
      </c>
      <c r="E452" t="s">
        <v>793</v>
      </c>
      <c r="F452" t="s">
        <v>290</v>
      </c>
      <c r="G452" t="s">
        <v>51</v>
      </c>
      <c r="H452" t="s">
        <v>256</v>
      </c>
      <c r="I452" t="s">
        <v>483</v>
      </c>
      <c r="J452" t="s">
        <v>484</v>
      </c>
      <c r="K452">
        <v>702406</v>
      </c>
      <c r="L452" t="s">
        <v>257</v>
      </c>
      <c r="M452" t="s">
        <v>250</v>
      </c>
      <c r="N452" t="s">
        <v>57</v>
      </c>
      <c r="O452" s="1">
        <v>45244</v>
      </c>
      <c r="Q452" s="1">
        <v>46156</v>
      </c>
      <c r="R452" s="2">
        <v>119.58</v>
      </c>
      <c r="S452">
        <v>1</v>
      </c>
      <c r="T452" t="s">
        <v>58</v>
      </c>
      <c r="U452" t="s">
        <v>59</v>
      </c>
      <c r="V452" s="3">
        <v>0.06</v>
      </c>
      <c r="W452" s="2">
        <v>0</v>
      </c>
      <c r="X452">
        <v>0</v>
      </c>
      <c r="Y452" t="s">
        <v>536</v>
      </c>
      <c r="Z452" t="s">
        <v>61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7.17</v>
      </c>
      <c r="AN452" s="2">
        <v>7.17</v>
      </c>
      <c r="AO452" s="2">
        <v>0</v>
      </c>
      <c r="AP452" s="2">
        <v>0</v>
      </c>
      <c r="AQ452" s="2">
        <v>0</v>
      </c>
    </row>
    <row r="453" spans="1:43" x14ac:dyDescent="0.3">
      <c r="A453" s="1">
        <v>46125</v>
      </c>
      <c r="B453" t="s">
        <v>48</v>
      </c>
      <c r="C453">
        <v>649163</v>
      </c>
      <c r="D453">
        <v>2023461091</v>
      </c>
      <c r="E453" t="s">
        <v>532</v>
      </c>
      <c r="F453" t="s">
        <v>358</v>
      </c>
      <c r="G453" t="s">
        <v>51</v>
      </c>
      <c r="H453" t="s">
        <v>256</v>
      </c>
      <c r="I453" t="s">
        <v>483</v>
      </c>
      <c r="J453" t="s">
        <v>484</v>
      </c>
      <c r="K453">
        <v>751867</v>
      </c>
      <c r="L453" t="s">
        <v>535</v>
      </c>
      <c r="M453" t="s">
        <v>149</v>
      </c>
      <c r="N453" t="s">
        <v>57</v>
      </c>
      <c r="O453" s="1">
        <v>45474</v>
      </c>
      <c r="Q453" s="1">
        <v>46143</v>
      </c>
      <c r="R453" s="2">
        <v>44.98</v>
      </c>
      <c r="S453">
        <v>1</v>
      </c>
      <c r="T453" t="s">
        <v>58</v>
      </c>
      <c r="U453" t="s">
        <v>59</v>
      </c>
      <c r="V453" s="3">
        <v>0.06</v>
      </c>
      <c r="W453" s="2">
        <v>0</v>
      </c>
      <c r="X453">
        <v>0</v>
      </c>
      <c r="Y453" t="s">
        <v>536</v>
      </c>
      <c r="Z453" t="s">
        <v>61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2.7</v>
      </c>
      <c r="AN453" s="2">
        <v>2.7</v>
      </c>
      <c r="AO453" s="2">
        <v>0</v>
      </c>
      <c r="AP453" s="2">
        <v>0</v>
      </c>
      <c r="AQ453" s="2">
        <v>0</v>
      </c>
    </row>
    <row r="454" spans="1:43" x14ac:dyDescent="0.3">
      <c r="A454" s="1">
        <v>46125</v>
      </c>
      <c r="B454" t="s">
        <v>48</v>
      </c>
      <c r="C454">
        <v>649163</v>
      </c>
      <c r="D454">
        <v>2023499226</v>
      </c>
      <c r="E454" t="s">
        <v>537</v>
      </c>
      <c r="F454" t="s">
        <v>112</v>
      </c>
      <c r="G454" t="s">
        <v>51</v>
      </c>
      <c r="H454" t="s">
        <v>141</v>
      </c>
      <c r="I454" t="s">
        <v>483</v>
      </c>
      <c r="J454" t="s">
        <v>484</v>
      </c>
      <c r="K454">
        <v>751867</v>
      </c>
      <c r="L454" t="s">
        <v>535</v>
      </c>
      <c r="M454" t="s">
        <v>149</v>
      </c>
      <c r="N454" t="s">
        <v>57</v>
      </c>
      <c r="O454" s="1">
        <v>45456</v>
      </c>
      <c r="Q454" s="1">
        <v>46155</v>
      </c>
      <c r="R454" s="2">
        <v>33.479999999999997</v>
      </c>
      <c r="S454">
        <v>1</v>
      </c>
      <c r="T454" t="s">
        <v>58</v>
      </c>
      <c r="U454" t="s">
        <v>59</v>
      </c>
      <c r="V454" s="3">
        <v>0.06</v>
      </c>
      <c r="W454" s="2">
        <v>0</v>
      </c>
      <c r="X454">
        <v>0</v>
      </c>
      <c r="Y454" t="s">
        <v>536</v>
      </c>
      <c r="Z454" t="s">
        <v>61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2.0099999999999998</v>
      </c>
      <c r="AN454" s="2">
        <v>2.0099999999999998</v>
      </c>
      <c r="AO454" s="2">
        <v>0</v>
      </c>
      <c r="AP454" s="2">
        <v>0</v>
      </c>
      <c r="AQ454" s="2">
        <v>0</v>
      </c>
    </row>
    <row r="455" spans="1:43" x14ac:dyDescent="0.3">
      <c r="A455" s="1">
        <v>46125</v>
      </c>
      <c r="B455" t="s">
        <v>48</v>
      </c>
      <c r="C455">
        <v>649163</v>
      </c>
      <c r="D455">
        <v>2024356430</v>
      </c>
      <c r="E455" t="s">
        <v>794</v>
      </c>
      <c r="F455" t="s">
        <v>795</v>
      </c>
      <c r="G455" t="s">
        <v>51</v>
      </c>
      <c r="H455" t="s">
        <v>80</v>
      </c>
      <c r="I455" t="s">
        <v>483</v>
      </c>
      <c r="J455" t="s">
        <v>484</v>
      </c>
      <c r="K455">
        <v>767312</v>
      </c>
      <c r="L455" t="s">
        <v>134</v>
      </c>
      <c r="M455" t="s">
        <v>98</v>
      </c>
      <c r="N455" t="s">
        <v>57</v>
      </c>
      <c r="O455" s="1">
        <v>45517</v>
      </c>
      <c r="Q455" s="1">
        <v>46155</v>
      </c>
      <c r="R455" s="2">
        <v>27.22</v>
      </c>
      <c r="S455">
        <v>1</v>
      </c>
      <c r="T455" t="s">
        <v>58</v>
      </c>
      <c r="U455" t="s">
        <v>59</v>
      </c>
      <c r="V455" s="3">
        <v>0.06</v>
      </c>
      <c r="W455" s="2">
        <v>0</v>
      </c>
      <c r="X455">
        <v>0</v>
      </c>
      <c r="Y455" t="s">
        <v>536</v>
      </c>
      <c r="Z455" t="s">
        <v>61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1.63</v>
      </c>
      <c r="AN455" s="2">
        <v>1.63</v>
      </c>
      <c r="AO455" s="2">
        <v>0</v>
      </c>
      <c r="AP455" s="2">
        <v>0</v>
      </c>
      <c r="AQ455" s="2">
        <v>0</v>
      </c>
    </row>
    <row r="456" spans="1:43" x14ac:dyDescent="0.3">
      <c r="A456" s="1">
        <v>46125</v>
      </c>
      <c r="B456" t="s">
        <v>48</v>
      </c>
      <c r="C456">
        <v>649163</v>
      </c>
      <c r="D456">
        <v>2024834571</v>
      </c>
      <c r="E456" t="s">
        <v>568</v>
      </c>
      <c r="F456" t="s">
        <v>543</v>
      </c>
      <c r="G456" t="s">
        <v>51</v>
      </c>
      <c r="H456" t="s">
        <v>295</v>
      </c>
      <c r="I456" t="s">
        <v>483</v>
      </c>
      <c r="J456" t="s">
        <v>484</v>
      </c>
      <c r="K456">
        <v>767312</v>
      </c>
      <c r="L456" t="s">
        <v>134</v>
      </c>
      <c r="M456" t="s">
        <v>98</v>
      </c>
      <c r="N456" t="s">
        <v>57</v>
      </c>
      <c r="O456" s="1">
        <v>45549</v>
      </c>
      <c r="Q456" s="1">
        <v>46156</v>
      </c>
      <c r="R456" s="2">
        <v>75.599999999999994</v>
      </c>
      <c r="S456">
        <v>1</v>
      </c>
      <c r="T456" t="s">
        <v>58</v>
      </c>
      <c r="U456" t="s">
        <v>59</v>
      </c>
      <c r="V456" s="3">
        <v>0.06</v>
      </c>
      <c r="W456" s="2">
        <v>0</v>
      </c>
      <c r="X456">
        <v>0</v>
      </c>
      <c r="Y456" t="s">
        <v>536</v>
      </c>
      <c r="Z456" t="s">
        <v>61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4.54</v>
      </c>
      <c r="AN456" s="2">
        <v>4.54</v>
      </c>
      <c r="AO456" s="2">
        <v>0</v>
      </c>
      <c r="AP456" s="2">
        <v>0</v>
      </c>
      <c r="AQ456" s="2">
        <v>0</v>
      </c>
    </row>
    <row r="457" spans="1:43" x14ac:dyDescent="0.3">
      <c r="A457" s="1">
        <v>46125</v>
      </c>
      <c r="B457" t="s">
        <v>48</v>
      </c>
      <c r="C457">
        <v>649163</v>
      </c>
      <c r="D457">
        <v>2024853073</v>
      </c>
      <c r="E457" t="s">
        <v>657</v>
      </c>
      <c r="F457" t="s">
        <v>658</v>
      </c>
      <c r="G457" t="s">
        <v>51</v>
      </c>
      <c r="H457" t="s">
        <v>52</v>
      </c>
      <c r="I457" t="s">
        <v>483</v>
      </c>
      <c r="J457" t="s">
        <v>484</v>
      </c>
      <c r="K457">
        <v>650218</v>
      </c>
      <c r="L457" t="s">
        <v>544</v>
      </c>
      <c r="M457" t="s">
        <v>324</v>
      </c>
      <c r="N457" t="s">
        <v>57</v>
      </c>
      <c r="O457" s="1">
        <v>45550</v>
      </c>
      <c r="Q457" s="1">
        <v>46157</v>
      </c>
      <c r="R457" s="2">
        <v>56.53</v>
      </c>
      <c r="S457">
        <v>1</v>
      </c>
      <c r="T457" t="s">
        <v>58</v>
      </c>
      <c r="U457" t="s">
        <v>59</v>
      </c>
      <c r="V457" s="3">
        <v>0.06</v>
      </c>
      <c r="W457" s="2">
        <v>0</v>
      </c>
      <c r="X457">
        <v>0</v>
      </c>
      <c r="Y457" t="s">
        <v>536</v>
      </c>
      <c r="Z457" t="s">
        <v>61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3.39</v>
      </c>
      <c r="AN457" s="2">
        <v>3.39</v>
      </c>
      <c r="AO457" s="2">
        <v>0</v>
      </c>
      <c r="AP457" s="2">
        <v>0</v>
      </c>
      <c r="AQ457" s="2">
        <v>0</v>
      </c>
    </row>
    <row r="458" spans="1:43" x14ac:dyDescent="0.3">
      <c r="A458" s="1">
        <v>46125</v>
      </c>
      <c r="B458" t="s">
        <v>48</v>
      </c>
      <c r="C458">
        <v>649163</v>
      </c>
      <c r="D458">
        <v>2024865456</v>
      </c>
      <c r="E458" t="s">
        <v>796</v>
      </c>
      <c r="F458" t="s">
        <v>163</v>
      </c>
      <c r="G458" t="s">
        <v>51</v>
      </c>
      <c r="H458" t="s">
        <v>404</v>
      </c>
      <c r="I458" t="s">
        <v>483</v>
      </c>
      <c r="J458" t="s">
        <v>484</v>
      </c>
      <c r="K458">
        <v>767312</v>
      </c>
      <c r="L458" t="s">
        <v>134</v>
      </c>
      <c r="M458" t="s">
        <v>98</v>
      </c>
      <c r="N458" t="s">
        <v>57</v>
      </c>
      <c r="O458" s="1">
        <v>45549</v>
      </c>
      <c r="Q458" s="1">
        <v>46156</v>
      </c>
      <c r="R458" s="2">
        <v>27.67</v>
      </c>
      <c r="S458">
        <v>1</v>
      </c>
      <c r="T458" t="s">
        <v>58</v>
      </c>
      <c r="U458" t="s">
        <v>59</v>
      </c>
      <c r="V458" s="3">
        <v>0.06</v>
      </c>
      <c r="W458" s="2">
        <v>0</v>
      </c>
      <c r="X458">
        <v>0</v>
      </c>
      <c r="Y458" t="s">
        <v>536</v>
      </c>
      <c r="Z458" t="s">
        <v>61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1.66</v>
      </c>
      <c r="AN458" s="2">
        <v>1.66</v>
      </c>
      <c r="AO458" s="2">
        <v>0</v>
      </c>
      <c r="AP458" s="2">
        <v>0</v>
      </c>
      <c r="AQ458" s="2">
        <v>0</v>
      </c>
    </row>
    <row r="459" spans="1:43" x14ac:dyDescent="0.3">
      <c r="A459" s="1">
        <v>46125</v>
      </c>
      <c r="B459" t="s">
        <v>48</v>
      </c>
      <c r="C459">
        <v>649163</v>
      </c>
      <c r="D459">
        <v>2025287064</v>
      </c>
      <c r="E459" t="s">
        <v>572</v>
      </c>
      <c r="F459" t="s">
        <v>573</v>
      </c>
      <c r="G459" t="s">
        <v>51</v>
      </c>
      <c r="H459" t="s">
        <v>223</v>
      </c>
      <c r="I459" t="s">
        <v>483</v>
      </c>
      <c r="J459" t="s">
        <v>484</v>
      </c>
      <c r="K459">
        <v>767312</v>
      </c>
      <c r="L459" t="s">
        <v>134</v>
      </c>
      <c r="M459" t="s">
        <v>98</v>
      </c>
      <c r="N459" t="s">
        <v>57</v>
      </c>
      <c r="O459" s="1">
        <v>45577</v>
      </c>
      <c r="Q459" s="1">
        <v>46154</v>
      </c>
      <c r="R459" s="2">
        <v>18.25</v>
      </c>
      <c r="S459">
        <v>1</v>
      </c>
      <c r="T459" t="s">
        <v>58</v>
      </c>
      <c r="U459" t="s">
        <v>59</v>
      </c>
      <c r="V459" s="3">
        <v>0.06</v>
      </c>
      <c r="W459" s="2">
        <v>0</v>
      </c>
      <c r="X459">
        <v>0</v>
      </c>
      <c r="Y459" t="s">
        <v>536</v>
      </c>
      <c r="Z459" t="s">
        <v>61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1.1000000000000001</v>
      </c>
      <c r="AN459" s="2">
        <v>1.1000000000000001</v>
      </c>
      <c r="AO459" s="2">
        <v>0</v>
      </c>
      <c r="AP459" s="2">
        <v>0</v>
      </c>
      <c r="AQ459" s="2">
        <v>0</v>
      </c>
    </row>
    <row r="460" spans="1:43" x14ac:dyDescent="0.3">
      <c r="A460" s="1">
        <v>46125</v>
      </c>
      <c r="B460" t="s">
        <v>48</v>
      </c>
      <c r="C460">
        <v>649163</v>
      </c>
      <c r="D460">
        <v>2025316508</v>
      </c>
      <c r="E460" t="s">
        <v>574</v>
      </c>
      <c r="F460" t="s">
        <v>575</v>
      </c>
      <c r="G460" t="s">
        <v>51</v>
      </c>
      <c r="H460" t="s">
        <v>126</v>
      </c>
      <c r="I460" t="s">
        <v>483</v>
      </c>
      <c r="J460" t="s">
        <v>484</v>
      </c>
      <c r="K460">
        <v>767312</v>
      </c>
      <c r="L460" t="s">
        <v>134</v>
      </c>
      <c r="M460" t="s">
        <v>98</v>
      </c>
      <c r="N460" t="s">
        <v>57</v>
      </c>
      <c r="O460" s="1">
        <v>45580</v>
      </c>
      <c r="Q460" s="1">
        <v>46157</v>
      </c>
      <c r="R460" s="2">
        <v>14.84</v>
      </c>
      <c r="S460">
        <v>1</v>
      </c>
      <c r="T460" t="s">
        <v>58</v>
      </c>
      <c r="U460" t="s">
        <v>59</v>
      </c>
      <c r="V460" s="3">
        <v>0.06</v>
      </c>
      <c r="W460" s="2">
        <v>0</v>
      </c>
      <c r="X460">
        <v>0</v>
      </c>
      <c r="Y460" t="s">
        <v>536</v>
      </c>
      <c r="Z460" t="s">
        <v>61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0.89</v>
      </c>
      <c r="AN460" s="2">
        <v>0.89</v>
      </c>
      <c r="AO460" s="2">
        <v>0</v>
      </c>
      <c r="AP460" s="2">
        <v>0</v>
      </c>
      <c r="AQ460" s="2">
        <v>0</v>
      </c>
    </row>
    <row r="461" spans="1:43" x14ac:dyDescent="0.3">
      <c r="A461" s="1">
        <v>46125</v>
      </c>
      <c r="B461" t="s">
        <v>48</v>
      </c>
      <c r="C461">
        <v>649163</v>
      </c>
      <c r="D461">
        <v>2025724990</v>
      </c>
      <c r="E461" t="s">
        <v>797</v>
      </c>
      <c r="F461" t="s">
        <v>438</v>
      </c>
      <c r="G461" t="s">
        <v>51</v>
      </c>
      <c r="H461" t="s">
        <v>755</v>
      </c>
      <c r="I461" t="s">
        <v>483</v>
      </c>
      <c r="J461" t="s">
        <v>484</v>
      </c>
      <c r="K461">
        <v>756418</v>
      </c>
      <c r="L461" t="s">
        <v>400</v>
      </c>
      <c r="M461" t="s">
        <v>401</v>
      </c>
      <c r="N461" t="s">
        <v>57</v>
      </c>
      <c r="O461" s="1">
        <v>45608</v>
      </c>
      <c r="Q461" s="1">
        <v>46154</v>
      </c>
      <c r="R461" s="2">
        <v>94.25</v>
      </c>
      <c r="S461">
        <v>1</v>
      </c>
      <c r="T461" t="s">
        <v>58</v>
      </c>
      <c r="U461" t="s">
        <v>59</v>
      </c>
      <c r="V461" s="3">
        <v>0.06</v>
      </c>
      <c r="W461" s="2">
        <v>0</v>
      </c>
      <c r="X461">
        <v>0</v>
      </c>
      <c r="Y461" t="s">
        <v>536</v>
      </c>
      <c r="Z461" t="s">
        <v>61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5.66</v>
      </c>
      <c r="AN461" s="2">
        <v>5.66</v>
      </c>
      <c r="AO461" s="2">
        <v>0</v>
      </c>
      <c r="AP461" s="2">
        <v>0</v>
      </c>
      <c r="AQ461" s="2">
        <v>0</v>
      </c>
    </row>
    <row r="462" spans="1:43" x14ac:dyDescent="0.3">
      <c r="A462" s="1">
        <v>46125</v>
      </c>
      <c r="B462" t="s">
        <v>48</v>
      </c>
      <c r="C462">
        <v>649163</v>
      </c>
      <c r="D462">
        <v>2025738648</v>
      </c>
      <c r="E462" t="s">
        <v>798</v>
      </c>
      <c r="F462" t="s">
        <v>799</v>
      </c>
      <c r="G462" t="s">
        <v>51</v>
      </c>
      <c r="H462" t="s">
        <v>295</v>
      </c>
      <c r="I462" t="s">
        <v>483</v>
      </c>
      <c r="J462" t="s">
        <v>484</v>
      </c>
      <c r="K462">
        <v>767312</v>
      </c>
      <c r="L462" t="s">
        <v>134</v>
      </c>
      <c r="M462" t="s">
        <v>98</v>
      </c>
      <c r="N462" t="s">
        <v>57</v>
      </c>
      <c r="O462" s="1">
        <v>45609</v>
      </c>
      <c r="Q462" s="1">
        <v>46155</v>
      </c>
      <c r="R462" s="2">
        <v>18.66</v>
      </c>
      <c r="S462">
        <v>1</v>
      </c>
      <c r="T462" t="s">
        <v>58</v>
      </c>
      <c r="U462" t="s">
        <v>59</v>
      </c>
      <c r="V462" s="3">
        <v>0.06</v>
      </c>
      <c r="W462" s="2">
        <v>0</v>
      </c>
      <c r="X462">
        <v>0</v>
      </c>
      <c r="Y462" t="s">
        <v>536</v>
      </c>
      <c r="Z462" t="s">
        <v>61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1.1200000000000001</v>
      </c>
      <c r="AN462" s="2">
        <v>1.1200000000000001</v>
      </c>
      <c r="AO462" s="2">
        <v>0</v>
      </c>
      <c r="AP462" s="2">
        <v>0</v>
      </c>
      <c r="AQ462" s="2">
        <v>0</v>
      </c>
    </row>
    <row r="463" spans="1:43" x14ac:dyDescent="0.3">
      <c r="A463" s="1">
        <v>46125</v>
      </c>
      <c r="B463" t="s">
        <v>48</v>
      </c>
      <c r="C463">
        <v>649163</v>
      </c>
      <c r="D463">
        <v>2025785646</v>
      </c>
      <c r="E463" t="s">
        <v>800</v>
      </c>
      <c r="F463" t="s">
        <v>801</v>
      </c>
      <c r="G463" t="s">
        <v>51</v>
      </c>
      <c r="H463" t="s">
        <v>52</v>
      </c>
      <c r="I463" t="s">
        <v>483</v>
      </c>
      <c r="J463" t="s">
        <v>484</v>
      </c>
      <c r="K463">
        <v>673059</v>
      </c>
      <c r="L463" t="s">
        <v>115</v>
      </c>
      <c r="M463" t="s">
        <v>116</v>
      </c>
      <c r="N463" t="s">
        <v>57</v>
      </c>
      <c r="O463" s="1">
        <v>45612</v>
      </c>
      <c r="Q463" s="1">
        <v>46158</v>
      </c>
      <c r="R463" s="2">
        <v>89.37</v>
      </c>
      <c r="S463">
        <v>1</v>
      </c>
      <c r="T463" t="s">
        <v>58</v>
      </c>
      <c r="U463" t="s">
        <v>59</v>
      </c>
      <c r="V463" s="3">
        <v>0.06</v>
      </c>
      <c r="W463" s="2">
        <v>0</v>
      </c>
      <c r="X463">
        <v>0</v>
      </c>
      <c r="Y463" t="s">
        <v>536</v>
      </c>
      <c r="Z463" t="s">
        <v>61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5.36</v>
      </c>
      <c r="AN463" s="2">
        <v>5.36</v>
      </c>
      <c r="AO463" s="2">
        <v>0</v>
      </c>
      <c r="AP463" s="2">
        <v>0</v>
      </c>
      <c r="AQ463" s="2">
        <v>0</v>
      </c>
    </row>
    <row r="464" spans="1:43" x14ac:dyDescent="0.3">
      <c r="A464" s="1">
        <v>46125</v>
      </c>
      <c r="B464" t="s">
        <v>48</v>
      </c>
      <c r="C464">
        <v>649163</v>
      </c>
      <c r="D464">
        <v>2025992838</v>
      </c>
      <c r="E464" t="s">
        <v>802</v>
      </c>
      <c r="F464" t="s">
        <v>803</v>
      </c>
      <c r="G464" t="s">
        <v>51</v>
      </c>
      <c r="H464" t="s">
        <v>298</v>
      </c>
      <c r="I464" t="s">
        <v>483</v>
      </c>
      <c r="J464" t="s">
        <v>484</v>
      </c>
      <c r="K464">
        <v>673059</v>
      </c>
      <c r="L464" t="s">
        <v>115</v>
      </c>
      <c r="M464" t="s">
        <v>116</v>
      </c>
      <c r="N464" t="s">
        <v>86</v>
      </c>
      <c r="O464" s="1">
        <v>45658</v>
      </c>
      <c r="P464" s="1">
        <v>46118</v>
      </c>
      <c r="Q464" s="1">
        <v>46143</v>
      </c>
      <c r="R464" s="2">
        <v>-29.32</v>
      </c>
      <c r="S464">
        <v>1</v>
      </c>
      <c r="T464" t="s">
        <v>58</v>
      </c>
      <c r="U464" t="s">
        <v>59</v>
      </c>
      <c r="V464" s="3">
        <v>0.06</v>
      </c>
      <c r="W464" s="2">
        <v>0</v>
      </c>
      <c r="X464">
        <v>-1</v>
      </c>
      <c r="Y464" t="s">
        <v>536</v>
      </c>
      <c r="Z464" t="s">
        <v>61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-1.76</v>
      </c>
      <c r="AN464" s="2">
        <v>-1.76</v>
      </c>
      <c r="AO464" s="2">
        <v>0</v>
      </c>
      <c r="AP464" s="2">
        <v>0</v>
      </c>
      <c r="AQ464" s="2">
        <v>0</v>
      </c>
    </row>
    <row r="465" spans="1:43" x14ac:dyDescent="0.3">
      <c r="A465" s="1">
        <v>46125</v>
      </c>
      <c r="B465" t="s">
        <v>48</v>
      </c>
      <c r="C465">
        <v>649163</v>
      </c>
      <c r="D465">
        <v>2026127400</v>
      </c>
      <c r="E465" t="s">
        <v>487</v>
      </c>
      <c r="F465" t="s">
        <v>145</v>
      </c>
      <c r="G465" t="s">
        <v>51</v>
      </c>
      <c r="H465" t="s">
        <v>114</v>
      </c>
      <c r="I465" t="s">
        <v>483</v>
      </c>
      <c r="J465" t="s">
        <v>484</v>
      </c>
      <c r="K465">
        <v>673059</v>
      </c>
      <c r="L465" t="s">
        <v>115</v>
      </c>
      <c r="M465" t="s">
        <v>116</v>
      </c>
      <c r="N465" t="s">
        <v>86</v>
      </c>
      <c r="O465" s="1">
        <v>45658</v>
      </c>
      <c r="P465" s="1">
        <v>46125</v>
      </c>
      <c r="Q465" s="1">
        <v>46143</v>
      </c>
      <c r="R465" s="2">
        <v>-38.299999999999997</v>
      </c>
      <c r="S465">
        <v>1</v>
      </c>
      <c r="T465" t="s">
        <v>58</v>
      </c>
      <c r="U465" t="s">
        <v>59</v>
      </c>
      <c r="V465" s="3">
        <v>0.06</v>
      </c>
      <c r="W465" s="2">
        <v>0</v>
      </c>
      <c r="X465">
        <v>-1</v>
      </c>
      <c r="Y465" t="s">
        <v>536</v>
      </c>
      <c r="Z465" t="s">
        <v>61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-2.2999999999999998</v>
      </c>
      <c r="AN465" s="2">
        <v>-2.2999999999999998</v>
      </c>
      <c r="AO465" s="2">
        <v>0</v>
      </c>
      <c r="AP465" s="2">
        <v>0</v>
      </c>
      <c r="AQ465" s="2">
        <v>0</v>
      </c>
    </row>
    <row r="466" spans="1:43" x14ac:dyDescent="0.3">
      <c r="A466" s="1">
        <v>46125</v>
      </c>
      <c r="B466" t="s">
        <v>48</v>
      </c>
      <c r="C466">
        <v>649163</v>
      </c>
      <c r="D466">
        <v>2026141665</v>
      </c>
      <c r="E466" t="s">
        <v>804</v>
      </c>
      <c r="F466" t="s">
        <v>805</v>
      </c>
      <c r="G466" t="s">
        <v>51</v>
      </c>
      <c r="H466" t="s">
        <v>80</v>
      </c>
      <c r="I466" t="s">
        <v>483</v>
      </c>
      <c r="J466" t="s">
        <v>484</v>
      </c>
      <c r="K466">
        <v>651818</v>
      </c>
      <c r="L466" t="s">
        <v>55</v>
      </c>
      <c r="M466" t="s">
        <v>56</v>
      </c>
      <c r="N466" t="s">
        <v>57</v>
      </c>
      <c r="O466" s="1">
        <v>45641</v>
      </c>
      <c r="Q466" s="1">
        <v>46157</v>
      </c>
      <c r="R466" s="2">
        <v>101.87</v>
      </c>
      <c r="S466">
        <v>1</v>
      </c>
      <c r="T466" t="s">
        <v>58</v>
      </c>
      <c r="U466" t="s">
        <v>59</v>
      </c>
      <c r="V466" s="3">
        <v>0.06</v>
      </c>
      <c r="W466" s="2">
        <v>0</v>
      </c>
      <c r="X466">
        <v>0</v>
      </c>
      <c r="Y466" t="s">
        <v>536</v>
      </c>
      <c r="Z466" t="s">
        <v>61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6.11</v>
      </c>
      <c r="AN466" s="2">
        <v>6.11</v>
      </c>
      <c r="AO466" s="2">
        <v>0</v>
      </c>
      <c r="AP466" s="2">
        <v>0</v>
      </c>
      <c r="AQ466" s="2">
        <v>0</v>
      </c>
    </row>
    <row r="467" spans="1:43" x14ac:dyDescent="0.3">
      <c r="A467" s="1">
        <v>46125</v>
      </c>
      <c r="B467" t="s">
        <v>48</v>
      </c>
      <c r="C467">
        <v>649163</v>
      </c>
      <c r="D467">
        <v>2026146921</v>
      </c>
      <c r="E467" t="s">
        <v>806</v>
      </c>
      <c r="F467" t="s">
        <v>807</v>
      </c>
      <c r="G467" t="s">
        <v>51</v>
      </c>
      <c r="H467" t="s">
        <v>256</v>
      </c>
      <c r="I467" t="s">
        <v>483</v>
      </c>
      <c r="J467" t="s">
        <v>484</v>
      </c>
      <c r="K467">
        <v>728134</v>
      </c>
      <c r="L467" t="s">
        <v>747</v>
      </c>
      <c r="M467" t="s">
        <v>748</v>
      </c>
      <c r="N467" t="s">
        <v>57</v>
      </c>
      <c r="O467" s="1">
        <v>45639</v>
      </c>
      <c r="Q467" s="1">
        <v>46155</v>
      </c>
      <c r="R467" s="2">
        <v>39.979999999999997</v>
      </c>
      <c r="S467">
        <v>1</v>
      </c>
      <c r="T467" t="s">
        <v>58</v>
      </c>
      <c r="U467" t="s">
        <v>59</v>
      </c>
      <c r="V467" s="3">
        <v>0.06</v>
      </c>
      <c r="W467" s="2">
        <v>0</v>
      </c>
      <c r="X467">
        <v>0</v>
      </c>
      <c r="Y467" t="s">
        <v>536</v>
      </c>
      <c r="Z467" t="s">
        <v>61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2.4</v>
      </c>
      <c r="AN467" s="2">
        <v>2.4</v>
      </c>
      <c r="AO467" s="2">
        <v>0</v>
      </c>
      <c r="AP467" s="2">
        <v>0</v>
      </c>
      <c r="AQ467" s="2">
        <v>0</v>
      </c>
    </row>
    <row r="468" spans="1:43" x14ac:dyDescent="0.3">
      <c r="A468" s="1">
        <v>46125</v>
      </c>
      <c r="B468" t="s">
        <v>48</v>
      </c>
      <c r="C468">
        <v>649163</v>
      </c>
      <c r="D468">
        <v>2026186217</v>
      </c>
      <c r="E468" t="s">
        <v>808</v>
      </c>
      <c r="F468" t="s">
        <v>809</v>
      </c>
      <c r="G468" t="s">
        <v>51</v>
      </c>
      <c r="H468" t="s">
        <v>75</v>
      </c>
      <c r="I468" t="s">
        <v>483</v>
      </c>
      <c r="J468" t="s">
        <v>484</v>
      </c>
      <c r="K468">
        <v>767312</v>
      </c>
      <c r="L468" t="s">
        <v>134</v>
      </c>
      <c r="M468" t="s">
        <v>98</v>
      </c>
      <c r="N468" t="s">
        <v>57</v>
      </c>
      <c r="O468" s="1">
        <v>45641</v>
      </c>
      <c r="Q468" s="1">
        <v>46157</v>
      </c>
      <c r="R468" s="2">
        <v>26.74</v>
      </c>
      <c r="S468">
        <v>1</v>
      </c>
      <c r="T468" t="s">
        <v>58</v>
      </c>
      <c r="U468" t="s">
        <v>59</v>
      </c>
      <c r="V468" s="3">
        <v>0.06</v>
      </c>
      <c r="W468" s="2">
        <v>0</v>
      </c>
      <c r="X468">
        <v>0</v>
      </c>
      <c r="Y468" t="s">
        <v>536</v>
      </c>
      <c r="Z468" t="s">
        <v>61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1.6</v>
      </c>
      <c r="AN468" s="2">
        <v>1.6</v>
      </c>
      <c r="AO468" s="2">
        <v>0</v>
      </c>
      <c r="AP468" s="2">
        <v>0</v>
      </c>
      <c r="AQ468" s="2">
        <v>0</v>
      </c>
    </row>
    <row r="469" spans="1:43" x14ac:dyDescent="0.3">
      <c r="A469" s="1">
        <v>46125</v>
      </c>
      <c r="B469" t="s">
        <v>48</v>
      </c>
      <c r="C469">
        <v>649163</v>
      </c>
      <c r="D469">
        <v>2026585511</v>
      </c>
      <c r="E469" t="s">
        <v>810</v>
      </c>
      <c r="F469" t="s">
        <v>389</v>
      </c>
      <c r="G469" t="s">
        <v>51</v>
      </c>
      <c r="H469" t="s">
        <v>256</v>
      </c>
      <c r="I469" t="s">
        <v>483</v>
      </c>
      <c r="J469" t="s">
        <v>484</v>
      </c>
      <c r="K469">
        <v>728134</v>
      </c>
      <c r="L469" t="s">
        <v>747</v>
      </c>
      <c r="M469" t="s">
        <v>748</v>
      </c>
      <c r="N469" t="s">
        <v>57</v>
      </c>
      <c r="O469" s="1">
        <v>45672</v>
      </c>
      <c r="Q469" s="1">
        <v>46157</v>
      </c>
      <c r="R469" s="2">
        <v>149.46</v>
      </c>
      <c r="S469">
        <v>1</v>
      </c>
      <c r="T469" t="s">
        <v>58</v>
      </c>
      <c r="U469" t="s">
        <v>59</v>
      </c>
      <c r="V469" s="3">
        <v>0.06</v>
      </c>
      <c r="W469" s="2">
        <v>0</v>
      </c>
      <c r="X469">
        <v>0</v>
      </c>
      <c r="Y469" t="s">
        <v>536</v>
      </c>
      <c r="Z469" t="s">
        <v>61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8.9700000000000006</v>
      </c>
      <c r="AN469" s="2">
        <v>8.9700000000000006</v>
      </c>
      <c r="AO469" s="2">
        <v>0</v>
      </c>
      <c r="AP469" s="2">
        <v>0</v>
      </c>
      <c r="AQ469" s="2">
        <v>0</v>
      </c>
    </row>
    <row r="470" spans="1:43" x14ac:dyDescent="0.3">
      <c r="A470" s="1">
        <v>46125</v>
      </c>
      <c r="B470" t="s">
        <v>48</v>
      </c>
      <c r="C470">
        <v>649163</v>
      </c>
      <c r="D470">
        <v>2026607948</v>
      </c>
      <c r="E470" t="s">
        <v>811</v>
      </c>
      <c r="F470" t="s">
        <v>147</v>
      </c>
      <c r="G470" t="s">
        <v>51</v>
      </c>
      <c r="H470" t="s">
        <v>52</v>
      </c>
      <c r="I470" t="s">
        <v>483</v>
      </c>
      <c r="J470" t="s">
        <v>484</v>
      </c>
      <c r="K470">
        <v>767312</v>
      </c>
      <c r="L470" t="s">
        <v>134</v>
      </c>
      <c r="M470" t="s">
        <v>98</v>
      </c>
      <c r="N470" t="s">
        <v>57</v>
      </c>
      <c r="O470" s="1">
        <v>45673</v>
      </c>
      <c r="Q470" s="1">
        <v>46158</v>
      </c>
      <c r="R470" s="2">
        <v>27.97</v>
      </c>
      <c r="S470">
        <v>1</v>
      </c>
      <c r="T470" t="s">
        <v>58</v>
      </c>
      <c r="U470" t="s">
        <v>59</v>
      </c>
      <c r="V470" s="3">
        <v>0.06</v>
      </c>
      <c r="W470" s="2">
        <v>0</v>
      </c>
      <c r="X470">
        <v>0</v>
      </c>
      <c r="Y470" t="s">
        <v>536</v>
      </c>
      <c r="Z470" t="s">
        <v>61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1.68</v>
      </c>
      <c r="AN470" s="2">
        <v>1.68</v>
      </c>
      <c r="AO470" s="2">
        <v>0</v>
      </c>
      <c r="AP470" s="2">
        <v>0</v>
      </c>
      <c r="AQ470" s="2">
        <v>0</v>
      </c>
    </row>
    <row r="471" spans="1:43" x14ac:dyDescent="0.3">
      <c r="A471" s="1">
        <v>46125</v>
      </c>
      <c r="B471" t="s">
        <v>48</v>
      </c>
      <c r="C471">
        <v>649163</v>
      </c>
      <c r="D471">
        <v>2026615682</v>
      </c>
      <c r="E471" t="s">
        <v>812</v>
      </c>
      <c r="F471" t="s">
        <v>116</v>
      </c>
      <c r="G471" t="s">
        <v>51</v>
      </c>
      <c r="H471" t="s">
        <v>295</v>
      </c>
      <c r="I471" t="s">
        <v>483</v>
      </c>
      <c r="J471" t="s">
        <v>484</v>
      </c>
      <c r="K471">
        <v>767312</v>
      </c>
      <c r="L471" t="s">
        <v>134</v>
      </c>
      <c r="M471" t="s">
        <v>98</v>
      </c>
      <c r="N471" t="s">
        <v>57</v>
      </c>
      <c r="O471" s="1">
        <v>45673</v>
      </c>
      <c r="Q471" s="1">
        <v>46158</v>
      </c>
      <c r="R471" s="2">
        <v>29.08</v>
      </c>
      <c r="S471">
        <v>1</v>
      </c>
      <c r="T471" t="s">
        <v>58</v>
      </c>
      <c r="U471" t="s">
        <v>59</v>
      </c>
      <c r="V471" s="3">
        <v>0.06</v>
      </c>
      <c r="W471" s="2">
        <v>0</v>
      </c>
      <c r="X471">
        <v>0</v>
      </c>
      <c r="Y471" t="s">
        <v>536</v>
      </c>
      <c r="Z471" t="s">
        <v>61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1.74</v>
      </c>
      <c r="AN471" s="2">
        <v>1.74</v>
      </c>
      <c r="AO471" s="2">
        <v>0</v>
      </c>
      <c r="AP471" s="2">
        <v>0</v>
      </c>
      <c r="AQ471" s="2">
        <v>0</v>
      </c>
    </row>
    <row r="472" spans="1:43" x14ac:dyDescent="0.3">
      <c r="A472" s="1">
        <v>46125</v>
      </c>
      <c r="B472" t="s">
        <v>48</v>
      </c>
      <c r="C472">
        <v>649163</v>
      </c>
      <c r="D472">
        <v>2026625853</v>
      </c>
      <c r="E472" t="s">
        <v>813</v>
      </c>
      <c r="F472" t="s">
        <v>814</v>
      </c>
      <c r="G472" t="s">
        <v>51</v>
      </c>
      <c r="H472" t="s">
        <v>295</v>
      </c>
      <c r="I472" t="s">
        <v>483</v>
      </c>
      <c r="J472" t="s">
        <v>484</v>
      </c>
      <c r="K472">
        <v>767312</v>
      </c>
      <c r="L472" t="s">
        <v>134</v>
      </c>
      <c r="M472" t="s">
        <v>98</v>
      </c>
      <c r="N472" t="s">
        <v>57</v>
      </c>
      <c r="O472" s="1">
        <v>45674</v>
      </c>
      <c r="Q472" s="1">
        <v>46159</v>
      </c>
      <c r="R472" s="2">
        <v>24.71</v>
      </c>
      <c r="S472">
        <v>1</v>
      </c>
      <c r="T472" t="s">
        <v>58</v>
      </c>
      <c r="U472" t="s">
        <v>59</v>
      </c>
      <c r="V472" s="3">
        <v>0.06</v>
      </c>
      <c r="W472" s="2">
        <v>0</v>
      </c>
      <c r="X472">
        <v>0</v>
      </c>
      <c r="Y472" t="s">
        <v>536</v>
      </c>
      <c r="Z472" t="s">
        <v>61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1.48</v>
      </c>
      <c r="AN472" s="2">
        <v>1.48</v>
      </c>
      <c r="AO472" s="2">
        <v>0</v>
      </c>
      <c r="AP472" s="2">
        <v>0</v>
      </c>
      <c r="AQ472" s="2">
        <v>0</v>
      </c>
    </row>
    <row r="473" spans="1:43" x14ac:dyDescent="0.3">
      <c r="A473" s="1">
        <v>46125</v>
      </c>
      <c r="B473" t="s">
        <v>48</v>
      </c>
      <c r="C473">
        <v>649163</v>
      </c>
      <c r="D473">
        <v>2026836000</v>
      </c>
      <c r="E473" t="s">
        <v>815</v>
      </c>
      <c r="F473" t="s">
        <v>816</v>
      </c>
      <c r="G473" t="s">
        <v>51</v>
      </c>
      <c r="H473" t="s">
        <v>80</v>
      </c>
      <c r="I473" t="s">
        <v>483</v>
      </c>
      <c r="J473" t="s">
        <v>484</v>
      </c>
      <c r="K473">
        <v>812782</v>
      </c>
      <c r="L473" t="s">
        <v>224</v>
      </c>
      <c r="M473" t="s">
        <v>225</v>
      </c>
      <c r="N473" t="s">
        <v>86</v>
      </c>
      <c r="O473" s="1">
        <v>45689</v>
      </c>
      <c r="P473" s="1">
        <v>46125</v>
      </c>
      <c r="Q473" s="1">
        <v>46143</v>
      </c>
      <c r="R473" s="2">
        <v>-45.69</v>
      </c>
      <c r="S473">
        <v>1</v>
      </c>
      <c r="T473" t="s">
        <v>58</v>
      </c>
      <c r="U473" t="s">
        <v>59</v>
      </c>
      <c r="V473" s="3">
        <v>0.06</v>
      </c>
      <c r="W473" s="2">
        <v>0</v>
      </c>
      <c r="X473">
        <v>-1</v>
      </c>
      <c r="Y473" t="s">
        <v>536</v>
      </c>
      <c r="Z473" t="s">
        <v>61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-2.74</v>
      </c>
      <c r="AN473" s="2">
        <v>-2.74</v>
      </c>
      <c r="AO473" s="2">
        <v>0</v>
      </c>
      <c r="AP473" s="2">
        <v>0</v>
      </c>
      <c r="AQ473" s="2">
        <v>0</v>
      </c>
    </row>
    <row r="474" spans="1:43" x14ac:dyDescent="0.3">
      <c r="A474" s="1">
        <v>46125</v>
      </c>
      <c r="B474" t="s">
        <v>48</v>
      </c>
      <c r="C474">
        <v>649163</v>
      </c>
      <c r="D474">
        <v>2027052527</v>
      </c>
      <c r="E474" t="s">
        <v>817</v>
      </c>
      <c r="F474" t="s">
        <v>818</v>
      </c>
      <c r="G474" t="s">
        <v>51</v>
      </c>
      <c r="H474" t="s">
        <v>80</v>
      </c>
      <c r="I474" t="s">
        <v>483</v>
      </c>
      <c r="J474" t="s">
        <v>484</v>
      </c>
      <c r="K474">
        <v>766747</v>
      </c>
      <c r="L474" t="s">
        <v>819</v>
      </c>
      <c r="M474" t="s">
        <v>175</v>
      </c>
      <c r="N474" t="s">
        <v>57</v>
      </c>
      <c r="O474" s="1">
        <v>45699</v>
      </c>
      <c r="Q474" s="1">
        <v>46153</v>
      </c>
      <c r="R474" s="2">
        <v>48.61</v>
      </c>
      <c r="S474">
        <v>1</v>
      </c>
      <c r="T474" t="s">
        <v>58</v>
      </c>
      <c r="U474" t="s">
        <v>59</v>
      </c>
      <c r="V474" s="3">
        <v>0.06</v>
      </c>
      <c r="W474" s="2">
        <v>0</v>
      </c>
      <c r="X474">
        <v>0</v>
      </c>
      <c r="Y474" t="s">
        <v>536</v>
      </c>
      <c r="Z474" t="s">
        <v>61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2.92</v>
      </c>
      <c r="AN474" s="2">
        <v>2.92</v>
      </c>
      <c r="AO474" s="2">
        <v>0</v>
      </c>
      <c r="AP474" s="2">
        <v>0</v>
      </c>
      <c r="AQ474" s="2">
        <v>0</v>
      </c>
    </row>
    <row r="475" spans="1:43" x14ac:dyDescent="0.3">
      <c r="A475" s="1">
        <v>46125</v>
      </c>
      <c r="B475" t="s">
        <v>48</v>
      </c>
      <c r="C475">
        <v>649163</v>
      </c>
      <c r="D475">
        <v>2027055699</v>
      </c>
      <c r="E475" t="s">
        <v>820</v>
      </c>
      <c r="F475" t="s">
        <v>821</v>
      </c>
      <c r="G475" t="s">
        <v>51</v>
      </c>
      <c r="H475" t="s">
        <v>103</v>
      </c>
      <c r="I475" t="s">
        <v>483</v>
      </c>
      <c r="J475" t="s">
        <v>484</v>
      </c>
      <c r="K475">
        <v>816021</v>
      </c>
      <c r="L475" t="s">
        <v>104</v>
      </c>
      <c r="M475" t="s">
        <v>105</v>
      </c>
      <c r="N475" t="s">
        <v>57</v>
      </c>
      <c r="O475" s="1">
        <v>45699</v>
      </c>
      <c r="Q475" s="1">
        <v>46153</v>
      </c>
      <c r="R475" s="2">
        <v>53.08</v>
      </c>
      <c r="S475">
        <v>1</v>
      </c>
      <c r="T475" t="s">
        <v>58</v>
      </c>
      <c r="U475" t="s">
        <v>59</v>
      </c>
      <c r="V475" s="3">
        <v>0.06</v>
      </c>
      <c r="W475" s="2">
        <v>0</v>
      </c>
      <c r="X475">
        <v>0</v>
      </c>
      <c r="Y475" t="s">
        <v>536</v>
      </c>
      <c r="Z475" t="s">
        <v>61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3.18</v>
      </c>
      <c r="AN475" s="2">
        <v>3.18</v>
      </c>
      <c r="AO475" s="2">
        <v>0</v>
      </c>
      <c r="AP475" s="2">
        <v>0</v>
      </c>
      <c r="AQ475" s="2">
        <v>0</v>
      </c>
    </row>
    <row r="476" spans="1:43" x14ac:dyDescent="0.3">
      <c r="A476" s="1">
        <v>46125</v>
      </c>
      <c r="B476" t="s">
        <v>48</v>
      </c>
      <c r="C476">
        <v>649163</v>
      </c>
      <c r="D476">
        <v>2027059395</v>
      </c>
      <c r="E476" t="s">
        <v>822</v>
      </c>
      <c r="F476" t="s">
        <v>823</v>
      </c>
      <c r="G476" t="s">
        <v>51</v>
      </c>
      <c r="H476" t="s">
        <v>80</v>
      </c>
      <c r="I476" t="s">
        <v>483</v>
      </c>
      <c r="J476" t="s">
        <v>484</v>
      </c>
      <c r="K476">
        <v>824062</v>
      </c>
      <c r="L476" t="s">
        <v>167</v>
      </c>
      <c r="M476" t="s">
        <v>168</v>
      </c>
      <c r="N476" t="s">
        <v>57</v>
      </c>
      <c r="O476" s="1">
        <v>45700</v>
      </c>
      <c r="Q476" s="1">
        <v>46154</v>
      </c>
      <c r="R476" s="2">
        <v>64.760000000000005</v>
      </c>
      <c r="S476">
        <v>1</v>
      </c>
      <c r="T476" t="s">
        <v>58</v>
      </c>
      <c r="U476" t="s">
        <v>59</v>
      </c>
      <c r="V476" s="3">
        <v>0.06</v>
      </c>
      <c r="W476" s="2">
        <v>0</v>
      </c>
      <c r="X476">
        <v>0</v>
      </c>
      <c r="Y476" t="s">
        <v>536</v>
      </c>
      <c r="Z476" t="s">
        <v>61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3.89</v>
      </c>
      <c r="AN476" s="2">
        <v>3.89</v>
      </c>
      <c r="AO476" s="2">
        <v>0</v>
      </c>
      <c r="AP476" s="2">
        <v>0</v>
      </c>
      <c r="AQ476" s="2">
        <v>0</v>
      </c>
    </row>
    <row r="477" spans="1:43" x14ac:dyDescent="0.3">
      <c r="A477" s="1">
        <v>46125</v>
      </c>
      <c r="B477" t="s">
        <v>48</v>
      </c>
      <c r="C477">
        <v>649163</v>
      </c>
      <c r="D477">
        <v>2027072201</v>
      </c>
      <c r="E477" t="s">
        <v>824</v>
      </c>
      <c r="F477" t="s">
        <v>825</v>
      </c>
      <c r="G477" t="s">
        <v>51</v>
      </c>
      <c r="H477" t="s">
        <v>103</v>
      </c>
      <c r="I477" t="s">
        <v>483</v>
      </c>
      <c r="J477" t="s">
        <v>484</v>
      </c>
      <c r="K477">
        <v>816021</v>
      </c>
      <c r="L477" t="s">
        <v>104</v>
      </c>
      <c r="M477" t="s">
        <v>105</v>
      </c>
      <c r="N477" t="s">
        <v>57</v>
      </c>
      <c r="O477" s="1">
        <v>45703</v>
      </c>
      <c r="Q477" s="1">
        <v>46157</v>
      </c>
      <c r="R477" s="2">
        <v>102.21</v>
      </c>
      <c r="S477">
        <v>1</v>
      </c>
      <c r="T477" t="s">
        <v>58</v>
      </c>
      <c r="U477" t="s">
        <v>59</v>
      </c>
      <c r="V477" s="3">
        <v>0.06</v>
      </c>
      <c r="W477" s="2">
        <v>0</v>
      </c>
      <c r="X477">
        <v>0</v>
      </c>
      <c r="Y477" t="s">
        <v>536</v>
      </c>
      <c r="Z477" t="s">
        <v>61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6.13</v>
      </c>
      <c r="AN477" s="2">
        <v>6.13</v>
      </c>
      <c r="AO477" s="2">
        <v>0</v>
      </c>
      <c r="AP477" s="2">
        <v>0</v>
      </c>
      <c r="AQ477" s="2">
        <v>0</v>
      </c>
    </row>
    <row r="478" spans="1:43" x14ac:dyDescent="0.3">
      <c r="A478" s="1">
        <v>46125</v>
      </c>
      <c r="B478" t="s">
        <v>48</v>
      </c>
      <c r="C478">
        <v>649163</v>
      </c>
      <c r="D478">
        <v>2027106747</v>
      </c>
      <c r="E478" t="s">
        <v>826</v>
      </c>
      <c r="F478" t="s">
        <v>401</v>
      </c>
      <c r="G478" t="s">
        <v>51</v>
      </c>
      <c r="H478" t="s">
        <v>80</v>
      </c>
      <c r="I478" t="s">
        <v>483</v>
      </c>
      <c r="J478" t="s">
        <v>484</v>
      </c>
      <c r="K478">
        <v>792847</v>
      </c>
      <c r="L478" t="s">
        <v>597</v>
      </c>
      <c r="M478" t="s">
        <v>599</v>
      </c>
      <c r="N478" t="s">
        <v>57</v>
      </c>
      <c r="O478" s="1">
        <v>45703</v>
      </c>
      <c r="Q478" s="1">
        <v>46157</v>
      </c>
      <c r="R478" s="2">
        <v>48.61</v>
      </c>
      <c r="S478">
        <v>1</v>
      </c>
      <c r="T478" t="s">
        <v>58</v>
      </c>
      <c r="U478" t="s">
        <v>59</v>
      </c>
      <c r="V478" s="3">
        <v>0.06</v>
      </c>
      <c r="W478" s="2">
        <v>0</v>
      </c>
      <c r="X478">
        <v>0</v>
      </c>
      <c r="Y478" t="s">
        <v>536</v>
      </c>
      <c r="Z478" t="s">
        <v>61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2.92</v>
      </c>
      <c r="AN478" s="2">
        <v>2.92</v>
      </c>
      <c r="AO478" s="2">
        <v>0</v>
      </c>
      <c r="AP478" s="2">
        <v>0</v>
      </c>
      <c r="AQ478" s="2">
        <v>0</v>
      </c>
    </row>
    <row r="479" spans="1:43" x14ac:dyDescent="0.3">
      <c r="A479" s="1">
        <v>46125</v>
      </c>
      <c r="B479" t="s">
        <v>48</v>
      </c>
      <c r="C479">
        <v>649163</v>
      </c>
      <c r="D479">
        <v>2027111487</v>
      </c>
      <c r="E479" t="s">
        <v>827</v>
      </c>
      <c r="F479" t="s">
        <v>202</v>
      </c>
      <c r="G479" t="s">
        <v>51</v>
      </c>
      <c r="H479" t="s">
        <v>80</v>
      </c>
      <c r="I479" t="s">
        <v>483</v>
      </c>
      <c r="J479" t="s">
        <v>484</v>
      </c>
      <c r="K479">
        <v>840313</v>
      </c>
      <c r="L479" t="s">
        <v>441</v>
      </c>
      <c r="M479" t="s">
        <v>442</v>
      </c>
      <c r="N479" t="s">
        <v>57</v>
      </c>
      <c r="O479" s="1">
        <v>45703</v>
      </c>
      <c r="Q479" s="1">
        <v>46157</v>
      </c>
      <c r="R479" s="2">
        <v>60.94</v>
      </c>
      <c r="S479">
        <v>1</v>
      </c>
      <c r="T479" t="s">
        <v>58</v>
      </c>
      <c r="U479" t="s">
        <v>59</v>
      </c>
      <c r="V479" s="3">
        <v>0.06</v>
      </c>
      <c r="W479" s="2">
        <v>0</v>
      </c>
      <c r="X479">
        <v>0</v>
      </c>
      <c r="Y479" t="s">
        <v>536</v>
      </c>
      <c r="Z479" t="s">
        <v>61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3.66</v>
      </c>
      <c r="AN479" s="2">
        <v>3.66</v>
      </c>
      <c r="AO479" s="2">
        <v>0</v>
      </c>
      <c r="AP479" s="2">
        <v>0</v>
      </c>
      <c r="AQ479" s="2">
        <v>0</v>
      </c>
    </row>
    <row r="480" spans="1:43" x14ac:dyDescent="0.3">
      <c r="A480" s="1">
        <v>46125</v>
      </c>
      <c r="B480" t="s">
        <v>48</v>
      </c>
      <c r="C480">
        <v>649163</v>
      </c>
      <c r="D480">
        <v>2027431059</v>
      </c>
      <c r="E480" t="s">
        <v>828</v>
      </c>
      <c r="F480" t="s">
        <v>829</v>
      </c>
      <c r="G480" t="s">
        <v>51</v>
      </c>
      <c r="H480" t="s">
        <v>644</v>
      </c>
      <c r="I480" t="s">
        <v>483</v>
      </c>
      <c r="J480" t="s">
        <v>484</v>
      </c>
      <c r="K480">
        <v>767312</v>
      </c>
      <c r="L480" t="s">
        <v>134</v>
      </c>
      <c r="M480" t="s">
        <v>98</v>
      </c>
      <c r="N480" t="s">
        <v>86</v>
      </c>
      <c r="O480" s="1">
        <v>45716</v>
      </c>
      <c r="P480" s="1">
        <v>46125</v>
      </c>
      <c r="Q480" s="1">
        <v>46140</v>
      </c>
      <c r="R480" s="2">
        <v>-18.75</v>
      </c>
      <c r="S480">
        <v>1</v>
      </c>
      <c r="T480" t="s">
        <v>58</v>
      </c>
      <c r="U480" t="s">
        <v>59</v>
      </c>
      <c r="V480" s="3">
        <v>0.06</v>
      </c>
      <c r="W480" s="2">
        <v>0</v>
      </c>
      <c r="X480">
        <v>-1</v>
      </c>
      <c r="Y480" t="s">
        <v>536</v>
      </c>
      <c r="Z480" t="s">
        <v>61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-1.1200000000000001</v>
      </c>
      <c r="AN480" s="2">
        <v>-1.1200000000000001</v>
      </c>
      <c r="AO480" s="2">
        <v>0</v>
      </c>
      <c r="AP480" s="2">
        <v>0</v>
      </c>
      <c r="AQ480" s="2">
        <v>0</v>
      </c>
    </row>
    <row r="481" spans="1:43" x14ac:dyDescent="0.3">
      <c r="A481" s="1">
        <v>46125</v>
      </c>
      <c r="B481" t="s">
        <v>48</v>
      </c>
      <c r="C481">
        <v>649163</v>
      </c>
      <c r="D481">
        <v>2027706491</v>
      </c>
      <c r="E481" t="s">
        <v>830</v>
      </c>
      <c r="F481" t="s">
        <v>107</v>
      </c>
      <c r="G481" t="s">
        <v>51</v>
      </c>
      <c r="H481" t="s">
        <v>80</v>
      </c>
      <c r="I481" t="s">
        <v>483</v>
      </c>
      <c r="J481" t="s">
        <v>484</v>
      </c>
      <c r="K481">
        <v>768887</v>
      </c>
      <c r="L481" t="s">
        <v>425</v>
      </c>
      <c r="M481" t="s">
        <v>123</v>
      </c>
      <c r="N481" t="s">
        <v>57</v>
      </c>
      <c r="O481" s="1">
        <v>45727</v>
      </c>
      <c r="Q481" s="1">
        <v>46153</v>
      </c>
      <c r="R481" s="2">
        <v>103.42</v>
      </c>
      <c r="S481">
        <v>1</v>
      </c>
      <c r="T481" t="s">
        <v>58</v>
      </c>
      <c r="U481" t="s">
        <v>59</v>
      </c>
      <c r="V481" s="3">
        <v>0.06</v>
      </c>
      <c r="W481" s="2">
        <v>0</v>
      </c>
      <c r="X481">
        <v>0</v>
      </c>
      <c r="Y481" t="s">
        <v>536</v>
      </c>
      <c r="Z481" t="s">
        <v>61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6.21</v>
      </c>
      <c r="AN481" s="2">
        <v>6.21</v>
      </c>
      <c r="AO481" s="2">
        <v>0</v>
      </c>
      <c r="AP481" s="2">
        <v>0</v>
      </c>
      <c r="AQ481" s="2">
        <v>0</v>
      </c>
    </row>
    <row r="482" spans="1:43" x14ac:dyDescent="0.3">
      <c r="A482" s="1">
        <v>46125</v>
      </c>
      <c r="B482" t="s">
        <v>48</v>
      </c>
      <c r="C482">
        <v>649163</v>
      </c>
      <c r="D482">
        <v>2027729456</v>
      </c>
      <c r="E482" t="s">
        <v>831</v>
      </c>
      <c r="F482" t="s">
        <v>832</v>
      </c>
      <c r="G482" t="s">
        <v>51</v>
      </c>
      <c r="H482" t="s">
        <v>80</v>
      </c>
      <c r="I482" t="s">
        <v>483</v>
      </c>
      <c r="J482" t="s">
        <v>484</v>
      </c>
      <c r="K482">
        <v>812782</v>
      </c>
      <c r="L482" t="s">
        <v>224</v>
      </c>
      <c r="M482" t="s">
        <v>225</v>
      </c>
      <c r="N482" t="s">
        <v>57</v>
      </c>
      <c r="O482" s="1">
        <v>45728</v>
      </c>
      <c r="Q482" s="1">
        <v>46154</v>
      </c>
      <c r="R482" s="2">
        <v>150.44999999999999</v>
      </c>
      <c r="S482">
        <v>1</v>
      </c>
      <c r="T482" t="s">
        <v>58</v>
      </c>
      <c r="U482" t="s">
        <v>59</v>
      </c>
      <c r="V482" s="3">
        <v>0.06</v>
      </c>
      <c r="W482" s="2">
        <v>0</v>
      </c>
      <c r="X482">
        <v>0</v>
      </c>
      <c r="Y482" t="s">
        <v>536</v>
      </c>
      <c r="Z482" t="s">
        <v>61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9.0299999999999994</v>
      </c>
      <c r="AN482" s="2">
        <v>9.0299999999999994</v>
      </c>
      <c r="AO482" s="2">
        <v>0</v>
      </c>
      <c r="AP482" s="2">
        <v>0</v>
      </c>
      <c r="AQ482" s="2">
        <v>0</v>
      </c>
    </row>
    <row r="483" spans="1:43" x14ac:dyDescent="0.3">
      <c r="A483" s="1">
        <v>46125</v>
      </c>
      <c r="B483" t="s">
        <v>48</v>
      </c>
      <c r="C483">
        <v>649163</v>
      </c>
      <c r="D483">
        <v>2027767676</v>
      </c>
      <c r="E483" t="s">
        <v>833</v>
      </c>
      <c r="F483" t="s">
        <v>834</v>
      </c>
      <c r="G483" t="s">
        <v>51</v>
      </c>
      <c r="H483" t="s">
        <v>75</v>
      </c>
      <c r="I483" t="s">
        <v>483</v>
      </c>
      <c r="J483" t="s">
        <v>484</v>
      </c>
      <c r="K483">
        <v>764123</v>
      </c>
      <c r="L483" t="s">
        <v>742</v>
      </c>
      <c r="M483" t="s">
        <v>743</v>
      </c>
      <c r="N483" t="s">
        <v>57</v>
      </c>
      <c r="O483" s="1">
        <v>45729</v>
      </c>
      <c r="Q483" s="1">
        <v>46155</v>
      </c>
      <c r="R483" s="2">
        <v>66.650000000000006</v>
      </c>
      <c r="S483">
        <v>1</v>
      </c>
      <c r="T483" t="s">
        <v>58</v>
      </c>
      <c r="U483" t="s">
        <v>59</v>
      </c>
      <c r="V483" s="3">
        <v>0.06</v>
      </c>
      <c r="W483" s="2">
        <v>0</v>
      </c>
      <c r="X483">
        <v>0</v>
      </c>
      <c r="Y483" t="s">
        <v>536</v>
      </c>
      <c r="Z483" t="s">
        <v>61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4</v>
      </c>
      <c r="AN483" s="2">
        <v>4</v>
      </c>
      <c r="AO483" s="2">
        <v>0</v>
      </c>
      <c r="AP483" s="2">
        <v>0</v>
      </c>
      <c r="AQ483" s="2">
        <v>0</v>
      </c>
    </row>
    <row r="484" spans="1:43" x14ac:dyDescent="0.3">
      <c r="A484" s="1">
        <v>46125</v>
      </c>
      <c r="B484" t="s">
        <v>48</v>
      </c>
      <c r="C484">
        <v>649163</v>
      </c>
      <c r="D484">
        <v>2027849004</v>
      </c>
      <c r="E484" t="s">
        <v>835</v>
      </c>
      <c r="F484" t="s">
        <v>836</v>
      </c>
      <c r="G484" t="s">
        <v>51</v>
      </c>
      <c r="H484" t="s">
        <v>80</v>
      </c>
      <c r="I484" t="s">
        <v>483</v>
      </c>
      <c r="J484" t="s">
        <v>484</v>
      </c>
      <c r="K484">
        <v>856163</v>
      </c>
      <c r="L484" t="s">
        <v>120</v>
      </c>
      <c r="M484" t="s">
        <v>183</v>
      </c>
      <c r="N484" t="s">
        <v>57</v>
      </c>
      <c r="O484" s="1">
        <v>45733</v>
      </c>
      <c r="Q484" s="1">
        <v>46159</v>
      </c>
      <c r="R484" s="2">
        <v>182.73</v>
      </c>
      <c r="S484">
        <v>1</v>
      </c>
      <c r="T484" t="s">
        <v>58</v>
      </c>
      <c r="U484" t="s">
        <v>59</v>
      </c>
      <c r="V484" s="3">
        <v>0.06</v>
      </c>
      <c r="W484" s="2">
        <v>0</v>
      </c>
      <c r="X484">
        <v>0</v>
      </c>
      <c r="Y484" t="s">
        <v>536</v>
      </c>
      <c r="Z484" t="s">
        <v>61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10.96</v>
      </c>
      <c r="AN484" s="2">
        <v>10.96</v>
      </c>
      <c r="AO484" s="2">
        <v>0</v>
      </c>
      <c r="AP484" s="2">
        <v>0</v>
      </c>
      <c r="AQ484" s="2">
        <v>0</v>
      </c>
    </row>
    <row r="485" spans="1:43" x14ac:dyDescent="0.3">
      <c r="A485" s="1">
        <v>46125</v>
      </c>
      <c r="B485" t="s">
        <v>48</v>
      </c>
      <c r="C485">
        <v>649163</v>
      </c>
      <c r="D485">
        <v>2027849975</v>
      </c>
      <c r="E485" t="s">
        <v>758</v>
      </c>
      <c r="F485" t="s">
        <v>318</v>
      </c>
      <c r="G485" t="s">
        <v>51</v>
      </c>
      <c r="H485" t="s">
        <v>759</v>
      </c>
      <c r="I485" t="s">
        <v>483</v>
      </c>
      <c r="J485" t="s">
        <v>484</v>
      </c>
      <c r="K485">
        <v>650218</v>
      </c>
      <c r="L485" t="s">
        <v>544</v>
      </c>
      <c r="M485" t="s">
        <v>324</v>
      </c>
      <c r="N485" t="s">
        <v>57</v>
      </c>
      <c r="O485" s="1">
        <v>45733</v>
      </c>
      <c r="Q485" s="1">
        <v>46159</v>
      </c>
      <c r="R485" s="2">
        <v>102.55</v>
      </c>
      <c r="S485">
        <v>1</v>
      </c>
      <c r="T485" t="s">
        <v>58</v>
      </c>
      <c r="U485" t="s">
        <v>59</v>
      </c>
      <c r="V485" s="3">
        <v>0.06</v>
      </c>
      <c r="W485" s="2">
        <v>0</v>
      </c>
      <c r="X485">
        <v>0</v>
      </c>
      <c r="Y485" t="s">
        <v>536</v>
      </c>
      <c r="Z485" t="s">
        <v>61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6.15</v>
      </c>
      <c r="AN485" s="2">
        <v>6.15</v>
      </c>
      <c r="AO485" s="2">
        <v>0</v>
      </c>
      <c r="AP485" s="2">
        <v>0</v>
      </c>
      <c r="AQ485" s="2">
        <v>0</v>
      </c>
    </row>
    <row r="486" spans="1:43" x14ac:dyDescent="0.3">
      <c r="A486" s="1">
        <v>46125</v>
      </c>
      <c r="B486" t="s">
        <v>48</v>
      </c>
      <c r="C486">
        <v>649163</v>
      </c>
      <c r="D486">
        <v>2028174265</v>
      </c>
      <c r="E486" t="s">
        <v>837</v>
      </c>
      <c r="F486" t="s">
        <v>838</v>
      </c>
      <c r="G486" t="s">
        <v>51</v>
      </c>
      <c r="H486" t="s">
        <v>80</v>
      </c>
      <c r="I486" t="s">
        <v>483</v>
      </c>
      <c r="J486" t="s">
        <v>484</v>
      </c>
      <c r="K486">
        <v>843573</v>
      </c>
      <c r="L486" t="s">
        <v>228</v>
      </c>
      <c r="M486" t="s">
        <v>229</v>
      </c>
      <c r="N486" t="s">
        <v>57</v>
      </c>
      <c r="O486" s="1">
        <v>45758</v>
      </c>
      <c r="Q486" s="1">
        <v>46153</v>
      </c>
      <c r="R486" s="2">
        <v>32.67</v>
      </c>
      <c r="S486">
        <v>1</v>
      </c>
      <c r="T486" t="s">
        <v>58</v>
      </c>
      <c r="U486" t="s">
        <v>59</v>
      </c>
      <c r="V486" s="3">
        <v>0.06</v>
      </c>
      <c r="W486" s="2">
        <v>0</v>
      </c>
      <c r="X486">
        <v>0</v>
      </c>
      <c r="Y486" t="s">
        <v>536</v>
      </c>
      <c r="Z486" t="s">
        <v>61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1.96</v>
      </c>
      <c r="AN486" s="2">
        <v>1.96</v>
      </c>
      <c r="AO486" s="2">
        <v>0</v>
      </c>
      <c r="AP486" s="2">
        <v>0</v>
      </c>
      <c r="AQ486" s="2">
        <v>0</v>
      </c>
    </row>
    <row r="487" spans="1:43" x14ac:dyDescent="0.3">
      <c r="A487" s="1">
        <v>46125</v>
      </c>
      <c r="B487" t="s">
        <v>48</v>
      </c>
      <c r="C487">
        <v>649163</v>
      </c>
      <c r="D487">
        <v>2028367120</v>
      </c>
      <c r="E487" t="s">
        <v>586</v>
      </c>
      <c r="F487" t="s">
        <v>587</v>
      </c>
      <c r="G487" t="s">
        <v>51</v>
      </c>
      <c r="H487" t="s">
        <v>223</v>
      </c>
      <c r="I487" t="s">
        <v>483</v>
      </c>
      <c r="J487" t="s">
        <v>484</v>
      </c>
      <c r="K487">
        <v>673059</v>
      </c>
      <c r="L487" t="s">
        <v>115</v>
      </c>
      <c r="M487" t="s">
        <v>116</v>
      </c>
      <c r="N487" t="s">
        <v>57</v>
      </c>
      <c r="O487" s="1">
        <v>45759</v>
      </c>
      <c r="Q487" s="1">
        <v>46154</v>
      </c>
      <c r="R487" s="2">
        <v>18.62</v>
      </c>
      <c r="S487">
        <v>1</v>
      </c>
      <c r="T487" t="s">
        <v>58</v>
      </c>
      <c r="U487" t="s">
        <v>59</v>
      </c>
      <c r="V487" s="3">
        <v>0.06</v>
      </c>
      <c r="W487" s="2">
        <v>0</v>
      </c>
      <c r="X487">
        <v>0</v>
      </c>
      <c r="Y487" t="s">
        <v>536</v>
      </c>
      <c r="Z487" t="s">
        <v>61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1.1200000000000001</v>
      </c>
      <c r="AN487" s="2">
        <v>1.1200000000000001</v>
      </c>
      <c r="AO487" s="2">
        <v>0</v>
      </c>
      <c r="AP487" s="2">
        <v>0</v>
      </c>
      <c r="AQ487" s="2">
        <v>0</v>
      </c>
    </row>
    <row r="488" spans="1:43" x14ac:dyDescent="0.3">
      <c r="A488" s="1">
        <v>46125</v>
      </c>
      <c r="B488" t="s">
        <v>48</v>
      </c>
      <c r="C488">
        <v>649163</v>
      </c>
      <c r="D488">
        <v>2028379893</v>
      </c>
      <c r="E488" t="s">
        <v>588</v>
      </c>
      <c r="F488" t="s">
        <v>589</v>
      </c>
      <c r="G488" t="s">
        <v>51</v>
      </c>
      <c r="H488" t="s">
        <v>70</v>
      </c>
      <c r="I488" t="s">
        <v>483</v>
      </c>
      <c r="J488" t="s">
        <v>484</v>
      </c>
      <c r="K488">
        <v>822865</v>
      </c>
      <c r="L488" t="s">
        <v>590</v>
      </c>
      <c r="M488" t="s">
        <v>591</v>
      </c>
      <c r="N488" t="s">
        <v>57</v>
      </c>
      <c r="O488" s="1">
        <v>45760</v>
      </c>
      <c r="Q488" s="1">
        <v>46155</v>
      </c>
      <c r="R488" s="2">
        <v>27.95</v>
      </c>
      <c r="S488">
        <v>1</v>
      </c>
      <c r="T488" t="s">
        <v>58</v>
      </c>
      <c r="U488" t="s">
        <v>59</v>
      </c>
      <c r="V488" s="3">
        <v>0.06</v>
      </c>
      <c r="W488" s="2">
        <v>0</v>
      </c>
      <c r="X488">
        <v>0</v>
      </c>
      <c r="Y488" t="s">
        <v>536</v>
      </c>
      <c r="Z488" t="s">
        <v>61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1.68</v>
      </c>
      <c r="AN488" s="2">
        <v>1.68</v>
      </c>
      <c r="AO488" s="2">
        <v>0</v>
      </c>
      <c r="AP488" s="2">
        <v>0</v>
      </c>
      <c r="AQ488" s="2">
        <v>0</v>
      </c>
    </row>
    <row r="489" spans="1:43" x14ac:dyDescent="0.3">
      <c r="A489" s="1">
        <v>46125</v>
      </c>
      <c r="B489" t="s">
        <v>48</v>
      </c>
      <c r="C489">
        <v>649163</v>
      </c>
      <c r="D489">
        <v>2028450758</v>
      </c>
      <c r="E489" t="s">
        <v>839</v>
      </c>
      <c r="F489" t="s">
        <v>840</v>
      </c>
      <c r="G489" t="s">
        <v>51</v>
      </c>
      <c r="H489" t="s">
        <v>80</v>
      </c>
      <c r="I489" t="s">
        <v>483</v>
      </c>
      <c r="J489" t="s">
        <v>484</v>
      </c>
      <c r="K489">
        <v>812782</v>
      </c>
      <c r="L489" t="s">
        <v>224</v>
      </c>
      <c r="M489" t="s">
        <v>225</v>
      </c>
      <c r="N489" t="s">
        <v>57</v>
      </c>
      <c r="O489" s="1">
        <v>45764</v>
      </c>
      <c r="Q489" s="1">
        <v>46159</v>
      </c>
      <c r="R489" s="2">
        <v>51.01</v>
      </c>
      <c r="S489">
        <v>1</v>
      </c>
      <c r="T489" t="s">
        <v>58</v>
      </c>
      <c r="U489" t="s">
        <v>59</v>
      </c>
      <c r="V489" s="3">
        <v>0.06</v>
      </c>
      <c r="W489" s="2">
        <v>0</v>
      </c>
      <c r="X489">
        <v>0</v>
      </c>
      <c r="Y489" t="s">
        <v>536</v>
      </c>
      <c r="Z489" t="s">
        <v>61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3.06</v>
      </c>
      <c r="AN489" s="2">
        <v>3.06</v>
      </c>
      <c r="AO489" s="2">
        <v>0</v>
      </c>
      <c r="AP489" s="2">
        <v>0</v>
      </c>
      <c r="AQ489" s="2">
        <v>0</v>
      </c>
    </row>
    <row r="490" spans="1:43" x14ac:dyDescent="0.3">
      <c r="A490" s="1">
        <v>46125</v>
      </c>
      <c r="B490" t="s">
        <v>48</v>
      </c>
      <c r="C490">
        <v>649163</v>
      </c>
      <c r="D490">
        <v>2028878699</v>
      </c>
      <c r="E490" t="s">
        <v>331</v>
      </c>
      <c r="F490" t="s">
        <v>332</v>
      </c>
      <c r="G490" t="s">
        <v>51</v>
      </c>
      <c r="H490" t="s">
        <v>52</v>
      </c>
      <c r="I490" t="s">
        <v>483</v>
      </c>
      <c r="J490" t="s">
        <v>484</v>
      </c>
      <c r="K490">
        <v>806645</v>
      </c>
      <c r="L490" t="s">
        <v>262</v>
      </c>
      <c r="M490" t="s">
        <v>263</v>
      </c>
      <c r="N490" t="s">
        <v>57</v>
      </c>
      <c r="O490" s="1">
        <v>45788</v>
      </c>
      <c r="Q490" s="1">
        <v>46153</v>
      </c>
      <c r="R490" s="2">
        <v>37.5</v>
      </c>
      <c r="S490">
        <v>1</v>
      </c>
      <c r="T490" t="s">
        <v>58</v>
      </c>
      <c r="U490" t="s">
        <v>59</v>
      </c>
      <c r="V490" s="4">
        <v>0.375</v>
      </c>
      <c r="W490" s="2">
        <v>0</v>
      </c>
      <c r="X490">
        <v>0</v>
      </c>
      <c r="Y490" t="s">
        <v>60</v>
      </c>
      <c r="Z490" t="s">
        <v>61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14.06</v>
      </c>
      <c r="AN490" s="2">
        <v>14.06</v>
      </c>
      <c r="AO490" s="2">
        <v>0</v>
      </c>
      <c r="AP490" s="2">
        <v>0</v>
      </c>
      <c r="AQ490" s="2">
        <v>0</v>
      </c>
    </row>
    <row r="491" spans="1:43" x14ac:dyDescent="0.3">
      <c r="A491" s="1">
        <v>46125</v>
      </c>
      <c r="B491" t="s">
        <v>48</v>
      </c>
      <c r="C491">
        <v>649163</v>
      </c>
      <c r="D491">
        <v>2028941655</v>
      </c>
      <c r="E491" t="s">
        <v>594</v>
      </c>
      <c r="F491" t="s">
        <v>595</v>
      </c>
      <c r="G491" t="s">
        <v>51</v>
      </c>
      <c r="H491" t="s">
        <v>75</v>
      </c>
      <c r="I491" t="s">
        <v>483</v>
      </c>
      <c r="J491" t="s">
        <v>484</v>
      </c>
      <c r="K491">
        <v>822723</v>
      </c>
      <c r="L491" t="s">
        <v>76</v>
      </c>
      <c r="M491" t="s">
        <v>77</v>
      </c>
      <c r="N491" t="s">
        <v>57</v>
      </c>
      <c r="O491" s="1">
        <v>45792</v>
      </c>
      <c r="Q491" s="1">
        <v>46157</v>
      </c>
      <c r="R491" s="2">
        <v>69.41</v>
      </c>
      <c r="S491">
        <v>1</v>
      </c>
      <c r="T491" t="s">
        <v>58</v>
      </c>
      <c r="U491" t="s">
        <v>59</v>
      </c>
      <c r="V491" s="4">
        <v>0.375</v>
      </c>
      <c r="W491" s="2">
        <v>0</v>
      </c>
      <c r="X491">
        <v>0</v>
      </c>
      <c r="Y491" t="s">
        <v>60</v>
      </c>
      <c r="Z491" t="s">
        <v>61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26.03</v>
      </c>
      <c r="AN491" s="2">
        <v>26.03</v>
      </c>
      <c r="AO491" s="2">
        <v>0</v>
      </c>
      <c r="AP491" s="2">
        <v>0</v>
      </c>
      <c r="AQ491" s="2">
        <v>0</v>
      </c>
    </row>
    <row r="492" spans="1:43" x14ac:dyDescent="0.3">
      <c r="A492" s="1">
        <v>46125</v>
      </c>
      <c r="B492" t="s">
        <v>48</v>
      </c>
      <c r="C492">
        <v>649163</v>
      </c>
      <c r="D492">
        <v>2028942059</v>
      </c>
      <c r="E492" t="s">
        <v>841</v>
      </c>
      <c r="F492" t="s">
        <v>842</v>
      </c>
      <c r="G492" t="s">
        <v>51</v>
      </c>
      <c r="H492" t="s">
        <v>80</v>
      </c>
      <c r="I492" t="s">
        <v>483</v>
      </c>
      <c r="J492" t="s">
        <v>484</v>
      </c>
      <c r="K492">
        <v>807212</v>
      </c>
      <c r="L492" t="s">
        <v>89</v>
      </c>
      <c r="M492" t="s">
        <v>90</v>
      </c>
      <c r="N492" t="s">
        <v>57</v>
      </c>
      <c r="O492" s="1">
        <v>45792</v>
      </c>
      <c r="Q492" s="1">
        <v>46157</v>
      </c>
      <c r="R492" s="2">
        <v>22.52</v>
      </c>
      <c r="S492">
        <v>1</v>
      </c>
      <c r="T492" t="s">
        <v>58</v>
      </c>
      <c r="U492" t="s">
        <v>59</v>
      </c>
      <c r="V492" s="4">
        <v>0.375</v>
      </c>
      <c r="W492" s="2">
        <v>0</v>
      </c>
      <c r="X492">
        <v>0</v>
      </c>
      <c r="Y492" t="s">
        <v>60</v>
      </c>
      <c r="Z492" t="s">
        <v>61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8.44</v>
      </c>
      <c r="AN492" s="2">
        <v>8.44</v>
      </c>
      <c r="AO492" s="2">
        <v>0</v>
      </c>
      <c r="AP492" s="2">
        <v>0</v>
      </c>
      <c r="AQ492" s="2">
        <v>0</v>
      </c>
    </row>
    <row r="493" spans="1:43" x14ac:dyDescent="0.3">
      <c r="A493" s="1">
        <v>46125</v>
      </c>
      <c r="B493" t="s">
        <v>48</v>
      </c>
      <c r="C493">
        <v>649163</v>
      </c>
      <c r="D493">
        <v>2028948018</v>
      </c>
      <c r="E493" t="s">
        <v>843</v>
      </c>
      <c r="F493" t="s">
        <v>163</v>
      </c>
      <c r="G493" t="s">
        <v>51</v>
      </c>
      <c r="H493" t="s">
        <v>80</v>
      </c>
      <c r="I493" t="s">
        <v>483</v>
      </c>
      <c r="J493" t="s">
        <v>484</v>
      </c>
      <c r="K493">
        <v>669316</v>
      </c>
      <c r="L493" t="s">
        <v>655</v>
      </c>
      <c r="M493" t="s">
        <v>656</v>
      </c>
      <c r="N493" t="s">
        <v>57</v>
      </c>
      <c r="O493" s="1">
        <v>45793</v>
      </c>
      <c r="Q493" s="1">
        <v>46158</v>
      </c>
      <c r="R493" s="2">
        <v>182.73</v>
      </c>
      <c r="S493">
        <v>1</v>
      </c>
      <c r="T493" t="s">
        <v>58</v>
      </c>
      <c r="U493" t="s">
        <v>59</v>
      </c>
      <c r="V493" s="4">
        <v>0.375</v>
      </c>
      <c r="W493" s="2">
        <v>0</v>
      </c>
      <c r="X493">
        <v>0</v>
      </c>
      <c r="Y493" t="s">
        <v>60</v>
      </c>
      <c r="Z493" t="s">
        <v>61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68.52</v>
      </c>
      <c r="AN493" s="2">
        <v>68.52</v>
      </c>
      <c r="AO493" s="2">
        <v>0</v>
      </c>
      <c r="AP493" s="2">
        <v>0</v>
      </c>
      <c r="AQ493" s="2">
        <v>0</v>
      </c>
    </row>
    <row r="494" spans="1:43" x14ac:dyDescent="0.3">
      <c r="A494" s="1">
        <v>46125</v>
      </c>
      <c r="B494" t="s">
        <v>48</v>
      </c>
      <c r="C494">
        <v>649163</v>
      </c>
      <c r="D494">
        <v>2028963798</v>
      </c>
      <c r="E494" t="s">
        <v>844</v>
      </c>
      <c r="F494" t="s">
        <v>630</v>
      </c>
      <c r="G494" t="s">
        <v>51</v>
      </c>
      <c r="H494" t="s">
        <v>80</v>
      </c>
      <c r="I494" t="s">
        <v>483</v>
      </c>
      <c r="J494" t="s">
        <v>484</v>
      </c>
      <c r="K494">
        <v>806645</v>
      </c>
      <c r="L494" t="s">
        <v>262</v>
      </c>
      <c r="M494" t="s">
        <v>263</v>
      </c>
      <c r="N494" t="s">
        <v>57</v>
      </c>
      <c r="O494" s="1">
        <v>45793</v>
      </c>
      <c r="Q494" s="1">
        <v>46158</v>
      </c>
      <c r="R494" s="2">
        <v>57.19</v>
      </c>
      <c r="S494">
        <v>1</v>
      </c>
      <c r="T494" t="s">
        <v>58</v>
      </c>
      <c r="U494" t="s">
        <v>59</v>
      </c>
      <c r="V494" s="4">
        <v>0.375</v>
      </c>
      <c r="W494" s="2">
        <v>0</v>
      </c>
      <c r="X494">
        <v>0</v>
      </c>
      <c r="Y494" t="s">
        <v>60</v>
      </c>
      <c r="Z494" t="s">
        <v>61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21.45</v>
      </c>
      <c r="AN494" s="2">
        <v>21.45</v>
      </c>
      <c r="AO494" s="2">
        <v>0</v>
      </c>
      <c r="AP494" s="2">
        <v>0</v>
      </c>
      <c r="AQ494" s="2">
        <v>0</v>
      </c>
    </row>
    <row r="495" spans="1:43" x14ac:dyDescent="0.3">
      <c r="A495" s="1">
        <v>46125</v>
      </c>
      <c r="B495" t="s">
        <v>48</v>
      </c>
      <c r="C495">
        <v>649163</v>
      </c>
      <c r="D495">
        <v>2028977071</v>
      </c>
      <c r="E495" t="s">
        <v>845</v>
      </c>
      <c r="F495" t="s">
        <v>314</v>
      </c>
      <c r="G495" t="s">
        <v>51</v>
      </c>
      <c r="H495" t="s">
        <v>126</v>
      </c>
      <c r="I495" t="s">
        <v>483</v>
      </c>
      <c r="J495" t="s">
        <v>484</v>
      </c>
      <c r="K495">
        <v>822865</v>
      </c>
      <c r="L495" t="s">
        <v>590</v>
      </c>
      <c r="M495" t="s">
        <v>591</v>
      </c>
      <c r="N495" t="s">
        <v>57</v>
      </c>
      <c r="O495" s="1">
        <v>45794</v>
      </c>
      <c r="Q495" s="1">
        <v>46159</v>
      </c>
      <c r="R495" s="2">
        <v>23.34</v>
      </c>
      <c r="S495">
        <v>1</v>
      </c>
      <c r="T495" t="s">
        <v>58</v>
      </c>
      <c r="U495" t="s">
        <v>59</v>
      </c>
      <c r="V495" s="4">
        <v>0.375</v>
      </c>
      <c r="W495" s="2">
        <v>0</v>
      </c>
      <c r="X495">
        <v>0</v>
      </c>
      <c r="Y495" t="s">
        <v>60</v>
      </c>
      <c r="Z495" t="s">
        <v>61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8.75</v>
      </c>
      <c r="AN495" s="2">
        <v>8.75</v>
      </c>
      <c r="AO495" s="2">
        <v>0</v>
      </c>
      <c r="AP495" s="2">
        <v>0</v>
      </c>
      <c r="AQ495" s="2">
        <v>0</v>
      </c>
    </row>
    <row r="496" spans="1:43" x14ac:dyDescent="0.3">
      <c r="A496" s="1">
        <v>46125</v>
      </c>
      <c r="B496" t="s">
        <v>48</v>
      </c>
      <c r="C496">
        <v>649163</v>
      </c>
      <c r="D496">
        <v>2028985824</v>
      </c>
      <c r="E496" t="s">
        <v>676</v>
      </c>
      <c r="F496" t="s">
        <v>846</v>
      </c>
      <c r="G496" t="s">
        <v>51</v>
      </c>
      <c r="H496" t="s">
        <v>126</v>
      </c>
      <c r="I496" t="s">
        <v>483</v>
      </c>
      <c r="J496" t="s">
        <v>484</v>
      </c>
      <c r="K496">
        <v>822865</v>
      </c>
      <c r="L496" t="s">
        <v>590</v>
      </c>
      <c r="M496" t="s">
        <v>591</v>
      </c>
      <c r="N496" t="s">
        <v>57</v>
      </c>
      <c r="O496" s="1">
        <v>45794</v>
      </c>
      <c r="Q496" s="1">
        <v>46159</v>
      </c>
      <c r="R496" s="2">
        <v>72.86</v>
      </c>
      <c r="S496">
        <v>1</v>
      </c>
      <c r="T496" t="s">
        <v>58</v>
      </c>
      <c r="U496" t="s">
        <v>59</v>
      </c>
      <c r="V496" s="4">
        <v>0.375</v>
      </c>
      <c r="W496" s="2">
        <v>0</v>
      </c>
      <c r="X496">
        <v>0</v>
      </c>
      <c r="Y496" t="s">
        <v>60</v>
      </c>
      <c r="Z496" t="s">
        <v>61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27.32</v>
      </c>
      <c r="AN496" s="2">
        <v>27.32</v>
      </c>
      <c r="AO496" s="2">
        <v>0</v>
      </c>
      <c r="AP496" s="2">
        <v>0</v>
      </c>
      <c r="AQ496" s="2">
        <v>0</v>
      </c>
    </row>
    <row r="497" spans="1:43" x14ac:dyDescent="0.3">
      <c r="A497" s="1">
        <v>46125</v>
      </c>
      <c r="B497" t="s">
        <v>48</v>
      </c>
      <c r="C497">
        <v>649163</v>
      </c>
      <c r="D497">
        <v>2029378056</v>
      </c>
      <c r="E497" t="s">
        <v>449</v>
      </c>
      <c r="F497" t="s">
        <v>847</v>
      </c>
      <c r="G497" t="s">
        <v>51</v>
      </c>
      <c r="H497" t="s">
        <v>70</v>
      </c>
      <c r="I497" t="s">
        <v>483</v>
      </c>
      <c r="J497" t="s">
        <v>484</v>
      </c>
      <c r="K497">
        <v>823350</v>
      </c>
      <c r="L497" t="s">
        <v>120</v>
      </c>
      <c r="M497" t="s">
        <v>121</v>
      </c>
      <c r="N497" t="s">
        <v>57</v>
      </c>
      <c r="O497" s="1">
        <v>45820</v>
      </c>
      <c r="Q497" s="1">
        <v>46154</v>
      </c>
      <c r="R497" s="2">
        <v>117.83</v>
      </c>
      <c r="S497">
        <v>1</v>
      </c>
      <c r="T497" t="s">
        <v>58</v>
      </c>
      <c r="U497" t="s">
        <v>59</v>
      </c>
      <c r="V497" s="4">
        <v>0.375</v>
      </c>
      <c r="W497" s="2">
        <v>0</v>
      </c>
      <c r="X497">
        <v>0</v>
      </c>
      <c r="Y497" t="s">
        <v>60</v>
      </c>
      <c r="Z497" t="s">
        <v>61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44.19</v>
      </c>
      <c r="AN497" s="2">
        <v>44.19</v>
      </c>
      <c r="AO497" s="2">
        <v>0</v>
      </c>
      <c r="AP497" s="2">
        <v>0</v>
      </c>
      <c r="AQ497" s="2">
        <v>0</v>
      </c>
    </row>
    <row r="498" spans="1:43" x14ac:dyDescent="0.3">
      <c r="A498" s="1">
        <v>46125</v>
      </c>
      <c r="B498" t="s">
        <v>48</v>
      </c>
      <c r="C498">
        <v>649163</v>
      </c>
      <c r="D498">
        <v>2029405218</v>
      </c>
      <c r="E498" t="s">
        <v>848</v>
      </c>
      <c r="F498" t="s">
        <v>849</v>
      </c>
      <c r="G498" t="s">
        <v>51</v>
      </c>
      <c r="H498" t="s">
        <v>298</v>
      </c>
      <c r="I498" t="s">
        <v>483</v>
      </c>
      <c r="J498" t="s">
        <v>484</v>
      </c>
      <c r="K498">
        <v>812656</v>
      </c>
      <c r="L498" t="s">
        <v>171</v>
      </c>
      <c r="M498" t="s">
        <v>172</v>
      </c>
      <c r="N498" t="s">
        <v>57</v>
      </c>
      <c r="O498" s="1">
        <v>45820</v>
      </c>
      <c r="Q498" s="1">
        <v>46154</v>
      </c>
      <c r="R498" s="2">
        <v>38.4</v>
      </c>
      <c r="S498">
        <v>1</v>
      </c>
      <c r="T498" t="s">
        <v>58</v>
      </c>
      <c r="U498" t="s">
        <v>59</v>
      </c>
      <c r="V498" s="4">
        <v>0.375</v>
      </c>
      <c r="W498" s="2">
        <v>0</v>
      </c>
      <c r="X498">
        <v>0</v>
      </c>
      <c r="Y498" t="s">
        <v>60</v>
      </c>
      <c r="Z498" t="s">
        <v>61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14.4</v>
      </c>
      <c r="AN498" s="2">
        <v>14.4</v>
      </c>
      <c r="AO498" s="2">
        <v>0</v>
      </c>
      <c r="AP498" s="2">
        <v>0</v>
      </c>
      <c r="AQ498" s="2">
        <v>0</v>
      </c>
    </row>
    <row r="499" spans="1:43" x14ac:dyDescent="0.3">
      <c r="A499" s="1">
        <v>46125</v>
      </c>
      <c r="B499" t="s">
        <v>48</v>
      </c>
      <c r="C499">
        <v>649163</v>
      </c>
      <c r="D499">
        <v>2029481265</v>
      </c>
      <c r="E499" t="s">
        <v>850</v>
      </c>
      <c r="F499" t="s">
        <v>851</v>
      </c>
      <c r="G499" t="s">
        <v>51</v>
      </c>
      <c r="H499" t="s">
        <v>64</v>
      </c>
      <c r="I499" t="s">
        <v>483</v>
      </c>
      <c r="J499" t="s">
        <v>484</v>
      </c>
      <c r="K499">
        <v>877790</v>
      </c>
      <c r="L499" t="s">
        <v>66</v>
      </c>
      <c r="M499" t="s">
        <v>67</v>
      </c>
      <c r="N499" t="s">
        <v>57</v>
      </c>
      <c r="O499" s="1">
        <v>45825</v>
      </c>
      <c r="Q499" s="1">
        <v>46159</v>
      </c>
      <c r="R499" s="2">
        <v>58.15</v>
      </c>
      <c r="S499">
        <v>1</v>
      </c>
      <c r="T499" t="s">
        <v>58</v>
      </c>
      <c r="U499" t="s">
        <v>59</v>
      </c>
      <c r="V499" s="4">
        <v>0.375</v>
      </c>
      <c r="W499" s="2">
        <v>0</v>
      </c>
      <c r="X499">
        <v>0</v>
      </c>
      <c r="Y499" t="s">
        <v>60</v>
      </c>
      <c r="Z499" t="s">
        <v>61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21.81</v>
      </c>
      <c r="AN499" s="2">
        <v>21.81</v>
      </c>
      <c r="AO499" s="2">
        <v>0</v>
      </c>
      <c r="AP499" s="2">
        <v>0</v>
      </c>
      <c r="AQ499" s="2">
        <v>0</v>
      </c>
    </row>
    <row r="500" spans="1:43" x14ac:dyDescent="0.3">
      <c r="A500" s="1">
        <v>46125</v>
      </c>
      <c r="B500" t="s">
        <v>48</v>
      </c>
      <c r="C500">
        <v>649163</v>
      </c>
      <c r="D500">
        <v>2029657456</v>
      </c>
      <c r="E500" t="s">
        <v>149</v>
      </c>
      <c r="F500" t="s">
        <v>602</v>
      </c>
      <c r="G500" t="s">
        <v>51</v>
      </c>
      <c r="H500" t="s">
        <v>52</v>
      </c>
      <c r="I500" t="s">
        <v>483</v>
      </c>
      <c r="J500" t="s">
        <v>484</v>
      </c>
      <c r="K500">
        <v>673059</v>
      </c>
      <c r="L500" t="s">
        <v>115</v>
      </c>
      <c r="M500" t="s">
        <v>116</v>
      </c>
      <c r="N500" t="s">
        <v>86</v>
      </c>
      <c r="O500" s="1">
        <v>45870</v>
      </c>
      <c r="P500" s="1">
        <v>46125</v>
      </c>
      <c r="Q500" s="1">
        <v>46143</v>
      </c>
      <c r="R500" s="2">
        <v>-28.9</v>
      </c>
      <c r="S500">
        <v>1</v>
      </c>
      <c r="T500" t="s">
        <v>58</v>
      </c>
      <c r="U500" t="s">
        <v>59</v>
      </c>
      <c r="V500" s="4">
        <v>0.375</v>
      </c>
      <c r="W500" s="2">
        <v>0</v>
      </c>
      <c r="X500">
        <v>-1</v>
      </c>
      <c r="Y500" t="s">
        <v>60</v>
      </c>
      <c r="Z500" t="s">
        <v>61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-10.84</v>
      </c>
      <c r="AN500" s="2">
        <v>-10.84</v>
      </c>
      <c r="AO500" s="2">
        <v>0</v>
      </c>
      <c r="AP500" s="2">
        <v>0</v>
      </c>
      <c r="AQ500" s="2">
        <v>0</v>
      </c>
    </row>
    <row r="501" spans="1:43" x14ac:dyDescent="0.3">
      <c r="A501" s="1">
        <v>46125</v>
      </c>
      <c r="B501" t="s">
        <v>48</v>
      </c>
      <c r="C501">
        <v>649163</v>
      </c>
      <c r="D501">
        <v>2029904975</v>
      </c>
      <c r="E501" t="s">
        <v>49</v>
      </c>
      <c r="F501" t="s">
        <v>50</v>
      </c>
      <c r="G501" t="s">
        <v>51</v>
      </c>
      <c r="H501" t="s">
        <v>52</v>
      </c>
      <c r="I501" t="s">
        <v>483</v>
      </c>
      <c r="J501" t="s">
        <v>484</v>
      </c>
      <c r="K501">
        <v>651818</v>
      </c>
      <c r="L501" t="s">
        <v>55</v>
      </c>
      <c r="M501" t="s">
        <v>56</v>
      </c>
      <c r="N501" t="s">
        <v>57</v>
      </c>
      <c r="O501" s="1">
        <v>45850</v>
      </c>
      <c r="Q501" s="1">
        <v>46154</v>
      </c>
      <c r="R501" s="2">
        <v>102.62</v>
      </c>
      <c r="S501">
        <v>1</v>
      </c>
      <c r="T501" t="s">
        <v>58</v>
      </c>
      <c r="U501" t="s">
        <v>59</v>
      </c>
      <c r="V501" s="4">
        <v>0.375</v>
      </c>
      <c r="W501" s="2">
        <v>0</v>
      </c>
      <c r="X501">
        <v>0</v>
      </c>
      <c r="Y501" t="s">
        <v>60</v>
      </c>
      <c r="Z501" t="s">
        <v>61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38.479999999999997</v>
      </c>
      <c r="AN501" s="2">
        <v>38.479999999999997</v>
      </c>
      <c r="AO501" s="2">
        <v>0</v>
      </c>
      <c r="AP501" s="2">
        <v>0</v>
      </c>
      <c r="AQ501" s="2">
        <v>0</v>
      </c>
    </row>
    <row r="502" spans="1:43" x14ac:dyDescent="0.3">
      <c r="A502" s="1">
        <v>46125</v>
      </c>
      <c r="B502" t="s">
        <v>48</v>
      </c>
      <c r="C502">
        <v>649163</v>
      </c>
      <c r="D502">
        <v>2029910892</v>
      </c>
      <c r="E502" t="s">
        <v>68</v>
      </c>
      <c r="F502" t="s">
        <v>69</v>
      </c>
      <c r="G502" t="s">
        <v>51</v>
      </c>
      <c r="H502" t="s">
        <v>70</v>
      </c>
      <c r="I502" t="s">
        <v>483</v>
      </c>
      <c r="J502" t="s">
        <v>484</v>
      </c>
      <c r="K502">
        <v>856824</v>
      </c>
      <c r="L502" t="s">
        <v>71</v>
      </c>
      <c r="M502" t="s">
        <v>72</v>
      </c>
      <c r="N502" t="s">
        <v>57</v>
      </c>
      <c r="O502" s="1">
        <v>45850</v>
      </c>
      <c r="Q502" s="1">
        <v>46154</v>
      </c>
      <c r="R502" s="2">
        <v>28.38</v>
      </c>
      <c r="S502">
        <v>1</v>
      </c>
      <c r="T502" t="s">
        <v>58</v>
      </c>
      <c r="U502" t="s">
        <v>59</v>
      </c>
      <c r="V502" s="4">
        <v>0.375</v>
      </c>
      <c r="W502" s="2">
        <v>0</v>
      </c>
      <c r="X502">
        <v>0</v>
      </c>
      <c r="Y502" t="s">
        <v>60</v>
      </c>
      <c r="Z502" t="s">
        <v>61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10.64</v>
      </c>
      <c r="AN502" s="2">
        <v>10.64</v>
      </c>
      <c r="AO502" s="2">
        <v>0</v>
      </c>
      <c r="AP502" s="2">
        <v>0</v>
      </c>
      <c r="AQ502" s="2">
        <v>0</v>
      </c>
    </row>
    <row r="503" spans="1:43" x14ac:dyDescent="0.3">
      <c r="A503" s="1">
        <v>46125</v>
      </c>
      <c r="B503" t="s">
        <v>48</v>
      </c>
      <c r="C503">
        <v>649163</v>
      </c>
      <c r="D503">
        <v>2029951923</v>
      </c>
      <c r="E503" t="s">
        <v>78</v>
      </c>
      <c r="F503" t="s">
        <v>79</v>
      </c>
      <c r="G503" t="s">
        <v>51</v>
      </c>
      <c r="H503" t="s">
        <v>80</v>
      </c>
      <c r="I503" t="s">
        <v>483</v>
      </c>
      <c r="J503" t="s">
        <v>484</v>
      </c>
      <c r="K503">
        <v>824076</v>
      </c>
      <c r="L503" t="s">
        <v>81</v>
      </c>
      <c r="M503" t="s">
        <v>82</v>
      </c>
      <c r="N503" t="s">
        <v>57</v>
      </c>
      <c r="O503" s="1">
        <v>45853</v>
      </c>
      <c r="Q503" s="1">
        <v>46157</v>
      </c>
      <c r="R503" s="2">
        <v>77.48</v>
      </c>
      <c r="S503">
        <v>1</v>
      </c>
      <c r="T503" t="s">
        <v>58</v>
      </c>
      <c r="U503" t="s">
        <v>59</v>
      </c>
      <c r="V503" s="4">
        <v>0.375</v>
      </c>
      <c r="W503" s="2">
        <v>0</v>
      </c>
      <c r="X503">
        <v>0</v>
      </c>
      <c r="Y503" t="s">
        <v>60</v>
      </c>
      <c r="Z503" t="s">
        <v>61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29.06</v>
      </c>
      <c r="AN503" s="2">
        <v>29.06</v>
      </c>
      <c r="AO503" s="2">
        <v>0</v>
      </c>
      <c r="AP503" s="2">
        <v>0</v>
      </c>
      <c r="AQ503" s="2">
        <v>0</v>
      </c>
    </row>
    <row r="504" spans="1:43" x14ac:dyDescent="0.3">
      <c r="A504" s="1">
        <v>46125</v>
      </c>
      <c r="B504" t="s">
        <v>48</v>
      </c>
      <c r="C504">
        <v>649163</v>
      </c>
      <c r="D504">
        <v>2029957805</v>
      </c>
      <c r="E504" t="s">
        <v>63</v>
      </c>
      <c r="F504" t="s">
        <v>62</v>
      </c>
      <c r="G504" t="s">
        <v>51</v>
      </c>
      <c r="H504" t="s">
        <v>64</v>
      </c>
      <c r="I504" t="s">
        <v>483</v>
      </c>
      <c r="J504" t="s">
        <v>484</v>
      </c>
      <c r="K504">
        <v>877790</v>
      </c>
      <c r="L504" t="s">
        <v>66</v>
      </c>
      <c r="M504" t="s">
        <v>67</v>
      </c>
      <c r="N504" t="s">
        <v>57</v>
      </c>
      <c r="O504" s="1">
        <v>45854</v>
      </c>
      <c r="Q504" s="1">
        <v>46158</v>
      </c>
      <c r="R504" s="2">
        <v>58.15</v>
      </c>
      <c r="S504">
        <v>1</v>
      </c>
      <c r="T504" t="s">
        <v>58</v>
      </c>
      <c r="U504" t="s">
        <v>59</v>
      </c>
      <c r="V504" s="4">
        <v>0.375</v>
      </c>
      <c r="W504" s="2">
        <v>0</v>
      </c>
      <c r="X504">
        <v>0</v>
      </c>
      <c r="Y504" t="s">
        <v>60</v>
      </c>
      <c r="Z504" t="s">
        <v>61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21.81</v>
      </c>
      <c r="AN504" s="2">
        <v>21.81</v>
      </c>
      <c r="AO504" s="2">
        <v>0</v>
      </c>
      <c r="AP504" s="2">
        <v>0</v>
      </c>
      <c r="AQ504" s="2">
        <v>0</v>
      </c>
    </row>
    <row r="505" spans="1:43" x14ac:dyDescent="0.3">
      <c r="A505" s="1">
        <v>46125</v>
      </c>
      <c r="B505" t="s">
        <v>48</v>
      </c>
      <c r="C505">
        <v>649163</v>
      </c>
      <c r="D505">
        <v>2029969606</v>
      </c>
      <c r="E505" t="s">
        <v>101</v>
      </c>
      <c r="F505" t="s">
        <v>102</v>
      </c>
      <c r="G505" t="s">
        <v>51</v>
      </c>
      <c r="H505" t="s">
        <v>103</v>
      </c>
      <c r="I505" t="s">
        <v>483</v>
      </c>
      <c r="J505" t="s">
        <v>484</v>
      </c>
      <c r="K505">
        <v>816021</v>
      </c>
      <c r="L505" t="s">
        <v>104</v>
      </c>
      <c r="M505" t="s">
        <v>105</v>
      </c>
      <c r="N505" t="s">
        <v>57</v>
      </c>
      <c r="O505" s="1">
        <v>45854</v>
      </c>
      <c r="Q505" s="1">
        <v>46158</v>
      </c>
      <c r="R505" s="2">
        <v>63.62</v>
      </c>
      <c r="S505">
        <v>1</v>
      </c>
      <c r="T505" t="s">
        <v>58</v>
      </c>
      <c r="U505" t="s">
        <v>59</v>
      </c>
      <c r="V505" s="4">
        <v>0.375</v>
      </c>
      <c r="W505" s="2">
        <v>0</v>
      </c>
      <c r="X505">
        <v>0</v>
      </c>
      <c r="Y505" t="s">
        <v>60</v>
      </c>
      <c r="Z505" t="s">
        <v>61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23.86</v>
      </c>
      <c r="AN505" s="2">
        <v>23.86</v>
      </c>
      <c r="AO505" s="2">
        <v>0</v>
      </c>
      <c r="AP505" s="2">
        <v>0</v>
      </c>
      <c r="AQ505" s="2">
        <v>0</v>
      </c>
    </row>
    <row r="506" spans="1:43" x14ac:dyDescent="0.3">
      <c r="A506" s="1">
        <v>46125</v>
      </c>
      <c r="B506" t="s">
        <v>48</v>
      </c>
      <c r="C506">
        <v>649163</v>
      </c>
      <c r="D506">
        <v>2029971480</v>
      </c>
      <c r="E506" t="s">
        <v>106</v>
      </c>
      <c r="F506" t="s">
        <v>107</v>
      </c>
      <c r="G506" t="s">
        <v>51</v>
      </c>
      <c r="H506" t="s">
        <v>75</v>
      </c>
      <c r="I506" t="s">
        <v>483</v>
      </c>
      <c r="J506" t="s">
        <v>484</v>
      </c>
      <c r="K506">
        <v>822723</v>
      </c>
      <c r="L506" t="s">
        <v>76</v>
      </c>
      <c r="M506" t="s">
        <v>77</v>
      </c>
      <c r="N506" t="s">
        <v>57</v>
      </c>
      <c r="O506" s="1">
        <v>45854</v>
      </c>
      <c r="Q506" s="1">
        <v>46158</v>
      </c>
      <c r="R506" s="2">
        <v>188.04</v>
      </c>
      <c r="S506">
        <v>1</v>
      </c>
      <c r="T506" t="s">
        <v>58</v>
      </c>
      <c r="U506" t="s">
        <v>59</v>
      </c>
      <c r="V506" s="4">
        <v>0.375</v>
      </c>
      <c r="W506" s="2">
        <v>0</v>
      </c>
      <c r="X506">
        <v>0</v>
      </c>
      <c r="Y506" t="s">
        <v>60</v>
      </c>
      <c r="Z506" t="s">
        <v>61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70.52</v>
      </c>
      <c r="AN506" s="2">
        <v>70.52</v>
      </c>
      <c r="AO506" s="2">
        <v>0</v>
      </c>
      <c r="AP506" s="2">
        <v>0</v>
      </c>
      <c r="AQ506" s="2">
        <v>0</v>
      </c>
    </row>
    <row r="507" spans="1:43" x14ac:dyDescent="0.3">
      <c r="A507" s="1">
        <v>46125</v>
      </c>
      <c r="B507" t="s">
        <v>48</v>
      </c>
      <c r="C507">
        <v>649163</v>
      </c>
      <c r="D507">
        <v>2029981427</v>
      </c>
      <c r="E507" t="s">
        <v>118</v>
      </c>
      <c r="F507" t="s">
        <v>119</v>
      </c>
      <c r="G507" t="s">
        <v>51</v>
      </c>
      <c r="H507" t="s">
        <v>80</v>
      </c>
      <c r="I507" t="s">
        <v>483</v>
      </c>
      <c r="J507" t="s">
        <v>484</v>
      </c>
      <c r="K507">
        <v>823350</v>
      </c>
      <c r="L507" t="s">
        <v>120</v>
      </c>
      <c r="M507" t="s">
        <v>121</v>
      </c>
      <c r="N507" t="s">
        <v>86</v>
      </c>
      <c r="O507" s="1">
        <v>45870</v>
      </c>
      <c r="P507" s="1">
        <v>46118</v>
      </c>
      <c r="Q507" s="1">
        <v>46143</v>
      </c>
      <c r="R507" s="2">
        <v>-74.900000000000006</v>
      </c>
      <c r="S507">
        <v>1</v>
      </c>
      <c r="T507" t="s">
        <v>58</v>
      </c>
      <c r="U507" t="s">
        <v>59</v>
      </c>
      <c r="V507" s="4">
        <v>0.375</v>
      </c>
      <c r="W507" s="2">
        <v>0</v>
      </c>
      <c r="X507">
        <v>-1</v>
      </c>
      <c r="Y507" t="s">
        <v>60</v>
      </c>
      <c r="Z507" t="s">
        <v>61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-28.09</v>
      </c>
      <c r="AN507" s="2">
        <v>-28.09</v>
      </c>
      <c r="AO507" s="2">
        <v>0</v>
      </c>
      <c r="AP507" s="2">
        <v>0</v>
      </c>
      <c r="AQ507" s="2">
        <v>0</v>
      </c>
    </row>
    <row r="508" spans="1:43" x14ac:dyDescent="0.3">
      <c r="A508" s="1">
        <v>46125</v>
      </c>
      <c r="B508" t="s">
        <v>48</v>
      </c>
      <c r="C508">
        <v>649163</v>
      </c>
      <c r="D508">
        <v>2029985851</v>
      </c>
      <c r="E508" t="s">
        <v>122</v>
      </c>
      <c r="F508" t="s">
        <v>123</v>
      </c>
      <c r="G508" t="s">
        <v>51</v>
      </c>
      <c r="H508" t="s">
        <v>80</v>
      </c>
      <c r="I508" t="s">
        <v>483</v>
      </c>
      <c r="J508" t="s">
        <v>484</v>
      </c>
      <c r="K508">
        <v>823350</v>
      </c>
      <c r="L508" t="s">
        <v>120</v>
      </c>
      <c r="M508" t="s">
        <v>121</v>
      </c>
      <c r="N508" t="s">
        <v>57</v>
      </c>
      <c r="O508" s="1">
        <v>45855</v>
      </c>
      <c r="Q508" s="1">
        <v>46159</v>
      </c>
      <c r="R508" s="2">
        <v>149.87</v>
      </c>
      <c r="S508">
        <v>1</v>
      </c>
      <c r="T508" t="s">
        <v>58</v>
      </c>
      <c r="U508" t="s">
        <v>59</v>
      </c>
      <c r="V508" s="4">
        <v>0.375</v>
      </c>
      <c r="W508" s="2">
        <v>0</v>
      </c>
      <c r="X508">
        <v>0</v>
      </c>
      <c r="Y508" t="s">
        <v>60</v>
      </c>
      <c r="Z508" t="s">
        <v>61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56.2</v>
      </c>
      <c r="AN508" s="2">
        <v>56.2</v>
      </c>
      <c r="AO508" s="2">
        <v>0</v>
      </c>
      <c r="AP508" s="2">
        <v>0</v>
      </c>
      <c r="AQ508" s="2">
        <v>0</v>
      </c>
    </row>
    <row r="509" spans="1:43" x14ac:dyDescent="0.3">
      <c r="A509" s="1">
        <v>46125</v>
      </c>
      <c r="B509" t="s">
        <v>48</v>
      </c>
      <c r="C509">
        <v>649163</v>
      </c>
      <c r="D509">
        <v>2030113889</v>
      </c>
      <c r="E509" t="s">
        <v>132</v>
      </c>
      <c r="F509" t="s">
        <v>133</v>
      </c>
      <c r="G509" t="s">
        <v>51</v>
      </c>
      <c r="H509" t="s">
        <v>64</v>
      </c>
      <c r="I509" t="s">
        <v>483</v>
      </c>
      <c r="J509" t="s">
        <v>484</v>
      </c>
      <c r="K509">
        <v>767312</v>
      </c>
      <c r="L509" t="s">
        <v>134</v>
      </c>
      <c r="M509" t="s">
        <v>98</v>
      </c>
      <c r="N509" t="s">
        <v>57</v>
      </c>
      <c r="O509" s="1">
        <v>45862</v>
      </c>
      <c r="Q509" s="1">
        <v>46136</v>
      </c>
      <c r="R509" s="2">
        <v>62.71</v>
      </c>
      <c r="S509">
        <v>1</v>
      </c>
      <c r="T509" t="s">
        <v>58</v>
      </c>
      <c r="U509" t="s">
        <v>59</v>
      </c>
      <c r="V509" s="4">
        <v>0.375</v>
      </c>
      <c r="W509" s="2">
        <v>0</v>
      </c>
      <c r="X509">
        <v>0</v>
      </c>
      <c r="Y509" t="s">
        <v>60</v>
      </c>
      <c r="Z509" t="s">
        <v>61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23.52</v>
      </c>
      <c r="AN509" s="2">
        <v>23.52</v>
      </c>
      <c r="AO509" s="2">
        <v>0</v>
      </c>
      <c r="AP509" s="2">
        <v>0</v>
      </c>
      <c r="AQ509" s="2">
        <v>0</v>
      </c>
    </row>
    <row r="510" spans="1:43" x14ac:dyDescent="0.3">
      <c r="A510" s="1">
        <v>46125</v>
      </c>
      <c r="B510" t="s">
        <v>48</v>
      </c>
      <c r="C510">
        <v>649163</v>
      </c>
      <c r="D510">
        <v>2030447484</v>
      </c>
      <c r="E510" t="s">
        <v>144</v>
      </c>
      <c r="F510" t="s">
        <v>145</v>
      </c>
      <c r="G510" t="s">
        <v>51</v>
      </c>
      <c r="H510" t="s">
        <v>52</v>
      </c>
      <c r="I510" t="s">
        <v>483</v>
      </c>
      <c r="J510" t="s">
        <v>484</v>
      </c>
      <c r="K510">
        <v>753748</v>
      </c>
      <c r="L510" t="s">
        <v>146</v>
      </c>
      <c r="M510" t="s">
        <v>147</v>
      </c>
      <c r="N510" t="s">
        <v>57</v>
      </c>
      <c r="O510" s="1">
        <v>45882</v>
      </c>
      <c r="Q510" s="1">
        <v>46155</v>
      </c>
      <c r="R510" s="2">
        <v>73.17</v>
      </c>
      <c r="S510">
        <v>1</v>
      </c>
      <c r="T510" t="s">
        <v>58</v>
      </c>
      <c r="U510" t="s">
        <v>59</v>
      </c>
      <c r="V510" s="4">
        <v>0.375</v>
      </c>
      <c r="W510" s="2">
        <v>0</v>
      </c>
      <c r="X510">
        <v>0</v>
      </c>
      <c r="Y510" t="s">
        <v>60</v>
      </c>
      <c r="Z510" t="s">
        <v>61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27.44</v>
      </c>
      <c r="AN510" s="2">
        <v>27.44</v>
      </c>
      <c r="AO510" s="2">
        <v>0</v>
      </c>
      <c r="AP510" s="2">
        <v>0</v>
      </c>
      <c r="AQ510" s="2">
        <v>0</v>
      </c>
    </row>
    <row r="511" spans="1:43" x14ac:dyDescent="0.3">
      <c r="A511" s="1">
        <v>46125</v>
      </c>
      <c r="B511" t="s">
        <v>48</v>
      </c>
      <c r="C511">
        <v>649163</v>
      </c>
      <c r="D511">
        <v>2030452963</v>
      </c>
      <c r="E511" t="s">
        <v>148</v>
      </c>
      <c r="F511" t="s">
        <v>149</v>
      </c>
      <c r="G511" t="s">
        <v>51</v>
      </c>
      <c r="H511" t="s">
        <v>103</v>
      </c>
      <c r="I511" t="s">
        <v>483</v>
      </c>
      <c r="J511" t="s">
        <v>484</v>
      </c>
      <c r="K511">
        <v>824082</v>
      </c>
      <c r="L511" t="s">
        <v>150</v>
      </c>
      <c r="M511" t="s">
        <v>151</v>
      </c>
      <c r="N511" t="s">
        <v>57</v>
      </c>
      <c r="O511" s="1">
        <v>45882</v>
      </c>
      <c r="Q511" s="1">
        <v>46155</v>
      </c>
      <c r="R511" s="2">
        <v>205.33</v>
      </c>
      <c r="S511">
        <v>1</v>
      </c>
      <c r="T511" t="s">
        <v>58</v>
      </c>
      <c r="U511" t="s">
        <v>59</v>
      </c>
      <c r="V511" s="4">
        <v>0.375</v>
      </c>
      <c r="W511" s="2">
        <v>0</v>
      </c>
      <c r="X511">
        <v>0</v>
      </c>
      <c r="Y511" t="s">
        <v>60</v>
      </c>
      <c r="Z511" t="s">
        <v>61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77</v>
      </c>
      <c r="AN511" s="2">
        <v>77</v>
      </c>
      <c r="AO511" s="2">
        <v>0</v>
      </c>
      <c r="AP511" s="2">
        <v>0</v>
      </c>
      <c r="AQ511" s="2">
        <v>0</v>
      </c>
    </row>
    <row r="512" spans="1:43" x14ac:dyDescent="0.3">
      <c r="A512" s="1">
        <v>46125</v>
      </c>
      <c r="B512" t="s">
        <v>48</v>
      </c>
      <c r="C512">
        <v>649163</v>
      </c>
      <c r="D512">
        <v>2030455580</v>
      </c>
      <c r="E512" t="s">
        <v>152</v>
      </c>
      <c r="F512" t="s">
        <v>153</v>
      </c>
      <c r="G512" t="s">
        <v>51</v>
      </c>
      <c r="H512" t="s">
        <v>103</v>
      </c>
      <c r="I512" t="s">
        <v>483</v>
      </c>
      <c r="J512" t="s">
        <v>484</v>
      </c>
      <c r="K512">
        <v>816021</v>
      </c>
      <c r="L512" t="s">
        <v>104</v>
      </c>
      <c r="M512" t="s">
        <v>105</v>
      </c>
      <c r="N512" t="s">
        <v>57</v>
      </c>
      <c r="O512" s="1">
        <v>45882</v>
      </c>
      <c r="Q512" s="1">
        <v>46155</v>
      </c>
      <c r="R512" s="2">
        <v>110.89</v>
      </c>
      <c r="S512">
        <v>1</v>
      </c>
      <c r="T512" t="s">
        <v>58</v>
      </c>
      <c r="U512" t="s">
        <v>59</v>
      </c>
      <c r="V512" s="4">
        <v>0.375</v>
      </c>
      <c r="W512" s="2">
        <v>0</v>
      </c>
      <c r="X512">
        <v>0</v>
      </c>
      <c r="Y512" t="s">
        <v>60</v>
      </c>
      <c r="Z512" t="s">
        <v>61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41.58</v>
      </c>
      <c r="AN512" s="2">
        <v>41.58</v>
      </c>
      <c r="AO512" s="2">
        <v>0</v>
      </c>
      <c r="AP512" s="2">
        <v>0</v>
      </c>
      <c r="AQ512" s="2">
        <v>0</v>
      </c>
    </row>
    <row r="513" spans="1:43" x14ac:dyDescent="0.3">
      <c r="A513" s="1">
        <v>46125</v>
      </c>
      <c r="B513" t="s">
        <v>48</v>
      </c>
      <c r="C513">
        <v>649163</v>
      </c>
      <c r="D513">
        <v>2030982990</v>
      </c>
      <c r="E513" t="s">
        <v>178</v>
      </c>
      <c r="F513" t="s">
        <v>179</v>
      </c>
      <c r="G513" t="s">
        <v>51</v>
      </c>
      <c r="H513" t="s">
        <v>52</v>
      </c>
      <c r="I513" t="s">
        <v>483</v>
      </c>
      <c r="J513" t="s">
        <v>484</v>
      </c>
      <c r="K513">
        <v>823350</v>
      </c>
      <c r="L513" t="s">
        <v>120</v>
      </c>
      <c r="M513" t="s">
        <v>121</v>
      </c>
      <c r="N513" t="s">
        <v>57</v>
      </c>
      <c r="O513" s="1">
        <v>45915</v>
      </c>
      <c r="Q513" s="1">
        <v>46157</v>
      </c>
      <c r="R513" s="2">
        <v>243.49</v>
      </c>
      <c r="S513">
        <v>1</v>
      </c>
      <c r="T513" t="s">
        <v>58</v>
      </c>
      <c r="U513" t="s">
        <v>173</v>
      </c>
      <c r="V513" s="4">
        <v>0.375</v>
      </c>
      <c r="W513" s="2">
        <v>0</v>
      </c>
      <c r="X513">
        <v>0</v>
      </c>
      <c r="Y513" t="s">
        <v>60</v>
      </c>
      <c r="Z513" t="s">
        <v>61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91.31</v>
      </c>
      <c r="AN513" s="2">
        <v>91.31</v>
      </c>
      <c r="AO513" s="2">
        <v>0</v>
      </c>
      <c r="AP513" s="2">
        <v>0</v>
      </c>
      <c r="AQ513" s="2">
        <v>0</v>
      </c>
    </row>
    <row r="514" spans="1:43" x14ac:dyDescent="0.3">
      <c r="A514" s="1">
        <v>46125</v>
      </c>
      <c r="B514" t="s">
        <v>48</v>
      </c>
      <c r="C514">
        <v>649163</v>
      </c>
      <c r="D514">
        <v>2030999705</v>
      </c>
      <c r="E514" t="s">
        <v>852</v>
      </c>
      <c r="F514" t="s">
        <v>853</v>
      </c>
      <c r="G514" t="s">
        <v>51</v>
      </c>
      <c r="H514" t="s">
        <v>141</v>
      </c>
      <c r="I514" t="s">
        <v>483</v>
      </c>
      <c r="J514" t="s">
        <v>484</v>
      </c>
      <c r="K514">
        <v>651818</v>
      </c>
      <c r="L514" t="s">
        <v>55</v>
      </c>
      <c r="M514" t="s">
        <v>56</v>
      </c>
      <c r="N514" t="s">
        <v>57</v>
      </c>
      <c r="O514" s="1">
        <v>45913</v>
      </c>
      <c r="Q514" s="1">
        <v>46155</v>
      </c>
      <c r="R514" s="2">
        <v>46.27</v>
      </c>
      <c r="S514">
        <v>1</v>
      </c>
      <c r="T514" t="s">
        <v>58</v>
      </c>
      <c r="U514" t="s">
        <v>173</v>
      </c>
      <c r="V514" s="4">
        <v>0.375</v>
      </c>
      <c r="W514" s="2">
        <v>0</v>
      </c>
      <c r="X514">
        <v>0</v>
      </c>
      <c r="Y514" t="s">
        <v>60</v>
      </c>
      <c r="Z514" t="s">
        <v>61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17.350000000000001</v>
      </c>
      <c r="AN514" s="2">
        <v>17.350000000000001</v>
      </c>
      <c r="AO514" s="2">
        <v>0</v>
      </c>
      <c r="AP514" s="2">
        <v>0</v>
      </c>
      <c r="AQ514" s="2">
        <v>0</v>
      </c>
    </row>
    <row r="515" spans="1:43" x14ac:dyDescent="0.3">
      <c r="A515" s="1">
        <v>46125</v>
      </c>
      <c r="B515" t="s">
        <v>48</v>
      </c>
      <c r="C515">
        <v>649163</v>
      </c>
      <c r="D515">
        <v>2031017067</v>
      </c>
      <c r="E515" t="s">
        <v>180</v>
      </c>
      <c r="F515" t="s">
        <v>175</v>
      </c>
      <c r="G515" t="s">
        <v>51</v>
      </c>
      <c r="H515" t="s">
        <v>64</v>
      </c>
      <c r="I515" t="s">
        <v>483</v>
      </c>
      <c r="J515" t="s">
        <v>484</v>
      </c>
      <c r="K515">
        <v>877790</v>
      </c>
      <c r="L515" t="s">
        <v>66</v>
      </c>
      <c r="M515" t="s">
        <v>67</v>
      </c>
      <c r="N515" t="s">
        <v>57</v>
      </c>
      <c r="O515" s="1">
        <v>45913</v>
      </c>
      <c r="Q515" s="1">
        <v>46155</v>
      </c>
      <c r="R515" s="2">
        <v>58.15</v>
      </c>
      <c r="S515">
        <v>1</v>
      </c>
      <c r="T515" t="s">
        <v>58</v>
      </c>
      <c r="U515" t="s">
        <v>173</v>
      </c>
      <c r="V515" s="4">
        <v>0.375</v>
      </c>
      <c r="W515" s="2">
        <v>0</v>
      </c>
      <c r="X515">
        <v>0</v>
      </c>
      <c r="Y515" t="s">
        <v>60</v>
      </c>
      <c r="Z515" t="s">
        <v>61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21.81</v>
      </c>
      <c r="AN515" s="2">
        <v>21.81</v>
      </c>
      <c r="AO515" s="2">
        <v>0</v>
      </c>
      <c r="AP515" s="2">
        <v>0</v>
      </c>
      <c r="AQ515" s="2">
        <v>0</v>
      </c>
    </row>
    <row r="516" spans="1:43" x14ac:dyDescent="0.3">
      <c r="A516" s="1">
        <v>46125</v>
      </c>
      <c r="B516" t="s">
        <v>48</v>
      </c>
      <c r="C516">
        <v>649163</v>
      </c>
      <c r="D516">
        <v>2031608493</v>
      </c>
      <c r="E516" t="s">
        <v>854</v>
      </c>
      <c r="F516" t="s">
        <v>855</v>
      </c>
      <c r="G516" t="s">
        <v>51</v>
      </c>
      <c r="H516" t="s">
        <v>70</v>
      </c>
      <c r="I516" t="s">
        <v>483</v>
      </c>
      <c r="J516" t="s">
        <v>484</v>
      </c>
      <c r="K516">
        <v>767312</v>
      </c>
      <c r="L516" t="s">
        <v>134</v>
      </c>
      <c r="M516" t="s">
        <v>98</v>
      </c>
      <c r="N516" t="s">
        <v>57</v>
      </c>
      <c r="O516" s="1">
        <v>45944</v>
      </c>
      <c r="Q516" s="1">
        <v>46156</v>
      </c>
      <c r="R516" s="2">
        <v>33.39</v>
      </c>
      <c r="S516">
        <v>1</v>
      </c>
      <c r="T516" t="s">
        <v>58</v>
      </c>
      <c r="U516" t="s">
        <v>173</v>
      </c>
      <c r="V516" s="4">
        <v>0.375</v>
      </c>
      <c r="W516" s="2">
        <v>0</v>
      </c>
      <c r="X516">
        <v>0</v>
      </c>
      <c r="Y516" t="s">
        <v>60</v>
      </c>
      <c r="Z516" t="s">
        <v>61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12.52</v>
      </c>
      <c r="AN516" s="2">
        <v>12.52</v>
      </c>
      <c r="AO516" s="2">
        <v>0</v>
      </c>
      <c r="AP516" s="2">
        <v>0</v>
      </c>
      <c r="AQ516" s="2">
        <v>0</v>
      </c>
    </row>
    <row r="517" spans="1:43" x14ac:dyDescent="0.3">
      <c r="A517" s="1">
        <v>46125</v>
      </c>
      <c r="B517" t="s">
        <v>48</v>
      </c>
      <c r="C517">
        <v>649163</v>
      </c>
      <c r="D517">
        <v>2031641423</v>
      </c>
      <c r="E517" t="s">
        <v>203</v>
      </c>
      <c r="F517" t="s">
        <v>204</v>
      </c>
      <c r="G517" t="s">
        <v>51</v>
      </c>
      <c r="H517" t="s">
        <v>70</v>
      </c>
      <c r="I517" t="s">
        <v>483</v>
      </c>
      <c r="J517" t="s">
        <v>484</v>
      </c>
      <c r="K517">
        <v>767312</v>
      </c>
      <c r="L517" t="s">
        <v>134</v>
      </c>
      <c r="M517" t="s">
        <v>98</v>
      </c>
      <c r="N517" t="s">
        <v>57</v>
      </c>
      <c r="O517" s="1">
        <v>45946</v>
      </c>
      <c r="Q517" s="1">
        <v>46158</v>
      </c>
      <c r="R517" s="2">
        <v>28.38</v>
      </c>
      <c r="S517">
        <v>1</v>
      </c>
      <c r="T517" t="s">
        <v>58</v>
      </c>
      <c r="U517" t="s">
        <v>173</v>
      </c>
      <c r="V517" s="4">
        <v>0.375</v>
      </c>
      <c r="W517" s="2">
        <v>0</v>
      </c>
      <c r="X517">
        <v>0</v>
      </c>
      <c r="Y517" t="s">
        <v>60</v>
      </c>
      <c r="Z517" t="s">
        <v>61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10.64</v>
      </c>
      <c r="AN517" s="2">
        <v>10.64</v>
      </c>
      <c r="AO517" s="2">
        <v>0</v>
      </c>
      <c r="AP517" s="2">
        <v>0</v>
      </c>
      <c r="AQ517" s="2">
        <v>0</v>
      </c>
    </row>
    <row r="518" spans="1:43" x14ac:dyDescent="0.3">
      <c r="A518" s="1">
        <v>46125</v>
      </c>
      <c r="B518" t="s">
        <v>48</v>
      </c>
      <c r="C518">
        <v>649163</v>
      </c>
      <c r="D518">
        <v>2031654839</v>
      </c>
      <c r="E518" t="s">
        <v>856</v>
      </c>
      <c r="F518" t="s">
        <v>857</v>
      </c>
      <c r="G518" t="s">
        <v>51</v>
      </c>
      <c r="H518" t="s">
        <v>52</v>
      </c>
      <c r="I518" t="s">
        <v>483</v>
      </c>
      <c r="J518" t="s">
        <v>484</v>
      </c>
      <c r="K518">
        <v>767312</v>
      </c>
      <c r="L518" t="s">
        <v>134</v>
      </c>
      <c r="M518" t="s">
        <v>98</v>
      </c>
      <c r="N518" t="s">
        <v>57</v>
      </c>
      <c r="O518" s="1">
        <v>45947</v>
      </c>
      <c r="Q518" s="1">
        <v>46159</v>
      </c>
      <c r="R518" s="2">
        <v>51.77</v>
      </c>
      <c r="S518">
        <v>1</v>
      </c>
      <c r="T518" t="s">
        <v>58</v>
      </c>
      <c r="U518" t="s">
        <v>173</v>
      </c>
      <c r="V518" s="4">
        <v>0.375</v>
      </c>
      <c r="W518" s="2">
        <v>0</v>
      </c>
      <c r="X518">
        <v>0</v>
      </c>
      <c r="Y518" t="s">
        <v>60</v>
      </c>
      <c r="Z518" t="s">
        <v>61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19.41</v>
      </c>
      <c r="AN518" s="2">
        <v>19.41</v>
      </c>
      <c r="AO518" s="2">
        <v>0</v>
      </c>
      <c r="AP518" s="2">
        <v>0</v>
      </c>
      <c r="AQ518" s="2">
        <v>0</v>
      </c>
    </row>
    <row r="519" spans="1:43" x14ac:dyDescent="0.3">
      <c r="A519" s="1">
        <v>46125</v>
      </c>
      <c r="B519" t="s">
        <v>48</v>
      </c>
      <c r="C519">
        <v>649163</v>
      </c>
      <c r="D519">
        <v>2031848654</v>
      </c>
      <c r="E519" t="s">
        <v>609</v>
      </c>
      <c r="F519" t="s">
        <v>225</v>
      </c>
      <c r="G519" t="s">
        <v>51</v>
      </c>
      <c r="H519" t="s">
        <v>270</v>
      </c>
      <c r="I519" t="s">
        <v>483</v>
      </c>
      <c r="J519" t="s">
        <v>484</v>
      </c>
      <c r="K519">
        <v>753748</v>
      </c>
      <c r="L519" t="s">
        <v>146</v>
      </c>
      <c r="M519" t="s">
        <v>147</v>
      </c>
      <c r="N519" t="s">
        <v>57</v>
      </c>
      <c r="O519" s="1">
        <v>45962</v>
      </c>
      <c r="Q519" s="1">
        <v>46143</v>
      </c>
      <c r="R519" s="2">
        <v>62.35</v>
      </c>
      <c r="S519">
        <v>1</v>
      </c>
      <c r="T519" t="s">
        <v>58</v>
      </c>
      <c r="U519" t="s">
        <v>173</v>
      </c>
      <c r="V519" s="4">
        <v>0.375</v>
      </c>
      <c r="W519" s="2">
        <v>0</v>
      </c>
      <c r="X519">
        <v>0</v>
      </c>
      <c r="Y519" t="s">
        <v>60</v>
      </c>
      <c r="Z519" t="s">
        <v>61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23.38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</row>
    <row r="520" spans="1:43" x14ac:dyDescent="0.3">
      <c r="A520" s="1">
        <v>46125</v>
      </c>
      <c r="B520" t="s">
        <v>48</v>
      </c>
      <c r="C520">
        <v>649163</v>
      </c>
      <c r="D520">
        <v>2032038861</v>
      </c>
      <c r="E520" t="s">
        <v>226</v>
      </c>
      <c r="F520" t="s">
        <v>227</v>
      </c>
      <c r="G520" t="s">
        <v>51</v>
      </c>
      <c r="H520" t="s">
        <v>80</v>
      </c>
      <c r="I520" t="s">
        <v>483</v>
      </c>
      <c r="J520" t="s">
        <v>484</v>
      </c>
      <c r="K520">
        <v>843573</v>
      </c>
      <c r="L520" t="s">
        <v>228</v>
      </c>
      <c r="M520" t="s">
        <v>229</v>
      </c>
      <c r="N520" t="s">
        <v>57</v>
      </c>
      <c r="O520" s="1">
        <v>45972</v>
      </c>
      <c r="Q520" s="1">
        <v>46153</v>
      </c>
      <c r="R520" s="2">
        <v>109.28</v>
      </c>
      <c r="S520">
        <v>1</v>
      </c>
      <c r="T520" t="s">
        <v>58</v>
      </c>
      <c r="U520" t="s">
        <v>173</v>
      </c>
      <c r="V520" s="4">
        <v>0.375</v>
      </c>
      <c r="W520" s="2">
        <v>0</v>
      </c>
      <c r="X520">
        <v>0</v>
      </c>
      <c r="Y520" t="s">
        <v>60</v>
      </c>
      <c r="Z520" t="s">
        <v>61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40.98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</row>
    <row r="521" spans="1:43" x14ac:dyDescent="0.3">
      <c r="A521" s="1">
        <v>46125</v>
      </c>
      <c r="B521" t="s">
        <v>48</v>
      </c>
      <c r="C521">
        <v>649163</v>
      </c>
      <c r="D521">
        <v>2032111468</v>
      </c>
      <c r="E521" t="s">
        <v>242</v>
      </c>
      <c r="F521" t="s">
        <v>243</v>
      </c>
      <c r="G521" t="s">
        <v>51</v>
      </c>
      <c r="H521" t="s">
        <v>52</v>
      </c>
      <c r="I521" t="s">
        <v>483</v>
      </c>
      <c r="J521" t="s">
        <v>484</v>
      </c>
      <c r="K521">
        <v>897926</v>
      </c>
      <c r="L521" t="s">
        <v>244</v>
      </c>
      <c r="M521" t="s">
        <v>245</v>
      </c>
      <c r="N521" t="s">
        <v>57</v>
      </c>
      <c r="O521" s="1">
        <v>45973</v>
      </c>
      <c r="Q521" s="1">
        <v>46154</v>
      </c>
      <c r="R521" s="2">
        <v>54.95</v>
      </c>
      <c r="S521">
        <v>1</v>
      </c>
      <c r="T521" t="s">
        <v>58</v>
      </c>
      <c r="U521" t="s">
        <v>173</v>
      </c>
      <c r="V521" s="4">
        <v>0.375</v>
      </c>
      <c r="W521" s="2">
        <v>0</v>
      </c>
      <c r="X521">
        <v>0</v>
      </c>
      <c r="Y521" t="s">
        <v>60</v>
      </c>
      <c r="Z521" t="s">
        <v>61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20.61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</row>
    <row r="522" spans="1:43" x14ac:dyDescent="0.3">
      <c r="A522" s="1">
        <v>46125</v>
      </c>
      <c r="B522" t="s">
        <v>48</v>
      </c>
      <c r="C522">
        <v>649163</v>
      </c>
      <c r="D522">
        <v>2032116644</v>
      </c>
      <c r="E522" t="s">
        <v>253</v>
      </c>
      <c r="F522" t="s">
        <v>165</v>
      </c>
      <c r="G522" t="s">
        <v>51</v>
      </c>
      <c r="H522" t="s">
        <v>80</v>
      </c>
      <c r="I522" t="s">
        <v>483</v>
      </c>
      <c r="J522" t="s">
        <v>484</v>
      </c>
      <c r="K522">
        <v>823350</v>
      </c>
      <c r="L522" t="s">
        <v>120</v>
      </c>
      <c r="M522" t="s">
        <v>121</v>
      </c>
      <c r="N522" t="s">
        <v>57</v>
      </c>
      <c r="O522" s="1">
        <v>45976</v>
      </c>
      <c r="Q522" s="1">
        <v>46157</v>
      </c>
      <c r="R522" s="2">
        <v>77.48</v>
      </c>
      <c r="S522">
        <v>1</v>
      </c>
      <c r="T522" t="s">
        <v>58</v>
      </c>
      <c r="U522" t="s">
        <v>173</v>
      </c>
      <c r="V522" s="4">
        <v>0.375</v>
      </c>
      <c r="W522" s="2">
        <v>0</v>
      </c>
      <c r="X522">
        <v>0</v>
      </c>
      <c r="Y522" t="s">
        <v>60</v>
      </c>
      <c r="Z522" t="s">
        <v>61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29.06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</row>
    <row r="523" spans="1:43" x14ac:dyDescent="0.3">
      <c r="A523" s="1">
        <v>46125</v>
      </c>
      <c r="B523" t="s">
        <v>48</v>
      </c>
      <c r="C523">
        <v>649163</v>
      </c>
      <c r="D523">
        <v>2032159934</v>
      </c>
      <c r="E523" t="s">
        <v>268</v>
      </c>
      <c r="F523" t="s">
        <v>269</v>
      </c>
      <c r="G523" t="s">
        <v>51</v>
      </c>
      <c r="H523" t="s">
        <v>270</v>
      </c>
      <c r="I523" t="s">
        <v>483</v>
      </c>
      <c r="J523" t="s">
        <v>484</v>
      </c>
      <c r="K523">
        <v>822733</v>
      </c>
      <c r="L523" t="s">
        <v>219</v>
      </c>
      <c r="M523" t="s">
        <v>220</v>
      </c>
      <c r="N523" t="s">
        <v>57</v>
      </c>
      <c r="O523" s="1">
        <v>45976</v>
      </c>
      <c r="Q523" s="1">
        <v>46157</v>
      </c>
      <c r="R523" s="2">
        <v>36.36</v>
      </c>
      <c r="S523">
        <v>1</v>
      </c>
      <c r="T523" t="s">
        <v>58</v>
      </c>
      <c r="U523" t="s">
        <v>173</v>
      </c>
      <c r="V523" s="4">
        <v>0.375</v>
      </c>
      <c r="W523" s="2">
        <v>0</v>
      </c>
      <c r="X523">
        <v>0</v>
      </c>
      <c r="Y523" t="s">
        <v>60</v>
      </c>
      <c r="Z523" t="s">
        <v>61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13.64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</row>
    <row r="524" spans="1:43" x14ac:dyDescent="0.3">
      <c r="A524" s="1">
        <v>46125</v>
      </c>
      <c r="B524" t="s">
        <v>48</v>
      </c>
      <c r="C524">
        <v>649163</v>
      </c>
      <c r="D524">
        <v>2032175461</v>
      </c>
      <c r="E524" t="s">
        <v>275</v>
      </c>
      <c r="F524" t="s">
        <v>276</v>
      </c>
      <c r="G524" t="s">
        <v>51</v>
      </c>
      <c r="H524" t="s">
        <v>80</v>
      </c>
      <c r="I524" t="s">
        <v>483</v>
      </c>
      <c r="J524" t="s">
        <v>484</v>
      </c>
      <c r="K524">
        <v>806645</v>
      </c>
      <c r="L524" t="s">
        <v>262</v>
      </c>
      <c r="M524" t="s">
        <v>263</v>
      </c>
      <c r="N524" t="s">
        <v>57</v>
      </c>
      <c r="O524" s="1">
        <v>45976</v>
      </c>
      <c r="Q524" s="1">
        <v>46157</v>
      </c>
      <c r="R524" s="2">
        <v>61.64</v>
      </c>
      <c r="S524">
        <v>1</v>
      </c>
      <c r="T524" t="s">
        <v>58</v>
      </c>
      <c r="U524" t="s">
        <v>173</v>
      </c>
      <c r="V524" s="4">
        <v>0.375</v>
      </c>
      <c r="W524" s="2">
        <v>0</v>
      </c>
      <c r="X524">
        <v>0</v>
      </c>
      <c r="Y524" t="s">
        <v>60</v>
      </c>
      <c r="Z524" t="s">
        <v>61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23.12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</row>
    <row r="525" spans="1:43" x14ac:dyDescent="0.3">
      <c r="A525" s="1">
        <v>46125</v>
      </c>
      <c r="B525" t="s">
        <v>48</v>
      </c>
      <c r="C525">
        <v>649163</v>
      </c>
      <c r="D525">
        <v>2032175761</v>
      </c>
      <c r="E525" t="s">
        <v>700</v>
      </c>
      <c r="F525" t="s">
        <v>639</v>
      </c>
      <c r="G525" t="s">
        <v>51</v>
      </c>
      <c r="H525" t="s">
        <v>64</v>
      </c>
      <c r="I525" t="s">
        <v>483</v>
      </c>
      <c r="J525" t="s">
        <v>484</v>
      </c>
      <c r="K525">
        <v>898497</v>
      </c>
      <c r="L525" t="s">
        <v>701</v>
      </c>
      <c r="M525" t="s">
        <v>702</v>
      </c>
      <c r="N525" t="s">
        <v>57</v>
      </c>
      <c r="O525" s="1">
        <v>45976</v>
      </c>
      <c r="Q525" s="1">
        <v>46157</v>
      </c>
      <c r="R525" s="2">
        <v>58.15</v>
      </c>
      <c r="S525">
        <v>1</v>
      </c>
      <c r="T525" t="s">
        <v>58</v>
      </c>
      <c r="U525" t="s">
        <v>173</v>
      </c>
      <c r="V525" s="4">
        <v>0.375</v>
      </c>
      <c r="W525" s="2">
        <v>0</v>
      </c>
      <c r="X525">
        <v>0</v>
      </c>
      <c r="Y525" t="s">
        <v>60</v>
      </c>
      <c r="Z525" t="s">
        <v>61</v>
      </c>
      <c r="AA525">
        <v>0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21.81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</row>
    <row r="526" spans="1:43" x14ac:dyDescent="0.3">
      <c r="A526" s="1">
        <v>46125</v>
      </c>
      <c r="B526" t="s">
        <v>48</v>
      </c>
      <c r="C526">
        <v>649163</v>
      </c>
      <c r="D526">
        <v>2032191483</v>
      </c>
      <c r="E526" t="s">
        <v>858</v>
      </c>
      <c r="F526" t="s">
        <v>859</v>
      </c>
      <c r="G526" t="s">
        <v>51</v>
      </c>
      <c r="H526" t="s">
        <v>52</v>
      </c>
      <c r="I526" t="s">
        <v>483</v>
      </c>
      <c r="J526" t="s">
        <v>484</v>
      </c>
      <c r="K526">
        <v>806645</v>
      </c>
      <c r="L526" t="s">
        <v>262</v>
      </c>
      <c r="M526" t="s">
        <v>263</v>
      </c>
      <c r="N526" t="s">
        <v>57</v>
      </c>
      <c r="O526" s="1">
        <v>45977</v>
      </c>
      <c r="Q526" s="1">
        <v>46158</v>
      </c>
      <c r="R526" s="2">
        <v>41.04</v>
      </c>
      <c r="S526">
        <v>1</v>
      </c>
      <c r="T526" t="s">
        <v>58</v>
      </c>
      <c r="U526" t="s">
        <v>173</v>
      </c>
      <c r="V526" s="4">
        <v>0.375</v>
      </c>
      <c r="W526" s="2">
        <v>0</v>
      </c>
      <c r="X526">
        <v>0</v>
      </c>
      <c r="Y526" t="s">
        <v>60</v>
      </c>
      <c r="Z526" t="s">
        <v>61</v>
      </c>
      <c r="AA526">
        <v>0</v>
      </c>
      <c r="AB526" s="2">
        <v>0</v>
      </c>
      <c r="AC526" s="2">
        <v>0</v>
      </c>
      <c r="AD526" s="3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15.39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</row>
    <row r="527" spans="1:43" x14ac:dyDescent="0.3">
      <c r="A527" s="1">
        <v>46125</v>
      </c>
      <c r="B527" t="s">
        <v>48</v>
      </c>
      <c r="C527">
        <v>649163</v>
      </c>
      <c r="D527">
        <v>2032195794</v>
      </c>
      <c r="E527" t="s">
        <v>283</v>
      </c>
      <c r="F527" t="s">
        <v>284</v>
      </c>
      <c r="G527" t="s">
        <v>51</v>
      </c>
      <c r="H527" t="s">
        <v>80</v>
      </c>
      <c r="I527" t="s">
        <v>483</v>
      </c>
      <c r="J527" t="s">
        <v>484</v>
      </c>
      <c r="K527">
        <v>812656</v>
      </c>
      <c r="L527" t="s">
        <v>171</v>
      </c>
      <c r="M527" t="s">
        <v>172</v>
      </c>
      <c r="N527" t="s">
        <v>57</v>
      </c>
      <c r="O527" s="1">
        <v>46023</v>
      </c>
      <c r="Q527" s="1">
        <v>46143</v>
      </c>
      <c r="R527" s="2">
        <v>78.760000000000005</v>
      </c>
      <c r="S527">
        <v>1</v>
      </c>
      <c r="T527" t="s">
        <v>58</v>
      </c>
      <c r="U527" t="s">
        <v>173</v>
      </c>
      <c r="V527" s="4">
        <v>0.375</v>
      </c>
      <c r="W527" s="2">
        <v>0</v>
      </c>
      <c r="X527">
        <v>0</v>
      </c>
      <c r="Y527" t="s">
        <v>60</v>
      </c>
      <c r="Z527" t="s">
        <v>61</v>
      </c>
      <c r="AA527">
        <v>0</v>
      </c>
      <c r="AB527" s="2">
        <v>0</v>
      </c>
      <c r="AC527" s="2">
        <v>0</v>
      </c>
      <c r="AD527" s="3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29.54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</row>
    <row r="528" spans="1:43" x14ac:dyDescent="0.3">
      <c r="A528" s="1">
        <v>46125</v>
      </c>
      <c r="B528" t="s">
        <v>48</v>
      </c>
      <c r="C528">
        <v>649163</v>
      </c>
      <c r="D528">
        <v>2032333739</v>
      </c>
      <c r="E528" t="s">
        <v>289</v>
      </c>
      <c r="F528" t="s">
        <v>290</v>
      </c>
      <c r="G528" t="s">
        <v>51</v>
      </c>
      <c r="H528" t="s">
        <v>80</v>
      </c>
      <c r="I528" t="s">
        <v>483</v>
      </c>
      <c r="J528" t="s">
        <v>484</v>
      </c>
      <c r="K528">
        <v>875334</v>
      </c>
      <c r="L528" t="s">
        <v>195</v>
      </c>
      <c r="M528" t="s">
        <v>196</v>
      </c>
      <c r="N528" t="s">
        <v>57</v>
      </c>
      <c r="O528" s="1">
        <v>46023</v>
      </c>
      <c r="Q528" s="1">
        <v>46143</v>
      </c>
      <c r="R528" s="2">
        <v>-152.33000000000001</v>
      </c>
      <c r="S528">
        <v>1</v>
      </c>
      <c r="T528" t="s">
        <v>58</v>
      </c>
      <c r="U528" t="s">
        <v>173</v>
      </c>
      <c r="V528" s="4">
        <v>0.375</v>
      </c>
      <c r="W528" s="2">
        <v>0</v>
      </c>
      <c r="X528">
        <v>-1</v>
      </c>
      <c r="Y528" t="s">
        <v>60</v>
      </c>
      <c r="Z528" t="s">
        <v>61</v>
      </c>
      <c r="AA528">
        <v>0</v>
      </c>
      <c r="AB528" s="2">
        <v>0</v>
      </c>
      <c r="AC528" s="2">
        <v>0</v>
      </c>
      <c r="AD528" s="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-57.12</v>
      </c>
      <c r="AN528" s="2">
        <v>-57.12</v>
      </c>
      <c r="AO528" s="2">
        <v>0</v>
      </c>
      <c r="AP528" s="2">
        <v>0</v>
      </c>
      <c r="AQ528" s="2">
        <v>0</v>
      </c>
    </row>
    <row r="529" spans="1:43" x14ac:dyDescent="0.3">
      <c r="A529" s="1">
        <v>46125</v>
      </c>
      <c r="B529" t="s">
        <v>48</v>
      </c>
      <c r="C529">
        <v>649163</v>
      </c>
      <c r="D529">
        <v>2032605023</v>
      </c>
      <c r="E529" t="s">
        <v>203</v>
      </c>
      <c r="F529" t="s">
        <v>860</v>
      </c>
      <c r="G529" t="s">
        <v>51</v>
      </c>
      <c r="H529" t="s">
        <v>70</v>
      </c>
      <c r="I529" t="s">
        <v>483</v>
      </c>
      <c r="J529" t="s">
        <v>484</v>
      </c>
      <c r="K529">
        <v>767312</v>
      </c>
      <c r="L529" t="s">
        <v>134</v>
      </c>
      <c r="M529" t="s">
        <v>98</v>
      </c>
      <c r="N529" t="s">
        <v>57</v>
      </c>
      <c r="O529" s="1">
        <v>46002</v>
      </c>
      <c r="Q529" s="1">
        <v>46153</v>
      </c>
      <c r="R529" s="2">
        <v>23.39</v>
      </c>
      <c r="S529">
        <v>1</v>
      </c>
      <c r="T529" t="s">
        <v>58</v>
      </c>
      <c r="U529" t="s">
        <v>173</v>
      </c>
      <c r="V529" s="4">
        <v>0.375</v>
      </c>
      <c r="W529" s="2">
        <v>0</v>
      </c>
      <c r="X529">
        <v>0</v>
      </c>
      <c r="Y529" t="s">
        <v>60</v>
      </c>
      <c r="Z529" t="s">
        <v>61</v>
      </c>
      <c r="AA529">
        <v>0</v>
      </c>
      <c r="AB529" s="2">
        <v>0</v>
      </c>
      <c r="AC529" s="2">
        <v>0</v>
      </c>
      <c r="AD529" s="3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8.77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</row>
    <row r="530" spans="1:43" x14ac:dyDescent="0.3">
      <c r="A530" s="1">
        <v>46125</v>
      </c>
      <c r="B530" t="s">
        <v>48</v>
      </c>
      <c r="C530">
        <v>649163</v>
      </c>
      <c r="D530">
        <v>2032634715</v>
      </c>
      <c r="E530" t="s">
        <v>321</v>
      </c>
      <c r="F530" t="s">
        <v>322</v>
      </c>
      <c r="G530" t="s">
        <v>51</v>
      </c>
      <c r="H530" t="s">
        <v>103</v>
      </c>
      <c r="I530" t="s">
        <v>483</v>
      </c>
      <c r="J530" t="s">
        <v>484</v>
      </c>
      <c r="K530">
        <v>816021</v>
      </c>
      <c r="L530" t="s">
        <v>104</v>
      </c>
      <c r="M530" t="s">
        <v>105</v>
      </c>
      <c r="N530" t="s">
        <v>57</v>
      </c>
      <c r="O530" s="1">
        <v>46006</v>
      </c>
      <c r="Q530" s="1">
        <v>46157</v>
      </c>
      <c r="R530" s="2">
        <v>138.78</v>
      </c>
      <c r="S530">
        <v>1</v>
      </c>
      <c r="T530" t="s">
        <v>58</v>
      </c>
      <c r="U530" t="s">
        <v>173</v>
      </c>
      <c r="V530" s="4">
        <v>0.375</v>
      </c>
      <c r="W530" s="2">
        <v>0</v>
      </c>
      <c r="X530">
        <v>0</v>
      </c>
      <c r="Y530" t="s">
        <v>60</v>
      </c>
      <c r="Z530" t="s">
        <v>61</v>
      </c>
      <c r="AA530">
        <v>0</v>
      </c>
      <c r="AB530" s="2">
        <v>0</v>
      </c>
      <c r="AC530" s="2">
        <v>0</v>
      </c>
      <c r="AD530" s="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52.04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</row>
    <row r="531" spans="1:43" x14ac:dyDescent="0.3">
      <c r="A531" s="1">
        <v>46125</v>
      </c>
      <c r="B531" t="s">
        <v>48</v>
      </c>
      <c r="C531">
        <v>649163</v>
      </c>
      <c r="D531">
        <v>2032634844</v>
      </c>
      <c r="E531" t="s">
        <v>323</v>
      </c>
      <c r="F531" t="s">
        <v>324</v>
      </c>
      <c r="G531" t="s">
        <v>51</v>
      </c>
      <c r="H531" t="s">
        <v>52</v>
      </c>
      <c r="I531" t="s">
        <v>483</v>
      </c>
      <c r="J531" t="s">
        <v>484</v>
      </c>
      <c r="K531">
        <v>867497</v>
      </c>
      <c r="L531" t="s">
        <v>311</v>
      </c>
      <c r="M531" t="s">
        <v>312</v>
      </c>
      <c r="N531" t="s">
        <v>86</v>
      </c>
      <c r="O531" s="1">
        <v>46003</v>
      </c>
      <c r="P531" s="1">
        <v>46125</v>
      </c>
      <c r="Q531" s="1">
        <v>46154</v>
      </c>
      <c r="R531" s="2">
        <v>73.17</v>
      </c>
      <c r="S531">
        <v>1</v>
      </c>
      <c r="T531" t="s">
        <v>58</v>
      </c>
      <c r="U531" t="s">
        <v>173</v>
      </c>
      <c r="V531" s="4">
        <v>0.375</v>
      </c>
      <c r="W531" s="2">
        <v>0</v>
      </c>
      <c r="X531">
        <v>0</v>
      </c>
      <c r="Y531" t="s">
        <v>60</v>
      </c>
      <c r="Z531" t="s">
        <v>61</v>
      </c>
      <c r="AA531">
        <v>0</v>
      </c>
      <c r="AB531" s="2">
        <v>0</v>
      </c>
      <c r="AC531" s="2">
        <v>0</v>
      </c>
      <c r="AD531" s="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27.44</v>
      </c>
      <c r="AN531" s="2">
        <v>27.44</v>
      </c>
      <c r="AO531" s="2">
        <v>0</v>
      </c>
      <c r="AP531" s="2">
        <v>0</v>
      </c>
      <c r="AQ531" s="2">
        <v>0</v>
      </c>
    </row>
    <row r="532" spans="1:43" x14ac:dyDescent="0.3">
      <c r="A532" s="1">
        <v>46125</v>
      </c>
      <c r="B532" t="s">
        <v>48</v>
      </c>
      <c r="C532">
        <v>649163</v>
      </c>
      <c r="D532">
        <v>2032634844</v>
      </c>
      <c r="E532" t="s">
        <v>323</v>
      </c>
      <c r="F532" t="s">
        <v>324</v>
      </c>
      <c r="G532" t="s">
        <v>51</v>
      </c>
      <c r="H532" t="s">
        <v>52</v>
      </c>
      <c r="I532" t="s">
        <v>483</v>
      </c>
      <c r="J532" t="s">
        <v>484</v>
      </c>
      <c r="K532">
        <v>867497</v>
      </c>
      <c r="L532" t="s">
        <v>311</v>
      </c>
      <c r="M532" t="s">
        <v>312</v>
      </c>
      <c r="N532" t="s">
        <v>86</v>
      </c>
      <c r="O532" s="1">
        <v>46003</v>
      </c>
      <c r="P532" s="1">
        <v>46125</v>
      </c>
      <c r="Q532" s="1">
        <v>46154</v>
      </c>
      <c r="R532" s="2">
        <v>-77.89</v>
      </c>
      <c r="S532">
        <v>1</v>
      </c>
      <c r="T532" t="s">
        <v>58</v>
      </c>
      <c r="U532" t="s">
        <v>173</v>
      </c>
      <c r="V532" s="4">
        <v>0.375</v>
      </c>
      <c r="W532" s="2">
        <v>0</v>
      </c>
      <c r="X532">
        <v>-1</v>
      </c>
      <c r="Y532" t="s">
        <v>60</v>
      </c>
      <c r="Z532" t="s">
        <v>61</v>
      </c>
      <c r="AA532">
        <v>0</v>
      </c>
      <c r="AB532" s="2">
        <v>0</v>
      </c>
      <c r="AC532" s="2">
        <v>0</v>
      </c>
      <c r="AD532" s="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-29.21</v>
      </c>
      <c r="AN532" s="2">
        <v>-29.21</v>
      </c>
      <c r="AO532" s="2">
        <v>0</v>
      </c>
      <c r="AP532" s="2">
        <v>0</v>
      </c>
      <c r="AQ532" s="2">
        <v>0</v>
      </c>
    </row>
    <row r="533" spans="1:43" x14ac:dyDescent="0.3">
      <c r="A533" s="1">
        <v>46125</v>
      </c>
      <c r="B533" t="s">
        <v>48</v>
      </c>
      <c r="C533">
        <v>649163</v>
      </c>
      <c r="D533">
        <v>2032658994</v>
      </c>
      <c r="E533" t="s">
        <v>861</v>
      </c>
      <c r="F533" t="s">
        <v>862</v>
      </c>
      <c r="G533" t="s">
        <v>51</v>
      </c>
      <c r="H533" t="s">
        <v>295</v>
      </c>
      <c r="I533" t="s">
        <v>483</v>
      </c>
      <c r="J533" t="s">
        <v>484</v>
      </c>
      <c r="K533">
        <v>767312</v>
      </c>
      <c r="L533" t="s">
        <v>134</v>
      </c>
      <c r="M533" t="s">
        <v>98</v>
      </c>
      <c r="N533" t="s">
        <v>57</v>
      </c>
      <c r="O533" s="1">
        <v>46004</v>
      </c>
      <c r="Q533" s="1">
        <v>46155</v>
      </c>
      <c r="R533" s="2">
        <v>29.5</v>
      </c>
      <c r="S533">
        <v>1</v>
      </c>
      <c r="T533" t="s">
        <v>58</v>
      </c>
      <c r="U533" t="s">
        <v>173</v>
      </c>
      <c r="V533" s="4">
        <v>0.375</v>
      </c>
      <c r="W533" s="2">
        <v>0</v>
      </c>
      <c r="X533">
        <v>0</v>
      </c>
      <c r="Y533" t="s">
        <v>60</v>
      </c>
      <c r="Z533" t="s">
        <v>61</v>
      </c>
      <c r="AA533">
        <v>0</v>
      </c>
      <c r="AB533" s="2">
        <v>0</v>
      </c>
      <c r="AC533" s="2">
        <v>0</v>
      </c>
      <c r="AD533" s="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11.06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</row>
    <row r="534" spans="1:43" x14ac:dyDescent="0.3">
      <c r="A534" s="1">
        <v>46125</v>
      </c>
      <c r="B534" t="s">
        <v>48</v>
      </c>
      <c r="C534">
        <v>649163</v>
      </c>
      <c r="D534">
        <v>2032669854</v>
      </c>
      <c r="E534" t="s">
        <v>592</v>
      </c>
      <c r="F534" t="s">
        <v>863</v>
      </c>
      <c r="G534" t="s">
        <v>51</v>
      </c>
      <c r="H534" t="s">
        <v>52</v>
      </c>
      <c r="I534" t="s">
        <v>483</v>
      </c>
      <c r="J534" t="s">
        <v>484</v>
      </c>
      <c r="K534">
        <v>768887</v>
      </c>
      <c r="L534" t="s">
        <v>425</v>
      </c>
      <c r="M534" t="s">
        <v>123</v>
      </c>
      <c r="N534" t="s">
        <v>57</v>
      </c>
      <c r="O534" s="1">
        <v>46006</v>
      </c>
      <c r="Q534" s="1">
        <v>46157</v>
      </c>
      <c r="R534" s="2">
        <v>54.95</v>
      </c>
      <c r="S534">
        <v>1</v>
      </c>
      <c r="T534" t="s">
        <v>58</v>
      </c>
      <c r="U534" t="s">
        <v>173</v>
      </c>
      <c r="V534" s="4">
        <v>0.375</v>
      </c>
      <c r="W534" s="2">
        <v>0</v>
      </c>
      <c r="X534">
        <v>0</v>
      </c>
      <c r="Y534" t="s">
        <v>60</v>
      </c>
      <c r="Z534" t="s">
        <v>61</v>
      </c>
      <c r="AA534">
        <v>0</v>
      </c>
      <c r="AB534" s="2">
        <v>0</v>
      </c>
      <c r="AC534" s="2">
        <v>0</v>
      </c>
      <c r="AD534" s="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20.61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</row>
    <row r="535" spans="1:43" x14ac:dyDescent="0.3">
      <c r="A535" s="1">
        <v>46125</v>
      </c>
      <c r="B535" t="s">
        <v>48</v>
      </c>
      <c r="C535">
        <v>649163</v>
      </c>
      <c r="D535">
        <v>2032669963</v>
      </c>
      <c r="E535" t="s">
        <v>340</v>
      </c>
      <c r="F535" t="s">
        <v>341</v>
      </c>
      <c r="G535" t="s">
        <v>51</v>
      </c>
      <c r="H535" t="s">
        <v>80</v>
      </c>
      <c r="I535" t="s">
        <v>483</v>
      </c>
      <c r="J535" t="s">
        <v>484</v>
      </c>
      <c r="K535">
        <v>813184</v>
      </c>
      <c r="L535" t="s">
        <v>127</v>
      </c>
      <c r="M535" t="s">
        <v>128</v>
      </c>
      <c r="N535" t="s">
        <v>57</v>
      </c>
      <c r="O535" s="1">
        <v>46005</v>
      </c>
      <c r="Q535" s="1">
        <v>46156</v>
      </c>
      <c r="R535" s="2">
        <v>53.87</v>
      </c>
      <c r="S535">
        <v>1</v>
      </c>
      <c r="T535" t="s">
        <v>58</v>
      </c>
      <c r="U535" t="s">
        <v>173</v>
      </c>
      <c r="V535" s="4">
        <v>0.375</v>
      </c>
      <c r="W535" s="2">
        <v>0</v>
      </c>
      <c r="X535">
        <v>0</v>
      </c>
      <c r="Y535" t="s">
        <v>60</v>
      </c>
      <c r="Z535" t="s">
        <v>61</v>
      </c>
      <c r="AA535">
        <v>0</v>
      </c>
      <c r="AB535" s="2">
        <v>0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20.2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</row>
    <row r="536" spans="1:43" x14ac:dyDescent="0.3">
      <c r="A536" s="1">
        <v>46125</v>
      </c>
      <c r="B536" t="s">
        <v>48</v>
      </c>
      <c r="C536">
        <v>649163</v>
      </c>
      <c r="D536">
        <v>2032676547</v>
      </c>
      <c r="E536" t="s">
        <v>560</v>
      </c>
      <c r="F536" t="s">
        <v>100</v>
      </c>
      <c r="G536" t="s">
        <v>51</v>
      </c>
      <c r="H536" t="s">
        <v>256</v>
      </c>
      <c r="I536" t="s">
        <v>483</v>
      </c>
      <c r="J536" t="s">
        <v>484</v>
      </c>
      <c r="K536">
        <v>885445</v>
      </c>
      <c r="L536" t="s">
        <v>559</v>
      </c>
      <c r="M536" t="s">
        <v>470</v>
      </c>
      <c r="N536" t="s">
        <v>57</v>
      </c>
      <c r="O536" s="1">
        <v>46005</v>
      </c>
      <c r="Q536" s="1">
        <v>46156</v>
      </c>
      <c r="R536" s="2">
        <v>37.32</v>
      </c>
      <c r="S536">
        <v>1</v>
      </c>
      <c r="T536" t="s">
        <v>58</v>
      </c>
      <c r="U536" t="s">
        <v>173</v>
      </c>
      <c r="V536" s="4">
        <v>0.375</v>
      </c>
      <c r="W536" s="2">
        <v>0</v>
      </c>
      <c r="X536">
        <v>0</v>
      </c>
      <c r="Y536" t="s">
        <v>60</v>
      </c>
      <c r="Z536" t="s">
        <v>61</v>
      </c>
      <c r="AA536">
        <v>0</v>
      </c>
      <c r="AB536" s="2">
        <v>0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14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</row>
    <row r="537" spans="1:43" x14ac:dyDescent="0.3">
      <c r="A537" s="1">
        <v>46125</v>
      </c>
      <c r="B537" t="s">
        <v>48</v>
      </c>
      <c r="C537">
        <v>649163</v>
      </c>
      <c r="D537">
        <v>2032693408</v>
      </c>
      <c r="E537" t="s">
        <v>352</v>
      </c>
      <c r="F537" t="s">
        <v>353</v>
      </c>
      <c r="G537" t="s">
        <v>51</v>
      </c>
      <c r="H537" t="s">
        <v>103</v>
      </c>
      <c r="I537" t="s">
        <v>483</v>
      </c>
      <c r="J537" t="s">
        <v>484</v>
      </c>
      <c r="K537">
        <v>816021</v>
      </c>
      <c r="L537" t="s">
        <v>104</v>
      </c>
      <c r="M537" t="s">
        <v>105</v>
      </c>
      <c r="N537" t="s">
        <v>57</v>
      </c>
      <c r="O537" s="1">
        <v>46007</v>
      </c>
      <c r="Q537" s="1">
        <v>46158</v>
      </c>
      <c r="R537" s="2">
        <v>47.28</v>
      </c>
      <c r="S537">
        <v>1</v>
      </c>
      <c r="T537" t="s">
        <v>58</v>
      </c>
      <c r="U537" t="s">
        <v>173</v>
      </c>
      <c r="V537" s="4">
        <v>0.375</v>
      </c>
      <c r="W537" s="2">
        <v>0</v>
      </c>
      <c r="X537">
        <v>0</v>
      </c>
      <c r="Y537" t="s">
        <v>60</v>
      </c>
      <c r="Z537" t="s">
        <v>61</v>
      </c>
      <c r="AA537">
        <v>0</v>
      </c>
      <c r="AB537" s="2">
        <v>0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17.73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</row>
    <row r="538" spans="1:43" x14ac:dyDescent="0.3">
      <c r="A538" s="1">
        <v>46125</v>
      </c>
      <c r="B538" t="s">
        <v>48</v>
      </c>
      <c r="C538">
        <v>649163</v>
      </c>
      <c r="D538">
        <v>2032715765</v>
      </c>
      <c r="E538" t="s">
        <v>354</v>
      </c>
      <c r="F538" t="s">
        <v>237</v>
      </c>
      <c r="G538" t="s">
        <v>51</v>
      </c>
      <c r="H538" t="s">
        <v>80</v>
      </c>
      <c r="I538" t="s">
        <v>483</v>
      </c>
      <c r="J538" t="s">
        <v>484</v>
      </c>
      <c r="K538">
        <v>823350</v>
      </c>
      <c r="L538" t="s">
        <v>120</v>
      </c>
      <c r="M538" t="s">
        <v>121</v>
      </c>
      <c r="N538" t="s">
        <v>57</v>
      </c>
      <c r="O538" s="1">
        <v>46008</v>
      </c>
      <c r="Q538" s="1">
        <v>46159</v>
      </c>
      <c r="R538" s="2">
        <v>77.48</v>
      </c>
      <c r="S538">
        <v>1</v>
      </c>
      <c r="T538" t="s">
        <v>58</v>
      </c>
      <c r="U538" t="s">
        <v>173</v>
      </c>
      <c r="V538" s="4">
        <v>0.375</v>
      </c>
      <c r="W538" s="2">
        <v>0</v>
      </c>
      <c r="X538">
        <v>0</v>
      </c>
      <c r="Y538" t="s">
        <v>60</v>
      </c>
      <c r="Z538" t="s">
        <v>61</v>
      </c>
      <c r="AA538">
        <v>0</v>
      </c>
      <c r="AB538" s="2">
        <v>0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29.06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</row>
    <row r="539" spans="1:43" x14ac:dyDescent="0.3">
      <c r="A539" s="1">
        <v>46125</v>
      </c>
      <c r="B539" t="s">
        <v>48</v>
      </c>
      <c r="C539">
        <v>649163</v>
      </c>
      <c r="D539">
        <v>2032913541</v>
      </c>
      <c r="E539" t="s">
        <v>357</v>
      </c>
      <c r="F539" t="s">
        <v>358</v>
      </c>
      <c r="G539" t="s">
        <v>51</v>
      </c>
      <c r="H539" t="s">
        <v>103</v>
      </c>
      <c r="I539" t="s">
        <v>483</v>
      </c>
      <c r="J539" t="s">
        <v>484</v>
      </c>
      <c r="K539">
        <v>753748</v>
      </c>
      <c r="L539" t="s">
        <v>146</v>
      </c>
      <c r="M539" t="s">
        <v>147</v>
      </c>
      <c r="N539" t="s">
        <v>57</v>
      </c>
      <c r="O539" s="1">
        <v>46034</v>
      </c>
      <c r="Q539" s="1">
        <v>46154</v>
      </c>
      <c r="R539" s="2">
        <v>85.94</v>
      </c>
      <c r="S539">
        <v>1</v>
      </c>
      <c r="T539" t="s">
        <v>58</v>
      </c>
      <c r="U539" t="s">
        <v>173</v>
      </c>
      <c r="V539" s="4">
        <v>0.375</v>
      </c>
      <c r="W539" s="2">
        <v>0</v>
      </c>
      <c r="X539">
        <v>0</v>
      </c>
      <c r="Y539" t="s">
        <v>60</v>
      </c>
      <c r="Z539" t="s">
        <v>61</v>
      </c>
      <c r="AA539">
        <v>0</v>
      </c>
      <c r="AB539" s="2">
        <v>0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32.229999999999997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</row>
    <row r="540" spans="1:43" x14ac:dyDescent="0.3">
      <c r="A540" s="1">
        <v>46125</v>
      </c>
      <c r="B540" t="s">
        <v>48</v>
      </c>
      <c r="C540">
        <v>649163</v>
      </c>
      <c r="D540">
        <v>2033057489</v>
      </c>
      <c r="E540" t="s">
        <v>367</v>
      </c>
      <c r="F540" t="s">
        <v>368</v>
      </c>
      <c r="G540" t="s">
        <v>51</v>
      </c>
      <c r="H540" t="s">
        <v>80</v>
      </c>
      <c r="I540" t="s">
        <v>483</v>
      </c>
      <c r="J540" t="s">
        <v>484</v>
      </c>
      <c r="K540">
        <v>806645</v>
      </c>
      <c r="L540" t="s">
        <v>262</v>
      </c>
      <c r="M540" t="s">
        <v>263</v>
      </c>
      <c r="N540" t="s">
        <v>57</v>
      </c>
      <c r="O540" s="1">
        <v>46037</v>
      </c>
      <c r="Q540" s="1">
        <v>46157</v>
      </c>
      <c r="R540" s="2">
        <v>54.7</v>
      </c>
      <c r="S540">
        <v>1</v>
      </c>
      <c r="T540" t="s">
        <v>58</v>
      </c>
      <c r="U540" t="s">
        <v>173</v>
      </c>
      <c r="V540" s="4">
        <v>0.375</v>
      </c>
      <c r="W540" s="2">
        <v>0</v>
      </c>
      <c r="X540">
        <v>0</v>
      </c>
      <c r="Y540" t="s">
        <v>60</v>
      </c>
      <c r="Z540" t="s">
        <v>61</v>
      </c>
      <c r="AA540">
        <v>0</v>
      </c>
      <c r="AB540" s="2">
        <v>0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20.51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</row>
    <row r="541" spans="1:43" x14ac:dyDescent="0.3">
      <c r="A541" s="1">
        <v>46125</v>
      </c>
      <c r="B541" t="s">
        <v>48</v>
      </c>
      <c r="C541">
        <v>649163</v>
      </c>
      <c r="D541">
        <v>2033084716</v>
      </c>
      <c r="E541" t="s">
        <v>372</v>
      </c>
      <c r="F541" t="s">
        <v>373</v>
      </c>
      <c r="G541" t="s">
        <v>51</v>
      </c>
      <c r="H541" t="s">
        <v>80</v>
      </c>
      <c r="I541" t="s">
        <v>483</v>
      </c>
      <c r="J541" t="s">
        <v>484</v>
      </c>
      <c r="K541">
        <v>884312</v>
      </c>
      <c r="L541" t="s">
        <v>374</v>
      </c>
      <c r="M541" t="s">
        <v>375</v>
      </c>
      <c r="N541" t="s">
        <v>57</v>
      </c>
      <c r="O541" s="1">
        <v>46036</v>
      </c>
      <c r="Q541" s="1">
        <v>46156</v>
      </c>
      <c r="R541" s="2">
        <v>78.760000000000005</v>
      </c>
      <c r="S541">
        <v>1</v>
      </c>
      <c r="T541" t="s">
        <v>58</v>
      </c>
      <c r="U541" t="s">
        <v>173</v>
      </c>
      <c r="V541" s="4">
        <v>0.375</v>
      </c>
      <c r="W541" s="2">
        <v>0</v>
      </c>
      <c r="X541">
        <v>0</v>
      </c>
      <c r="Y541" t="s">
        <v>60</v>
      </c>
      <c r="Z541" t="s">
        <v>61</v>
      </c>
      <c r="AA541">
        <v>0</v>
      </c>
      <c r="AB541" s="2">
        <v>0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29.54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</row>
    <row r="542" spans="1:43" x14ac:dyDescent="0.3">
      <c r="A542" s="1">
        <v>46125</v>
      </c>
      <c r="B542" t="s">
        <v>48</v>
      </c>
      <c r="C542">
        <v>649163</v>
      </c>
      <c r="D542">
        <v>2033089391</v>
      </c>
      <c r="E542" t="s">
        <v>380</v>
      </c>
      <c r="F542" t="s">
        <v>252</v>
      </c>
      <c r="G542" t="s">
        <v>51</v>
      </c>
      <c r="H542" t="s">
        <v>103</v>
      </c>
      <c r="I542" t="s">
        <v>483</v>
      </c>
      <c r="J542" t="s">
        <v>484</v>
      </c>
      <c r="K542">
        <v>816021</v>
      </c>
      <c r="L542" t="s">
        <v>104</v>
      </c>
      <c r="M542" t="s">
        <v>105</v>
      </c>
      <c r="N542" t="s">
        <v>57</v>
      </c>
      <c r="O542" s="1">
        <v>46033</v>
      </c>
      <c r="Q542" s="1">
        <v>46153</v>
      </c>
      <c r="R542" s="2">
        <v>64.84</v>
      </c>
      <c r="S542">
        <v>1</v>
      </c>
      <c r="T542" t="s">
        <v>58</v>
      </c>
      <c r="U542" t="s">
        <v>173</v>
      </c>
      <c r="V542" s="4">
        <v>0.375</v>
      </c>
      <c r="W542" s="2">
        <v>0</v>
      </c>
      <c r="X542">
        <v>0</v>
      </c>
      <c r="Y542" t="s">
        <v>60</v>
      </c>
      <c r="Z542" t="s">
        <v>61</v>
      </c>
      <c r="AA542">
        <v>0</v>
      </c>
      <c r="AB542" s="2">
        <v>0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24.32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</row>
    <row r="543" spans="1:43" x14ac:dyDescent="0.3">
      <c r="A543" s="1">
        <v>46125</v>
      </c>
      <c r="B543" t="s">
        <v>48</v>
      </c>
      <c r="C543">
        <v>649163</v>
      </c>
      <c r="D543">
        <v>2033106167</v>
      </c>
      <c r="E543" t="s">
        <v>619</v>
      </c>
      <c r="F543" t="s">
        <v>620</v>
      </c>
      <c r="G543" t="s">
        <v>51</v>
      </c>
      <c r="H543" t="s">
        <v>270</v>
      </c>
      <c r="I543" t="s">
        <v>483</v>
      </c>
      <c r="J543" t="s">
        <v>484</v>
      </c>
      <c r="K543">
        <v>753748</v>
      </c>
      <c r="L543" t="s">
        <v>146</v>
      </c>
      <c r="M543" t="s">
        <v>147</v>
      </c>
      <c r="N543" t="s">
        <v>57</v>
      </c>
      <c r="O543" s="1">
        <v>46035</v>
      </c>
      <c r="Q543" s="1">
        <v>46155</v>
      </c>
      <c r="R543" s="2">
        <v>71.22</v>
      </c>
      <c r="S543">
        <v>1</v>
      </c>
      <c r="T543" t="s">
        <v>58</v>
      </c>
      <c r="U543" t="s">
        <v>173</v>
      </c>
      <c r="V543" s="4">
        <v>0.375</v>
      </c>
      <c r="W543" s="2">
        <v>0</v>
      </c>
      <c r="X543">
        <v>0</v>
      </c>
      <c r="Y543" t="s">
        <v>60</v>
      </c>
      <c r="Z543" t="s">
        <v>61</v>
      </c>
      <c r="AA543">
        <v>0</v>
      </c>
      <c r="AB543" s="2">
        <v>0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26.71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</row>
    <row r="544" spans="1:43" x14ac:dyDescent="0.3">
      <c r="A544" s="1">
        <v>46125</v>
      </c>
      <c r="B544" t="s">
        <v>48</v>
      </c>
      <c r="C544">
        <v>649163</v>
      </c>
      <c r="D544">
        <v>2033118931</v>
      </c>
      <c r="E544" t="s">
        <v>384</v>
      </c>
      <c r="F544" t="s">
        <v>385</v>
      </c>
      <c r="G544" t="s">
        <v>51</v>
      </c>
      <c r="H544" t="s">
        <v>270</v>
      </c>
      <c r="I544" t="s">
        <v>483</v>
      </c>
      <c r="J544" t="s">
        <v>484</v>
      </c>
      <c r="K544">
        <v>812994</v>
      </c>
      <c r="L544" t="s">
        <v>110</v>
      </c>
      <c r="M544" t="s">
        <v>111</v>
      </c>
      <c r="N544" t="s">
        <v>57</v>
      </c>
      <c r="O544" s="1">
        <v>46035</v>
      </c>
      <c r="Q544" s="1">
        <v>46155</v>
      </c>
      <c r="R544" s="2">
        <v>81.22</v>
      </c>
      <c r="S544">
        <v>1</v>
      </c>
      <c r="T544" t="s">
        <v>58</v>
      </c>
      <c r="U544" t="s">
        <v>173</v>
      </c>
      <c r="V544" s="4">
        <v>0.375</v>
      </c>
      <c r="W544" s="2">
        <v>0</v>
      </c>
      <c r="X544">
        <v>0</v>
      </c>
      <c r="Y544" t="s">
        <v>60</v>
      </c>
      <c r="Z544" t="s">
        <v>61</v>
      </c>
      <c r="AA544">
        <v>0</v>
      </c>
      <c r="AB544" s="2">
        <v>0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30.46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</row>
    <row r="545" spans="1:43" x14ac:dyDescent="0.3">
      <c r="A545" s="1">
        <v>46125</v>
      </c>
      <c r="B545" t="s">
        <v>48</v>
      </c>
      <c r="C545">
        <v>649163</v>
      </c>
      <c r="D545">
        <v>2033127915</v>
      </c>
      <c r="E545" t="s">
        <v>771</v>
      </c>
      <c r="F545" t="s">
        <v>227</v>
      </c>
      <c r="G545" t="s">
        <v>51</v>
      </c>
      <c r="H545" t="s">
        <v>114</v>
      </c>
      <c r="I545" t="s">
        <v>483</v>
      </c>
      <c r="J545" t="s">
        <v>484</v>
      </c>
      <c r="K545">
        <v>673059</v>
      </c>
      <c r="L545" t="s">
        <v>115</v>
      </c>
      <c r="M545" t="s">
        <v>116</v>
      </c>
      <c r="N545" t="s">
        <v>57</v>
      </c>
      <c r="O545" s="1">
        <v>46038</v>
      </c>
      <c r="Q545" s="1">
        <v>46158</v>
      </c>
      <c r="R545" s="2">
        <v>58.11</v>
      </c>
      <c r="S545">
        <v>1</v>
      </c>
      <c r="T545" t="s">
        <v>58</v>
      </c>
      <c r="U545" t="s">
        <v>173</v>
      </c>
      <c r="V545" s="4">
        <v>0.375</v>
      </c>
      <c r="W545" s="2">
        <v>0</v>
      </c>
      <c r="X545">
        <v>0</v>
      </c>
      <c r="Y545" t="s">
        <v>60</v>
      </c>
      <c r="Z545" t="s">
        <v>61</v>
      </c>
      <c r="AA545">
        <v>0</v>
      </c>
      <c r="AB545" s="2">
        <v>0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21.79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</row>
    <row r="546" spans="1:43" x14ac:dyDescent="0.3">
      <c r="A546" s="1">
        <v>46125</v>
      </c>
      <c r="B546" t="s">
        <v>48</v>
      </c>
      <c r="C546">
        <v>649163</v>
      </c>
      <c r="D546">
        <v>2033128046</v>
      </c>
      <c r="E546" t="s">
        <v>394</v>
      </c>
      <c r="F546" t="s">
        <v>395</v>
      </c>
      <c r="G546" t="s">
        <v>51</v>
      </c>
      <c r="H546" t="s">
        <v>270</v>
      </c>
      <c r="I546" t="s">
        <v>483</v>
      </c>
      <c r="J546" t="s">
        <v>484</v>
      </c>
      <c r="K546">
        <v>823350</v>
      </c>
      <c r="L546" t="s">
        <v>120</v>
      </c>
      <c r="M546" t="s">
        <v>121</v>
      </c>
      <c r="N546" t="s">
        <v>57</v>
      </c>
      <c r="O546" s="1">
        <v>46038</v>
      </c>
      <c r="Q546" s="1">
        <v>46158</v>
      </c>
      <c r="R546" s="2">
        <v>174.25</v>
      </c>
      <c r="S546">
        <v>1</v>
      </c>
      <c r="T546" t="s">
        <v>58</v>
      </c>
      <c r="U546" t="s">
        <v>173</v>
      </c>
      <c r="V546" s="4">
        <v>0.375</v>
      </c>
      <c r="W546" s="2">
        <v>0</v>
      </c>
      <c r="X546">
        <v>0</v>
      </c>
      <c r="Y546" t="s">
        <v>60</v>
      </c>
      <c r="Z546" t="s">
        <v>61</v>
      </c>
      <c r="AA546">
        <v>0</v>
      </c>
      <c r="AB546" s="2">
        <v>0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65.34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</row>
    <row r="547" spans="1:43" x14ac:dyDescent="0.3">
      <c r="A547" s="1">
        <v>46125</v>
      </c>
      <c r="B547" t="s">
        <v>48</v>
      </c>
      <c r="C547">
        <v>649163</v>
      </c>
      <c r="D547">
        <v>2033130830</v>
      </c>
      <c r="E547" t="s">
        <v>396</v>
      </c>
      <c r="F547" t="s">
        <v>155</v>
      </c>
      <c r="G547" t="s">
        <v>51</v>
      </c>
      <c r="H547" t="s">
        <v>52</v>
      </c>
      <c r="I547" t="s">
        <v>483</v>
      </c>
      <c r="J547" t="s">
        <v>484</v>
      </c>
      <c r="K547">
        <v>867497</v>
      </c>
      <c r="L547" t="s">
        <v>311</v>
      </c>
      <c r="M547" t="s">
        <v>312</v>
      </c>
      <c r="N547" t="s">
        <v>57</v>
      </c>
      <c r="O547" s="1">
        <v>46037</v>
      </c>
      <c r="Q547" s="1">
        <v>46157</v>
      </c>
      <c r="R547" s="2">
        <v>24.54</v>
      </c>
      <c r="S547">
        <v>1</v>
      </c>
      <c r="T547" t="s">
        <v>58</v>
      </c>
      <c r="U547" t="s">
        <v>173</v>
      </c>
      <c r="V547" s="4">
        <v>0.375</v>
      </c>
      <c r="W547" s="2">
        <v>0</v>
      </c>
      <c r="X547">
        <v>0</v>
      </c>
      <c r="Y547" t="s">
        <v>60</v>
      </c>
      <c r="Z547" t="s">
        <v>61</v>
      </c>
      <c r="AA547">
        <v>0</v>
      </c>
      <c r="AB547" s="2">
        <v>0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9.1999999999999993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</row>
    <row r="548" spans="1:43" x14ac:dyDescent="0.3">
      <c r="A548" s="1">
        <v>46125</v>
      </c>
      <c r="B548" t="s">
        <v>48</v>
      </c>
      <c r="C548">
        <v>649163</v>
      </c>
      <c r="D548">
        <v>2033141960</v>
      </c>
      <c r="E548" t="s">
        <v>864</v>
      </c>
      <c r="F548" t="s">
        <v>865</v>
      </c>
      <c r="G548" t="s">
        <v>51</v>
      </c>
      <c r="H548" t="s">
        <v>182</v>
      </c>
      <c r="I548" t="s">
        <v>483</v>
      </c>
      <c r="J548" t="s">
        <v>484</v>
      </c>
      <c r="K548">
        <v>669316</v>
      </c>
      <c r="L548" t="s">
        <v>655</v>
      </c>
      <c r="M548" t="s">
        <v>656</v>
      </c>
      <c r="N548" t="s">
        <v>57</v>
      </c>
      <c r="O548" s="1">
        <v>46037</v>
      </c>
      <c r="Q548" s="1">
        <v>46157</v>
      </c>
      <c r="R548" s="2">
        <v>94.2</v>
      </c>
      <c r="S548">
        <v>1</v>
      </c>
      <c r="T548" t="s">
        <v>58</v>
      </c>
      <c r="U548" t="s">
        <v>173</v>
      </c>
      <c r="V548" s="4">
        <v>0.375</v>
      </c>
      <c r="W548" s="2">
        <v>0</v>
      </c>
      <c r="X548">
        <v>0</v>
      </c>
      <c r="Y548" t="s">
        <v>60</v>
      </c>
      <c r="Z548" t="s">
        <v>61</v>
      </c>
      <c r="AA548">
        <v>0</v>
      </c>
      <c r="AB548" s="2">
        <v>0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35.32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</row>
    <row r="549" spans="1:43" x14ac:dyDescent="0.3">
      <c r="A549" s="1">
        <v>46125</v>
      </c>
      <c r="B549" t="s">
        <v>48</v>
      </c>
      <c r="C549">
        <v>649163</v>
      </c>
      <c r="D549">
        <v>2033144398</v>
      </c>
      <c r="E549" t="s">
        <v>402</v>
      </c>
      <c r="F549" t="s">
        <v>403</v>
      </c>
      <c r="G549" t="s">
        <v>51</v>
      </c>
      <c r="H549" t="s">
        <v>404</v>
      </c>
      <c r="I549" t="s">
        <v>483</v>
      </c>
      <c r="J549" t="s">
        <v>484</v>
      </c>
      <c r="K549">
        <v>651818</v>
      </c>
      <c r="L549" t="s">
        <v>55</v>
      </c>
      <c r="M549" t="s">
        <v>56</v>
      </c>
      <c r="N549" t="s">
        <v>57</v>
      </c>
      <c r="O549" s="1">
        <v>46059</v>
      </c>
      <c r="Q549" s="1">
        <v>46148</v>
      </c>
      <c r="R549" s="2">
        <v>45.42</v>
      </c>
      <c r="S549">
        <v>1</v>
      </c>
      <c r="T549" t="s">
        <v>58</v>
      </c>
      <c r="U549" t="s">
        <v>173</v>
      </c>
      <c r="V549" s="4">
        <v>0.375</v>
      </c>
      <c r="W549" s="2">
        <v>0</v>
      </c>
      <c r="X549">
        <v>0</v>
      </c>
      <c r="Y549" t="s">
        <v>60</v>
      </c>
      <c r="Z549" t="s">
        <v>61</v>
      </c>
      <c r="AA549">
        <v>0</v>
      </c>
      <c r="AB549" s="2">
        <v>0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17.03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</row>
    <row r="550" spans="1:43" x14ac:dyDescent="0.3">
      <c r="A550" s="1">
        <v>46125</v>
      </c>
      <c r="B550" t="s">
        <v>48</v>
      </c>
      <c r="C550">
        <v>649163</v>
      </c>
      <c r="D550">
        <v>2033150196</v>
      </c>
      <c r="E550" t="s">
        <v>405</v>
      </c>
      <c r="F550" t="s">
        <v>406</v>
      </c>
      <c r="G550" t="s">
        <v>51</v>
      </c>
      <c r="H550" t="s">
        <v>103</v>
      </c>
      <c r="I550" t="s">
        <v>483</v>
      </c>
      <c r="J550" t="s">
        <v>484</v>
      </c>
      <c r="K550">
        <v>796984</v>
      </c>
      <c r="L550" t="s">
        <v>199</v>
      </c>
      <c r="M550" t="s">
        <v>200</v>
      </c>
      <c r="N550" t="s">
        <v>57</v>
      </c>
      <c r="O550" s="1">
        <v>46038</v>
      </c>
      <c r="Q550" s="1">
        <v>46158</v>
      </c>
      <c r="R550" s="2">
        <v>48.17</v>
      </c>
      <c r="S550">
        <v>1</v>
      </c>
      <c r="T550" t="s">
        <v>58</v>
      </c>
      <c r="U550" t="s">
        <v>173</v>
      </c>
      <c r="V550" s="4">
        <v>0.375</v>
      </c>
      <c r="W550" s="2">
        <v>0</v>
      </c>
      <c r="X550">
        <v>0</v>
      </c>
      <c r="Y550" t="s">
        <v>60</v>
      </c>
      <c r="Z550" t="s">
        <v>61</v>
      </c>
      <c r="AA550">
        <v>0</v>
      </c>
      <c r="AB550" s="2">
        <v>0</v>
      </c>
      <c r="AC550" s="2">
        <v>0</v>
      </c>
      <c r="AD550" s="3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18.059999999999999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</row>
    <row r="551" spans="1:43" x14ac:dyDescent="0.3">
      <c r="A551" s="1">
        <v>46125</v>
      </c>
      <c r="B551" t="s">
        <v>48</v>
      </c>
      <c r="C551">
        <v>649163</v>
      </c>
      <c r="D551">
        <v>2033164607</v>
      </c>
      <c r="E551" t="s">
        <v>409</v>
      </c>
      <c r="F551" t="s">
        <v>410</v>
      </c>
      <c r="G551" t="s">
        <v>51</v>
      </c>
      <c r="H551" t="s">
        <v>103</v>
      </c>
      <c r="I551" t="s">
        <v>483</v>
      </c>
      <c r="J551" t="s">
        <v>484</v>
      </c>
      <c r="K551">
        <v>816021</v>
      </c>
      <c r="L551" t="s">
        <v>104</v>
      </c>
      <c r="M551" t="s">
        <v>105</v>
      </c>
      <c r="N551" t="s">
        <v>57</v>
      </c>
      <c r="O551" s="1">
        <v>46038</v>
      </c>
      <c r="Q551" s="1">
        <v>46158</v>
      </c>
      <c r="R551" s="2">
        <v>30.49</v>
      </c>
      <c r="S551">
        <v>1</v>
      </c>
      <c r="T551" t="s">
        <v>58</v>
      </c>
      <c r="U551" t="s">
        <v>173</v>
      </c>
      <c r="V551" s="4">
        <v>0.375</v>
      </c>
      <c r="W551" s="2">
        <v>0</v>
      </c>
      <c r="X551">
        <v>0</v>
      </c>
      <c r="Y551" t="s">
        <v>60</v>
      </c>
      <c r="Z551" t="s">
        <v>61</v>
      </c>
      <c r="AA551">
        <v>0</v>
      </c>
      <c r="AB551" s="2">
        <v>0</v>
      </c>
      <c r="AC551" s="2">
        <v>0</v>
      </c>
      <c r="AD551" s="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11.43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</row>
    <row r="552" spans="1:43" x14ac:dyDescent="0.3">
      <c r="A552" s="1">
        <v>46125</v>
      </c>
      <c r="B552" t="s">
        <v>48</v>
      </c>
      <c r="C552">
        <v>649163</v>
      </c>
      <c r="D552">
        <v>2033170282</v>
      </c>
      <c r="E552" t="s">
        <v>866</v>
      </c>
      <c r="F552" t="s">
        <v>867</v>
      </c>
      <c r="G552" t="s">
        <v>51</v>
      </c>
      <c r="H552" t="s">
        <v>295</v>
      </c>
      <c r="I552" t="s">
        <v>483</v>
      </c>
      <c r="J552" t="s">
        <v>484</v>
      </c>
      <c r="K552">
        <v>767312</v>
      </c>
      <c r="L552" t="s">
        <v>134</v>
      </c>
      <c r="M552" t="s">
        <v>98</v>
      </c>
      <c r="N552" t="s">
        <v>57</v>
      </c>
      <c r="O552" s="1">
        <v>46038</v>
      </c>
      <c r="Q552" s="1">
        <v>46158</v>
      </c>
      <c r="R552" s="2">
        <v>33.89</v>
      </c>
      <c r="S552">
        <v>1</v>
      </c>
      <c r="T552" t="s">
        <v>58</v>
      </c>
      <c r="U552" t="s">
        <v>173</v>
      </c>
      <c r="V552" s="4">
        <v>0.375</v>
      </c>
      <c r="W552" s="2">
        <v>0</v>
      </c>
      <c r="X552">
        <v>0</v>
      </c>
      <c r="Y552" t="s">
        <v>60</v>
      </c>
      <c r="Z552" t="s">
        <v>61</v>
      </c>
      <c r="AA552">
        <v>0</v>
      </c>
      <c r="AB552" s="2">
        <v>0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12.71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</row>
    <row r="553" spans="1:43" x14ac:dyDescent="0.3">
      <c r="A553" s="1">
        <v>46125</v>
      </c>
      <c r="B553" t="s">
        <v>48</v>
      </c>
      <c r="C553">
        <v>649163</v>
      </c>
      <c r="D553">
        <v>2033174367</v>
      </c>
      <c r="E553" t="s">
        <v>418</v>
      </c>
      <c r="F553" t="s">
        <v>419</v>
      </c>
      <c r="G553" t="s">
        <v>51</v>
      </c>
      <c r="H553" t="s">
        <v>420</v>
      </c>
      <c r="I553" t="s">
        <v>483</v>
      </c>
      <c r="J553" t="s">
        <v>484</v>
      </c>
      <c r="K553">
        <v>816021</v>
      </c>
      <c r="L553" t="s">
        <v>104</v>
      </c>
      <c r="M553" t="s">
        <v>105</v>
      </c>
      <c r="N553" t="s">
        <v>57</v>
      </c>
      <c r="O553" s="1">
        <v>46038</v>
      </c>
      <c r="Q553" s="1">
        <v>46158</v>
      </c>
      <c r="R553" s="2">
        <v>50.81</v>
      </c>
      <c r="S553">
        <v>1</v>
      </c>
      <c r="T553" t="s">
        <v>58</v>
      </c>
      <c r="U553" t="s">
        <v>173</v>
      </c>
      <c r="V553" s="4">
        <v>0.375</v>
      </c>
      <c r="W553" s="2">
        <v>0</v>
      </c>
      <c r="X553">
        <v>0</v>
      </c>
      <c r="Y553" t="s">
        <v>60</v>
      </c>
      <c r="Z553" t="s">
        <v>61</v>
      </c>
      <c r="AA553">
        <v>0</v>
      </c>
      <c r="AB553" s="2">
        <v>0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19.05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</row>
    <row r="554" spans="1:43" x14ac:dyDescent="0.3">
      <c r="A554" s="1">
        <v>46125</v>
      </c>
      <c r="B554" t="s">
        <v>48</v>
      </c>
      <c r="C554">
        <v>649163</v>
      </c>
      <c r="D554">
        <v>2033174415</v>
      </c>
      <c r="E554" t="s">
        <v>594</v>
      </c>
      <c r="F554" t="s">
        <v>868</v>
      </c>
      <c r="G554" t="s">
        <v>51</v>
      </c>
      <c r="H554" t="s">
        <v>103</v>
      </c>
      <c r="I554" t="s">
        <v>483</v>
      </c>
      <c r="J554" t="s">
        <v>484</v>
      </c>
      <c r="K554">
        <v>796984</v>
      </c>
      <c r="L554" t="s">
        <v>199</v>
      </c>
      <c r="M554" t="s">
        <v>200</v>
      </c>
      <c r="N554" t="s">
        <v>57</v>
      </c>
      <c r="O554" s="1">
        <v>46039</v>
      </c>
      <c r="Q554" s="1">
        <v>46159</v>
      </c>
      <c r="R554" s="2">
        <v>192.66</v>
      </c>
      <c r="S554">
        <v>1</v>
      </c>
      <c r="T554" t="s">
        <v>58</v>
      </c>
      <c r="U554" t="s">
        <v>173</v>
      </c>
      <c r="V554" s="4">
        <v>0.375</v>
      </c>
      <c r="W554" s="2">
        <v>0</v>
      </c>
      <c r="X554">
        <v>0</v>
      </c>
      <c r="Y554" t="s">
        <v>60</v>
      </c>
      <c r="Z554" t="s">
        <v>61</v>
      </c>
      <c r="AA554">
        <v>0</v>
      </c>
      <c r="AB554" s="2">
        <v>0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72.25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</row>
    <row r="555" spans="1:43" x14ac:dyDescent="0.3">
      <c r="A555" s="1">
        <v>46125</v>
      </c>
      <c r="B555" t="s">
        <v>48</v>
      </c>
      <c r="C555">
        <v>649163</v>
      </c>
      <c r="D555">
        <v>2033176987</v>
      </c>
      <c r="E555" t="s">
        <v>421</v>
      </c>
      <c r="F555" t="s">
        <v>422</v>
      </c>
      <c r="G555" t="s">
        <v>51</v>
      </c>
      <c r="H555" t="s">
        <v>103</v>
      </c>
      <c r="I555" t="s">
        <v>483</v>
      </c>
      <c r="J555" t="s">
        <v>484</v>
      </c>
      <c r="K555">
        <v>816021</v>
      </c>
      <c r="L555" t="s">
        <v>104</v>
      </c>
      <c r="M555" t="s">
        <v>105</v>
      </c>
      <c r="N555" t="s">
        <v>57</v>
      </c>
      <c r="O555" s="1">
        <v>46038</v>
      </c>
      <c r="Q555" s="1">
        <v>46158</v>
      </c>
      <c r="R555" s="2">
        <v>99.33</v>
      </c>
      <c r="S555">
        <v>1</v>
      </c>
      <c r="T555" t="s">
        <v>58</v>
      </c>
      <c r="U555" t="s">
        <v>173</v>
      </c>
      <c r="V555" s="4">
        <v>0.375</v>
      </c>
      <c r="W555" s="2">
        <v>0</v>
      </c>
      <c r="X555">
        <v>0</v>
      </c>
      <c r="Y555" t="s">
        <v>60</v>
      </c>
      <c r="Z555" t="s">
        <v>61</v>
      </c>
      <c r="AA555">
        <v>0</v>
      </c>
      <c r="AB555" s="2">
        <v>0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37.25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</row>
    <row r="556" spans="1:43" x14ac:dyDescent="0.3">
      <c r="A556" s="1">
        <v>46125</v>
      </c>
      <c r="B556" t="s">
        <v>48</v>
      </c>
      <c r="C556">
        <v>649163</v>
      </c>
      <c r="D556">
        <v>2033190698</v>
      </c>
      <c r="E556" t="s">
        <v>427</v>
      </c>
      <c r="F556" t="s">
        <v>428</v>
      </c>
      <c r="G556" t="s">
        <v>51</v>
      </c>
      <c r="H556" t="s">
        <v>52</v>
      </c>
      <c r="I556" t="s">
        <v>483</v>
      </c>
      <c r="J556" t="s">
        <v>484</v>
      </c>
      <c r="K556">
        <v>878036</v>
      </c>
      <c r="L556" t="s">
        <v>156</v>
      </c>
      <c r="M556" t="s">
        <v>157</v>
      </c>
      <c r="N556" t="s">
        <v>57</v>
      </c>
      <c r="O556" s="1">
        <v>46039</v>
      </c>
      <c r="Q556" s="1">
        <v>46159</v>
      </c>
      <c r="R556" s="2">
        <v>54.95</v>
      </c>
      <c r="S556">
        <v>1</v>
      </c>
      <c r="T556" t="s">
        <v>58</v>
      </c>
      <c r="U556" t="s">
        <v>173</v>
      </c>
      <c r="V556" s="4">
        <v>0.375</v>
      </c>
      <c r="W556" s="2">
        <v>0</v>
      </c>
      <c r="X556">
        <v>0</v>
      </c>
      <c r="Y556" t="s">
        <v>60</v>
      </c>
      <c r="Z556" t="s">
        <v>61</v>
      </c>
      <c r="AA556">
        <v>0</v>
      </c>
      <c r="AB556" s="2">
        <v>0</v>
      </c>
      <c r="AC556" s="2">
        <v>0</v>
      </c>
      <c r="AD556" s="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20.61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</row>
    <row r="557" spans="1:43" x14ac:dyDescent="0.3">
      <c r="A557" s="1">
        <v>46125</v>
      </c>
      <c r="B557" t="s">
        <v>48</v>
      </c>
      <c r="C557">
        <v>649163</v>
      </c>
      <c r="D557">
        <v>2033375396</v>
      </c>
      <c r="E557" t="s">
        <v>435</v>
      </c>
      <c r="F557" t="s">
        <v>436</v>
      </c>
      <c r="G557" t="s">
        <v>51</v>
      </c>
      <c r="H557" t="s">
        <v>80</v>
      </c>
      <c r="I557" t="s">
        <v>483</v>
      </c>
      <c r="J557" t="s">
        <v>484</v>
      </c>
      <c r="K557">
        <v>806645</v>
      </c>
      <c r="L557" t="s">
        <v>262</v>
      </c>
      <c r="M557" t="s">
        <v>263</v>
      </c>
      <c r="N557" t="s">
        <v>57</v>
      </c>
      <c r="O557" s="1">
        <v>46054</v>
      </c>
      <c r="Q557" s="1">
        <v>46143</v>
      </c>
      <c r="R557" s="2">
        <v>374.42</v>
      </c>
      <c r="S557">
        <v>1</v>
      </c>
      <c r="T557" t="s">
        <v>58</v>
      </c>
      <c r="U557" t="s">
        <v>173</v>
      </c>
      <c r="V557" s="4">
        <v>0.375</v>
      </c>
      <c r="W557" s="2">
        <v>0</v>
      </c>
      <c r="X557">
        <v>0</v>
      </c>
      <c r="Y557" t="s">
        <v>60</v>
      </c>
      <c r="Z557" t="s">
        <v>61</v>
      </c>
      <c r="AA557">
        <v>0</v>
      </c>
      <c r="AB557" s="2">
        <v>0</v>
      </c>
      <c r="AC557" s="2">
        <v>0</v>
      </c>
      <c r="AD557" s="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140.41</v>
      </c>
      <c r="AN557" s="2">
        <v>140.41</v>
      </c>
      <c r="AO557" s="2">
        <v>0</v>
      </c>
      <c r="AP557" s="2">
        <v>0</v>
      </c>
      <c r="AQ557" s="2">
        <v>0</v>
      </c>
    </row>
    <row r="558" spans="1:43" x14ac:dyDescent="0.3">
      <c r="A558" s="1">
        <v>46125</v>
      </c>
      <c r="B558" t="s">
        <v>48</v>
      </c>
      <c r="C558">
        <v>649163</v>
      </c>
      <c r="D558">
        <v>2033585243</v>
      </c>
      <c r="E558" t="s">
        <v>439</v>
      </c>
      <c r="F558" t="s">
        <v>440</v>
      </c>
      <c r="G558" t="s">
        <v>51</v>
      </c>
      <c r="H558" t="s">
        <v>80</v>
      </c>
      <c r="I558" t="s">
        <v>483</v>
      </c>
      <c r="J558" t="s">
        <v>484</v>
      </c>
      <c r="K558">
        <v>840313</v>
      </c>
      <c r="L558" t="s">
        <v>441</v>
      </c>
      <c r="M558" t="s">
        <v>442</v>
      </c>
      <c r="N558" t="s">
        <v>57</v>
      </c>
      <c r="O558" s="1">
        <v>46064</v>
      </c>
      <c r="Q558" s="1">
        <v>46153</v>
      </c>
      <c r="R558" s="2">
        <v>78.760000000000005</v>
      </c>
      <c r="S558">
        <v>1</v>
      </c>
      <c r="T558" t="s">
        <v>58</v>
      </c>
      <c r="U558" t="s">
        <v>173</v>
      </c>
      <c r="V558" s="4">
        <v>0.375</v>
      </c>
      <c r="W558" s="2">
        <v>0</v>
      </c>
      <c r="X558">
        <v>0</v>
      </c>
      <c r="Y558" t="s">
        <v>60</v>
      </c>
      <c r="Z558" t="s">
        <v>61</v>
      </c>
      <c r="AA558">
        <v>0</v>
      </c>
      <c r="AB558" s="2">
        <v>0</v>
      </c>
      <c r="AC558" s="2">
        <v>0</v>
      </c>
      <c r="AD558" s="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29.54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</row>
    <row r="559" spans="1:43" x14ac:dyDescent="0.3">
      <c r="A559" s="1">
        <v>46125</v>
      </c>
      <c r="B559" t="s">
        <v>48</v>
      </c>
      <c r="C559">
        <v>649163</v>
      </c>
      <c r="D559">
        <v>2033598553</v>
      </c>
      <c r="E559" t="s">
        <v>869</v>
      </c>
      <c r="F559" t="s">
        <v>870</v>
      </c>
      <c r="G559" t="s">
        <v>51</v>
      </c>
      <c r="H559" t="s">
        <v>70</v>
      </c>
      <c r="I559" t="s">
        <v>483</v>
      </c>
      <c r="J559" t="s">
        <v>484</v>
      </c>
      <c r="K559">
        <v>767312</v>
      </c>
      <c r="L559" t="s">
        <v>134</v>
      </c>
      <c r="M559" t="s">
        <v>98</v>
      </c>
      <c r="N559" t="s">
        <v>57</v>
      </c>
      <c r="O559" s="1">
        <v>46068</v>
      </c>
      <c r="Q559" s="1">
        <v>46157</v>
      </c>
      <c r="R559" s="2">
        <v>84.23</v>
      </c>
      <c r="S559">
        <v>1</v>
      </c>
      <c r="T559" t="s">
        <v>58</v>
      </c>
      <c r="U559" t="s">
        <v>173</v>
      </c>
      <c r="V559" s="4">
        <v>0.375</v>
      </c>
      <c r="W559" s="2">
        <v>0</v>
      </c>
      <c r="X559">
        <v>0</v>
      </c>
      <c r="Y559" t="s">
        <v>60</v>
      </c>
      <c r="Z559" t="s">
        <v>61</v>
      </c>
      <c r="AA559">
        <v>0</v>
      </c>
      <c r="AB559" s="2">
        <v>0</v>
      </c>
      <c r="AC559" s="2">
        <v>0</v>
      </c>
      <c r="AD559" s="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31.59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</row>
    <row r="560" spans="1:43" x14ac:dyDescent="0.3">
      <c r="A560" s="1">
        <v>46125</v>
      </c>
      <c r="B560" t="s">
        <v>48</v>
      </c>
      <c r="C560">
        <v>649163</v>
      </c>
      <c r="D560">
        <v>2033720702</v>
      </c>
      <c r="E560" t="s">
        <v>631</v>
      </c>
      <c r="F560" t="s">
        <v>632</v>
      </c>
      <c r="G560" t="s">
        <v>51</v>
      </c>
      <c r="H560" t="s">
        <v>70</v>
      </c>
      <c r="I560" t="s">
        <v>483</v>
      </c>
      <c r="J560" t="s">
        <v>484</v>
      </c>
      <c r="K560">
        <v>902625</v>
      </c>
      <c r="L560" t="s">
        <v>281</v>
      </c>
      <c r="M560" t="s">
        <v>282</v>
      </c>
      <c r="N560" t="s">
        <v>57</v>
      </c>
      <c r="O560" s="1">
        <v>46081</v>
      </c>
      <c r="Q560" s="1">
        <v>46140</v>
      </c>
      <c r="R560" s="2">
        <v>39.58</v>
      </c>
      <c r="S560">
        <v>1</v>
      </c>
      <c r="T560" t="s">
        <v>58</v>
      </c>
      <c r="U560" t="s">
        <v>173</v>
      </c>
      <c r="V560" s="4">
        <v>0.375</v>
      </c>
      <c r="W560" s="2">
        <v>0</v>
      </c>
      <c r="X560">
        <v>0</v>
      </c>
      <c r="Y560" t="s">
        <v>60</v>
      </c>
      <c r="Z560" t="s">
        <v>61</v>
      </c>
      <c r="AA560">
        <v>0</v>
      </c>
      <c r="AB560" s="2">
        <v>0</v>
      </c>
      <c r="AC560" s="2">
        <v>0</v>
      </c>
      <c r="AD560" s="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14.84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</row>
    <row r="561" spans="1:43" x14ac:dyDescent="0.3">
      <c r="A561" s="1">
        <v>46125</v>
      </c>
      <c r="B561" t="s">
        <v>48</v>
      </c>
      <c r="C561">
        <v>649163</v>
      </c>
      <c r="D561">
        <v>2033874818</v>
      </c>
      <c r="E561" t="s">
        <v>633</v>
      </c>
      <c r="F561" t="s">
        <v>634</v>
      </c>
      <c r="G561" t="s">
        <v>51</v>
      </c>
      <c r="H561" t="s">
        <v>70</v>
      </c>
      <c r="I561" t="s">
        <v>483</v>
      </c>
      <c r="J561" t="s">
        <v>484</v>
      </c>
      <c r="K561">
        <v>673059</v>
      </c>
      <c r="L561" t="s">
        <v>115</v>
      </c>
      <c r="M561" t="s">
        <v>116</v>
      </c>
      <c r="N561" t="s">
        <v>57</v>
      </c>
      <c r="O561" s="1">
        <v>46097</v>
      </c>
      <c r="Q561" s="1">
        <v>46158</v>
      </c>
      <c r="R561" s="2">
        <v>61.4</v>
      </c>
      <c r="S561">
        <v>1</v>
      </c>
      <c r="T561" t="s">
        <v>58</v>
      </c>
      <c r="U561" t="s">
        <v>173</v>
      </c>
      <c r="V561" s="4">
        <v>0.375</v>
      </c>
      <c r="W561" s="2">
        <v>0</v>
      </c>
      <c r="X561">
        <v>0</v>
      </c>
      <c r="Y561" t="s">
        <v>60</v>
      </c>
      <c r="Z561" t="s">
        <v>61</v>
      </c>
      <c r="AA561">
        <v>0</v>
      </c>
      <c r="AB561" s="2">
        <v>0</v>
      </c>
      <c r="AC561" s="2">
        <v>0</v>
      </c>
      <c r="AD561" s="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23.02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</row>
    <row r="562" spans="1:43" x14ac:dyDescent="0.3">
      <c r="A562" s="1">
        <v>46125</v>
      </c>
      <c r="B562" t="s">
        <v>48</v>
      </c>
      <c r="C562">
        <v>649163</v>
      </c>
      <c r="D562">
        <v>2034099203</v>
      </c>
      <c r="E562" t="s">
        <v>676</v>
      </c>
      <c r="F562" t="s">
        <v>677</v>
      </c>
      <c r="G562" t="s">
        <v>51</v>
      </c>
      <c r="H562" t="s">
        <v>80</v>
      </c>
      <c r="I562" t="s">
        <v>483</v>
      </c>
      <c r="J562" t="s">
        <v>484</v>
      </c>
      <c r="K562">
        <v>669316</v>
      </c>
      <c r="L562" t="s">
        <v>655</v>
      </c>
      <c r="M562" t="s">
        <v>656</v>
      </c>
      <c r="N562" t="s">
        <v>57</v>
      </c>
      <c r="O562" s="1">
        <v>46085</v>
      </c>
      <c r="Q562" s="1">
        <v>46146</v>
      </c>
      <c r="R562" s="2">
        <v>54.7</v>
      </c>
      <c r="S562">
        <v>1</v>
      </c>
      <c r="T562" t="s">
        <v>58</v>
      </c>
      <c r="U562" t="s">
        <v>173</v>
      </c>
      <c r="V562" s="4">
        <v>0.375</v>
      </c>
      <c r="W562" s="2">
        <v>0</v>
      </c>
      <c r="X562">
        <v>0</v>
      </c>
      <c r="Y562" t="s">
        <v>60</v>
      </c>
      <c r="Z562" t="s">
        <v>61</v>
      </c>
      <c r="AA562">
        <v>0</v>
      </c>
      <c r="AB562" s="2">
        <v>0</v>
      </c>
      <c r="AC562" s="2">
        <v>0</v>
      </c>
      <c r="AD562" s="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20.51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</row>
    <row r="563" spans="1:43" x14ac:dyDescent="0.3">
      <c r="A563" s="1">
        <v>46125</v>
      </c>
      <c r="B563" t="s">
        <v>48</v>
      </c>
      <c r="C563">
        <v>649163</v>
      </c>
      <c r="D563">
        <v>2034234840</v>
      </c>
      <c r="E563" t="s">
        <v>636</v>
      </c>
      <c r="F563" t="s">
        <v>637</v>
      </c>
      <c r="G563" t="s">
        <v>51</v>
      </c>
      <c r="H563" t="s">
        <v>103</v>
      </c>
      <c r="I563" t="s">
        <v>483</v>
      </c>
      <c r="J563" t="s">
        <v>484</v>
      </c>
      <c r="K563">
        <v>816021</v>
      </c>
      <c r="L563" t="s">
        <v>104</v>
      </c>
      <c r="M563" t="s">
        <v>105</v>
      </c>
      <c r="N563" t="s">
        <v>57</v>
      </c>
      <c r="O563" s="1">
        <v>46096</v>
      </c>
      <c r="Q563" s="1">
        <v>46157</v>
      </c>
      <c r="R563" s="2">
        <v>48.17</v>
      </c>
      <c r="S563">
        <v>1</v>
      </c>
      <c r="T563" t="s">
        <v>58</v>
      </c>
      <c r="U563" t="s">
        <v>173</v>
      </c>
      <c r="V563" s="4">
        <v>0.375</v>
      </c>
      <c r="W563" s="2">
        <v>0</v>
      </c>
      <c r="X563">
        <v>0</v>
      </c>
      <c r="Y563" t="s">
        <v>60</v>
      </c>
      <c r="Z563" t="s">
        <v>61</v>
      </c>
      <c r="AA563">
        <v>0</v>
      </c>
      <c r="AB563" s="2">
        <v>0</v>
      </c>
      <c r="AC563" s="2">
        <v>0</v>
      </c>
      <c r="AD563" s="3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18.059999999999999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</row>
    <row r="564" spans="1:43" x14ac:dyDescent="0.3">
      <c r="A564" s="1">
        <v>46125</v>
      </c>
      <c r="B564" t="s">
        <v>48</v>
      </c>
      <c r="C564">
        <v>649163</v>
      </c>
      <c r="D564">
        <v>2034253788</v>
      </c>
      <c r="E564" t="s">
        <v>638</v>
      </c>
      <c r="F564" t="s">
        <v>227</v>
      </c>
      <c r="G564" t="s">
        <v>51</v>
      </c>
      <c r="H564" t="s">
        <v>103</v>
      </c>
      <c r="I564" t="s">
        <v>483</v>
      </c>
      <c r="J564" t="s">
        <v>484</v>
      </c>
      <c r="K564">
        <v>816021</v>
      </c>
      <c r="L564" t="s">
        <v>104</v>
      </c>
      <c r="M564" t="s">
        <v>105</v>
      </c>
      <c r="N564" t="s">
        <v>57</v>
      </c>
      <c r="O564" s="1">
        <v>46092</v>
      </c>
      <c r="Q564" s="1">
        <v>46153</v>
      </c>
      <c r="R564" s="2">
        <v>64.84</v>
      </c>
      <c r="S564">
        <v>1</v>
      </c>
      <c r="T564" t="s">
        <v>58</v>
      </c>
      <c r="U564" t="s">
        <v>173</v>
      </c>
      <c r="V564" s="4">
        <v>0.375</v>
      </c>
      <c r="W564" s="2">
        <v>0</v>
      </c>
      <c r="X564">
        <v>0</v>
      </c>
      <c r="Y564" t="s">
        <v>60</v>
      </c>
      <c r="Z564" t="s">
        <v>61</v>
      </c>
      <c r="AA564">
        <v>0</v>
      </c>
      <c r="AB564" s="2">
        <v>0</v>
      </c>
      <c r="AC564" s="2">
        <v>0</v>
      </c>
      <c r="AD564" s="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24.32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</row>
    <row r="565" spans="1:43" x14ac:dyDescent="0.3">
      <c r="A565" s="1">
        <v>46125</v>
      </c>
      <c r="B565" t="s">
        <v>48</v>
      </c>
      <c r="C565">
        <v>649163</v>
      </c>
      <c r="D565">
        <v>2034260108</v>
      </c>
      <c r="E565" t="s">
        <v>640</v>
      </c>
      <c r="F565" t="s">
        <v>641</v>
      </c>
      <c r="G565" t="s">
        <v>51</v>
      </c>
      <c r="H565" t="s">
        <v>103</v>
      </c>
      <c r="I565" t="s">
        <v>483</v>
      </c>
      <c r="J565" t="s">
        <v>484</v>
      </c>
      <c r="K565">
        <v>824082</v>
      </c>
      <c r="L565" t="s">
        <v>150</v>
      </c>
      <c r="M565" t="s">
        <v>151</v>
      </c>
      <c r="N565" t="s">
        <v>57</v>
      </c>
      <c r="O565" s="1">
        <v>46096</v>
      </c>
      <c r="Q565" s="1">
        <v>46157</v>
      </c>
      <c r="R565" s="2">
        <v>64.84</v>
      </c>
      <c r="S565">
        <v>1</v>
      </c>
      <c r="T565" t="s">
        <v>58</v>
      </c>
      <c r="U565" t="s">
        <v>173</v>
      </c>
      <c r="V565" s="4">
        <v>0.375</v>
      </c>
      <c r="W565" s="2">
        <v>0</v>
      </c>
      <c r="X565">
        <v>0</v>
      </c>
      <c r="Y565" t="s">
        <v>60</v>
      </c>
      <c r="Z565" t="s">
        <v>61</v>
      </c>
      <c r="AA565">
        <v>0</v>
      </c>
      <c r="AB565" s="2">
        <v>0</v>
      </c>
      <c r="AC565" s="2">
        <v>0</v>
      </c>
      <c r="AD565" s="3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24.32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</row>
    <row r="566" spans="1:43" x14ac:dyDescent="0.3">
      <c r="A566" s="1">
        <v>46125</v>
      </c>
      <c r="B566" t="s">
        <v>48</v>
      </c>
      <c r="C566">
        <v>649163</v>
      </c>
      <c r="D566">
        <v>2034262726</v>
      </c>
      <c r="E566" t="s">
        <v>871</v>
      </c>
      <c r="F566" t="s">
        <v>818</v>
      </c>
      <c r="G566" t="s">
        <v>51</v>
      </c>
      <c r="H566" t="s">
        <v>114</v>
      </c>
      <c r="I566" t="s">
        <v>483</v>
      </c>
      <c r="J566" t="s">
        <v>484</v>
      </c>
      <c r="K566">
        <v>673059</v>
      </c>
      <c r="L566" t="s">
        <v>115</v>
      </c>
      <c r="M566" t="s">
        <v>116</v>
      </c>
      <c r="N566" t="s">
        <v>57</v>
      </c>
      <c r="O566" s="1">
        <v>46092</v>
      </c>
      <c r="Q566" s="1">
        <v>46153</v>
      </c>
      <c r="R566" s="2">
        <v>40.409999999999997</v>
      </c>
      <c r="S566">
        <v>1</v>
      </c>
      <c r="T566" t="s">
        <v>58</v>
      </c>
      <c r="U566" t="s">
        <v>173</v>
      </c>
      <c r="V566" s="4">
        <v>0.375</v>
      </c>
      <c r="W566" s="2">
        <v>0</v>
      </c>
      <c r="X566">
        <v>0</v>
      </c>
      <c r="Y566" t="s">
        <v>60</v>
      </c>
      <c r="Z566" t="s">
        <v>61</v>
      </c>
      <c r="AA566">
        <v>0</v>
      </c>
      <c r="AB566" s="2">
        <v>0</v>
      </c>
      <c r="AC566" s="2">
        <v>0</v>
      </c>
      <c r="AD566" s="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15.15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</row>
    <row r="567" spans="1:43" x14ac:dyDescent="0.3">
      <c r="A567" s="1">
        <v>46125</v>
      </c>
      <c r="B567" t="s">
        <v>48</v>
      </c>
      <c r="C567">
        <v>649163</v>
      </c>
      <c r="D567">
        <v>2034304900</v>
      </c>
      <c r="E567" t="s">
        <v>688</v>
      </c>
      <c r="F567" t="s">
        <v>147</v>
      </c>
      <c r="G567" t="s">
        <v>51</v>
      </c>
      <c r="H567" t="s">
        <v>70</v>
      </c>
      <c r="I567" t="s">
        <v>483</v>
      </c>
      <c r="J567" t="s">
        <v>484</v>
      </c>
      <c r="K567">
        <v>875334</v>
      </c>
      <c r="L567" t="s">
        <v>195</v>
      </c>
      <c r="M567" t="s">
        <v>196</v>
      </c>
      <c r="N567" t="s">
        <v>57</v>
      </c>
      <c r="O567" s="1">
        <v>46094</v>
      </c>
      <c r="Q567" s="1">
        <v>46155</v>
      </c>
      <c r="R567" s="2">
        <v>83.15</v>
      </c>
      <c r="S567">
        <v>1</v>
      </c>
      <c r="T567" t="s">
        <v>58</v>
      </c>
      <c r="U567" t="s">
        <v>173</v>
      </c>
      <c r="V567" s="4">
        <v>0.375</v>
      </c>
      <c r="W567" s="2">
        <v>0</v>
      </c>
      <c r="X567">
        <v>0</v>
      </c>
      <c r="Y567" t="s">
        <v>60</v>
      </c>
      <c r="Z567" t="s">
        <v>61</v>
      </c>
      <c r="AA567">
        <v>0</v>
      </c>
      <c r="AB567" s="2">
        <v>0</v>
      </c>
      <c r="AC567" s="2">
        <v>0</v>
      </c>
      <c r="AD567" s="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31.18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</row>
    <row r="568" spans="1:43" x14ac:dyDescent="0.3">
      <c r="A568" s="1">
        <v>46125</v>
      </c>
      <c r="B568" t="s">
        <v>48</v>
      </c>
      <c r="C568">
        <v>649163</v>
      </c>
      <c r="D568">
        <v>2034306133</v>
      </c>
      <c r="E568" t="s">
        <v>642</v>
      </c>
      <c r="F568" t="s">
        <v>175</v>
      </c>
      <c r="G568" t="s">
        <v>51</v>
      </c>
      <c r="H568" t="s">
        <v>64</v>
      </c>
      <c r="I568" t="s">
        <v>483</v>
      </c>
      <c r="J568" t="s">
        <v>484</v>
      </c>
      <c r="K568">
        <v>651818</v>
      </c>
      <c r="L568" t="s">
        <v>55</v>
      </c>
      <c r="M568" t="s">
        <v>56</v>
      </c>
      <c r="N568" t="s">
        <v>57</v>
      </c>
      <c r="O568" s="1">
        <v>46094</v>
      </c>
      <c r="Q568" s="1">
        <v>46155</v>
      </c>
      <c r="R568" s="2">
        <v>53.44</v>
      </c>
      <c r="S568">
        <v>1</v>
      </c>
      <c r="T568" t="s">
        <v>58</v>
      </c>
      <c r="U568" t="s">
        <v>173</v>
      </c>
      <c r="V568" s="4">
        <v>0.375</v>
      </c>
      <c r="W568" s="2">
        <v>0</v>
      </c>
      <c r="X568">
        <v>0</v>
      </c>
      <c r="Y568" t="s">
        <v>60</v>
      </c>
      <c r="Z568" t="s">
        <v>61</v>
      </c>
      <c r="AA568">
        <v>0</v>
      </c>
      <c r="AB568" s="2">
        <v>0</v>
      </c>
      <c r="AC568" s="2">
        <v>0</v>
      </c>
      <c r="AD568" s="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20.04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</row>
    <row r="569" spans="1:43" x14ac:dyDescent="0.3">
      <c r="A569" s="1">
        <v>46125</v>
      </c>
      <c r="B569" t="s">
        <v>48</v>
      </c>
      <c r="C569">
        <v>649163</v>
      </c>
      <c r="D569">
        <v>2034343274</v>
      </c>
      <c r="E569" t="s">
        <v>872</v>
      </c>
      <c r="F569" t="s">
        <v>175</v>
      </c>
      <c r="G569" t="s">
        <v>51</v>
      </c>
      <c r="H569" t="s">
        <v>52</v>
      </c>
      <c r="I569" t="s">
        <v>483</v>
      </c>
      <c r="J569" t="s">
        <v>484</v>
      </c>
      <c r="K569">
        <v>767312</v>
      </c>
      <c r="L569" t="s">
        <v>134</v>
      </c>
      <c r="M569" t="s">
        <v>98</v>
      </c>
      <c r="N569" t="s">
        <v>57</v>
      </c>
      <c r="O569" s="1">
        <v>46095</v>
      </c>
      <c r="Q569" s="1">
        <v>46156</v>
      </c>
      <c r="R569" s="2">
        <v>28.87</v>
      </c>
      <c r="S569">
        <v>1</v>
      </c>
      <c r="T569" t="s">
        <v>58</v>
      </c>
      <c r="U569" t="s">
        <v>173</v>
      </c>
      <c r="V569" s="4">
        <v>0.375</v>
      </c>
      <c r="W569" s="2">
        <v>0</v>
      </c>
      <c r="X569">
        <v>0</v>
      </c>
      <c r="Y569" t="s">
        <v>60</v>
      </c>
      <c r="Z569" t="s">
        <v>61</v>
      </c>
      <c r="AA569">
        <v>0</v>
      </c>
      <c r="AB569" s="2">
        <v>0</v>
      </c>
      <c r="AC569" s="2">
        <v>0</v>
      </c>
      <c r="AD569" s="3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10.83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</row>
    <row r="570" spans="1:43" x14ac:dyDescent="0.3">
      <c r="A570" s="1">
        <v>46125</v>
      </c>
      <c r="B570" t="s">
        <v>48</v>
      </c>
      <c r="C570">
        <v>649163</v>
      </c>
      <c r="D570">
        <v>2034375766</v>
      </c>
      <c r="E570" t="s">
        <v>643</v>
      </c>
      <c r="F570" t="s">
        <v>202</v>
      </c>
      <c r="G570" t="s">
        <v>51</v>
      </c>
      <c r="H570" t="s">
        <v>644</v>
      </c>
      <c r="I570" t="s">
        <v>483</v>
      </c>
      <c r="J570" t="s">
        <v>484</v>
      </c>
      <c r="K570">
        <v>673059</v>
      </c>
      <c r="L570" t="s">
        <v>115</v>
      </c>
      <c r="M570" t="s">
        <v>116</v>
      </c>
      <c r="N570" t="s">
        <v>57</v>
      </c>
      <c r="O570" s="1">
        <v>46098</v>
      </c>
      <c r="Q570" s="1">
        <v>46159</v>
      </c>
      <c r="R570" s="2">
        <v>28.91</v>
      </c>
      <c r="S570">
        <v>1</v>
      </c>
      <c r="T570" t="s">
        <v>58</v>
      </c>
      <c r="U570" t="s">
        <v>173</v>
      </c>
      <c r="V570" s="4">
        <v>0.375</v>
      </c>
      <c r="W570" s="2">
        <v>0</v>
      </c>
      <c r="X570">
        <v>0</v>
      </c>
      <c r="Y570" t="s">
        <v>60</v>
      </c>
      <c r="Z570" t="s">
        <v>61</v>
      </c>
      <c r="AA570">
        <v>0</v>
      </c>
      <c r="AB570" s="2">
        <v>0</v>
      </c>
      <c r="AC570" s="2">
        <v>0</v>
      </c>
      <c r="AD570" s="3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10.84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</row>
    <row r="571" spans="1:43" x14ac:dyDescent="0.3">
      <c r="A571" s="1">
        <v>46125</v>
      </c>
      <c r="B571" t="s">
        <v>48</v>
      </c>
      <c r="C571">
        <v>649163</v>
      </c>
      <c r="D571">
        <v>2034430400</v>
      </c>
      <c r="E571" t="s">
        <v>646</v>
      </c>
      <c r="F571" t="s">
        <v>548</v>
      </c>
      <c r="G571" t="s">
        <v>51</v>
      </c>
      <c r="H571" t="s">
        <v>114</v>
      </c>
      <c r="I571" t="s">
        <v>483</v>
      </c>
      <c r="J571" t="s">
        <v>484</v>
      </c>
      <c r="K571">
        <v>673059</v>
      </c>
      <c r="L571" t="s">
        <v>115</v>
      </c>
      <c r="M571" t="s">
        <v>116</v>
      </c>
      <c r="N571" t="s">
        <v>86</v>
      </c>
      <c r="O571" s="1">
        <v>46113</v>
      </c>
      <c r="P571" s="1">
        <v>46125</v>
      </c>
      <c r="Q571" s="1">
        <v>46143</v>
      </c>
      <c r="R571" s="2">
        <v>-25.89</v>
      </c>
      <c r="S571">
        <v>1</v>
      </c>
      <c r="T571" t="s">
        <v>58</v>
      </c>
      <c r="U571" t="s">
        <v>173</v>
      </c>
      <c r="V571" s="4">
        <v>0.375</v>
      </c>
      <c r="W571" s="2">
        <v>0</v>
      </c>
      <c r="X571">
        <v>-1</v>
      </c>
      <c r="Y571" t="s">
        <v>60</v>
      </c>
      <c r="Z571" t="s">
        <v>61</v>
      </c>
      <c r="AA571">
        <v>0</v>
      </c>
      <c r="AB571" s="2">
        <v>0</v>
      </c>
      <c r="AC571" s="2">
        <v>0</v>
      </c>
      <c r="AD571" s="3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-9.7100000000000009</v>
      </c>
      <c r="AN571" s="2">
        <v>-9.7100000000000009</v>
      </c>
      <c r="AO571" s="2">
        <v>0</v>
      </c>
      <c r="AP571" s="2">
        <v>0</v>
      </c>
      <c r="AQ571" s="2">
        <v>0</v>
      </c>
    </row>
    <row r="572" spans="1:43" x14ac:dyDescent="0.3">
      <c r="A572" s="1">
        <v>46125</v>
      </c>
      <c r="B572" t="s">
        <v>48</v>
      </c>
      <c r="C572">
        <v>649163</v>
      </c>
      <c r="D572">
        <v>2023461092</v>
      </c>
      <c r="E572" t="s">
        <v>532</v>
      </c>
      <c r="F572" t="s">
        <v>358</v>
      </c>
      <c r="G572" t="s">
        <v>51</v>
      </c>
      <c r="H572" t="s">
        <v>256</v>
      </c>
      <c r="I572" t="s">
        <v>499</v>
      </c>
      <c r="J572" t="s">
        <v>502</v>
      </c>
      <c r="K572">
        <v>751867</v>
      </c>
      <c r="L572" t="s">
        <v>535</v>
      </c>
      <c r="M572" t="s">
        <v>149</v>
      </c>
      <c r="N572" t="s">
        <v>57</v>
      </c>
      <c r="O572" s="1">
        <v>45474</v>
      </c>
      <c r="Q572" s="1">
        <v>46143</v>
      </c>
      <c r="R572" s="2">
        <v>53.16</v>
      </c>
      <c r="S572">
        <v>1</v>
      </c>
      <c r="T572" t="s">
        <v>58</v>
      </c>
      <c r="U572" t="s">
        <v>59</v>
      </c>
      <c r="V572" s="3">
        <v>0.1</v>
      </c>
      <c r="W572" s="2">
        <v>0</v>
      </c>
      <c r="X572">
        <v>0</v>
      </c>
      <c r="Y572" t="s">
        <v>536</v>
      </c>
      <c r="Z572" t="s">
        <v>61</v>
      </c>
      <c r="AA572">
        <v>0</v>
      </c>
      <c r="AB572" s="2">
        <v>0</v>
      </c>
      <c r="AC572" s="2">
        <v>0</v>
      </c>
      <c r="AD572" s="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5.32</v>
      </c>
      <c r="AN572" s="2">
        <v>5.32</v>
      </c>
      <c r="AO572" s="2">
        <v>0</v>
      </c>
      <c r="AP572" s="2">
        <v>0</v>
      </c>
      <c r="AQ572" s="2">
        <v>0</v>
      </c>
    </row>
    <row r="573" spans="1:43" x14ac:dyDescent="0.3">
      <c r="A573" s="1">
        <v>46125</v>
      </c>
      <c r="B573" t="s">
        <v>48</v>
      </c>
      <c r="C573">
        <v>649163</v>
      </c>
      <c r="D573">
        <v>2023499224</v>
      </c>
      <c r="E573" t="s">
        <v>537</v>
      </c>
      <c r="F573" t="s">
        <v>112</v>
      </c>
      <c r="G573" t="s">
        <v>51</v>
      </c>
      <c r="H573" t="s">
        <v>141</v>
      </c>
      <c r="I573" t="s">
        <v>499</v>
      </c>
      <c r="J573" t="s">
        <v>502</v>
      </c>
      <c r="K573">
        <v>751867</v>
      </c>
      <c r="L573" t="s">
        <v>535</v>
      </c>
      <c r="M573" t="s">
        <v>149</v>
      </c>
      <c r="N573" t="s">
        <v>57</v>
      </c>
      <c r="O573" s="1">
        <v>45456</v>
      </c>
      <c r="Q573" s="1">
        <v>46155</v>
      </c>
      <c r="R573" s="2">
        <v>28.12</v>
      </c>
      <c r="S573">
        <v>1</v>
      </c>
      <c r="T573" t="s">
        <v>58</v>
      </c>
      <c r="U573" t="s">
        <v>59</v>
      </c>
      <c r="V573" s="3">
        <v>0.1</v>
      </c>
      <c r="W573" s="2">
        <v>0</v>
      </c>
      <c r="X573">
        <v>0</v>
      </c>
      <c r="Y573" t="s">
        <v>536</v>
      </c>
      <c r="Z573" t="s">
        <v>61</v>
      </c>
      <c r="AA573">
        <v>0</v>
      </c>
      <c r="AB573" s="2">
        <v>0</v>
      </c>
      <c r="AC573" s="2">
        <v>0</v>
      </c>
      <c r="AD573" s="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2.81</v>
      </c>
      <c r="AN573" s="2">
        <v>2.81</v>
      </c>
      <c r="AO573" s="2">
        <v>0</v>
      </c>
      <c r="AP573" s="2">
        <v>0</v>
      </c>
      <c r="AQ573" s="2">
        <v>0</v>
      </c>
    </row>
    <row r="574" spans="1:43" x14ac:dyDescent="0.3">
      <c r="A574" s="1">
        <v>46125</v>
      </c>
      <c r="B574" t="s">
        <v>48</v>
      </c>
      <c r="C574">
        <v>649163</v>
      </c>
      <c r="D574">
        <v>2023509943</v>
      </c>
      <c r="E574" t="s">
        <v>538</v>
      </c>
      <c r="F574" t="s">
        <v>539</v>
      </c>
      <c r="G574" t="s">
        <v>51</v>
      </c>
      <c r="H574" t="s">
        <v>256</v>
      </c>
      <c r="I574" t="s">
        <v>499</v>
      </c>
      <c r="J574" t="s">
        <v>502</v>
      </c>
      <c r="K574">
        <v>751867</v>
      </c>
      <c r="L574" t="s">
        <v>535</v>
      </c>
      <c r="M574" t="s">
        <v>149</v>
      </c>
      <c r="N574" t="s">
        <v>57</v>
      </c>
      <c r="O574" s="1">
        <v>45457</v>
      </c>
      <c r="Q574" s="1">
        <v>46156</v>
      </c>
      <c r="R574" s="2">
        <v>55.16</v>
      </c>
      <c r="S574">
        <v>1</v>
      </c>
      <c r="T574" t="s">
        <v>58</v>
      </c>
      <c r="U574" t="s">
        <v>59</v>
      </c>
      <c r="V574" s="3">
        <v>0.1</v>
      </c>
      <c r="W574" s="2">
        <v>0</v>
      </c>
      <c r="X574">
        <v>0</v>
      </c>
      <c r="Y574" t="s">
        <v>536</v>
      </c>
      <c r="Z574" t="s">
        <v>61</v>
      </c>
      <c r="AA574">
        <v>0</v>
      </c>
      <c r="AB574" s="2">
        <v>0</v>
      </c>
      <c r="AC574" s="2">
        <v>0</v>
      </c>
      <c r="AD574" s="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5.52</v>
      </c>
      <c r="AN574" s="2">
        <v>5.52</v>
      </c>
      <c r="AO574" s="2">
        <v>0</v>
      </c>
      <c r="AP574" s="2">
        <v>0</v>
      </c>
      <c r="AQ574" s="2">
        <v>0</v>
      </c>
    </row>
    <row r="575" spans="1:43" x14ac:dyDescent="0.3">
      <c r="A575" s="1">
        <v>46125</v>
      </c>
      <c r="B575" t="s">
        <v>48</v>
      </c>
      <c r="C575">
        <v>649163</v>
      </c>
      <c r="D575">
        <v>2023510923</v>
      </c>
      <c r="E575" t="s">
        <v>541</v>
      </c>
      <c r="F575" t="s">
        <v>419</v>
      </c>
      <c r="G575" t="s">
        <v>51</v>
      </c>
      <c r="H575" t="s">
        <v>256</v>
      </c>
      <c r="I575" t="s">
        <v>499</v>
      </c>
      <c r="J575" t="s">
        <v>502</v>
      </c>
      <c r="K575">
        <v>751867</v>
      </c>
      <c r="L575" t="s">
        <v>535</v>
      </c>
      <c r="M575" t="s">
        <v>149</v>
      </c>
      <c r="N575" t="s">
        <v>57</v>
      </c>
      <c r="O575" s="1">
        <v>45457</v>
      </c>
      <c r="Q575" s="1">
        <v>46156</v>
      </c>
      <c r="R575" s="2">
        <v>55.16</v>
      </c>
      <c r="S575">
        <v>1</v>
      </c>
      <c r="T575" t="s">
        <v>58</v>
      </c>
      <c r="U575" t="s">
        <v>59</v>
      </c>
      <c r="V575" s="3">
        <v>0.1</v>
      </c>
      <c r="W575" s="2">
        <v>0</v>
      </c>
      <c r="X575">
        <v>0</v>
      </c>
      <c r="Y575" t="s">
        <v>536</v>
      </c>
      <c r="Z575" t="s">
        <v>61</v>
      </c>
      <c r="AA575">
        <v>0</v>
      </c>
      <c r="AB575" s="2">
        <v>0</v>
      </c>
      <c r="AC575" s="2">
        <v>0</v>
      </c>
      <c r="AD575" s="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5.52</v>
      </c>
      <c r="AN575" s="2">
        <v>5.52</v>
      </c>
      <c r="AO575" s="2">
        <v>0</v>
      </c>
      <c r="AP575" s="2">
        <v>0</v>
      </c>
      <c r="AQ575" s="2">
        <v>0</v>
      </c>
    </row>
    <row r="576" spans="1:43" x14ac:dyDescent="0.3">
      <c r="A576" s="1">
        <v>46125</v>
      </c>
      <c r="B576" t="s">
        <v>48</v>
      </c>
      <c r="C576">
        <v>649163</v>
      </c>
      <c r="D576">
        <v>2023867555</v>
      </c>
      <c r="E576" t="s">
        <v>56</v>
      </c>
      <c r="F576" t="s">
        <v>651</v>
      </c>
      <c r="G576" t="s">
        <v>51</v>
      </c>
      <c r="H576" t="s">
        <v>256</v>
      </c>
      <c r="I576" t="s">
        <v>499</v>
      </c>
      <c r="J576" t="s">
        <v>502</v>
      </c>
      <c r="K576">
        <v>650218</v>
      </c>
      <c r="L576" t="s">
        <v>544</v>
      </c>
      <c r="M576" t="s">
        <v>324</v>
      </c>
      <c r="N576" t="s">
        <v>57</v>
      </c>
      <c r="O576" s="1">
        <v>45483</v>
      </c>
      <c r="Q576" s="1">
        <v>46152</v>
      </c>
      <c r="R576" s="2">
        <v>53.16</v>
      </c>
      <c r="S576">
        <v>1</v>
      </c>
      <c r="T576" t="s">
        <v>58</v>
      </c>
      <c r="U576" t="s">
        <v>59</v>
      </c>
      <c r="V576" s="3">
        <v>0.1</v>
      </c>
      <c r="W576" s="2">
        <v>0</v>
      </c>
      <c r="X576">
        <v>0</v>
      </c>
      <c r="Y576" t="s">
        <v>536</v>
      </c>
      <c r="Z576" t="s">
        <v>61</v>
      </c>
      <c r="AA576">
        <v>0</v>
      </c>
      <c r="AB576" s="2">
        <v>0</v>
      </c>
      <c r="AC576" s="2">
        <v>0</v>
      </c>
      <c r="AD576" s="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5.32</v>
      </c>
      <c r="AN576" s="2">
        <v>5.32</v>
      </c>
      <c r="AO576" s="2">
        <v>0</v>
      </c>
      <c r="AP576" s="2">
        <v>0</v>
      </c>
      <c r="AQ576" s="2">
        <v>0</v>
      </c>
    </row>
    <row r="577" spans="1:43" x14ac:dyDescent="0.3">
      <c r="A577" s="1">
        <v>46125</v>
      </c>
      <c r="B577" t="s">
        <v>48</v>
      </c>
      <c r="C577">
        <v>649163</v>
      </c>
      <c r="D577">
        <v>2024382705</v>
      </c>
      <c r="E577" t="s">
        <v>542</v>
      </c>
      <c r="F577" t="s">
        <v>543</v>
      </c>
      <c r="G577" t="s">
        <v>51</v>
      </c>
      <c r="H577" t="s">
        <v>256</v>
      </c>
      <c r="I577" t="s">
        <v>499</v>
      </c>
      <c r="J577" t="s">
        <v>502</v>
      </c>
      <c r="K577">
        <v>650218</v>
      </c>
      <c r="L577" t="s">
        <v>544</v>
      </c>
      <c r="M577" t="s">
        <v>324</v>
      </c>
      <c r="N577" t="s">
        <v>57</v>
      </c>
      <c r="O577" s="1">
        <v>45519</v>
      </c>
      <c r="Q577" s="1">
        <v>46157</v>
      </c>
      <c r="R577" s="2">
        <v>27.15</v>
      </c>
      <c r="S577">
        <v>1</v>
      </c>
      <c r="T577" t="s">
        <v>58</v>
      </c>
      <c r="U577" t="s">
        <v>59</v>
      </c>
      <c r="V577" s="3">
        <v>0.1</v>
      </c>
      <c r="W577" s="2">
        <v>0</v>
      </c>
      <c r="X577">
        <v>0</v>
      </c>
      <c r="Y577" t="s">
        <v>536</v>
      </c>
      <c r="Z577" t="s">
        <v>61</v>
      </c>
      <c r="AA577">
        <v>0</v>
      </c>
      <c r="AB577" s="2">
        <v>0</v>
      </c>
      <c r="AC577" s="2">
        <v>0</v>
      </c>
      <c r="AD577" s="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2.72</v>
      </c>
      <c r="AN577" s="2">
        <v>2.72</v>
      </c>
      <c r="AO577" s="2">
        <v>0</v>
      </c>
      <c r="AP577" s="2">
        <v>0</v>
      </c>
      <c r="AQ577" s="2">
        <v>0</v>
      </c>
    </row>
    <row r="578" spans="1:43" x14ac:dyDescent="0.3">
      <c r="A578" s="1">
        <v>46125</v>
      </c>
      <c r="B578" t="s">
        <v>48</v>
      </c>
      <c r="C578">
        <v>649163</v>
      </c>
      <c r="D578">
        <v>2024853074</v>
      </c>
      <c r="E578" t="s">
        <v>657</v>
      </c>
      <c r="F578" t="s">
        <v>658</v>
      </c>
      <c r="G578" t="s">
        <v>51</v>
      </c>
      <c r="H578" t="s">
        <v>52</v>
      </c>
      <c r="I578" t="s">
        <v>499</v>
      </c>
      <c r="J578" t="s">
        <v>502</v>
      </c>
      <c r="K578">
        <v>650218</v>
      </c>
      <c r="L578" t="s">
        <v>544</v>
      </c>
      <c r="M578" t="s">
        <v>324</v>
      </c>
      <c r="N578" t="s">
        <v>57</v>
      </c>
      <c r="O578" s="1">
        <v>45550</v>
      </c>
      <c r="Q578" s="1">
        <v>46157</v>
      </c>
      <c r="R578" s="2">
        <v>35.06</v>
      </c>
      <c r="S578">
        <v>1</v>
      </c>
      <c r="T578" t="s">
        <v>58</v>
      </c>
      <c r="U578" t="s">
        <v>59</v>
      </c>
      <c r="V578" s="3">
        <v>0.1</v>
      </c>
      <c r="W578" s="2">
        <v>0</v>
      </c>
      <c r="X578">
        <v>0</v>
      </c>
      <c r="Y578" t="s">
        <v>536</v>
      </c>
      <c r="Z578" t="s">
        <v>61</v>
      </c>
      <c r="AA578">
        <v>0</v>
      </c>
      <c r="AB578" s="2">
        <v>0</v>
      </c>
      <c r="AC578" s="2">
        <v>0</v>
      </c>
      <c r="AD578" s="3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3.51</v>
      </c>
      <c r="AN578" s="2">
        <v>3.51</v>
      </c>
      <c r="AO578" s="2">
        <v>0</v>
      </c>
      <c r="AP578" s="2">
        <v>0</v>
      </c>
      <c r="AQ578" s="2">
        <v>0</v>
      </c>
    </row>
    <row r="579" spans="1:43" x14ac:dyDescent="0.3">
      <c r="A579" s="1">
        <v>46125</v>
      </c>
      <c r="B579" t="s">
        <v>48</v>
      </c>
      <c r="C579">
        <v>649163</v>
      </c>
      <c r="D579">
        <v>2024991181</v>
      </c>
      <c r="E579" t="s">
        <v>752</v>
      </c>
      <c r="F579" t="s">
        <v>753</v>
      </c>
      <c r="G579" t="s">
        <v>51</v>
      </c>
      <c r="H579" t="s">
        <v>182</v>
      </c>
      <c r="I579" t="s">
        <v>499</v>
      </c>
      <c r="J579" t="s">
        <v>502</v>
      </c>
      <c r="K579">
        <v>650218</v>
      </c>
      <c r="L579" t="s">
        <v>544</v>
      </c>
      <c r="M579" t="s">
        <v>324</v>
      </c>
      <c r="N579" t="s">
        <v>86</v>
      </c>
      <c r="O579" s="1">
        <v>45566</v>
      </c>
      <c r="P579" s="1">
        <v>46118</v>
      </c>
      <c r="Q579" s="1">
        <v>46143</v>
      </c>
      <c r="R579" s="2">
        <v>-44.93</v>
      </c>
      <c r="S579">
        <v>1</v>
      </c>
      <c r="T579" t="s">
        <v>58</v>
      </c>
      <c r="U579" t="s">
        <v>59</v>
      </c>
      <c r="V579" s="3">
        <v>0.1</v>
      </c>
      <c r="W579" s="2">
        <v>0</v>
      </c>
      <c r="X579">
        <v>-1</v>
      </c>
      <c r="Y579" t="s">
        <v>536</v>
      </c>
      <c r="Z579" t="s">
        <v>61</v>
      </c>
      <c r="AA579">
        <v>0</v>
      </c>
      <c r="AB579" s="2">
        <v>0</v>
      </c>
      <c r="AC579" s="2">
        <v>0</v>
      </c>
      <c r="AD579" s="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-4.49</v>
      </c>
      <c r="AN579" s="2">
        <v>-4.49</v>
      </c>
      <c r="AO579" s="2">
        <v>0</v>
      </c>
      <c r="AP579" s="2">
        <v>0</v>
      </c>
      <c r="AQ579" s="2">
        <v>0</v>
      </c>
    </row>
    <row r="580" spans="1:43" x14ac:dyDescent="0.3">
      <c r="A580" s="1">
        <v>46125</v>
      </c>
      <c r="B580" t="s">
        <v>48</v>
      </c>
      <c r="C580">
        <v>649163</v>
      </c>
      <c r="D580">
        <v>2025271292</v>
      </c>
      <c r="E580" t="s">
        <v>873</v>
      </c>
      <c r="F580" t="s">
        <v>874</v>
      </c>
      <c r="G580" t="s">
        <v>51</v>
      </c>
      <c r="H580" t="s">
        <v>256</v>
      </c>
      <c r="I580" t="s">
        <v>499</v>
      </c>
      <c r="J580" t="s">
        <v>502</v>
      </c>
      <c r="K580">
        <v>650218</v>
      </c>
      <c r="L580" t="s">
        <v>544</v>
      </c>
      <c r="M580" t="s">
        <v>324</v>
      </c>
      <c r="N580" t="s">
        <v>57</v>
      </c>
      <c r="O580" s="1">
        <v>45577</v>
      </c>
      <c r="Q580" s="1">
        <v>46154</v>
      </c>
      <c r="R580" s="2">
        <v>89.62</v>
      </c>
      <c r="S580">
        <v>1</v>
      </c>
      <c r="T580" t="s">
        <v>58</v>
      </c>
      <c r="U580" t="s">
        <v>59</v>
      </c>
      <c r="V580" s="3">
        <v>0.1</v>
      </c>
      <c r="W580" s="2">
        <v>0</v>
      </c>
      <c r="X580">
        <v>0</v>
      </c>
      <c r="Y580" t="s">
        <v>536</v>
      </c>
      <c r="Z580" t="s">
        <v>61</v>
      </c>
      <c r="AA580">
        <v>0</v>
      </c>
      <c r="AB580" s="2">
        <v>0</v>
      </c>
      <c r="AC580" s="2">
        <v>0</v>
      </c>
      <c r="AD580" s="3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8.9600000000000009</v>
      </c>
      <c r="AN580" s="2">
        <v>8.9600000000000009</v>
      </c>
      <c r="AO580" s="2">
        <v>0</v>
      </c>
      <c r="AP580" s="2">
        <v>0</v>
      </c>
      <c r="AQ580" s="2">
        <v>0</v>
      </c>
    </row>
    <row r="581" spans="1:43" x14ac:dyDescent="0.3">
      <c r="A581" s="1">
        <v>46125</v>
      </c>
      <c r="B581" t="s">
        <v>48</v>
      </c>
      <c r="C581">
        <v>649163</v>
      </c>
      <c r="D581">
        <v>2025649890</v>
      </c>
      <c r="E581" t="s">
        <v>545</v>
      </c>
      <c r="F581" t="s">
        <v>546</v>
      </c>
      <c r="G581" t="s">
        <v>51</v>
      </c>
      <c r="H581" t="s">
        <v>256</v>
      </c>
      <c r="I581" t="s">
        <v>499</v>
      </c>
      <c r="J581" t="s">
        <v>502</v>
      </c>
      <c r="K581">
        <v>650218</v>
      </c>
      <c r="L581" t="s">
        <v>544</v>
      </c>
      <c r="M581" t="s">
        <v>324</v>
      </c>
      <c r="N581" t="s">
        <v>86</v>
      </c>
      <c r="O581" s="1">
        <v>45658</v>
      </c>
      <c r="P581" s="1">
        <v>46125</v>
      </c>
      <c r="Q581" s="1">
        <v>46143</v>
      </c>
      <c r="R581" s="2">
        <v>-49.11</v>
      </c>
      <c r="S581">
        <v>1</v>
      </c>
      <c r="T581" t="s">
        <v>58</v>
      </c>
      <c r="U581" t="s">
        <v>59</v>
      </c>
      <c r="V581" s="3">
        <v>0.1</v>
      </c>
      <c r="W581" s="2">
        <v>0</v>
      </c>
      <c r="X581">
        <v>-1</v>
      </c>
      <c r="Y581" t="s">
        <v>536</v>
      </c>
      <c r="Z581" t="s">
        <v>61</v>
      </c>
      <c r="AA581">
        <v>0</v>
      </c>
      <c r="AB581" s="2">
        <v>0</v>
      </c>
      <c r="AC581" s="2">
        <v>0</v>
      </c>
      <c r="AD581" s="3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-4.91</v>
      </c>
      <c r="AN581" s="2">
        <v>-4.91</v>
      </c>
      <c r="AO581" s="2">
        <v>0</v>
      </c>
      <c r="AP581" s="2">
        <v>0</v>
      </c>
      <c r="AQ581" s="2">
        <v>0</v>
      </c>
    </row>
    <row r="582" spans="1:43" x14ac:dyDescent="0.3">
      <c r="A582" s="1">
        <v>46125</v>
      </c>
      <c r="B582" t="s">
        <v>48</v>
      </c>
      <c r="C582">
        <v>649163</v>
      </c>
      <c r="D582">
        <v>2025724075</v>
      </c>
      <c r="E582" t="s">
        <v>875</v>
      </c>
      <c r="F582" t="s">
        <v>175</v>
      </c>
      <c r="G582" t="s">
        <v>51</v>
      </c>
      <c r="H582" t="s">
        <v>256</v>
      </c>
      <c r="I582" t="s">
        <v>499</v>
      </c>
      <c r="J582" t="s">
        <v>502</v>
      </c>
      <c r="K582">
        <v>650218</v>
      </c>
      <c r="L582" t="s">
        <v>544</v>
      </c>
      <c r="M582" t="s">
        <v>324</v>
      </c>
      <c r="N582" t="s">
        <v>57</v>
      </c>
      <c r="O582" s="1">
        <v>45608</v>
      </c>
      <c r="Q582" s="1">
        <v>46154</v>
      </c>
      <c r="R582" s="2">
        <v>53.16</v>
      </c>
      <c r="S582">
        <v>1</v>
      </c>
      <c r="T582" t="s">
        <v>58</v>
      </c>
      <c r="U582" t="s">
        <v>59</v>
      </c>
      <c r="V582" s="3">
        <v>0.1</v>
      </c>
      <c r="W582" s="2">
        <v>0</v>
      </c>
      <c r="X582">
        <v>0</v>
      </c>
      <c r="Y582" t="s">
        <v>536</v>
      </c>
      <c r="Z582" t="s">
        <v>61</v>
      </c>
      <c r="AA582">
        <v>0</v>
      </c>
      <c r="AB582" s="2">
        <v>0</v>
      </c>
      <c r="AC582" s="2">
        <v>0</v>
      </c>
      <c r="AD582" s="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5.32</v>
      </c>
      <c r="AN582" s="2">
        <v>5.32</v>
      </c>
      <c r="AO582" s="2">
        <v>0</v>
      </c>
      <c r="AP582" s="2">
        <v>0</v>
      </c>
      <c r="AQ582" s="2">
        <v>0</v>
      </c>
    </row>
    <row r="583" spans="1:43" x14ac:dyDescent="0.3">
      <c r="A583" s="1">
        <v>46125</v>
      </c>
      <c r="B583" t="s">
        <v>48</v>
      </c>
      <c r="C583">
        <v>649163</v>
      </c>
      <c r="D583">
        <v>2025729949</v>
      </c>
      <c r="E583" t="s">
        <v>876</v>
      </c>
      <c r="F583" t="s">
        <v>200</v>
      </c>
      <c r="G583" t="s">
        <v>51</v>
      </c>
      <c r="H583" t="s">
        <v>256</v>
      </c>
      <c r="I583" t="s">
        <v>499</v>
      </c>
      <c r="J583" t="s">
        <v>502</v>
      </c>
      <c r="K583">
        <v>650218</v>
      </c>
      <c r="L583" t="s">
        <v>544</v>
      </c>
      <c r="M583" t="s">
        <v>324</v>
      </c>
      <c r="N583" t="s">
        <v>57</v>
      </c>
      <c r="O583" s="1">
        <v>45609</v>
      </c>
      <c r="Q583" s="1">
        <v>46155</v>
      </c>
      <c r="R583" s="2">
        <v>53.16</v>
      </c>
      <c r="S583">
        <v>1</v>
      </c>
      <c r="T583" t="s">
        <v>58</v>
      </c>
      <c r="U583" t="s">
        <v>59</v>
      </c>
      <c r="V583" s="3">
        <v>0.1</v>
      </c>
      <c r="W583" s="2">
        <v>0</v>
      </c>
      <c r="X583">
        <v>0</v>
      </c>
      <c r="Y583" t="s">
        <v>536</v>
      </c>
      <c r="Z583" t="s">
        <v>61</v>
      </c>
      <c r="AA583">
        <v>0</v>
      </c>
      <c r="AB583" s="2">
        <v>0</v>
      </c>
      <c r="AC583" s="2">
        <v>0</v>
      </c>
      <c r="AD583" s="3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5.32</v>
      </c>
      <c r="AN583" s="2">
        <v>5.32</v>
      </c>
      <c r="AO583" s="2">
        <v>0</v>
      </c>
      <c r="AP583" s="2">
        <v>0</v>
      </c>
      <c r="AQ583" s="2">
        <v>0</v>
      </c>
    </row>
    <row r="584" spans="1:43" x14ac:dyDescent="0.3">
      <c r="A584" s="1">
        <v>46125</v>
      </c>
      <c r="B584" t="s">
        <v>48</v>
      </c>
      <c r="C584">
        <v>649163</v>
      </c>
      <c r="D584">
        <v>2025756062</v>
      </c>
      <c r="E584" t="s">
        <v>547</v>
      </c>
      <c r="F584" t="s">
        <v>548</v>
      </c>
      <c r="G584" t="s">
        <v>51</v>
      </c>
      <c r="H584" t="s">
        <v>256</v>
      </c>
      <c r="I584" t="s">
        <v>499</v>
      </c>
      <c r="J584" t="s">
        <v>502</v>
      </c>
      <c r="K584">
        <v>650218</v>
      </c>
      <c r="L584" t="s">
        <v>544</v>
      </c>
      <c r="M584" t="s">
        <v>324</v>
      </c>
      <c r="N584" t="s">
        <v>57</v>
      </c>
      <c r="O584" s="1">
        <v>45610</v>
      </c>
      <c r="Q584" s="1">
        <v>46156</v>
      </c>
      <c r="R584" s="2">
        <v>33.51</v>
      </c>
      <c r="S584">
        <v>1</v>
      </c>
      <c r="T584" t="s">
        <v>58</v>
      </c>
      <c r="U584" t="s">
        <v>59</v>
      </c>
      <c r="V584" s="3">
        <v>0.1</v>
      </c>
      <c r="W584" s="2">
        <v>0</v>
      </c>
      <c r="X584">
        <v>0</v>
      </c>
      <c r="Y584" t="s">
        <v>536</v>
      </c>
      <c r="Z584" t="s">
        <v>61</v>
      </c>
      <c r="AA584">
        <v>0</v>
      </c>
      <c r="AB584" s="2">
        <v>0</v>
      </c>
      <c r="AC584" s="2">
        <v>0</v>
      </c>
      <c r="AD584" s="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3.35</v>
      </c>
      <c r="AN584" s="2">
        <v>3.35</v>
      </c>
      <c r="AO584" s="2">
        <v>0</v>
      </c>
      <c r="AP584" s="2">
        <v>0</v>
      </c>
      <c r="AQ584" s="2">
        <v>0</v>
      </c>
    </row>
    <row r="585" spans="1:43" x14ac:dyDescent="0.3">
      <c r="A585" s="1">
        <v>46125</v>
      </c>
      <c r="B585" t="s">
        <v>48</v>
      </c>
      <c r="C585">
        <v>649163</v>
      </c>
      <c r="D585">
        <v>2026061219</v>
      </c>
      <c r="E585" t="s">
        <v>577</v>
      </c>
      <c r="F585" t="s">
        <v>252</v>
      </c>
      <c r="G585" t="s">
        <v>51</v>
      </c>
      <c r="H585" t="s">
        <v>103</v>
      </c>
      <c r="I585" t="s">
        <v>499</v>
      </c>
      <c r="J585" t="s">
        <v>502</v>
      </c>
      <c r="K585">
        <v>796984</v>
      </c>
      <c r="L585" t="s">
        <v>199</v>
      </c>
      <c r="M585" t="s">
        <v>200</v>
      </c>
      <c r="N585" t="s">
        <v>57</v>
      </c>
      <c r="O585" s="1">
        <v>45641</v>
      </c>
      <c r="Q585" s="1">
        <v>46157</v>
      </c>
      <c r="R585" s="2">
        <v>33.31</v>
      </c>
      <c r="S585">
        <v>1</v>
      </c>
      <c r="T585" t="s">
        <v>58</v>
      </c>
      <c r="U585" t="s">
        <v>59</v>
      </c>
      <c r="V585" s="3">
        <v>0.1</v>
      </c>
      <c r="W585" s="2">
        <v>0</v>
      </c>
      <c r="X585">
        <v>0</v>
      </c>
      <c r="Y585" t="s">
        <v>536</v>
      </c>
      <c r="Z585" t="s">
        <v>61</v>
      </c>
      <c r="AA585">
        <v>0</v>
      </c>
      <c r="AB585" s="2">
        <v>0</v>
      </c>
      <c r="AC585" s="2">
        <v>0</v>
      </c>
      <c r="AD585" s="3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3.33</v>
      </c>
      <c r="AN585" s="2">
        <v>3.33</v>
      </c>
      <c r="AO585" s="2">
        <v>0</v>
      </c>
      <c r="AP585" s="2">
        <v>0</v>
      </c>
      <c r="AQ585" s="2">
        <v>0</v>
      </c>
    </row>
    <row r="586" spans="1:43" x14ac:dyDescent="0.3">
      <c r="A586" s="1">
        <v>46125</v>
      </c>
      <c r="B586" t="s">
        <v>48</v>
      </c>
      <c r="C586">
        <v>649163</v>
      </c>
      <c r="D586">
        <v>2026586622</v>
      </c>
      <c r="E586" t="s">
        <v>754</v>
      </c>
      <c r="F586" t="s">
        <v>410</v>
      </c>
      <c r="G586" t="s">
        <v>51</v>
      </c>
      <c r="H586" t="s">
        <v>755</v>
      </c>
      <c r="I586" t="s">
        <v>499</v>
      </c>
      <c r="J586" t="s">
        <v>502</v>
      </c>
      <c r="K586">
        <v>756418</v>
      </c>
      <c r="L586" t="s">
        <v>400</v>
      </c>
      <c r="M586" t="s">
        <v>401</v>
      </c>
      <c r="N586" t="s">
        <v>57</v>
      </c>
      <c r="O586" s="1">
        <v>45672</v>
      </c>
      <c r="Q586" s="1">
        <v>46157</v>
      </c>
      <c r="R586" s="2">
        <v>13.38</v>
      </c>
      <c r="S586">
        <v>1</v>
      </c>
      <c r="T586" t="s">
        <v>58</v>
      </c>
      <c r="U586" t="s">
        <v>59</v>
      </c>
      <c r="V586" s="3">
        <v>0.1</v>
      </c>
      <c r="W586" s="2">
        <v>0</v>
      </c>
      <c r="X586">
        <v>0</v>
      </c>
      <c r="Y586" t="s">
        <v>536</v>
      </c>
      <c r="Z586" t="s">
        <v>61</v>
      </c>
      <c r="AA586">
        <v>0</v>
      </c>
      <c r="AB586" s="2">
        <v>0</v>
      </c>
      <c r="AC586" s="2">
        <v>0</v>
      </c>
      <c r="AD586" s="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1.34</v>
      </c>
      <c r="AN586" s="2">
        <v>1.34</v>
      </c>
      <c r="AO586" s="2">
        <v>0</v>
      </c>
      <c r="AP586" s="2">
        <v>0</v>
      </c>
      <c r="AQ586" s="2">
        <v>0</v>
      </c>
    </row>
    <row r="587" spans="1:43" x14ac:dyDescent="0.3">
      <c r="A587" s="1">
        <v>46125</v>
      </c>
      <c r="B587" t="s">
        <v>48</v>
      </c>
      <c r="C587">
        <v>649163</v>
      </c>
      <c r="D587">
        <v>2026603199</v>
      </c>
      <c r="E587" t="s">
        <v>550</v>
      </c>
      <c r="F587" t="s">
        <v>551</v>
      </c>
      <c r="G587" t="s">
        <v>51</v>
      </c>
      <c r="H587" t="s">
        <v>256</v>
      </c>
      <c r="I587" t="s">
        <v>499</v>
      </c>
      <c r="J587" t="s">
        <v>502</v>
      </c>
      <c r="K587">
        <v>751867</v>
      </c>
      <c r="L587" t="s">
        <v>535</v>
      </c>
      <c r="M587" t="s">
        <v>149</v>
      </c>
      <c r="N587" t="s">
        <v>57</v>
      </c>
      <c r="O587" s="1">
        <v>45673</v>
      </c>
      <c r="Q587" s="1">
        <v>46158</v>
      </c>
      <c r="R587" s="2">
        <v>33.51</v>
      </c>
      <c r="S587">
        <v>1</v>
      </c>
      <c r="T587" t="s">
        <v>58</v>
      </c>
      <c r="U587" t="s">
        <v>59</v>
      </c>
      <c r="V587" s="3">
        <v>0.1</v>
      </c>
      <c r="W587" s="2">
        <v>0</v>
      </c>
      <c r="X587">
        <v>0</v>
      </c>
      <c r="Y587" t="s">
        <v>536</v>
      </c>
      <c r="Z587" t="s">
        <v>61</v>
      </c>
      <c r="AA587">
        <v>0</v>
      </c>
      <c r="AB587" s="2">
        <v>0</v>
      </c>
      <c r="AC587" s="2">
        <v>0</v>
      </c>
      <c r="AD587" s="3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3.35</v>
      </c>
      <c r="AN587" s="2">
        <v>3.35</v>
      </c>
      <c r="AO587" s="2">
        <v>0</v>
      </c>
      <c r="AP587" s="2">
        <v>0</v>
      </c>
      <c r="AQ587" s="2">
        <v>0</v>
      </c>
    </row>
    <row r="588" spans="1:43" x14ac:dyDescent="0.3">
      <c r="A588" s="1">
        <v>46125</v>
      </c>
      <c r="B588" t="s">
        <v>48</v>
      </c>
      <c r="C588">
        <v>649163</v>
      </c>
      <c r="D588">
        <v>2027849973</v>
      </c>
      <c r="E588" t="s">
        <v>758</v>
      </c>
      <c r="F588" t="s">
        <v>318</v>
      </c>
      <c r="G588" t="s">
        <v>51</v>
      </c>
      <c r="H588" t="s">
        <v>759</v>
      </c>
      <c r="I588" t="s">
        <v>499</v>
      </c>
      <c r="J588" t="s">
        <v>502</v>
      </c>
      <c r="K588">
        <v>650218</v>
      </c>
      <c r="L588" t="s">
        <v>544</v>
      </c>
      <c r="M588" t="s">
        <v>324</v>
      </c>
      <c r="N588" t="s">
        <v>57</v>
      </c>
      <c r="O588" s="1">
        <v>45733</v>
      </c>
      <c r="Q588" s="1">
        <v>46159</v>
      </c>
      <c r="R588" s="2">
        <v>48.95</v>
      </c>
      <c r="S588">
        <v>1</v>
      </c>
      <c r="T588" t="s">
        <v>58</v>
      </c>
      <c r="U588" t="s">
        <v>59</v>
      </c>
      <c r="V588" s="3">
        <v>0.1</v>
      </c>
      <c r="W588" s="2">
        <v>0</v>
      </c>
      <c r="X588">
        <v>0</v>
      </c>
      <c r="Y588" t="s">
        <v>536</v>
      </c>
      <c r="Z588" t="s">
        <v>61</v>
      </c>
      <c r="AA588">
        <v>0</v>
      </c>
      <c r="AB588" s="2">
        <v>0</v>
      </c>
      <c r="AC588" s="2">
        <v>0</v>
      </c>
      <c r="AD588" s="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4.9000000000000004</v>
      </c>
      <c r="AN588" s="2">
        <v>4.9000000000000004</v>
      </c>
      <c r="AO588" s="2">
        <v>0</v>
      </c>
      <c r="AP588" s="2">
        <v>0</v>
      </c>
      <c r="AQ588" s="2">
        <v>0</v>
      </c>
    </row>
    <row r="589" spans="1:43" x14ac:dyDescent="0.3">
      <c r="A589" s="1">
        <v>46125</v>
      </c>
      <c r="B589" t="s">
        <v>48</v>
      </c>
      <c r="C589">
        <v>649163</v>
      </c>
      <c r="D589">
        <v>2028367118</v>
      </c>
      <c r="E589" t="s">
        <v>586</v>
      </c>
      <c r="F589" t="s">
        <v>587</v>
      </c>
      <c r="G589" t="s">
        <v>51</v>
      </c>
      <c r="H589" t="s">
        <v>223</v>
      </c>
      <c r="I589" t="s">
        <v>499</v>
      </c>
      <c r="J589" t="s">
        <v>500</v>
      </c>
      <c r="K589">
        <v>673059</v>
      </c>
      <c r="L589" t="s">
        <v>115</v>
      </c>
      <c r="M589" t="s">
        <v>116</v>
      </c>
      <c r="N589" t="s">
        <v>57</v>
      </c>
      <c r="O589" s="1">
        <v>45759</v>
      </c>
      <c r="Q589" s="1">
        <v>46154</v>
      </c>
      <c r="R589" s="2">
        <v>181.4</v>
      </c>
      <c r="S589">
        <v>1</v>
      </c>
      <c r="T589" t="s">
        <v>58</v>
      </c>
      <c r="U589" t="s">
        <v>59</v>
      </c>
      <c r="V589" s="3">
        <v>0.1</v>
      </c>
      <c r="W589" s="2">
        <v>0</v>
      </c>
      <c r="X589">
        <v>0</v>
      </c>
      <c r="Y589" t="s">
        <v>536</v>
      </c>
      <c r="Z589" t="s">
        <v>61</v>
      </c>
      <c r="AA589">
        <v>0</v>
      </c>
      <c r="AB589" s="2">
        <v>0</v>
      </c>
      <c r="AC589" s="2">
        <v>0</v>
      </c>
      <c r="AD589" s="3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18.14</v>
      </c>
      <c r="AN589" s="2">
        <v>18.14</v>
      </c>
      <c r="AO589" s="2">
        <v>0</v>
      </c>
      <c r="AP589" s="2">
        <v>0</v>
      </c>
      <c r="AQ589" s="2">
        <v>0</v>
      </c>
    </row>
    <row r="590" spans="1:43" x14ac:dyDescent="0.3">
      <c r="A590" s="1">
        <v>46125</v>
      </c>
      <c r="B590" t="s">
        <v>48</v>
      </c>
      <c r="C590">
        <v>649163</v>
      </c>
      <c r="D590">
        <v>2028367119</v>
      </c>
      <c r="E590" t="s">
        <v>586</v>
      </c>
      <c r="F590" t="s">
        <v>587</v>
      </c>
      <c r="G590" t="s">
        <v>51</v>
      </c>
      <c r="H590" t="s">
        <v>223</v>
      </c>
      <c r="I590" t="s">
        <v>499</v>
      </c>
      <c r="J590" t="s">
        <v>501</v>
      </c>
      <c r="K590">
        <v>673059</v>
      </c>
      <c r="L590" t="s">
        <v>115</v>
      </c>
      <c r="M590" t="s">
        <v>116</v>
      </c>
      <c r="N590" t="s">
        <v>57</v>
      </c>
      <c r="O590" s="1">
        <v>45759</v>
      </c>
      <c r="Q590" s="1">
        <v>46154</v>
      </c>
      <c r="R590" s="2">
        <v>7.09</v>
      </c>
      <c r="S590">
        <v>1</v>
      </c>
      <c r="T590" t="s">
        <v>58</v>
      </c>
      <c r="U590" t="s">
        <v>59</v>
      </c>
      <c r="V590" s="3">
        <v>0.1</v>
      </c>
      <c r="W590" s="2">
        <v>0</v>
      </c>
      <c r="X590">
        <v>0</v>
      </c>
      <c r="Y590" t="s">
        <v>536</v>
      </c>
      <c r="Z590" t="s">
        <v>61</v>
      </c>
      <c r="AA590">
        <v>0</v>
      </c>
      <c r="AB590" s="2">
        <v>0</v>
      </c>
      <c r="AC590" s="2">
        <v>0</v>
      </c>
      <c r="AD590" s="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0.71</v>
      </c>
      <c r="AN590" s="2">
        <v>0.71</v>
      </c>
      <c r="AO590" s="2">
        <v>0</v>
      </c>
      <c r="AP590" s="2">
        <v>0</v>
      </c>
      <c r="AQ590" s="2">
        <v>0</v>
      </c>
    </row>
    <row r="591" spans="1:43" x14ac:dyDescent="0.3">
      <c r="A591" s="1">
        <v>46125</v>
      </c>
      <c r="B591" t="s">
        <v>48</v>
      </c>
      <c r="C591">
        <v>649163</v>
      </c>
      <c r="D591">
        <v>2028958356</v>
      </c>
      <c r="E591" t="s">
        <v>596</v>
      </c>
      <c r="F591" t="s">
        <v>202</v>
      </c>
      <c r="G591" t="s">
        <v>51</v>
      </c>
      <c r="H591" t="s">
        <v>80</v>
      </c>
      <c r="I591" t="s">
        <v>499</v>
      </c>
      <c r="J591" t="s">
        <v>877</v>
      </c>
      <c r="K591">
        <v>673059</v>
      </c>
      <c r="L591" t="s">
        <v>115</v>
      </c>
      <c r="M591" t="s">
        <v>116</v>
      </c>
      <c r="N591" t="s">
        <v>57</v>
      </c>
      <c r="O591" s="1">
        <v>45793</v>
      </c>
      <c r="Q591" s="1">
        <v>46158</v>
      </c>
      <c r="R591" s="2">
        <v>100.48</v>
      </c>
      <c r="S591">
        <v>1</v>
      </c>
      <c r="T591" t="s">
        <v>58</v>
      </c>
      <c r="U591" t="s">
        <v>59</v>
      </c>
      <c r="V591" s="3">
        <v>0.19</v>
      </c>
      <c r="W591" s="2">
        <v>0</v>
      </c>
      <c r="X591">
        <v>0</v>
      </c>
      <c r="Y591" t="s">
        <v>60</v>
      </c>
      <c r="Z591" t="s">
        <v>61</v>
      </c>
      <c r="AA591">
        <v>0</v>
      </c>
      <c r="AB591" s="2">
        <v>0</v>
      </c>
      <c r="AC591" s="2">
        <v>0</v>
      </c>
      <c r="AD591" s="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19.09</v>
      </c>
      <c r="AN591" s="2">
        <v>19.09</v>
      </c>
      <c r="AO591" s="2">
        <v>0</v>
      </c>
      <c r="AP591" s="2">
        <v>0</v>
      </c>
      <c r="AQ591" s="2">
        <v>0</v>
      </c>
    </row>
    <row r="592" spans="1:43" x14ac:dyDescent="0.3">
      <c r="A592" s="1">
        <v>46125</v>
      </c>
      <c r="B592" t="s">
        <v>48</v>
      </c>
      <c r="C592">
        <v>649163</v>
      </c>
      <c r="D592">
        <v>2030455579</v>
      </c>
      <c r="E592" t="s">
        <v>152</v>
      </c>
      <c r="F592" t="s">
        <v>153</v>
      </c>
      <c r="G592" t="s">
        <v>51</v>
      </c>
      <c r="H592" t="s">
        <v>103</v>
      </c>
      <c r="I592" t="s">
        <v>499</v>
      </c>
      <c r="J592" t="s">
        <v>502</v>
      </c>
      <c r="K592">
        <v>816021</v>
      </c>
      <c r="L592" t="s">
        <v>104</v>
      </c>
      <c r="M592" t="s">
        <v>105</v>
      </c>
      <c r="N592" t="s">
        <v>57</v>
      </c>
      <c r="O592" s="1">
        <v>45882</v>
      </c>
      <c r="Q592" s="1">
        <v>46155</v>
      </c>
      <c r="R592" s="2">
        <v>60.5</v>
      </c>
      <c r="S592">
        <v>1</v>
      </c>
      <c r="T592" t="s">
        <v>58</v>
      </c>
      <c r="U592" t="s">
        <v>59</v>
      </c>
      <c r="V592" s="3">
        <v>0.38</v>
      </c>
      <c r="W592" s="2">
        <v>0</v>
      </c>
      <c r="X592">
        <v>0</v>
      </c>
      <c r="Y592" t="s">
        <v>60</v>
      </c>
      <c r="Z592" t="s">
        <v>61</v>
      </c>
      <c r="AA592">
        <v>0</v>
      </c>
      <c r="AB592" s="2">
        <v>0</v>
      </c>
      <c r="AC592" s="2">
        <v>0</v>
      </c>
      <c r="AD592" s="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22.99</v>
      </c>
      <c r="AN592" s="2">
        <v>22.99</v>
      </c>
      <c r="AO592" s="2">
        <v>0</v>
      </c>
      <c r="AP592" s="2">
        <v>0</v>
      </c>
      <c r="AQ592" s="2">
        <v>0</v>
      </c>
    </row>
    <row r="593" spans="1:43" x14ac:dyDescent="0.3">
      <c r="A593" s="1">
        <v>46125</v>
      </c>
      <c r="B593" t="s">
        <v>48</v>
      </c>
      <c r="C593">
        <v>649163</v>
      </c>
      <c r="D593">
        <v>2031617146</v>
      </c>
      <c r="E593" t="s">
        <v>201</v>
      </c>
      <c r="F593" t="s">
        <v>202</v>
      </c>
      <c r="G593" t="s">
        <v>51</v>
      </c>
      <c r="H593" t="s">
        <v>80</v>
      </c>
      <c r="I593" t="s">
        <v>499</v>
      </c>
      <c r="J593" t="s">
        <v>500</v>
      </c>
      <c r="K593">
        <v>814033</v>
      </c>
      <c r="L593" t="s">
        <v>99</v>
      </c>
      <c r="M593" t="s">
        <v>100</v>
      </c>
      <c r="N593" t="s">
        <v>57</v>
      </c>
      <c r="O593" s="1">
        <v>45945</v>
      </c>
      <c r="Q593" s="1">
        <v>46157</v>
      </c>
      <c r="R593" s="2">
        <v>371.07</v>
      </c>
      <c r="S593">
        <v>1</v>
      </c>
      <c r="T593" t="s">
        <v>58</v>
      </c>
      <c r="U593" t="s">
        <v>173</v>
      </c>
      <c r="V593" s="3">
        <v>0.38</v>
      </c>
      <c r="W593" s="2">
        <v>0</v>
      </c>
      <c r="X593">
        <v>0</v>
      </c>
      <c r="Y593" t="s">
        <v>60</v>
      </c>
      <c r="Z593" t="s">
        <v>61</v>
      </c>
      <c r="AA593">
        <v>0</v>
      </c>
      <c r="AB593" s="2">
        <v>0</v>
      </c>
      <c r="AC593" s="2">
        <v>0</v>
      </c>
      <c r="AD593" s="3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141.01</v>
      </c>
      <c r="AN593" s="2">
        <v>141.01</v>
      </c>
      <c r="AO593" s="2">
        <v>0</v>
      </c>
      <c r="AP593" s="2">
        <v>0</v>
      </c>
      <c r="AQ593" s="2">
        <v>0</v>
      </c>
    </row>
    <row r="594" spans="1:43" x14ac:dyDescent="0.3">
      <c r="A594" s="1">
        <v>46125</v>
      </c>
      <c r="B594" t="s">
        <v>48</v>
      </c>
      <c r="C594">
        <v>649163</v>
      </c>
      <c r="D594">
        <v>2031617147</v>
      </c>
      <c r="E594" t="s">
        <v>201</v>
      </c>
      <c r="F594" t="s">
        <v>202</v>
      </c>
      <c r="G594" t="s">
        <v>51</v>
      </c>
      <c r="H594" t="s">
        <v>80</v>
      </c>
      <c r="I594" t="s">
        <v>499</v>
      </c>
      <c r="J594" t="s">
        <v>501</v>
      </c>
      <c r="K594">
        <v>814033</v>
      </c>
      <c r="L594" t="s">
        <v>99</v>
      </c>
      <c r="M594" t="s">
        <v>100</v>
      </c>
      <c r="N594" t="s">
        <v>57</v>
      </c>
      <c r="O594" s="1">
        <v>45945</v>
      </c>
      <c r="Q594" s="1">
        <v>46157</v>
      </c>
      <c r="R594" s="2">
        <v>7.09</v>
      </c>
      <c r="S594">
        <v>1</v>
      </c>
      <c r="T594" t="s">
        <v>58</v>
      </c>
      <c r="U594" t="s">
        <v>173</v>
      </c>
      <c r="V594" s="3">
        <v>0.38</v>
      </c>
      <c r="W594" s="2">
        <v>0</v>
      </c>
      <c r="X594">
        <v>0</v>
      </c>
      <c r="Y594" t="s">
        <v>60</v>
      </c>
      <c r="Z594" t="s">
        <v>61</v>
      </c>
      <c r="AA594">
        <v>0</v>
      </c>
      <c r="AB594" s="2">
        <v>0</v>
      </c>
      <c r="AC594" s="2">
        <v>0</v>
      </c>
      <c r="AD594" s="3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2.69</v>
      </c>
      <c r="AN594" s="2">
        <v>2.69</v>
      </c>
      <c r="AO594" s="2">
        <v>0</v>
      </c>
      <c r="AP594" s="2">
        <v>0</v>
      </c>
      <c r="AQ594" s="2">
        <v>0</v>
      </c>
    </row>
    <row r="595" spans="1:43" x14ac:dyDescent="0.3">
      <c r="A595" s="1">
        <v>46125</v>
      </c>
      <c r="B595" t="s">
        <v>48</v>
      </c>
      <c r="C595">
        <v>649163</v>
      </c>
      <c r="D595">
        <v>2031641176</v>
      </c>
      <c r="E595" t="s">
        <v>878</v>
      </c>
      <c r="F595" t="s">
        <v>472</v>
      </c>
      <c r="G595" t="s">
        <v>51</v>
      </c>
      <c r="H595" t="s">
        <v>256</v>
      </c>
      <c r="I595" t="s">
        <v>499</v>
      </c>
      <c r="J595" t="s">
        <v>502</v>
      </c>
      <c r="K595">
        <v>650218</v>
      </c>
      <c r="L595" t="s">
        <v>544</v>
      </c>
      <c r="M595" t="s">
        <v>324</v>
      </c>
      <c r="N595" t="s">
        <v>57</v>
      </c>
      <c r="O595" s="1">
        <v>45946</v>
      </c>
      <c r="Q595" s="1">
        <v>46158</v>
      </c>
      <c r="R595" s="2">
        <v>61.39</v>
      </c>
      <c r="S595">
        <v>1</v>
      </c>
      <c r="T595" t="s">
        <v>58</v>
      </c>
      <c r="U595" t="s">
        <v>173</v>
      </c>
      <c r="V595" s="3">
        <v>0.38</v>
      </c>
      <c r="W595" s="2">
        <v>0</v>
      </c>
      <c r="X595">
        <v>0</v>
      </c>
      <c r="Y595" t="s">
        <v>60</v>
      </c>
      <c r="Z595" t="s">
        <v>61</v>
      </c>
      <c r="AA595">
        <v>0</v>
      </c>
      <c r="AB595" s="2">
        <v>0</v>
      </c>
      <c r="AC595" s="2">
        <v>0</v>
      </c>
      <c r="AD595" s="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23.33</v>
      </c>
      <c r="AN595" s="2">
        <v>23.33</v>
      </c>
      <c r="AO595" s="2">
        <v>0</v>
      </c>
      <c r="AP595" s="2">
        <v>0</v>
      </c>
      <c r="AQ595" s="2">
        <v>0</v>
      </c>
    </row>
    <row r="596" spans="1:43" x14ac:dyDescent="0.3">
      <c r="A596" s="1">
        <v>46125</v>
      </c>
      <c r="B596" t="s">
        <v>48</v>
      </c>
      <c r="C596">
        <v>649163</v>
      </c>
      <c r="D596">
        <v>2032200711</v>
      </c>
      <c r="E596" t="s">
        <v>285</v>
      </c>
      <c r="F596" t="s">
        <v>286</v>
      </c>
      <c r="G596" t="s">
        <v>51</v>
      </c>
      <c r="H596" t="s">
        <v>80</v>
      </c>
      <c r="I596" t="s">
        <v>499</v>
      </c>
      <c r="J596" t="s">
        <v>500</v>
      </c>
      <c r="K596">
        <v>824062</v>
      </c>
      <c r="L596" t="s">
        <v>167</v>
      </c>
      <c r="M596" t="s">
        <v>168</v>
      </c>
      <c r="N596" t="s">
        <v>86</v>
      </c>
      <c r="O596" s="1">
        <v>45992</v>
      </c>
      <c r="P596" s="1">
        <v>46118</v>
      </c>
      <c r="Q596" s="1">
        <v>46143</v>
      </c>
      <c r="R596" s="2">
        <v>-452.25</v>
      </c>
      <c r="S596">
        <v>1</v>
      </c>
      <c r="T596" t="s">
        <v>58</v>
      </c>
      <c r="U596" t="s">
        <v>173</v>
      </c>
      <c r="V596" s="3">
        <v>0.38</v>
      </c>
      <c r="W596" s="2">
        <v>0</v>
      </c>
      <c r="X596">
        <v>-1</v>
      </c>
      <c r="Y596" t="s">
        <v>60</v>
      </c>
      <c r="Z596" t="s">
        <v>61</v>
      </c>
      <c r="AA596">
        <v>0</v>
      </c>
      <c r="AB596" s="2">
        <v>0</v>
      </c>
      <c r="AC596" s="2">
        <v>0</v>
      </c>
      <c r="AD596" s="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-171.86</v>
      </c>
      <c r="AN596" s="2">
        <v>-171.86</v>
      </c>
      <c r="AO596" s="2">
        <v>0</v>
      </c>
      <c r="AP596" s="2">
        <v>0</v>
      </c>
      <c r="AQ596" s="2">
        <v>0</v>
      </c>
    </row>
    <row r="597" spans="1:43" x14ac:dyDescent="0.3">
      <c r="A597" s="1">
        <v>46125</v>
      </c>
      <c r="B597" t="s">
        <v>48</v>
      </c>
      <c r="C597">
        <v>649163</v>
      </c>
      <c r="D597">
        <v>2032200715</v>
      </c>
      <c r="E597" t="s">
        <v>285</v>
      </c>
      <c r="F597" t="s">
        <v>286</v>
      </c>
      <c r="G597" t="s">
        <v>51</v>
      </c>
      <c r="H597" t="s">
        <v>80</v>
      </c>
      <c r="I597" t="s">
        <v>499</v>
      </c>
      <c r="J597" t="s">
        <v>501</v>
      </c>
      <c r="K597">
        <v>824062</v>
      </c>
      <c r="L597" t="s">
        <v>167</v>
      </c>
      <c r="M597" t="s">
        <v>168</v>
      </c>
      <c r="N597" t="s">
        <v>86</v>
      </c>
      <c r="O597" s="1">
        <v>45992</v>
      </c>
      <c r="P597" s="1">
        <v>46118</v>
      </c>
      <c r="Q597" s="1">
        <v>46143</v>
      </c>
      <c r="R597" s="2">
        <v>-7.32</v>
      </c>
      <c r="S597">
        <v>1</v>
      </c>
      <c r="T597" t="s">
        <v>58</v>
      </c>
      <c r="U597" t="s">
        <v>173</v>
      </c>
      <c r="V597" s="3">
        <v>0.38</v>
      </c>
      <c r="W597" s="2">
        <v>0</v>
      </c>
      <c r="X597">
        <v>-1</v>
      </c>
      <c r="Y597" t="s">
        <v>60</v>
      </c>
      <c r="Z597" t="s">
        <v>61</v>
      </c>
      <c r="AA597">
        <v>0</v>
      </c>
      <c r="AB597" s="2">
        <v>0</v>
      </c>
      <c r="AC597" s="2">
        <v>0</v>
      </c>
      <c r="AD597" s="3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-2.78</v>
      </c>
      <c r="AN597" s="2">
        <v>-2.78</v>
      </c>
      <c r="AO597" s="2">
        <v>0</v>
      </c>
      <c r="AP597" s="2">
        <v>0</v>
      </c>
      <c r="AQ597" s="2">
        <v>0</v>
      </c>
    </row>
    <row r="598" spans="1:43" x14ac:dyDescent="0.3">
      <c r="A598" s="1">
        <v>46125</v>
      </c>
      <c r="B598" t="s">
        <v>48</v>
      </c>
      <c r="C598">
        <v>649163</v>
      </c>
      <c r="D598">
        <v>2032445031</v>
      </c>
      <c r="E598" t="s">
        <v>291</v>
      </c>
      <c r="F598" t="s">
        <v>200</v>
      </c>
      <c r="G598" t="s">
        <v>51</v>
      </c>
      <c r="H598" t="s">
        <v>80</v>
      </c>
      <c r="I598" t="s">
        <v>499</v>
      </c>
      <c r="J598" t="s">
        <v>500</v>
      </c>
      <c r="K598">
        <v>824062</v>
      </c>
      <c r="L598" t="s">
        <v>167</v>
      </c>
      <c r="M598" t="s">
        <v>168</v>
      </c>
      <c r="N598" t="s">
        <v>57</v>
      </c>
      <c r="O598" s="1">
        <v>46006</v>
      </c>
      <c r="Q598" s="1">
        <v>46157</v>
      </c>
      <c r="R598" s="2">
        <v>118.19</v>
      </c>
      <c r="S598">
        <v>1</v>
      </c>
      <c r="T598" t="s">
        <v>58</v>
      </c>
      <c r="U598" t="s">
        <v>173</v>
      </c>
      <c r="V598" s="3">
        <v>0.38</v>
      </c>
      <c r="W598" s="2">
        <v>0</v>
      </c>
      <c r="X598">
        <v>0</v>
      </c>
      <c r="Y598" t="s">
        <v>60</v>
      </c>
      <c r="Z598" t="s">
        <v>61</v>
      </c>
      <c r="AA598">
        <v>0</v>
      </c>
      <c r="AB598" s="2">
        <v>0</v>
      </c>
      <c r="AC598" s="2">
        <v>0</v>
      </c>
      <c r="AD598" s="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44.91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</row>
    <row r="599" spans="1:43" x14ac:dyDescent="0.3">
      <c r="A599" s="1">
        <v>46125</v>
      </c>
      <c r="B599" t="s">
        <v>48</v>
      </c>
      <c r="C599">
        <v>649163</v>
      </c>
      <c r="D599">
        <v>2032445032</v>
      </c>
      <c r="E599" t="s">
        <v>291</v>
      </c>
      <c r="F599" t="s">
        <v>200</v>
      </c>
      <c r="G599" t="s">
        <v>51</v>
      </c>
      <c r="H599" t="s">
        <v>80</v>
      </c>
      <c r="I599" t="s">
        <v>499</v>
      </c>
      <c r="J599" t="s">
        <v>501</v>
      </c>
      <c r="K599">
        <v>824062</v>
      </c>
      <c r="L599" t="s">
        <v>167</v>
      </c>
      <c r="M599" t="s">
        <v>168</v>
      </c>
      <c r="N599" t="s">
        <v>57</v>
      </c>
      <c r="O599" s="1">
        <v>46006</v>
      </c>
      <c r="Q599" s="1">
        <v>46157</v>
      </c>
      <c r="R599" s="2">
        <v>7.09</v>
      </c>
      <c r="S599">
        <v>1</v>
      </c>
      <c r="T599" t="s">
        <v>58</v>
      </c>
      <c r="U599" t="s">
        <v>173</v>
      </c>
      <c r="V599" s="3">
        <v>0.38</v>
      </c>
      <c r="W599" s="2">
        <v>0</v>
      </c>
      <c r="X599">
        <v>0</v>
      </c>
      <c r="Y599" t="s">
        <v>60</v>
      </c>
      <c r="Z599" t="s">
        <v>61</v>
      </c>
      <c r="AA599">
        <v>0</v>
      </c>
      <c r="AB599" s="2">
        <v>0</v>
      </c>
      <c r="AC599" s="2">
        <v>0</v>
      </c>
      <c r="AD599" s="3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2.69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</row>
    <row r="600" spans="1:43" x14ac:dyDescent="0.3">
      <c r="A600" s="1">
        <v>46125</v>
      </c>
      <c r="B600" t="s">
        <v>48</v>
      </c>
      <c r="C600">
        <v>649163</v>
      </c>
      <c r="D600">
        <v>2032604913</v>
      </c>
      <c r="E600" t="s">
        <v>296</v>
      </c>
      <c r="F600" t="s">
        <v>297</v>
      </c>
      <c r="G600" t="s">
        <v>51</v>
      </c>
      <c r="H600" t="s">
        <v>298</v>
      </c>
      <c r="I600" t="s">
        <v>499</v>
      </c>
      <c r="J600" t="s">
        <v>502</v>
      </c>
      <c r="K600">
        <v>893408</v>
      </c>
      <c r="L600" t="s">
        <v>299</v>
      </c>
      <c r="M600" t="s">
        <v>300</v>
      </c>
      <c r="N600" t="s">
        <v>57</v>
      </c>
      <c r="O600" s="1">
        <v>46002</v>
      </c>
      <c r="Q600" s="1">
        <v>46153</v>
      </c>
      <c r="R600" s="2">
        <v>47.51</v>
      </c>
      <c r="S600">
        <v>1</v>
      </c>
      <c r="T600" t="s">
        <v>58</v>
      </c>
      <c r="U600" t="s">
        <v>173</v>
      </c>
      <c r="V600" s="3">
        <v>0.38</v>
      </c>
      <c r="W600" s="2">
        <v>0</v>
      </c>
      <c r="X600">
        <v>0</v>
      </c>
      <c r="Y600" t="s">
        <v>60</v>
      </c>
      <c r="Z600" t="s">
        <v>61</v>
      </c>
      <c r="AA600">
        <v>0</v>
      </c>
      <c r="AB600" s="2">
        <v>0</v>
      </c>
      <c r="AC600" s="2">
        <v>0</v>
      </c>
      <c r="AD600" s="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18.05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</row>
    <row r="601" spans="1:43" x14ac:dyDescent="0.3">
      <c r="A601" s="1">
        <v>46125</v>
      </c>
      <c r="B601" t="s">
        <v>48</v>
      </c>
      <c r="C601">
        <v>649163</v>
      </c>
      <c r="D601">
        <v>2032627615</v>
      </c>
      <c r="E601" t="s">
        <v>317</v>
      </c>
      <c r="F601" t="s">
        <v>318</v>
      </c>
      <c r="G601" t="s">
        <v>51</v>
      </c>
      <c r="H601" t="s">
        <v>103</v>
      </c>
      <c r="I601" t="s">
        <v>499</v>
      </c>
      <c r="J601" t="s">
        <v>502</v>
      </c>
      <c r="K601">
        <v>816021</v>
      </c>
      <c r="L601" t="s">
        <v>104</v>
      </c>
      <c r="M601" t="s">
        <v>105</v>
      </c>
      <c r="N601" t="s">
        <v>57</v>
      </c>
      <c r="O601" s="1">
        <v>46003</v>
      </c>
      <c r="Q601" s="1">
        <v>46154</v>
      </c>
      <c r="R601" s="2">
        <v>32.79</v>
      </c>
      <c r="S601">
        <v>1</v>
      </c>
      <c r="T601" t="s">
        <v>58</v>
      </c>
      <c r="U601" t="s">
        <v>173</v>
      </c>
      <c r="V601" s="3">
        <v>0.38</v>
      </c>
      <c r="W601" s="2">
        <v>0</v>
      </c>
      <c r="X601">
        <v>0</v>
      </c>
      <c r="Y601" t="s">
        <v>60</v>
      </c>
      <c r="Z601" t="s">
        <v>61</v>
      </c>
      <c r="AA601">
        <v>0</v>
      </c>
      <c r="AB601" s="2">
        <v>0</v>
      </c>
      <c r="AC601" s="2">
        <v>0</v>
      </c>
      <c r="AD601" s="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12.46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</row>
    <row r="602" spans="1:43" x14ac:dyDescent="0.3">
      <c r="A602" s="1">
        <v>46125</v>
      </c>
      <c r="B602" t="s">
        <v>48</v>
      </c>
      <c r="C602">
        <v>649163</v>
      </c>
      <c r="D602">
        <v>2032634420</v>
      </c>
      <c r="E602" t="s">
        <v>767</v>
      </c>
      <c r="F602" t="s">
        <v>768</v>
      </c>
      <c r="G602" t="s">
        <v>51</v>
      </c>
      <c r="H602" t="s">
        <v>256</v>
      </c>
      <c r="I602" t="s">
        <v>499</v>
      </c>
      <c r="J602" t="s">
        <v>502</v>
      </c>
      <c r="K602">
        <v>650218</v>
      </c>
      <c r="L602" t="s">
        <v>544</v>
      </c>
      <c r="M602" t="s">
        <v>324</v>
      </c>
      <c r="N602" t="s">
        <v>57</v>
      </c>
      <c r="O602" s="1">
        <v>46003</v>
      </c>
      <c r="Q602" s="1">
        <v>46154</v>
      </c>
      <c r="R602" s="2">
        <v>58.29</v>
      </c>
      <c r="S602">
        <v>1</v>
      </c>
      <c r="T602" t="s">
        <v>58</v>
      </c>
      <c r="U602" t="s">
        <v>173</v>
      </c>
      <c r="V602" s="3">
        <v>0.38</v>
      </c>
      <c r="W602" s="2">
        <v>0</v>
      </c>
      <c r="X602">
        <v>0</v>
      </c>
      <c r="Y602" t="s">
        <v>60</v>
      </c>
      <c r="Z602" t="s">
        <v>61</v>
      </c>
      <c r="AA602">
        <v>0</v>
      </c>
      <c r="AB602" s="2">
        <v>0</v>
      </c>
      <c r="AC602" s="2">
        <v>0</v>
      </c>
      <c r="AD602" s="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22.15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</row>
    <row r="603" spans="1:43" x14ac:dyDescent="0.3">
      <c r="A603" s="1">
        <v>46125</v>
      </c>
      <c r="B603" t="s">
        <v>48</v>
      </c>
      <c r="C603">
        <v>649163</v>
      </c>
      <c r="D603">
        <v>2032648207</v>
      </c>
      <c r="E603" t="s">
        <v>879</v>
      </c>
      <c r="F603" t="s">
        <v>860</v>
      </c>
      <c r="G603" t="s">
        <v>51</v>
      </c>
      <c r="H603" t="s">
        <v>256</v>
      </c>
      <c r="I603" t="s">
        <v>499</v>
      </c>
      <c r="J603" t="s">
        <v>502</v>
      </c>
      <c r="K603">
        <v>751867</v>
      </c>
      <c r="L603" t="s">
        <v>535</v>
      </c>
      <c r="M603" t="s">
        <v>149</v>
      </c>
      <c r="N603" t="s">
        <v>57</v>
      </c>
      <c r="O603" s="1">
        <v>46004</v>
      </c>
      <c r="Q603" s="1">
        <v>46155</v>
      </c>
      <c r="R603" s="2">
        <v>77.55</v>
      </c>
      <c r="S603">
        <v>1</v>
      </c>
      <c r="T603" t="s">
        <v>58</v>
      </c>
      <c r="U603" t="s">
        <v>173</v>
      </c>
      <c r="V603" s="3">
        <v>0.38</v>
      </c>
      <c r="W603" s="2">
        <v>0</v>
      </c>
      <c r="X603">
        <v>0</v>
      </c>
      <c r="Y603" t="s">
        <v>60</v>
      </c>
      <c r="Z603" t="s">
        <v>61</v>
      </c>
      <c r="AA603">
        <v>0</v>
      </c>
      <c r="AB603" s="2">
        <v>0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29.47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</row>
    <row r="604" spans="1:43" x14ac:dyDescent="0.3">
      <c r="A604" s="1">
        <v>46125</v>
      </c>
      <c r="B604" t="s">
        <v>48</v>
      </c>
      <c r="C604">
        <v>649163</v>
      </c>
      <c r="D604">
        <v>2032676548</v>
      </c>
      <c r="E604" t="s">
        <v>560</v>
      </c>
      <c r="F604" t="s">
        <v>100</v>
      </c>
      <c r="G604" t="s">
        <v>51</v>
      </c>
      <c r="H604" t="s">
        <v>256</v>
      </c>
      <c r="I604" t="s">
        <v>499</v>
      </c>
      <c r="J604" t="s">
        <v>502</v>
      </c>
      <c r="K604">
        <v>885445</v>
      </c>
      <c r="L604" t="s">
        <v>559</v>
      </c>
      <c r="M604" t="s">
        <v>470</v>
      </c>
      <c r="N604" t="s">
        <v>57</v>
      </c>
      <c r="O604" s="1">
        <v>46005</v>
      </c>
      <c r="Q604" s="1">
        <v>46156</v>
      </c>
      <c r="R604" s="2">
        <v>19.309999999999999</v>
      </c>
      <c r="S604">
        <v>1</v>
      </c>
      <c r="T604" t="s">
        <v>58</v>
      </c>
      <c r="U604" t="s">
        <v>173</v>
      </c>
      <c r="V604" s="3">
        <v>0.38</v>
      </c>
      <c r="W604" s="2">
        <v>0</v>
      </c>
      <c r="X604">
        <v>0</v>
      </c>
      <c r="Y604" t="s">
        <v>60</v>
      </c>
      <c r="Z604" t="s">
        <v>61</v>
      </c>
      <c r="AA604">
        <v>0</v>
      </c>
      <c r="AB604" s="2">
        <v>0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7.34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</row>
    <row r="605" spans="1:43" x14ac:dyDescent="0.3">
      <c r="A605" s="1">
        <v>46125</v>
      </c>
      <c r="B605" t="s">
        <v>48</v>
      </c>
      <c r="C605">
        <v>649163</v>
      </c>
      <c r="D605">
        <v>2032695213</v>
      </c>
      <c r="E605" t="s">
        <v>769</v>
      </c>
      <c r="F605" t="s">
        <v>770</v>
      </c>
      <c r="G605" t="s">
        <v>51</v>
      </c>
      <c r="H605" t="s">
        <v>298</v>
      </c>
      <c r="I605" t="s">
        <v>499</v>
      </c>
      <c r="J605" t="s">
        <v>502</v>
      </c>
      <c r="K605">
        <v>893408</v>
      </c>
      <c r="L605" t="s">
        <v>299</v>
      </c>
      <c r="M605" t="s">
        <v>300</v>
      </c>
      <c r="N605" t="s">
        <v>57</v>
      </c>
      <c r="O605" s="1">
        <v>46007</v>
      </c>
      <c r="Q605" s="1">
        <v>46158</v>
      </c>
      <c r="R605" s="2">
        <v>20.68</v>
      </c>
      <c r="S605">
        <v>1</v>
      </c>
      <c r="T605" t="s">
        <v>58</v>
      </c>
      <c r="U605" t="s">
        <v>173</v>
      </c>
      <c r="V605" s="3">
        <v>0.38</v>
      </c>
      <c r="W605" s="2">
        <v>0</v>
      </c>
      <c r="X605">
        <v>0</v>
      </c>
      <c r="Y605" t="s">
        <v>60</v>
      </c>
      <c r="Z605" t="s">
        <v>61</v>
      </c>
      <c r="AA605">
        <v>0</v>
      </c>
      <c r="AB605" s="2">
        <v>0</v>
      </c>
      <c r="AC605" s="2">
        <v>0</v>
      </c>
      <c r="AD605" s="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7.86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</row>
    <row r="606" spans="1:43" x14ac:dyDescent="0.3">
      <c r="A606" s="1">
        <v>46125</v>
      </c>
      <c r="B606" t="s">
        <v>48</v>
      </c>
      <c r="C606">
        <v>649163</v>
      </c>
      <c r="D606">
        <v>2032774966</v>
      </c>
      <c r="E606" t="s">
        <v>355</v>
      </c>
      <c r="F606" t="s">
        <v>356</v>
      </c>
      <c r="G606" t="s">
        <v>51</v>
      </c>
      <c r="H606" t="s">
        <v>103</v>
      </c>
      <c r="I606" t="s">
        <v>499</v>
      </c>
      <c r="J606" t="s">
        <v>502</v>
      </c>
      <c r="K606">
        <v>816021</v>
      </c>
      <c r="L606" t="s">
        <v>104</v>
      </c>
      <c r="M606" t="s">
        <v>105</v>
      </c>
      <c r="N606" t="s">
        <v>57</v>
      </c>
      <c r="O606" s="1">
        <v>46006</v>
      </c>
      <c r="Q606" s="1">
        <v>46157</v>
      </c>
      <c r="R606" s="2">
        <v>19.100000000000001</v>
      </c>
      <c r="S606">
        <v>1</v>
      </c>
      <c r="T606" t="s">
        <v>58</v>
      </c>
      <c r="U606" t="s">
        <v>173</v>
      </c>
      <c r="V606" s="3">
        <v>0.38</v>
      </c>
      <c r="W606" s="2">
        <v>0</v>
      </c>
      <c r="X606">
        <v>0</v>
      </c>
      <c r="Y606" t="s">
        <v>60</v>
      </c>
      <c r="Z606" t="s">
        <v>61</v>
      </c>
      <c r="AA606">
        <v>0</v>
      </c>
      <c r="AB606" s="2">
        <v>0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7.26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</row>
    <row r="607" spans="1:43" x14ac:dyDescent="0.3">
      <c r="A607" s="1">
        <v>46125</v>
      </c>
      <c r="B607" t="s">
        <v>48</v>
      </c>
      <c r="C607">
        <v>649163</v>
      </c>
      <c r="D607">
        <v>2033064965</v>
      </c>
      <c r="E607" t="s">
        <v>561</v>
      </c>
      <c r="F607" t="s">
        <v>562</v>
      </c>
      <c r="G607" t="s">
        <v>51</v>
      </c>
      <c r="H607" t="s">
        <v>256</v>
      </c>
      <c r="I607" t="s">
        <v>499</v>
      </c>
      <c r="J607" t="s">
        <v>502</v>
      </c>
      <c r="K607">
        <v>751867</v>
      </c>
      <c r="L607" t="s">
        <v>535</v>
      </c>
      <c r="M607" t="s">
        <v>149</v>
      </c>
      <c r="N607" t="s">
        <v>57</v>
      </c>
      <c r="O607" s="1">
        <v>46034</v>
      </c>
      <c r="Q607" s="1">
        <v>46154</v>
      </c>
      <c r="R607" s="2">
        <v>27.15</v>
      </c>
      <c r="S607">
        <v>1</v>
      </c>
      <c r="T607" t="s">
        <v>58</v>
      </c>
      <c r="U607" t="s">
        <v>173</v>
      </c>
      <c r="V607" s="3">
        <v>0.38</v>
      </c>
      <c r="W607" s="2">
        <v>0</v>
      </c>
      <c r="X607">
        <v>0</v>
      </c>
      <c r="Y607" t="s">
        <v>60</v>
      </c>
      <c r="Z607" t="s">
        <v>61</v>
      </c>
      <c r="AA607">
        <v>0</v>
      </c>
      <c r="AB607" s="2">
        <v>0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10.32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</row>
    <row r="608" spans="1:43" x14ac:dyDescent="0.3">
      <c r="A608" s="1">
        <v>46125</v>
      </c>
      <c r="B608" t="s">
        <v>48</v>
      </c>
      <c r="C608">
        <v>649163</v>
      </c>
      <c r="D608">
        <v>2033127914</v>
      </c>
      <c r="E608" t="s">
        <v>771</v>
      </c>
      <c r="F608" t="s">
        <v>227</v>
      </c>
      <c r="G608" t="s">
        <v>51</v>
      </c>
      <c r="H608" t="s">
        <v>114</v>
      </c>
      <c r="I608" t="s">
        <v>499</v>
      </c>
      <c r="J608" t="s">
        <v>502</v>
      </c>
      <c r="K608">
        <v>673059</v>
      </c>
      <c r="L608" t="s">
        <v>115</v>
      </c>
      <c r="M608" t="s">
        <v>116</v>
      </c>
      <c r="N608" t="s">
        <v>57</v>
      </c>
      <c r="O608" s="1">
        <v>46038</v>
      </c>
      <c r="Q608" s="1">
        <v>46158</v>
      </c>
      <c r="R608" s="2">
        <v>16.87</v>
      </c>
      <c r="S608">
        <v>1</v>
      </c>
      <c r="T608" t="s">
        <v>58</v>
      </c>
      <c r="U608" t="s">
        <v>173</v>
      </c>
      <c r="V608" s="3">
        <v>0.38</v>
      </c>
      <c r="W608" s="2">
        <v>0</v>
      </c>
      <c r="X608">
        <v>0</v>
      </c>
      <c r="Y608" t="s">
        <v>60</v>
      </c>
      <c r="Z608" t="s">
        <v>61</v>
      </c>
      <c r="AA608">
        <v>0</v>
      </c>
      <c r="AB608" s="2">
        <v>0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6.41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</row>
    <row r="609" spans="1:43" x14ac:dyDescent="0.3">
      <c r="A609" s="1">
        <v>46125</v>
      </c>
      <c r="B609" t="s">
        <v>48</v>
      </c>
      <c r="C609">
        <v>649163</v>
      </c>
      <c r="D609">
        <v>2033129762</v>
      </c>
      <c r="E609" t="s">
        <v>563</v>
      </c>
      <c r="F609" t="s">
        <v>564</v>
      </c>
      <c r="G609" t="s">
        <v>51</v>
      </c>
      <c r="H609" t="s">
        <v>256</v>
      </c>
      <c r="I609" t="s">
        <v>499</v>
      </c>
      <c r="J609" t="s">
        <v>502</v>
      </c>
      <c r="K609">
        <v>751867</v>
      </c>
      <c r="L609" t="s">
        <v>535</v>
      </c>
      <c r="M609" t="s">
        <v>149</v>
      </c>
      <c r="N609" t="s">
        <v>57</v>
      </c>
      <c r="O609" s="1">
        <v>46036</v>
      </c>
      <c r="Q609" s="1">
        <v>46156</v>
      </c>
      <c r="R609" s="2">
        <v>27.15</v>
      </c>
      <c r="S609">
        <v>1</v>
      </c>
      <c r="T609" t="s">
        <v>58</v>
      </c>
      <c r="U609" t="s">
        <v>173</v>
      </c>
      <c r="V609" s="3">
        <v>0.38</v>
      </c>
      <c r="W609" s="2">
        <v>0</v>
      </c>
      <c r="X609">
        <v>0</v>
      </c>
      <c r="Y609" t="s">
        <v>60</v>
      </c>
      <c r="Z609" t="s">
        <v>61</v>
      </c>
      <c r="AA609">
        <v>0</v>
      </c>
      <c r="AB609" s="2">
        <v>0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10.32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</row>
    <row r="610" spans="1:43" x14ac:dyDescent="0.3">
      <c r="A610" s="1">
        <v>46125</v>
      </c>
      <c r="B610" t="s">
        <v>48</v>
      </c>
      <c r="C610">
        <v>649163</v>
      </c>
      <c r="D610">
        <v>2033137245</v>
      </c>
      <c r="E610" t="s">
        <v>397</v>
      </c>
      <c r="F610" t="s">
        <v>398</v>
      </c>
      <c r="G610" t="s">
        <v>51</v>
      </c>
      <c r="H610" t="s">
        <v>399</v>
      </c>
      <c r="I610" t="s">
        <v>499</v>
      </c>
      <c r="J610" t="s">
        <v>502</v>
      </c>
      <c r="K610">
        <v>756418</v>
      </c>
      <c r="L610" t="s">
        <v>400</v>
      </c>
      <c r="M610" t="s">
        <v>401</v>
      </c>
      <c r="N610" t="s">
        <v>57</v>
      </c>
      <c r="O610" s="1">
        <v>46036</v>
      </c>
      <c r="Q610" s="1">
        <v>46156</v>
      </c>
      <c r="R610" s="2">
        <v>17.940000000000001</v>
      </c>
      <c r="S610">
        <v>1</v>
      </c>
      <c r="T610" t="s">
        <v>58</v>
      </c>
      <c r="U610" t="s">
        <v>173</v>
      </c>
      <c r="V610" s="3">
        <v>0.38</v>
      </c>
      <c r="W610" s="2">
        <v>0</v>
      </c>
      <c r="X610">
        <v>0</v>
      </c>
      <c r="Y610" t="s">
        <v>60</v>
      </c>
      <c r="Z610" t="s">
        <v>61</v>
      </c>
      <c r="AA610">
        <v>0</v>
      </c>
      <c r="AB610" s="2">
        <v>0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6.82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</row>
    <row r="611" spans="1:43" x14ac:dyDescent="0.3">
      <c r="A611" s="1">
        <v>46125</v>
      </c>
      <c r="B611" t="s">
        <v>48</v>
      </c>
      <c r="C611">
        <v>649163</v>
      </c>
      <c r="D611">
        <v>2033164610</v>
      </c>
      <c r="E611" t="s">
        <v>409</v>
      </c>
      <c r="F611" t="s">
        <v>410</v>
      </c>
      <c r="G611" t="s">
        <v>51</v>
      </c>
      <c r="H611" t="s">
        <v>103</v>
      </c>
      <c r="I611" t="s">
        <v>499</v>
      </c>
      <c r="J611" t="s">
        <v>502</v>
      </c>
      <c r="K611">
        <v>816021</v>
      </c>
      <c r="L611" t="s">
        <v>104</v>
      </c>
      <c r="M611" t="s">
        <v>105</v>
      </c>
      <c r="N611" t="s">
        <v>57</v>
      </c>
      <c r="O611" s="1">
        <v>46038</v>
      </c>
      <c r="Q611" s="1">
        <v>46158</v>
      </c>
      <c r="R611" s="2">
        <v>13.63</v>
      </c>
      <c r="S611">
        <v>1</v>
      </c>
      <c r="T611" t="s">
        <v>58</v>
      </c>
      <c r="U611" t="s">
        <v>173</v>
      </c>
      <c r="V611" s="3">
        <v>0.38</v>
      </c>
      <c r="W611" s="2">
        <v>0</v>
      </c>
      <c r="X611">
        <v>0</v>
      </c>
      <c r="Y611" t="s">
        <v>60</v>
      </c>
      <c r="Z611" t="s">
        <v>61</v>
      </c>
      <c r="AA611">
        <v>0</v>
      </c>
      <c r="AB611" s="2">
        <v>0</v>
      </c>
      <c r="AC611" s="2">
        <v>0</v>
      </c>
      <c r="AD611" s="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5.18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</row>
    <row r="612" spans="1:43" x14ac:dyDescent="0.3">
      <c r="A612" s="1">
        <v>46125</v>
      </c>
      <c r="B612" t="s">
        <v>48</v>
      </c>
      <c r="C612">
        <v>649163</v>
      </c>
      <c r="D612">
        <v>2033171034</v>
      </c>
      <c r="E612" t="s">
        <v>880</v>
      </c>
      <c r="F612" t="s">
        <v>881</v>
      </c>
      <c r="G612" t="s">
        <v>51</v>
      </c>
      <c r="H612" t="s">
        <v>256</v>
      </c>
      <c r="I612" t="s">
        <v>499</v>
      </c>
      <c r="J612" t="s">
        <v>502</v>
      </c>
      <c r="K612">
        <v>751867</v>
      </c>
      <c r="L612" t="s">
        <v>535</v>
      </c>
      <c r="M612" t="s">
        <v>149</v>
      </c>
      <c r="N612" t="s">
        <v>57</v>
      </c>
      <c r="O612" s="1">
        <v>46038</v>
      </c>
      <c r="Q612" s="1">
        <v>46158</v>
      </c>
      <c r="R612" s="2">
        <v>46.13</v>
      </c>
      <c r="S612">
        <v>1</v>
      </c>
      <c r="T612" t="s">
        <v>58</v>
      </c>
      <c r="U612" t="s">
        <v>173</v>
      </c>
      <c r="V612" s="3">
        <v>0.38</v>
      </c>
      <c r="W612" s="2">
        <v>0</v>
      </c>
      <c r="X612">
        <v>0</v>
      </c>
      <c r="Y612" t="s">
        <v>60</v>
      </c>
      <c r="Z612" t="s">
        <v>61</v>
      </c>
      <c r="AA612">
        <v>0</v>
      </c>
      <c r="AB612" s="2">
        <v>0</v>
      </c>
      <c r="AC612" s="2">
        <v>0</v>
      </c>
      <c r="AD612" s="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17.53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</row>
    <row r="613" spans="1:43" x14ac:dyDescent="0.3">
      <c r="A613" s="1">
        <v>46125</v>
      </c>
      <c r="B613" t="s">
        <v>48</v>
      </c>
      <c r="C613">
        <v>649163</v>
      </c>
      <c r="D613">
        <v>2033172627</v>
      </c>
      <c r="E613" t="s">
        <v>417</v>
      </c>
      <c r="F613" t="s">
        <v>107</v>
      </c>
      <c r="G613" t="s">
        <v>51</v>
      </c>
      <c r="H613" t="s">
        <v>70</v>
      </c>
      <c r="I613" t="s">
        <v>499</v>
      </c>
      <c r="J613" t="s">
        <v>500</v>
      </c>
      <c r="K613">
        <v>902625</v>
      </c>
      <c r="L613" t="s">
        <v>281</v>
      </c>
      <c r="M613" t="s">
        <v>282</v>
      </c>
      <c r="N613" t="s">
        <v>57</v>
      </c>
      <c r="O613" s="1">
        <v>46038</v>
      </c>
      <c r="Q613" s="1">
        <v>46158</v>
      </c>
      <c r="R613" s="2">
        <v>195.81</v>
      </c>
      <c r="S613">
        <v>1</v>
      </c>
      <c r="T613" t="s">
        <v>58</v>
      </c>
      <c r="U613" t="s">
        <v>173</v>
      </c>
      <c r="V613" s="3">
        <v>0.38</v>
      </c>
      <c r="W613" s="2">
        <v>0</v>
      </c>
      <c r="X613">
        <v>0</v>
      </c>
      <c r="Y613" t="s">
        <v>60</v>
      </c>
      <c r="Z613" t="s">
        <v>61</v>
      </c>
      <c r="AA613">
        <v>0</v>
      </c>
      <c r="AB613" s="2">
        <v>0</v>
      </c>
      <c r="AC613" s="2">
        <v>0</v>
      </c>
      <c r="AD613" s="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74.41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</row>
    <row r="614" spans="1:43" x14ac:dyDescent="0.3">
      <c r="A614" s="1">
        <v>46125</v>
      </c>
      <c r="B614" t="s">
        <v>48</v>
      </c>
      <c r="C614">
        <v>649163</v>
      </c>
      <c r="D614">
        <v>2033172628</v>
      </c>
      <c r="E614" t="s">
        <v>417</v>
      </c>
      <c r="F614" t="s">
        <v>107</v>
      </c>
      <c r="G614" t="s">
        <v>51</v>
      </c>
      <c r="H614" t="s">
        <v>70</v>
      </c>
      <c r="I614" t="s">
        <v>499</v>
      </c>
      <c r="J614" t="s">
        <v>501</v>
      </c>
      <c r="K614">
        <v>902625</v>
      </c>
      <c r="L614" t="s">
        <v>281</v>
      </c>
      <c r="M614" t="s">
        <v>282</v>
      </c>
      <c r="N614" t="s">
        <v>57</v>
      </c>
      <c r="O614" s="1">
        <v>46038</v>
      </c>
      <c r="Q614" s="1">
        <v>46158</v>
      </c>
      <c r="R614" s="2">
        <v>7.09</v>
      </c>
      <c r="S614">
        <v>1</v>
      </c>
      <c r="T614" t="s">
        <v>58</v>
      </c>
      <c r="U614" t="s">
        <v>173</v>
      </c>
      <c r="V614" s="3">
        <v>0.38</v>
      </c>
      <c r="W614" s="2">
        <v>0</v>
      </c>
      <c r="X614">
        <v>0</v>
      </c>
      <c r="Y614" t="s">
        <v>60</v>
      </c>
      <c r="Z614" t="s">
        <v>61</v>
      </c>
      <c r="AA614">
        <v>0</v>
      </c>
      <c r="AB614" s="2">
        <v>0</v>
      </c>
      <c r="AC614" s="2">
        <v>0</v>
      </c>
      <c r="AD614" s="3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2.69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</row>
    <row r="615" spans="1:43" x14ac:dyDescent="0.3">
      <c r="A615" s="1">
        <v>46125</v>
      </c>
      <c r="B615" t="s">
        <v>48</v>
      </c>
      <c r="C615">
        <v>649163</v>
      </c>
      <c r="D615">
        <v>2033172630</v>
      </c>
      <c r="E615" t="s">
        <v>417</v>
      </c>
      <c r="F615" t="s">
        <v>107</v>
      </c>
      <c r="G615" t="s">
        <v>51</v>
      </c>
      <c r="H615" t="s">
        <v>70</v>
      </c>
      <c r="I615" t="s">
        <v>499</v>
      </c>
      <c r="J615" t="s">
        <v>502</v>
      </c>
      <c r="K615">
        <v>902625</v>
      </c>
      <c r="L615" t="s">
        <v>281</v>
      </c>
      <c r="M615" t="s">
        <v>282</v>
      </c>
      <c r="N615" t="s">
        <v>57</v>
      </c>
      <c r="O615" s="1">
        <v>46038</v>
      </c>
      <c r="Q615" s="1">
        <v>46158</v>
      </c>
      <c r="R615" s="2">
        <v>32.74</v>
      </c>
      <c r="S615">
        <v>1</v>
      </c>
      <c r="T615" t="s">
        <v>58</v>
      </c>
      <c r="U615" t="s">
        <v>173</v>
      </c>
      <c r="V615" s="3">
        <v>0.38</v>
      </c>
      <c r="W615" s="2">
        <v>0</v>
      </c>
      <c r="X615">
        <v>0</v>
      </c>
      <c r="Y615" t="s">
        <v>60</v>
      </c>
      <c r="Z615" t="s">
        <v>61</v>
      </c>
      <c r="AA615">
        <v>0</v>
      </c>
      <c r="AB615" s="2">
        <v>0</v>
      </c>
      <c r="AC615" s="2">
        <v>0</v>
      </c>
      <c r="AD615" s="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12.44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</row>
    <row r="616" spans="1:43" x14ac:dyDescent="0.3">
      <c r="A616" s="1">
        <v>46125</v>
      </c>
      <c r="B616" t="s">
        <v>48</v>
      </c>
      <c r="C616">
        <v>649163</v>
      </c>
      <c r="D616">
        <v>2033190870</v>
      </c>
      <c r="E616" t="s">
        <v>882</v>
      </c>
      <c r="F616" t="s">
        <v>637</v>
      </c>
      <c r="G616" t="s">
        <v>51</v>
      </c>
      <c r="H616" t="s">
        <v>256</v>
      </c>
      <c r="I616" t="s">
        <v>499</v>
      </c>
      <c r="J616" t="s">
        <v>500</v>
      </c>
      <c r="K616">
        <v>896468</v>
      </c>
      <c r="L616" t="s">
        <v>883</v>
      </c>
      <c r="M616" t="s">
        <v>884</v>
      </c>
      <c r="N616" t="s">
        <v>57</v>
      </c>
      <c r="O616" s="1">
        <v>46039</v>
      </c>
      <c r="Q616" s="1">
        <v>46159</v>
      </c>
      <c r="R616" s="2">
        <v>1309.58</v>
      </c>
      <c r="S616">
        <v>1</v>
      </c>
      <c r="T616" t="s">
        <v>58</v>
      </c>
      <c r="U616" t="s">
        <v>173</v>
      </c>
      <c r="V616" s="3">
        <v>0.08</v>
      </c>
      <c r="W616" s="2">
        <v>0</v>
      </c>
      <c r="X616">
        <v>0</v>
      </c>
      <c r="Y616" t="s">
        <v>60</v>
      </c>
      <c r="Z616" t="s">
        <v>61</v>
      </c>
      <c r="AA616">
        <v>0</v>
      </c>
      <c r="AB616" s="2">
        <v>0</v>
      </c>
      <c r="AC616" s="2">
        <v>0</v>
      </c>
      <c r="AD616" s="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104.77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</row>
    <row r="617" spans="1:43" x14ac:dyDescent="0.3">
      <c r="A617" s="1">
        <v>46125</v>
      </c>
      <c r="B617" t="s">
        <v>48</v>
      </c>
      <c r="C617">
        <v>649163</v>
      </c>
      <c r="D617">
        <v>2033190871</v>
      </c>
      <c r="E617" t="s">
        <v>882</v>
      </c>
      <c r="F617" t="s">
        <v>637</v>
      </c>
      <c r="G617" t="s">
        <v>51</v>
      </c>
      <c r="H617" t="s">
        <v>256</v>
      </c>
      <c r="I617" t="s">
        <v>499</v>
      </c>
      <c r="J617" t="s">
        <v>501</v>
      </c>
      <c r="K617">
        <v>896468</v>
      </c>
      <c r="L617" t="s">
        <v>883</v>
      </c>
      <c r="M617" t="s">
        <v>884</v>
      </c>
      <c r="N617" t="s">
        <v>57</v>
      </c>
      <c r="O617" s="1">
        <v>46039</v>
      </c>
      <c r="Q617" s="1">
        <v>46159</v>
      </c>
      <c r="R617" s="2">
        <v>7.09</v>
      </c>
      <c r="S617">
        <v>1</v>
      </c>
      <c r="T617" t="s">
        <v>58</v>
      </c>
      <c r="U617" t="s">
        <v>173</v>
      </c>
      <c r="V617" s="3">
        <v>0.08</v>
      </c>
      <c r="W617" s="2">
        <v>0</v>
      </c>
      <c r="X617">
        <v>0</v>
      </c>
      <c r="Y617" t="s">
        <v>60</v>
      </c>
      <c r="Z617" t="s">
        <v>61</v>
      </c>
      <c r="AA617">
        <v>0</v>
      </c>
      <c r="AB617" s="2">
        <v>0</v>
      </c>
      <c r="AC617" s="2">
        <v>0</v>
      </c>
      <c r="AD617" s="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0.56999999999999995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</row>
    <row r="618" spans="1:43" x14ac:dyDescent="0.3">
      <c r="A618" s="1">
        <v>46125</v>
      </c>
      <c r="B618" t="s">
        <v>48</v>
      </c>
      <c r="C618">
        <v>649163</v>
      </c>
      <c r="D618">
        <v>2033514020</v>
      </c>
      <c r="E618" t="s">
        <v>772</v>
      </c>
      <c r="F618" t="s">
        <v>773</v>
      </c>
      <c r="G618" t="s">
        <v>51</v>
      </c>
      <c r="H618" t="s">
        <v>80</v>
      </c>
      <c r="I618" t="s">
        <v>499</v>
      </c>
      <c r="J618" t="s">
        <v>500</v>
      </c>
      <c r="K618">
        <v>820873</v>
      </c>
      <c r="L618" t="s">
        <v>307</v>
      </c>
      <c r="M618" t="s">
        <v>308</v>
      </c>
      <c r="N618" t="s">
        <v>86</v>
      </c>
      <c r="O618" s="1">
        <v>46059</v>
      </c>
      <c r="P618" s="1">
        <v>46125</v>
      </c>
      <c r="Q618" s="1">
        <v>46148</v>
      </c>
      <c r="R618" s="2">
        <v>-118.19</v>
      </c>
      <c r="S618">
        <v>1</v>
      </c>
      <c r="T618" t="s">
        <v>58</v>
      </c>
      <c r="U618" t="s">
        <v>173</v>
      </c>
      <c r="V618" s="3">
        <v>0.38</v>
      </c>
      <c r="W618" s="2">
        <v>0</v>
      </c>
      <c r="X618">
        <v>-1</v>
      </c>
      <c r="Y618" t="s">
        <v>60</v>
      </c>
      <c r="Z618" t="s">
        <v>61</v>
      </c>
      <c r="AA618">
        <v>0</v>
      </c>
      <c r="AB618" s="2">
        <v>0</v>
      </c>
      <c r="AC618" s="2">
        <v>0</v>
      </c>
      <c r="AD618" s="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-44.91</v>
      </c>
      <c r="AN618" s="2">
        <v>-44.91</v>
      </c>
      <c r="AO618" s="2">
        <v>0</v>
      </c>
      <c r="AP618" s="2">
        <v>0</v>
      </c>
      <c r="AQ618" s="2">
        <v>0</v>
      </c>
    </row>
    <row r="619" spans="1:43" x14ac:dyDescent="0.3">
      <c r="A619" s="1">
        <v>46125</v>
      </c>
      <c r="B619" t="s">
        <v>48</v>
      </c>
      <c r="C619">
        <v>649163</v>
      </c>
      <c r="D619">
        <v>2033514021</v>
      </c>
      <c r="E619" t="s">
        <v>772</v>
      </c>
      <c r="F619" t="s">
        <v>773</v>
      </c>
      <c r="G619" t="s">
        <v>51</v>
      </c>
      <c r="H619" t="s">
        <v>80</v>
      </c>
      <c r="I619" t="s">
        <v>499</v>
      </c>
      <c r="J619" t="s">
        <v>501</v>
      </c>
      <c r="K619">
        <v>820873</v>
      </c>
      <c r="L619" t="s">
        <v>307</v>
      </c>
      <c r="M619" t="s">
        <v>308</v>
      </c>
      <c r="N619" t="s">
        <v>86</v>
      </c>
      <c r="O619" s="1">
        <v>46059</v>
      </c>
      <c r="P619" s="1">
        <v>46125</v>
      </c>
      <c r="Q619" s="1">
        <v>46148</v>
      </c>
      <c r="R619" s="2">
        <v>-6.38</v>
      </c>
      <c r="S619">
        <v>1</v>
      </c>
      <c r="T619" t="s">
        <v>58</v>
      </c>
      <c r="U619" t="s">
        <v>173</v>
      </c>
      <c r="V619" s="3">
        <v>0.38</v>
      </c>
      <c r="W619" s="2">
        <v>0</v>
      </c>
      <c r="X619">
        <v>-1</v>
      </c>
      <c r="Y619" t="s">
        <v>60</v>
      </c>
      <c r="Z619" t="s">
        <v>61</v>
      </c>
      <c r="AA619">
        <v>0</v>
      </c>
      <c r="AB619" s="2">
        <v>0</v>
      </c>
      <c r="AC619" s="2">
        <v>0</v>
      </c>
      <c r="AD619" s="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-2.42</v>
      </c>
      <c r="AN619" s="2">
        <v>-2.42</v>
      </c>
      <c r="AO619" s="2">
        <v>0</v>
      </c>
      <c r="AP619" s="2">
        <v>0</v>
      </c>
      <c r="AQ619" s="2">
        <v>0</v>
      </c>
    </row>
    <row r="620" spans="1:43" x14ac:dyDescent="0.3">
      <c r="A620" s="1">
        <v>46125</v>
      </c>
      <c r="B620" t="s">
        <v>48</v>
      </c>
      <c r="C620">
        <v>649163</v>
      </c>
      <c r="D620">
        <v>2033612292</v>
      </c>
      <c r="E620" t="s">
        <v>689</v>
      </c>
      <c r="F620" t="s">
        <v>774</v>
      </c>
      <c r="G620" t="s">
        <v>51</v>
      </c>
      <c r="H620" t="s">
        <v>80</v>
      </c>
      <c r="I620" t="s">
        <v>499</v>
      </c>
      <c r="J620" t="s">
        <v>500</v>
      </c>
      <c r="K620">
        <v>812994</v>
      </c>
      <c r="L620" t="s">
        <v>110</v>
      </c>
      <c r="M620" t="s">
        <v>111</v>
      </c>
      <c r="N620" t="s">
        <v>57</v>
      </c>
      <c r="O620" s="1">
        <v>46065</v>
      </c>
      <c r="Q620" s="1">
        <v>46154</v>
      </c>
      <c r="R620" s="2">
        <v>96.42</v>
      </c>
      <c r="S620">
        <v>1</v>
      </c>
      <c r="T620" t="s">
        <v>58</v>
      </c>
      <c r="U620" t="s">
        <v>173</v>
      </c>
      <c r="V620" s="3">
        <v>0.38</v>
      </c>
      <c r="W620" s="2">
        <v>0</v>
      </c>
      <c r="X620">
        <v>0</v>
      </c>
      <c r="Y620" t="s">
        <v>60</v>
      </c>
      <c r="Z620" t="s">
        <v>61</v>
      </c>
      <c r="AA620">
        <v>0</v>
      </c>
      <c r="AB620" s="2">
        <v>0</v>
      </c>
      <c r="AC620" s="2">
        <v>0</v>
      </c>
      <c r="AD620" s="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36.64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</row>
    <row r="621" spans="1:43" x14ac:dyDescent="0.3">
      <c r="A621" s="1">
        <v>46125</v>
      </c>
      <c r="B621" t="s">
        <v>48</v>
      </c>
      <c r="C621">
        <v>649163</v>
      </c>
      <c r="D621">
        <v>2033684744</v>
      </c>
      <c r="E621" t="s">
        <v>629</v>
      </c>
      <c r="F621" t="s">
        <v>630</v>
      </c>
      <c r="G621" t="s">
        <v>51</v>
      </c>
      <c r="H621" t="s">
        <v>103</v>
      </c>
      <c r="I621" t="s">
        <v>499</v>
      </c>
      <c r="J621" t="s">
        <v>500</v>
      </c>
      <c r="K621">
        <v>816021</v>
      </c>
      <c r="L621" t="s">
        <v>104</v>
      </c>
      <c r="M621" t="s">
        <v>105</v>
      </c>
      <c r="N621" t="s">
        <v>57</v>
      </c>
      <c r="O621" s="1">
        <v>46070</v>
      </c>
      <c r="Q621" s="1">
        <v>46159</v>
      </c>
      <c r="R621" s="2">
        <v>215.34</v>
      </c>
      <c r="S621">
        <v>1</v>
      </c>
      <c r="T621" t="s">
        <v>58</v>
      </c>
      <c r="U621" t="s">
        <v>173</v>
      </c>
      <c r="V621" s="3">
        <v>0.38</v>
      </c>
      <c r="W621" s="2">
        <v>0</v>
      </c>
      <c r="X621">
        <v>0</v>
      </c>
      <c r="Y621" t="s">
        <v>60</v>
      </c>
      <c r="Z621" t="s">
        <v>61</v>
      </c>
      <c r="AA621">
        <v>0</v>
      </c>
      <c r="AB621" s="2">
        <v>0</v>
      </c>
      <c r="AC621" s="2">
        <v>0</v>
      </c>
      <c r="AD621" s="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81.83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</row>
    <row r="622" spans="1:43" x14ac:dyDescent="0.3">
      <c r="A622" s="1">
        <v>46125</v>
      </c>
      <c r="B622" t="s">
        <v>48</v>
      </c>
      <c r="C622">
        <v>649163</v>
      </c>
      <c r="D622">
        <v>2033684747</v>
      </c>
      <c r="E622" t="s">
        <v>629</v>
      </c>
      <c r="F622" t="s">
        <v>630</v>
      </c>
      <c r="G622" t="s">
        <v>51</v>
      </c>
      <c r="H622" t="s">
        <v>103</v>
      </c>
      <c r="I622" t="s">
        <v>499</v>
      </c>
      <c r="J622" t="s">
        <v>501</v>
      </c>
      <c r="K622">
        <v>816021</v>
      </c>
      <c r="L622" t="s">
        <v>104</v>
      </c>
      <c r="M622" t="s">
        <v>105</v>
      </c>
      <c r="N622" t="s">
        <v>57</v>
      </c>
      <c r="O622" s="1">
        <v>46070</v>
      </c>
      <c r="Q622" s="1">
        <v>46159</v>
      </c>
      <c r="R622" s="2">
        <v>7.09</v>
      </c>
      <c r="S622">
        <v>1</v>
      </c>
      <c r="T622" t="s">
        <v>58</v>
      </c>
      <c r="U622" t="s">
        <v>173</v>
      </c>
      <c r="V622" s="3">
        <v>0.38</v>
      </c>
      <c r="W622" s="2">
        <v>0</v>
      </c>
      <c r="X622">
        <v>0</v>
      </c>
      <c r="Y622" t="s">
        <v>60</v>
      </c>
      <c r="Z622" t="s">
        <v>61</v>
      </c>
      <c r="AA622">
        <v>0</v>
      </c>
      <c r="AB622" s="2">
        <v>0</v>
      </c>
      <c r="AC622" s="2">
        <v>0</v>
      </c>
      <c r="AD622" s="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2.69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</row>
    <row r="623" spans="1:43" x14ac:dyDescent="0.3">
      <c r="A623" s="1">
        <v>46125</v>
      </c>
      <c r="B623" t="s">
        <v>48</v>
      </c>
      <c r="C623">
        <v>649163</v>
      </c>
      <c r="D623">
        <v>2033717644</v>
      </c>
      <c r="E623" t="s">
        <v>775</v>
      </c>
      <c r="F623" t="s">
        <v>202</v>
      </c>
      <c r="G623" t="s">
        <v>51</v>
      </c>
      <c r="H623" t="s">
        <v>80</v>
      </c>
      <c r="I623" t="s">
        <v>499</v>
      </c>
      <c r="J623" t="s">
        <v>877</v>
      </c>
      <c r="K623">
        <v>820873</v>
      </c>
      <c r="L623" t="s">
        <v>307</v>
      </c>
      <c r="M623" t="s">
        <v>308</v>
      </c>
      <c r="N623" t="s">
        <v>86</v>
      </c>
      <c r="O623" s="1">
        <v>46072</v>
      </c>
      <c r="P623" s="1">
        <v>46125</v>
      </c>
      <c r="Q623" s="1">
        <v>46131</v>
      </c>
      <c r="R623" s="2">
        <v>-27.75</v>
      </c>
      <c r="S623">
        <v>1</v>
      </c>
      <c r="T623" t="s">
        <v>58</v>
      </c>
      <c r="U623" t="s">
        <v>173</v>
      </c>
      <c r="V623" s="3">
        <v>0.19</v>
      </c>
      <c r="W623" s="2">
        <v>0</v>
      </c>
      <c r="X623">
        <v>-1</v>
      </c>
      <c r="Y623" t="s">
        <v>60</v>
      </c>
      <c r="Z623" t="s">
        <v>61</v>
      </c>
      <c r="AA623">
        <v>0</v>
      </c>
      <c r="AB623" s="2">
        <v>0</v>
      </c>
      <c r="AC623" s="2">
        <v>0</v>
      </c>
      <c r="AD623" s="3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-5.27</v>
      </c>
      <c r="AN623" s="2">
        <v>-5.27</v>
      </c>
      <c r="AO623" s="2">
        <v>0</v>
      </c>
      <c r="AP623" s="2">
        <v>0</v>
      </c>
      <c r="AQ623" s="2">
        <v>0</v>
      </c>
    </row>
    <row r="624" spans="1:43" x14ac:dyDescent="0.3">
      <c r="A624" s="1">
        <v>46125</v>
      </c>
      <c r="B624" t="s">
        <v>48</v>
      </c>
      <c r="C624">
        <v>649163</v>
      </c>
      <c r="D624">
        <v>2033717645</v>
      </c>
      <c r="E624" t="s">
        <v>775</v>
      </c>
      <c r="F624" t="s">
        <v>202</v>
      </c>
      <c r="G624" t="s">
        <v>51</v>
      </c>
      <c r="H624" t="s">
        <v>80</v>
      </c>
      <c r="I624" t="s">
        <v>499</v>
      </c>
      <c r="J624" t="s">
        <v>501</v>
      </c>
      <c r="K624">
        <v>820873</v>
      </c>
      <c r="L624" t="s">
        <v>307</v>
      </c>
      <c r="M624" t="s">
        <v>308</v>
      </c>
      <c r="N624" t="s">
        <v>86</v>
      </c>
      <c r="O624" s="1">
        <v>46072</v>
      </c>
      <c r="P624" s="1">
        <v>46125</v>
      </c>
      <c r="Q624" s="1">
        <v>46131</v>
      </c>
      <c r="R624" s="2">
        <v>-2.74</v>
      </c>
      <c r="S624">
        <v>1</v>
      </c>
      <c r="T624" t="s">
        <v>58</v>
      </c>
      <c r="U624" t="s">
        <v>173</v>
      </c>
      <c r="V624" s="3">
        <v>0.38</v>
      </c>
      <c r="W624" s="2">
        <v>0</v>
      </c>
      <c r="X624">
        <v>-1</v>
      </c>
      <c r="Y624" t="s">
        <v>60</v>
      </c>
      <c r="Z624" t="s">
        <v>61</v>
      </c>
      <c r="AA624">
        <v>0</v>
      </c>
      <c r="AB624" s="2">
        <v>0</v>
      </c>
      <c r="AC624" s="2">
        <v>0</v>
      </c>
      <c r="AD624" s="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-1.04</v>
      </c>
      <c r="AN624" s="2">
        <v>-1.04</v>
      </c>
      <c r="AO624" s="2">
        <v>0</v>
      </c>
      <c r="AP624" s="2">
        <v>0</v>
      </c>
      <c r="AQ624" s="2">
        <v>0</v>
      </c>
    </row>
    <row r="625" spans="1:43" x14ac:dyDescent="0.3">
      <c r="A625" s="1">
        <v>46125</v>
      </c>
      <c r="B625" t="s">
        <v>48</v>
      </c>
      <c r="C625">
        <v>649163</v>
      </c>
      <c r="D625">
        <v>2034260109</v>
      </c>
      <c r="E625" t="s">
        <v>640</v>
      </c>
      <c r="F625" t="s">
        <v>641</v>
      </c>
      <c r="G625" t="s">
        <v>51</v>
      </c>
      <c r="H625" t="s">
        <v>103</v>
      </c>
      <c r="I625" t="s">
        <v>499</v>
      </c>
      <c r="J625" t="s">
        <v>502</v>
      </c>
      <c r="K625">
        <v>824082</v>
      </c>
      <c r="L625" t="s">
        <v>150</v>
      </c>
      <c r="M625" t="s">
        <v>151</v>
      </c>
      <c r="N625" t="s">
        <v>57</v>
      </c>
      <c r="O625" s="1">
        <v>46096</v>
      </c>
      <c r="Q625" s="1">
        <v>46157</v>
      </c>
      <c r="R625" s="2">
        <v>26.85</v>
      </c>
      <c r="S625">
        <v>1</v>
      </c>
      <c r="T625" t="s">
        <v>58</v>
      </c>
      <c r="U625" t="s">
        <v>173</v>
      </c>
      <c r="V625" s="3">
        <v>0.38</v>
      </c>
      <c r="W625" s="2">
        <v>0</v>
      </c>
      <c r="X625">
        <v>0</v>
      </c>
      <c r="Y625" t="s">
        <v>60</v>
      </c>
      <c r="Z625" t="s">
        <v>61</v>
      </c>
      <c r="AA625">
        <v>0</v>
      </c>
      <c r="AB625" s="2">
        <v>0</v>
      </c>
      <c r="AC625" s="2">
        <v>0</v>
      </c>
      <c r="AD625" s="3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10.199999999999999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</row>
    <row r="626" spans="1:43" x14ac:dyDescent="0.3">
      <c r="A626" s="1">
        <v>46125</v>
      </c>
      <c r="B626" t="s">
        <v>48</v>
      </c>
      <c r="C626">
        <v>649163</v>
      </c>
      <c r="D626">
        <v>2034289261</v>
      </c>
      <c r="E626" t="s">
        <v>682</v>
      </c>
      <c r="F626" t="s">
        <v>683</v>
      </c>
      <c r="G626" t="s">
        <v>51</v>
      </c>
      <c r="H626" t="s">
        <v>80</v>
      </c>
      <c r="I626" t="s">
        <v>499</v>
      </c>
      <c r="J626" t="s">
        <v>502</v>
      </c>
      <c r="K626">
        <v>756803</v>
      </c>
      <c r="L626" t="s">
        <v>176</v>
      </c>
      <c r="M626" t="s">
        <v>177</v>
      </c>
      <c r="N626" t="s">
        <v>57</v>
      </c>
      <c r="O626" s="1">
        <v>46093</v>
      </c>
      <c r="Q626" s="1">
        <v>46154</v>
      </c>
      <c r="R626" s="2">
        <v>36.450000000000003</v>
      </c>
      <c r="S626">
        <v>1</v>
      </c>
      <c r="T626" t="s">
        <v>58</v>
      </c>
      <c r="U626" t="s">
        <v>173</v>
      </c>
      <c r="V626" s="3">
        <v>0.38</v>
      </c>
      <c r="W626" s="2">
        <v>0</v>
      </c>
      <c r="X626">
        <v>0</v>
      </c>
      <c r="Y626" t="s">
        <v>60</v>
      </c>
      <c r="Z626" t="s">
        <v>61</v>
      </c>
      <c r="AA626">
        <v>0</v>
      </c>
      <c r="AB626" s="2">
        <v>0</v>
      </c>
      <c r="AC626" s="2">
        <v>0</v>
      </c>
      <c r="AD626" s="3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13.85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</row>
    <row r="627" spans="1:43" x14ac:dyDescent="0.3">
      <c r="A627" s="1">
        <v>46125</v>
      </c>
      <c r="B627" t="s">
        <v>48</v>
      </c>
      <c r="C627">
        <v>649163</v>
      </c>
      <c r="D627">
        <v>2034324485</v>
      </c>
      <c r="E627" t="s">
        <v>778</v>
      </c>
      <c r="F627" t="s">
        <v>779</v>
      </c>
      <c r="G627" t="s">
        <v>51</v>
      </c>
      <c r="H627" t="s">
        <v>80</v>
      </c>
      <c r="I627" t="s">
        <v>499</v>
      </c>
      <c r="J627" t="s">
        <v>500</v>
      </c>
      <c r="K627">
        <v>840313</v>
      </c>
      <c r="L627" t="s">
        <v>441</v>
      </c>
      <c r="M627" t="s">
        <v>442</v>
      </c>
      <c r="N627" t="s">
        <v>57</v>
      </c>
      <c r="O627" s="1">
        <v>46097</v>
      </c>
      <c r="Q627" s="1">
        <v>46158</v>
      </c>
      <c r="R627" s="2">
        <v>486.8</v>
      </c>
      <c r="S627">
        <v>1</v>
      </c>
      <c r="T627" t="s">
        <v>58</v>
      </c>
      <c r="U627" t="s">
        <v>173</v>
      </c>
      <c r="V627" s="3">
        <v>0.38</v>
      </c>
      <c r="W627" s="2">
        <v>0</v>
      </c>
      <c r="X627">
        <v>0</v>
      </c>
      <c r="Y627" t="s">
        <v>60</v>
      </c>
      <c r="Z627" t="s">
        <v>61</v>
      </c>
      <c r="AA627">
        <v>0</v>
      </c>
      <c r="AB627" s="2">
        <v>0</v>
      </c>
      <c r="AC627" s="2">
        <v>0</v>
      </c>
      <c r="AD627" s="3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184.98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</row>
    <row r="628" spans="1:43" x14ac:dyDescent="0.3">
      <c r="A628" s="1">
        <v>46125</v>
      </c>
      <c r="B628" t="s">
        <v>48</v>
      </c>
      <c r="C628">
        <v>649163</v>
      </c>
      <c r="D628">
        <v>2034324486</v>
      </c>
      <c r="E628" t="s">
        <v>778</v>
      </c>
      <c r="F628" t="s">
        <v>779</v>
      </c>
      <c r="G628" t="s">
        <v>51</v>
      </c>
      <c r="H628" t="s">
        <v>80</v>
      </c>
      <c r="I628" t="s">
        <v>499</v>
      </c>
      <c r="J628" t="s">
        <v>501</v>
      </c>
      <c r="K628">
        <v>840313</v>
      </c>
      <c r="L628" t="s">
        <v>441</v>
      </c>
      <c r="M628" t="s">
        <v>442</v>
      </c>
      <c r="N628" t="s">
        <v>57</v>
      </c>
      <c r="O628" s="1">
        <v>46097</v>
      </c>
      <c r="Q628" s="1">
        <v>46158</v>
      </c>
      <c r="R628" s="2">
        <v>7.09</v>
      </c>
      <c r="S628">
        <v>1</v>
      </c>
      <c r="T628" t="s">
        <v>58</v>
      </c>
      <c r="U628" t="s">
        <v>173</v>
      </c>
      <c r="V628" s="3">
        <v>0.38</v>
      </c>
      <c r="W628" s="2">
        <v>0</v>
      </c>
      <c r="X628">
        <v>0</v>
      </c>
      <c r="Y628" t="s">
        <v>60</v>
      </c>
      <c r="Z628" t="s">
        <v>61</v>
      </c>
      <c r="AA628">
        <v>0</v>
      </c>
      <c r="AB628" s="2">
        <v>0</v>
      </c>
      <c r="AC628" s="2">
        <v>0</v>
      </c>
      <c r="AD628" s="3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2.69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</row>
    <row r="629" spans="1:43" x14ac:dyDescent="0.3">
      <c r="A629" s="1">
        <v>46125</v>
      </c>
      <c r="B629" t="s">
        <v>48</v>
      </c>
      <c r="C629">
        <v>649163</v>
      </c>
      <c r="D629">
        <v>2034385370</v>
      </c>
      <c r="E629" t="s">
        <v>692</v>
      </c>
      <c r="F629" t="s">
        <v>693</v>
      </c>
      <c r="G629" t="s">
        <v>51</v>
      </c>
      <c r="H629" t="s">
        <v>80</v>
      </c>
      <c r="I629" t="s">
        <v>499</v>
      </c>
      <c r="J629" t="s">
        <v>502</v>
      </c>
      <c r="K629">
        <v>756803</v>
      </c>
      <c r="L629" t="s">
        <v>176</v>
      </c>
      <c r="M629" t="s">
        <v>177</v>
      </c>
      <c r="N629" t="s">
        <v>57</v>
      </c>
      <c r="O629" s="1">
        <v>46098</v>
      </c>
      <c r="Q629" s="1">
        <v>46159</v>
      </c>
      <c r="R629" s="2">
        <v>42.1</v>
      </c>
      <c r="S629">
        <v>1</v>
      </c>
      <c r="T629" t="s">
        <v>58</v>
      </c>
      <c r="U629" t="s">
        <v>173</v>
      </c>
      <c r="V629" s="3">
        <v>0.38</v>
      </c>
      <c r="W629" s="2">
        <v>0</v>
      </c>
      <c r="X629">
        <v>0</v>
      </c>
      <c r="Y629" t="s">
        <v>60</v>
      </c>
      <c r="Z629" t="s">
        <v>61</v>
      </c>
      <c r="AA629">
        <v>0</v>
      </c>
      <c r="AB629" s="2">
        <v>0</v>
      </c>
      <c r="AC629" s="2">
        <v>0</v>
      </c>
      <c r="AD629" s="3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16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</row>
    <row r="630" spans="1:43" x14ac:dyDescent="0.3">
      <c r="A630" s="1">
        <v>46125</v>
      </c>
      <c r="B630" t="s">
        <v>48</v>
      </c>
      <c r="D630">
        <v>2016819082</v>
      </c>
      <c r="E630" t="s">
        <v>885</v>
      </c>
      <c r="F630" t="s">
        <v>886</v>
      </c>
      <c r="G630" t="s">
        <v>51</v>
      </c>
      <c r="H630" t="s">
        <v>223</v>
      </c>
      <c r="I630" t="s">
        <v>53</v>
      </c>
      <c r="J630" t="s">
        <v>97</v>
      </c>
      <c r="L630" t="s">
        <v>115</v>
      </c>
      <c r="M630" t="s">
        <v>788</v>
      </c>
      <c r="N630" t="s">
        <v>57</v>
      </c>
      <c r="O630" s="1">
        <v>44880</v>
      </c>
      <c r="Q630" s="1">
        <v>46157</v>
      </c>
      <c r="R630" s="2">
        <v>25.73</v>
      </c>
      <c r="S630">
        <v>1</v>
      </c>
      <c r="T630" t="s">
        <v>58</v>
      </c>
      <c r="U630" t="s">
        <v>59</v>
      </c>
      <c r="V630" s="3">
        <v>0.15</v>
      </c>
      <c r="W630" s="2">
        <v>0</v>
      </c>
      <c r="X630">
        <v>0</v>
      </c>
      <c r="Y630" t="s">
        <v>536</v>
      </c>
      <c r="Z630" t="s">
        <v>61</v>
      </c>
      <c r="AA630">
        <v>0</v>
      </c>
      <c r="AB630" s="2">
        <v>0</v>
      </c>
      <c r="AC630" s="2">
        <v>0</v>
      </c>
      <c r="AD630" s="3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3.86</v>
      </c>
      <c r="AN630" s="2">
        <v>3.86</v>
      </c>
      <c r="AO630" s="2">
        <v>0</v>
      </c>
      <c r="AP630" s="2">
        <v>0</v>
      </c>
      <c r="AQ630" s="2">
        <v>0</v>
      </c>
    </row>
    <row r="631" spans="1:43" x14ac:dyDescent="0.3">
      <c r="A631" s="1">
        <v>46125</v>
      </c>
      <c r="B631" t="s">
        <v>48</v>
      </c>
      <c r="C631">
        <v>649163</v>
      </c>
      <c r="D631">
        <v>2017006538</v>
      </c>
      <c r="E631" t="s">
        <v>837</v>
      </c>
      <c r="F631" t="s">
        <v>887</v>
      </c>
      <c r="G631" t="s">
        <v>51</v>
      </c>
      <c r="H631" t="s">
        <v>114</v>
      </c>
      <c r="I631" t="s">
        <v>53</v>
      </c>
      <c r="J631" t="s">
        <v>54</v>
      </c>
      <c r="K631">
        <v>649793</v>
      </c>
      <c r="L631" t="s">
        <v>115</v>
      </c>
      <c r="M631" t="s">
        <v>788</v>
      </c>
      <c r="N631" t="s">
        <v>86</v>
      </c>
      <c r="O631" s="1">
        <v>44927</v>
      </c>
      <c r="P631" s="1">
        <v>46118</v>
      </c>
      <c r="Q631" s="1">
        <v>46143</v>
      </c>
      <c r="R631" s="2">
        <v>-45.42</v>
      </c>
      <c r="S631">
        <v>1</v>
      </c>
      <c r="T631" t="s">
        <v>58</v>
      </c>
      <c r="U631" t="s">
        <v>59</v>
      </c>
      <c r="V631" s="3">
        <v>0.15</v>
      </c>
      <c r="W631" s="2">
        <v>0</v>
      </c>
      <c r="X631">
        <v>-1</v>
      </c>
      <c r="Y631" t="s">
        <v>536</v>
      </c>
      <c r="Z631" t="s">
        <v>61</v>
      </c>
      <c r="AA631">
        <v>0</v>
      </c>
      <c r="AB631" s="2">
        <v>0</v>
      </c>
      <c r="AC631" s="2">
        <v>0</v>
      </c>
      <c r="AD631" s="3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-6.81</v>
      </c>
      <c r="AN631" s="2">
        <v>-6.81</v>
      </c>
      <c r="AO631" s="2">
        <v>0</v>
      </c>
      <c r="AP631" s="2">
        <v>0</v>
      </c>
      <c r="AQ631" s="2">
        <v>0</v>
      </c>
    </row>
    <row r="632" spans="1:43" x14ac:dyDescent="0.3">
      <c r="A632" s="1">
        <v>46125</v>
      </c>
      <c r="B632" t="s">
        <v>48</v>
      </c>
      <c r="C632">
        <v>649163</v>
      </c>
      <c r="D632">
        <v>2017630350</v>
      </c>
      <c r="E632" t="s">
        <v>888</v>
      </c>
      <c r="F632" t="s">
        <v>637</v>
      </c>
      <c r="G632" t="s">
        <v>51</v>
      </c>
      <c r="H632" t="s">
        <v>223</v>
      </c>
      <c r="I632" t="s">
        <v>53</v>
      </c>
      <c r="J632" t="s">
        <v>54</v>
      </c>
      <c r="K632">
        <v>649793</v>
      </c>
      <c r="L632" t="s">
        <v>115</v>
      </c>
      <c r="M632" t="s">
        <v>788</v>
      </c>
      <c r="N632" t="s">
        <v>57</v>
      </c>
      <c r="O632" s="1">
        <v>45001</v>
      </c>
      <c r="Q632" s="1">
        <v>46158</v>
      </c>
      <c r="R632" s="2">
        <v>140.25</v>
      </c>
      <c r="S632">
        <v>1</v>
      </c>
      <c r="T632" t="s">
        <v>58</v>
      </c>
      <c r="U632" t="s">
        <v>59</v>
      </c>
      <c r="V632" s="3">
        <v>0.15</v>
      </c>
      <c r="W632" s="2">
        <v>0</v>
      </c>
      <c r="X632">
        <v>0</v>
      </c>
      <c r="Y632" t="s">
        <v>536</v>
      </c>
      <c r="Z632" t="s">
        <v>61</v>
      </c>
      <c r="AA632">
        <v>0</v>
      </c>
      <c r="AB632" s="2">
        <v>0</v>
      </c>
      <c r="AC632" s="2">
        <v>0</v>
      </c>
      <c r="AD632" s="3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21.04</v>
      </c>
      <c r="AN632" s="2">
        <v>21.04</v>
      </c>
      <c r="AO632" s="2">
        <v>0</v>
      </c>
      <c r="AP632" s="2">
        <v>0</v>
      </c>
      <c r="AQ632" s="2">
        <v>0</v>
      </c>
    </row>
    <row r="633" spans="1:43" x14ac:dyDescent="0.3">
      <c r="A633" s="1">
        <v>46125</v>
      </c>
      <c r="B633" t="s">
        <v>48</v>
      </c>
      <c r="D633">
        <v>2017683724</v>
      </c>
      <c r="E633" t="s">
        <v>786</v>
      </c>
      <c r="F633" t="s">
        <v>787</v>
      </c>
      <c r="G633" t="s">
        <v>51</v>
      </c>
      <c r="H633" t="s">
        <v>52</v>
      </c>
      <c r="I633" t="s">
        <v>53</v>
      </c>
      <c r="J633" t="s">
        <v>97</v>
      </c>
      <c r="L633" t="s">
        <v>115</v>
      </c>
      <c r="M633" t="s">
        <v>788</v>
      </c>
      <c r="N633" t="s">
        <v>57</v>
      </c>
      <c r="O633" s="1">
        <v>44974</v>
      </c>
      <c r="Q633" s="1">
        <v>46159</v>
      </c>
      <c r="R633" s="2">
        <v>25.73</v>
      </c>
      <c r="S633">
        <v>1</v>
      </c>
      <c r="T633" t="s">
        <v>58</v>
      </c>
      <c r="U633" t="s">
        <v>59</v>
      </c>
      <c r="V633" s="3">
        <v>0.15</v>
      </c>
      <c r="W633" s="2">
        <v>0</v>
      </c>
      <c r="X633">
        <v>0</v>
      </c>
      <c r="Y633" t="s">
        <v>536</v>
      </c>
      <c r="Z633" t="s">
        <v>61</v>
      </c>
      <c r="AA633">
        <v>0</v>
      </c>
      <c r="AB633" s="2">
        <v>0</v>
      </c>
      <c r="AC633" s="2">
        <v>0</v>
      </c>
      <c r="AD633" s="3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3.86</v>
      </c>
      <c r="AN633" s="2">
        <v>3.86</v>
      </c>
      <c r="AO633" s="2">
        <v>0</v>
      </c>
      <c r="AP633" s="2">
        <v>0</v>
      </c>
      <c r="AQ633" s="2">
        <v>0</v>
      </c>
    </row>
    <row r="634" spans="1:43" x14ac:dyDescent="0.3">
      <c r="A634" s="1">
        <v>46125</v>
      </c>
      <c r="B634" t="s">
        <v>48</v>
      </c>
      <c r="C634">
        <v>649163</v>
      </c>
      <c r="D634">
        <v>2018351025</v>
      </c>
      <c r="E634" t="s">
        <v>889</v>
      </c>
      <c r="F634" t="s">
        <v>225</v>
      </c>
      <c r="G634" t="s">
        <v>51</v>
      </c>
      <c r="H634" t="s">
        <v>141</v>
      </c>
      <c r="I634" t="s">
        <v>53</v>
      </c>
      <c r="J634" t="s">
        <v>65</v>
      </c>
      <c r="K634">
        <v>651818</v>
      </c>
      <c r="L634" t="s">
        <v>55</v>
      </c>
      <c r="M634" t="s">
        <v>56</v>
      </c>
      <c r="N634" t="s">
        <v>57</v>
      </c>
      <c r="O634" s="1">
        <v>45030</v>
      </c>
      <c r="Q634" s="1">
        <v>46156</v>
      </c>
      <c r="R634" s="2">
        <v>29.25</v>
      </c>
      <c r="S634">
        <v>1</v>
      </c>
      <c r="T634" t="s">
        <v>58</v>
      </c>
      <c r="U634" t="s">
        <v>59</v>
      </c>
      <c r="V634" s="3">
        <v>0.1</v>
      </c>
      <c r="W634" s="2">
        <v>0</v>
      </c>
      <c r="X634">
        <v>0</v>
      </c>
      <c r="Y634" t="s">
        <v>536</v>
      </c>
      <c r="Z634" t="s">
        <v>61</v>
      </c>
      <c r="AA634">
        <v>0</v>
      </c>
      <c r="AB634" s="2">
        <v>0</v>
      </c>
      <c r="AC634" s="2">
        <v>0</v>
      </c>
      <c r="AD634" s="3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2.92</v>
      </c>
      <c r="AN634" s="2">
        <v>2.92</v>
      </c>
      <c r="AO634" s="2">
        <v>0</v>
      </c>
      <c r="AP634" s="2">
        <v>0</v>
      </c>
      <c r="AQ634" s="2">
        <v>0</v>
      </c>
    </row>
    <row r="635" spans="1:43" x14ac:dyDescent="0.3">
      <c r="A635" s="1">
        <v>46125</v>
      </c>
      <c r="B635" t="s">
        <v>48</v>
      </c>
      <c r="C635">
        <v>649163</v>
      </c>
      <c r="D635">
        <v>2019319907</v>
      </c>
      <c r="E635" t="s">
        <v>890</v>
      </c>
      <c r="F635" t="s">
        <v>589</v>
      </c>
      <c r="G635" t="s">
        <v>51</v>
      </c>
      <c r="H635" t="s">
        <v>371</v>
      </c>
      <c r="I635" t="s">
        <v>53</v>
      </c>
      <c r="J635" t="s">
        <v>65</v>
      </c>
      <c r="K635">
        <v>651818</v>
      </c>
      <c r="L635" t="s">
        <v>55</v>
      </c>
      <c r="M635" t="s">
        <v>56</v>
      </c>
      <c r="N635" t="s">
        <v>57</v>
      </c>
      <c r="O635" s="1">
        <v>45118</v>
      </c>
      <c r="Q635" s="1">
        <v>46153</v>
      </c>
      <c r="R635" s="2">
        <v>32.58</v>
      </c>
      <c r="S635">
        <v>1</v>
      </c>
      <c r="T635" t="s">
        <v>58</v>
      </c>
      <c r="U635" t="s">
        <v>59</v>
      </c>
      <c r="V635" s="3">
        <v>0.1</v>
      </c>
      <c r="W635" s="2">
        <v>0</v>
      </c>
      <c r="X635">
        <v>0</v>
      </c>
      <c r="Y635" t="s">
        <v>536</v>
      </c>
      <c r="Z635" t="s">
        <v>61</v>
      </c>
      <c r="AA635">
        <v>0</v>
      </c>
      <c r="AB635" s="2">
        <v>0</v>
      </c>
      <c r="AC635" s="2">
        <v>0</v>
      </c>
      <c r="AD635" s="3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3.26</v>
      </c>
      <c r="AN635" s="2">
        <v>3.26</v>
      </c>
      <c r="AO635" s="2">
        <v>0</v>
      </c>
      <c r="AP635" s="2">
        <v>0</v>
      </c>
      <c r="AQ635" s="2">
        <v>0</v>
      </c>
    </row>
    <row r="636" spans="1:43" x14ac:dyDescent="0.3">
      <c r="A636" s="1">
        <v>46125</v>
      </c>
      <c r="B636" t="s">
        <v>48</v>
      </c>
      <c r="D636">
        <v>2020174612</v>
      </c>
      <c r="E636" t="s">
        <v>565</v>
      </c>
      <c r="F636" t="s">
        <v>566</v>
      </c>
      <c r="G636" t="s">
        <v>51</v>
      </c>
      <c r="H636" t="s">
        <v>93</v>
      </c>
      <c r="I636" t="s">
        <v>53</v>
      </c>
      <c r="J636" t="s">
        <v>97</v>
      </c>
      <c r="L636" t="s">
        <v>164</v>
      </c>
      <c r="M636" t="s">
        <v>165</v>
      </c>
      <c r="N636" t="s">
        <v>57</v>
      </c>
      <c r="O636" s="1">
        <v>45214</v>
      </c>
      <c r="Q636" s="1">
        <v>46157</v>
      </c>
      <c r="R636" s="2">
        <v>24.61</v>
      </c>
      <c r="S636">
        <v>1</v>
      </c>
      <c r="T636" t="s">
        <v>58</v>
      </c>
      <c r="U636" t="s">
        <v>59</v>
      </c>
      <c r="V636" s="3">
        <v>0.15</v>
      </c>
      <c r="W636" s="2">
        <v>0</v>
      </c>
      <c r="X636">
        <v>0</v>
      </c>
      <c r="Y636" t="s">
        <v>536</v>
      </c>
      <c r="Z636" t="s">
        <v>61</v>
      </c>
      <c r="AA636">
        <v>0</v>
      </c>
      <c r="AB636" s="2">
        <v>0</v>
      </c>
      <c r="AC636" s="2">
        <v>0</v>
      </c>
      <c r="AD636" s="3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3.69</v>
      </c>
      <c r="AN636" s="2">
        <v>3.69</v>
      </c>
      <c r="AO636" s="2">
        <v>0</v>
      </c>
      <c r="AP636" s="2">
        <v>0</v>
      </c>
      <c r="AQ636" s="2">
        <v>0</v>
      </c>
    </row>
    <row r="637" spans="1:43" x14ac:dyDescent="0.3">
      <c r="A637" s="1">
        <v>46125</v>
      </c>
      <c r="B637" t="s">
        <v>48</v>
      </c>
      <c r="D637">
        <v>2020780791</v>
      </c>
      <c r="E637" t="s">
        <v>891</v>
      </c>
      <c r="F637" t="s">
        <v>892</v>
      </c>
      <c r="G637" t="s">
        <v>51</v>
      </c>
      <c r="H637" t="s">
        <v>80</v>
      </c>
      <c r="I637" t="s">
        <v>53</v>
      </c>
      <c r="J637" t="s">
        <v>97</v>
      </c>
      <c r="L637" t="s">
        <v>55</v>
      </c>
      <c r="M637" t="s">
        <v>56</v>
      </c>
      <c r="N637" t="s">
        <v>57</v>
      </c>
      <c r="O637" s="1">
        <v>45245</v>
      </c>
      <c r="Q637" s="1">
        <v>46157</v>
      </c>
      <c r="R637" s="2">
        <v>25.73</v>
      </c>
      <c r="S637">
        <v>1</v>
      </c>
      <c r="T637" t="s">
        <v>58</v>
      </c>
      <c r="U637" t="s">
        <v>59</v>
      </c>
      <c r="V637" s="3">
        <v>0.15</v>
      </c>
      <c r="W637" s="2">
        <v>0</v>
      </c>
      <c r="X637">
        <v>0</v>
      </c>
      <c r="Y637" t="s">
        <v>536</v>
      </c>
      <c r="Z637" t="s">
        <v>61</v>
      </c>
      <c r="AA637">
        <v>0</v>
      </c>
      <c r="AB637" s="2">
        <v>0</v>
      </c>
      <c r="AC637" s="2">
        <v>0</v>
      </c>
      <c r="AD637" s="3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3.86</v>
      </c>
      <c r="AN637" s="2">
        <v>3.86</v>
      </c>
      <c r="AO637" s="2">
        <v>0</v>
      </c>
      <c r="AP637" s="2">
        <v>0</v>
      </c>
      <c r="AQ637" s="2">
        <v>0</v>
      </c>
    </row>
    <row r="638" spans="1:43" x14ac:dyDescent="0.3">
      <c r="A638" s="1">
        <v>46125</v>
      </c>
      <c r="B638" t="s">
        <v>48</v>
      </c>
      <c r="C638">
        <v>649163</v>
      </c>
      <c r="D638">
        <v>2020780792</v>
      </c>
      <c r="E638" t="s">
        <v>891</v>
      </c>
      <c r="F638" t="s">
        <v>892</v>
      </c>
      <c r="G638" t="s">
        <v>51</v>
      </c>
      <c r="H638" t="s">
        <v>80</v>
      </c>
      <c r="I638" t="s">
        <v>53</v>
      </c>
      <c r="J638" t="s">
        <v>65</v>
      </c>
      <c r="K638">
        <v>651818</v>
      </c>
      <c r="L638" t="s">
        <v>55</v>
      </c>
      <c r="M638" t="s">
        <v>56</v>
      </c>
      <c r="N638" t="s">
        <v>57</v>
      </c>
      <c r="O638" s="1">
        <v>45245</v>
      </c>
      <c r="Q638" s="1">
        <v>46157</v>
      </c>
      <c r="R638" s="2">
        <v>51.63</v>
      </c>
      <c r="S638">
        <v>1</v>
      </c>
      <c r="T638" t="s">
        <v>58</v>
      </c>
      <c r="U638" t="s">
        <v>59</v>
      </c>
      <c r="V638" s="3">
        <v>0.1</v>
      </c>
      <c r="W638" s="2">
        <v>0</v>
      </c>
      <c r="X638">
        <v>0</v>
      </c>
      <c r="Y638" t="s">
        <v>536</v>
      </c>
      <c r="Z638" t="s">
        <v>61</v>
      </c>
      <c r="AA638">
        <v>0</v>
      </c>
      <c r="AB638" s="2">
        <v>0</v>
      </c>
      <c r="AC638" s="2">
        <v>0</v>
      </c>
      <c r="AD638" s="3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5.16</v>
      </c>
      <c r="AN638" s="2">
        <v>5.16</v>
      </c>
      <c r="AO638" s="2">
        <v>0</v>
      </c>
      <c r="AP638" s="2">
        <v>0</v>
      </c>
      <c r="AQ638" s="2">
        <v>0</v>
      </c>
    </row>
    <row r="639" spans="1:43" x14ac:dyDescent="0.3">
      <c r="A639" s="1">
        <v>46125</v>
      </c>
      <c r="B639" t="s">
        <v>48</v>
      </c>
      <c r="C639">
        <v>649163</v>
      </c>
      <c r="D639">
        <v>2023911658</v>
      </c>
      <c r="E639" t="s">
        <v>854</v>
      </c>
      <c r="F639" t="s">
        <v>893</v>
      </c>
      <c r="G639" t="s">
        <v>51</v>
      </c>
      <c r="H639" t="s">
        <v>894</v>
      </c>
      <c r="I639" t="s">
        <v>53</v>
      </c>
      <c r="J639" t="s">
        <v>65</v>
      </c>
      <c r="K639">
        <v>673059</v>
      </c>
      <c r="L639" t="s">
        <v>115</v>
      </c>
      <c r="M639" t="s">
        <v>116</v>
      </c>
      <c r="N639" t="s">
        <v>57</v>
      </c>
      <c r="O639" s="1">
        <v>45486</v>
      </c>
      <c r="Q639" s="1">
        <v>46155</v>
      </c>
      <c r="R639" s="2">
        <v>150.63</v>
      </c>
      <c r="S639">
        <v>1</v>
      </c>
      <c r="T639" t="s">
        <v>58</v>
      </c>
      <c r="U639" t="s">
        <v>59</v>
      </c>
      <c r="V639" s="3">
        <v>0.1</v>
      </c>
      <c r="W639" s="2">
        <v>0</v>
      </c>
      <c r="X639">
        <v>0</v>
      </c>
      <c r="Y639" t="s">
        <v>536</v>
      </c>
      <c r="Z639" t="s">
        <v>61</v>
      </c>
      <c r="AA639">
        <v>0</v>
      </c>
      <c r="AB639" s="2">
        <v>0</v>
      </c>
      <c r="AC639" s="2">
        <v>0</v>
      </c>
      <c r="AD639" s="3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15.06</v>
      </c>
      <c r="AN639" s="2">
        <v>15.06</v>
      </c>
      <c r="AO639" s="2">
        <v>0</v>
      </c>
      <c r="AP639" s="2">
        <v>0</v>
      </c>
      <c r="AQ639" s="2">
        <v>0</v>
      </c>
    </row>
    <row r="640" spans="1:43" x14ac:dyDescent="0.3">
      <c r="A640" s="1">
        <v>46125</v>
      </c>
      <c r="B640" t="s">
        <v>48</v>
      </c>
      <c r="C640">
        <v>649163</v>
      </c>
      <c r="D640">
        <v>2024356429</v>
      </c>
      <c r="E640" t="s">
        <v>794</v>
      </c>
      <c r="F640" t="s">
        <v>795</v>
      </c>
      <c r="G640" t="s">
        <v>51</v>
      </c>
      <c r="H640" t="s">
        <v>80</v>
      </c>
      <c r="I640" t="s">
        <v>53</v>
      </c>
      <c r="J640" t="s">
        <v>54</v>
      </c>
      <c r="K640">
        <v>767312</v>
      </c>
      <c r="L640" t="s">
        <v>134</v>
      </c>
      <c r="M640" t="s">
        <v>98</v>
      </c>
      <c r="N640" t="s">
        <v>57</v>
      </c>
      <c r="O640" s="1">
        <v>45517</v>
      </c>
      <c r="Q640" s="1">
        <v>46155</v>
      </c>
      <c r="R640" s="2">
        <v>28.9</v>
      </c>
      <c r="S640">
        <v>1</v>
      </c>
      <c r="T640" t="s">
        <v>58</v>
      </c>
      <c r="U640" t="s">
        <v>59</v>
      </c>
      <c r="V640" s="3">
        <v>0.15</v>
      </c>
      <c r="W640" s="2">
        <v>0</v>
      </c>
      <c r="X640">
        <v>0</v>
      </c>
      <c r="Y640" t="s">
        <v>536</v>
      </c>
      <c r="Z640" t="s">
        <v>61</v>
      </c>
      <c r="AA640">
        <v>0</v>
      </c>
      <c r="AB640" s="2">
        <v>0</v>
      </c>
      <c r="AC640" s="2">
        <v>0</v>
      </c>
      <c r="AD640" s="3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4.34</v>
      </c>
      <c r="AN640" s="2">
        <v>4.34</v>
      </c>
      <c r="AO640" s="2">
        <v>0</v>
      </c>
      <c r="AP640" s="2">
        <v>0</v>
      </c>
      <c r="AQ640" s="2">
        <v>0</v>
      </c>
    </row>
    <row r="641" spans="1:43" x14ac:dyDescent="0.3">
      <c r="A641" s="1">
        <v>46125</v>
      </c>
      <c r="B641" t="s">
        <v>48</v>
      </c>
      <c r="C641">
        <v>649163</v>
      </c>
      <c r="D641">
        <v>2024815771</v>
      </c>
      <c r="E641" t="s">
        <v>895</v>
      </c>
      <c r="F641" t="s">
        <v>896</v>
      </c>
      <c r="G641" t="s">
        <v>51</v>
      </c>
      <c r="H641" t="s">
        <v>80</v>
      </c>
      <c r="I641" t="s">
        <v>53</v>
      </c>
      <c r="J641" t="s">
        <v>54</v>
      </c>
      <c r="K641">
        <v>673059</v>
      </c>
      <c r="L641" t="s">
        <v>115</v>
      </c>
      <c r="M641" t="s">
        <v>116</v>
      </c>
      <c r="N641" t="s">
        <v>57</v>
      </c>
      <c r="O641" s="1">
        <v>45547</v>
      </c>
      <c r="Q641" s="1">
        <v>46154</v>
      </c>
      <c r="R641" s="2">
        <v>51</v>
      </c>
      <c r="S641">
        <v>1</v>
      </c>
      <c r="T641" t="s">
        <v>58</v>
      </c>
      <c r="U641" t="s">
        <v>59</v>
      </c>
      <c r="V641" s="3">
        <v>0.15</v>
      </c>
      <c r="W641" s="2">
        <v>0</v>
      </c>
      <c r="X641">
        <v>0</v>
      </c>
      <c r="Y641" t="s">
        <v>536</v>
      </c>
      <c r="Z641" t="s">
        <v>61</v>
      </c>
      <c r="AA641">
        <v>0</v>
      </c>
      <c r="AB641" s="2">
        <v>0</v>
      </c>
      <c r="AC641" s="2">
        <v>0</v>
      </c>
      <c r="AD641" s="3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7.65</v>
      </c>
      <c r="AN641" s="2">
        <v>7.65</v>
      </c>
      <c r="AO641" s="2">
        <v>0</v>
      </c>
      <c r="AP641" s="2">
        <v>0</v>
      </c>
      <c r="AQ641" s="2">
        <v>0</v>
      </c>
    </row>
    <row r="642" spans="1:43" x14ac:dyDescent="0.3">
      <c r="A642" s="1">
        <v>46125</v>
      </c>
      <c r="B642" t="s">
        <v>48</v>
      </c>
      <c r="C642">
        <v>649163</v>
      </c>
      <c r="D642">
        <v>2024834572</v>
      </c>
      <c r="E642" t="s">
        <v>568</v>
      </c>
      <c r="F642" t="s">
        <v>543</v>
      </c>
      <c r="G642" t="s">
        <v>51</v>
      </c>
      <c r="H642" t="s">
        <v>295</v>
      </c>
      <c r="I642" t="s">
        <v>53</v>
      </c>
      <c r="J642" t="s">
        <v>54</v>
      </c>
      <c r="K642">
        <v>767312</v>
      </c>
      <c r="L642" t="s">
        <v>134</v>
      </c>
      <c r="M642" t="s">
        <v>98</v>
      </c>
      <c r="N642" t="s">
        <v>57</v>
      </c>
      <c r="O642" s="1">
        <v>45549</v>
      </c>
      <c r="Q642" s="1">
        <v>46156</v>
      </c>
      <c r="R642" s="2">
        <v>87.77</v>
      </c>
      <c r="S642">
        <v>1</v>
      </c>
      <c r="T642" t="s">
        <v>58</v>
      </c>
      <c r="U642" t="s">
        <v>59</v>
      </c>
      <c r="V642" s="3">
        <v>0.15</v>
      </c>
      <c r="W642" s="2">
        <v>0</v>
      </c>
      <c r="X642">
        <v>0</v>
      </c>
      <c r="Y642" t="s">
        <v>536</v>
      </c>
      <c r="Z642" t="s">
        <v>61</v>
      </c>
      <c r="AA642">
        <v>0</v>
      </c>
      <c r="AB642" s="2">
        <v>0</v>
      </c>
      <c r="AC642" s="2">
        <v>0</v>
      </c>
      <c r="AD642" s="3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13.17</v>
      </c>
      <c r="AN642" s="2">
        <v>13.17</v>
      </c>
      <c r="AO642" s="2">
        <v>0</v>
      </c>
      <c r="AP642" s="2">
        <v>0</v>
      </c>
      <c r="AQ642" s="2">
        <v>0</v>
      </c>
    </row>
    <row r="643" spans="1:43" x14ac:dyDescent="0.3">
      <c r="A643" s="1">
        <v>46125</v>
      </c>
      <c r="B643" t="s">
        <v>48</v>
      </c>
      <c r="C643">
        <v>649163</v>
      </c>
      <c r="D643">
        <v>2024853075</v>
      </c>
      <c r="E643" t="s">
        <v>657</v>
      </c>
      <c r="F643" t="s">
        <v>658</v>
      </c>
      <c r="G643" t="s">
        <v>51</v>
      </c>
      <c r="H643" t="s">
        <v>52</v>
      </c>
      <c r="I643" t="s">
        <v>53</v>
      </c>
      <c r="J643" t="s">
        <v>54</v>
      </c>
      <c r="K643">
        <v>650218</v>
      </c>
      <c r="L643" t="s">
        <v>544</v>
      </c>
      <c r="M643" t="s">
        <v>324</v>
      </c>
      <c r="N643" t="s">
        <v>57</v>
      </c>
      <c r="O643" s="1">
        <v>45550</v>
      </c>
      <c r="Q643" s="1">
        <v>46157</v>
      </c>
      <c r="R643" s="2">
        <v>18.920000000000002</v>
      </c>
      <c r="S643">
        <v>1</v>
      </c>
      <c r="T643" t="s">
        <v>58</v>
      </c>
      <c r="U643" t="s">
        <v>59</v>
      </c>
      <c r="V643" s="3">
        <v>0.15</v>
      </c>
      <c r="W643" s="2">
        <v>0</v>
      </c>
      <c r="X643">
        <v>0</v>
      </c>
      <c r="Y643" t="s">
        <v>536</v>
      </c>
      <c r="Z643" t="s">
        <v>61</v>
      </c>
      <c r="AA643">
        <v>0</v>
      </c>
      <c r="AB643" s="2">
        <v>0</v>
      </c>
      <c r="AC643" s="2">
        <v>0</v>
      </c>
      <c r="AD643" s="3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2.84</v>
      </c>
      <c r="AN643" s="2">
        <v>2.84</v>
      </c>
      <c r="AO643" s="2">
        <v>0</v>
      </c>
      <c r="AP643" s="2">
        <v>0</v>
      </c>
      <c r="AQ643" s="2">
        <v>0</v>
      </c>
    </row>
    <row r="644" spans="1:43" x14ac:dyDescent="0.3">
      <c r="A644" s="1">
        <v>46125</v>
      </c>
      <c r="B644" t="s">
        <v>48</v>
      </c>
      <c r="C644">
        <v>649163</v>
      </c>
      <c r="D644">
        <v>2025254890</v>
      </c>
      <c r="E644" t="s">
        <v>569</v>
      </c>
      <c r="F644" t="s">
        <v>570</v>
      </c>
      <c r="G644" t="s">
        <v>51</v>
      </c>
      <c r="H644" t="s">
        <v>371</v>
      </c>
      <c r="I644" t="s">
        <v>53</v>
      </c>
      <c r="J644" t="s">
        <v>54</v>
      </c>
      <c r="K644">
        <v>767312</v>
      </c>
      <c r="L644" t="s">
        <v>134</v>
      </c>
      <c r="M644" t="s">
        <v>98</v>
      </c>
      <c r="N644" t="s">
        <v>57</v>
      </c>
      <c r="O644" s="1">
        <v>45576</v>
      </c>
      <c r="Q644" s="1">
        <v>46153</v>
      </c>
      <c r="R644" s="2">
        <v>35.04</v>
      </c>
      <c r="S644">
        <v>1</v>
      </c>
      <c r="T644" t="s">
        <v>58</v>
      </c>
      <c r="U644" t="s">
        <v>59</v>
      </c>
      <c r="V644" s="3">
        <v>0.15</v>
      </c>
      <c r="W644" s="2">
        <v>0</v>
      </c>
      <c r="X644">
        <v>0</v>
      </c>
      <c r="Y644" t="s">
        <v>536</v>
      </c>
      <c r="Z644" t="s">
        <v>61</v>
      </c>
      <c r="AA644">
        <v>0</v>
      </c>
      <c r="AB644" s="2">
        <v>0</v>
      </c>
      <c r="AC644" s="2">
        <v>0</v>
      </c>
      <c r="AD644" s="3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5.26</v>
      </c>
      <c r="AN644" s="2">
        <v>5.26</v>
      </c>
      <c r="AO644" s="2">
        <v>0</v>
      </c>
      <c r="AP644" s="2">
        <v>0</v>
      </c>
      <c r="AQ644" s="2">
        <v>0</v>
      </c>
    </row>
    <row r="645" spans="1:43" x14ac:dyDescent="0.3">
      <c r="A645" s="1">
        <v>46125</v>
      </c>
      <c r="B645" t="s">
        <v>48</v>
      </c>
      <c r="C645">
        <v>649163</v>
      </c>
      <c r="D645">
        <v>2025254891</v>
      </c>
      <c r="E645" t="s">
        <v>569</v>
      </c>
      <c r="F645" t="s">
        <v>570</v>
      </c>
      <c r="G645" t="s">
        <v>51</v>
      </c>
      <c r="H645" t="s">
        <v>371</v>
      </c>
      <c r="I645" t="s">
        <v>53</v>
      </c>
      <c r="J645" t="s">
        <v>65</v>
      </c>
      <c r="K645">
        <v>767312</v>
      </c>
      <c r="L645" t="s">
        <v>134</v>
      </c>
      <c r="M645" t="s">
        <v>98</v>
      </c>
      <c r="N645" t="s">
        <v>57</v>
      </c>
      <c r="O645" s="1">
        <v>45576</v>
      </c>
      <c r="Q645" s="1">
        <v>46153</v>
      </c>
      <c r="R645" s="2">
        <v>19.28</v>
      </c>
      <c r="S645">
        <v>1</v>
      </c>
      <c r="T645" t="s">
        <v>58</v>
      </c>
      <c r="U645" t="s">
        <v>59</v>
      </c>
      <c r="V645" s="3">
        <v>0.1</v>
      </c>
      <c r="W645" s="2">
        <v>0</v>
      </c>
      <c r="X645">
        <v>0</v>
      </c>
      <c r="Y645" t="s">
        <v>536</v>
      </c>
      <c r="Z645" t="s">
        <v>61</v>
      </c>
      <c r="AA645">
        <v>0</v>
      </c>
      <c r="AB645" s="2">
        <v>0</v>
      </c>
      <c r="AC645" s="2">
        <v>0</v>
      </c>
      <c r="AD645" s="3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1.93</v>
      </c>
      <c r="AN645" s="2">
        <v>1.93</v>
      </c>
      <c r="AO645" s="2">
        <v>0</v>
      </c>
      <c r="AP645" s="2">
        <v>0</v>
      </c>
      <c r="AQ645" s="2">
        <v>0</v>
      </c>
    </row>
    <row r="646" spans="1:43" x14ac:dyDescent="0.3">
      <c r="A646" s="1">
        <v>46125</v>
      </c>
      <c r="B646" t="s">
        <v>48</v>
      </c>
      <c r="C646">
        <v>649163</v>
      </c>
      <c r="D646">
        <v>2025262310</v>
      </c>
      <c r="E646" t="s">
        <v>571</v>
      </c>
      <c r="F646" t="s">
        <v>149</v>
      </c>
      <c r="G646" t="s">
        <v>51</v>
      </c>
      <c r="H646" t="s">
        <v>103</v>
      </c>
      <c r="I646" t="s">
        <v>53</v>
      </c>
      <c r="J646" t="s">
        <v>54</v>
      </c>
      <c r="K646">
        <v>796984</v>
      </c>
      <c r="L646" t="s">
        <v>199</v>
      </c>
      <c r="M646" t="s">
        <v>200</v>
      </c>
      <c r="N646" t="s">
        <v>57</v>
      </c>
      <c r="O646" s="1">
        <v>45576</v>
      </c>
      <c r="Q646" s="1">
        <v>46153</v>
      </c>
      <c r="R646" s="2">
        <v>9.6999999999999993</v>
      </c>
      <c r="S646">
        <v>1</v>
      </c>
      <c r="T646" t="s">
        <v>58</v>
      </c>
      <c r="U646" t="s">
        <v>59</v>
      </c>
      <c r="V646" s="3">
        <v>0.15</v>
      </c>
      <c r="W646" s="2">
        <v>0</v>
      </c>
      <c r="X646">
        <v>0</v>
      </c>
      <c r="Y646" t="s">
        <v>536</v>
      </c>
      <c r="Z646" t="s">
        <v>61</v>
      </c>
      <c r="AA646">
        <v>0</v>
      </c>
      <c r="AB646" s="2">
        <v>0</v>
      </c>
      <c r="AC646" s="2">
        <v>0</v>
      </c>
      <c r="AD646" s="3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1.46</v>
      </c>
      <c r="AN646" s="2">
        <v>1.46</v>
      </c>
      <c r="AO646" s="2">
        <v>0</v>
      </c>
      <c r="AP646" s="2">
        <v>0</v>
      </c>
      <c r="AQ646" s="2">
        <v>0</v>
      </c>
    </row>
    <row r="647" spans="1:43" x14ac:dyDescent="0.3">
      <c r="A647" s="1">
        <v>46125</v>
      </c>
      <c r="B647" t="s">
        <v>48</v>
      </c>
      <c r="C647">
        <v>649163</v>
      </c>
      <c r="D647">
        <v>2025262311</v>
      </c>
      <c r="E647" t="s">
        <v>571</v>
      </c>
      <c r="F647" t="s">
        <v>149</v>
      </c>
      <c r="G647" t="s">
        <v>51</v>
      </c>
      <c r="H647" t="s">
        <v>103</v>
      </c>
      <c r="I647" t="s">
        <v>53</v>
      </c>
      <c r="J647" t="s">
        <v>117</v>
      </c>
      <c r="K647">
        <v>796984</v>
      </c>
      <c r="L647" t="s">
        <v>199</v>
      </c>
      <c r="M647" t="s">
        <v>200</v>
      </c>
      <c r="N647" t="s">
        <v>57</v>
      </c>
      <c r="O647" s="1">
        <v>45576</v>
      </c>
      <c r="Q647" s="1">
        <v>46153</v>
      </c>
      <c r="R647" s="2">
        <v>6.3</v>
      </c>
      <c r="S647">
        <v>1</v>
      </c>
      <c r="T647" t="s">
        <v>58</v>
      </c>
      <c r="U647" t="s">
        <v>59</v>
      </c>
      <c r="V647" s="3">
        <v>0.15</v>
      </c>
      <c r="W647" s="2">
        <v>0</v>
      </c>
      <c r="X647">
        <v>0</v>
      </c>
      <c r="Y647" t="s">
        <v>536</v>
      </c>
      <c r="Z647" t="s">
        <v>61</v>
      </c>
      <c r="AA647">
        <v>0</v>
      </c>
      <c r="AB647" s="2">
        <v>0</v>
      </c>
      <c r="AC647" s="2">
        <v>0</v>
      </c>
      <c r="AD647" s="3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0.94</v>
      </c>
      <c r="AN647" s="2">
        <v>0.94</v>
      </c>
      <c r="AO647" s="2">
        <v>0</v>
      </c>
      <c r="AP647" s="2">
        <v>0</v>
      </c>
      <c r="AQ647" s="2">
        <v>0</v>
      </c>
    </row>
    <row r="648" spans="1:43" x14ac:dyDescent="0.3">
      <c r="A648" s="1">
        <v>46125</v>
      </c>
      <c r="B648" t="s">
        <v>48</v>
      </c>
      <c r="C648">
        <v>649163</v>
      </c>
      <c r="D648">
        <v>2025265220</v>
      </c>
      <c r="E648" t="s">
        <v>143</v>
      </c>
      <c r="F648" t="s">
        <v>897</v>
      </c>
      <c r="G648" t="s">
        <v>51</v>
      </c>
      <c r="H648" t="s">
        <v>70</v>
      </c>
      <c r="I648" t="s">
        <v>53</v>
      </c>
      <c r="J648" t="s">
        <v>65</v>
      </c>
      <c r="K648">
        <v>767312</v>
      </c>
      <c r="L648" t="s">
        <v>134</v>
      </c>
      <c r="M648" t="s">
        <v>98</v>
      </c>
      <c r="N648" t="s">
        <v>57</v>
      </c>
      <c r="O648" s="1">
        <v>45576</v>
      </c>
      <c r="Q648" s="1">
        <v>46153</v>
      </c>
      <c r="R648" s="2">
        <v>27.81</v>
      </c>
      <c r="S648">
        <v>1</v>
      </c>
      <c r="T648" t="s">
        <v>58</v>
      </c>
      <c r="U648" t="s">
        <v>59</v>
      </c>
      <c r="V648" s="3">
        <v>0.1</v>
      </c>
      <c r="W648" s="2">
        <v>0</v>
      </c>
      <c r="X648">
        <v>0</v>
      </c>
      <c r="Y648" t="s">
        <v>536</v>
      </c>
      <c r="Z648" t="s">
        <v>61</v>
      </c>
      <c r="AA648">
        <v>0</v>
      </c>
      <c r="AB648" s="2">
        <v>0</v>
      </c>
      <c r="AC648" s="2">
        <v>0</v>
      </c>
      <c r="AD648" s="3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2.78</v>
      </c>
      <c r="AN648" s="2">
        <v>2.78</v>
      </c>
      <c r="AO648" s="2">
        <v>0</v>
      </c>
      <c r="AP648" s="2">
        <v>0</v>
      </c>
      <c r="AQ648" s="2">
        <v>0</v>
      </c>
    </row>
    <row r="649" spans="1:43" x14ac:dyDescent="0.3">
      <c r="A649" s="1">
        <v>46125</v>
      </c>
      <c r="B649" t="s">
        <v>48</v>
      </c>
      <c r="C649">
        <v>649163</v>
      </c>
      <c r="D649">
        <v>2025265267</v>
      </c>
      <c r="E649" t="s">
        <v>898</v>
      </c>
      <c r="F649" t="s">
        <v>899</v>
      </c>
      <c r="G649" t="s">
        <v>51</v>
      </c>
      <c r="H649" t="s">
        <v>70</v>
      </c>
      <c r="I649" t="s">
        <v>53</v>
      </c>
      <c r="J649" t="s">
        <v>65</v>
      </c>
      <c r="K649">
        <v>767312</v>
      </c>
      <c r="L649" t="s">
        <v>134</v>
      </c>
      <c r="M649" t="s">
        <v>98</v>
      </c>
      <c r="N649" t="s">
        <v>57</v>
      </c>
      <c r="O649" s="1">
        <v>45576</v>
      </c>
      <c r="Q649" s="1">
        <v>46153</v>
      </c>
      <c r="R649" s="2">
        <v>10.31</v>
      </c>
      <c r="S649">
        <v>1</v>
      </c>
      <c r="T649" t="s">
        <v>58</v>
      </c>
      <c r="U649" t="s">
        <v>59</v>
      </c>
      <c r="V649" s="3">
        <v>0.1</v>
      </c>
      <c r="W649" s="2">
        <v>0</v>
      </c>
      <c r="X649">
        <v>0</v>
      </c>
      <c r="Y649" t="s">
        <v>536</v>
      </c>
      <c r="Z649" t="s">
        <v>61</v>
      </c>
      <c r="AA649">
        <v>0</v>
      </c>
      <c r="AB649" s="2">
        <v>0</v>
      </c>
      <c r="AC649" s="2">
        <v>0</v>
      </c>
      <c r="AD649" s="3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1.03</v>
      </c>
      <c r="AN649" s="2">
        <v>1.03</v>
      </c>
      <c r="AO649" s="2">
        <v>0</v>
      </c>
      <c r="AP649" s="2">
        <v>0</v>
      </c>
      <c r="AQ649" s="2">
        <v>0</v>
      </c>
    </row>
    <row r="650" spans="1:43" x14ac:dyDescent="0.3">
      <c r="A650" s="1">
        <v>46125</v>
      </c>
      <c r="B650" t="s">
        <v>48</v>
      </c>
      <c r="C650">
        <v>649163</v>
      </c>
      <c r="D650">
        <v>2025287066</v>
      </c>
      <c r="E650" t="s">
        <v>572</v>
      </c>
      <c r="F650" t="s">
        <v>573</v>
      </c>
      <c r="G650" t="s">
        <v>51</v>
      </c>
      <c r="H650" t="s">
        <v>223</v>
      </c>
      <c r="I650" t="s">
        <v>53</v>
      </c>
      <c r="J650" t="s">
        <v>54</v>
      </c>
      <c r="K650">
        <v>767312</v>
      </c>
      <c r="L650" t="s">
        <v>134</v>
      </c>
      <c r="M650" t="s">
        <v>98</v>
      </c>
      <c r="N650" t="s">
        <v>57</v>
      </c>
      <c r="O650" s="1">
        <v>45577</v>
      </c>
      <c r="Q650" s="1">
        <v>46154</v>
      </c>
      <c r="R650" s="2">
        <v>26.73</v>
      </c>
      <c r="S650">
        <v>1</v>
      </c>
      <c r="T650" t="s">
        <v>58</v>
      </c>
      <c r="U650" t="s">
        <v>59</v>
      </c>
      <c r="V650" s="3">
        <v>0.15</v>
      </c>
      <c r="W650" s="2">
        <v>0</v>
      </c>
      <c r="X650">
        <v>0</v>
      </c>
      <c r="Y650" t="s">
        <v>536</v>
      </c>
      <c r="Z650" t="s">
        <v>61</v>
      </c>
      <c r="AA650">
        <v>0</v>
      </c>
      <c r="AB650" s="2">
        <v>0</v>
      </c>
      <c r="AC650" s="2">
        <v>0</v>
      </c>
      <c r="AD650" s="3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4.01</v>
      </c>
      <c r="AN650" s="2">
        <v>4.01</v>
      </c>
      <c r="AO650" s="2">
        <v>0</v>
      </c>
      <c r="AP650" s="2">
        <v>0</v>
      </c>
      <c r="AQ650" s="2">
        <v>0</v>
      </c>
    </row>
    <row r="651" spans="1:43" x14ac:dyDescent="0.3">
      <c r="A651" s="1">
        <v>46125</v>
      </c>
      <c r="B651" t="s">
        <v>48</v>
      </c>
      <c r="C651">
        <v>649163</v>
      </c>
      <c r="D651">
        <v>2025316509</v>
      </c>
      <c r="E651" t="s">
        <v>574</v>
      </c>
      <c r="F651" t="s">
        <v>575</v>
      </c>
      <c r="G651" t="s">
        <v>51</v>
      </c>
      <c r="H651" t="s">
        <v>126</v>
      </c>
      <c r="I651" t="s">
        <v>53</v>
      </c>
      <c r="J651" t="s">
        <v>54</v>
      </c>
      <c r="K651">
        <v>767312</v>
      </c>
      <c r="L651" t="s">
        <v>134</v>
      </c>
      <c r="M651" t="s">
        <v>98</v>
      </c>
      <c r="N651" t="s">
        <v>57</v>
      </c>
      <c r="O651" s="1">
        <v>45580</v>
      </c>
      <c r="Q651" s="1">
        <v>46157</v>
      </c>
      <c r="R651" s="2">
        <v>46.36</v>
      </c>
      <c r="S651">
        <v>1</v>
      </c>
      <c r="T651" t="s">
        <v>58</v>
      </c>
      <c r="U651" t="s">
        <v>59</v>
      </c>
      <c r="V651" s="3">
        <v>0.15</v>
      </c>
      <c r="W651" s="2">
        <v>0</v>
      </c>
      <c r="X651">
        <v>0</v>
      </c>
      <c r="Y651" t="s">
        <v>536</v>
      </c>
      <c r="Z651" t="s">
        <v>61</v>
      </c>
      <c r="AA651">
        <v>0</v>
      </c>
      <c r="AB651" s="2">
        <v>0</v>
      </c>
      <c r="AC651" s="2">
        <v>0</v>
      </c>
      <c r="AD651" s="3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6.95</v>
      </c>
      <c r="AN651" s="2">
        <v>6.95</v>
      </c>
      <c r="AO651" s="2">
        <v>0</v>
      </c>
      <c r="AP651" s="2">
        <v>0</v>
      </c>
      <c r="AQ651" s="2">
        <v>0</v>
      </c>
    </row>
    <row r="652" spans="1:43" x14ac:dyDescent="0.3">
      <c r="A652" s="1">
        <v>46125</v>
      </c>
      <c r="B652" t="s">
        <v>48</v>
      </c>
      <c r="C652">
        <v>649163</v>
      </c>
      <c r="D652">
        <v>2025621632</v>
      </c>
      <c r="E652" t="s">
        <v>900</v>
      </c>
      <c r="F652" t="s">
        <v>901</v>
      </c>
      <c r="G652" t="s">
        <v>51</v>
      </c>
      <c r="H652" t="s">
        <v>80</v>
      </c>
      <c r="I652" t="s">
        <v>53</v>
      </c>
      <c r="J652" t="s">
        <v>54</v>
      </c>
      <c r="K652">
        <v>760902</v>
      </c>
      <c r="L652" t="s">
        <v>902</v>
      </c>
      <c r="M652" t="s">
        <v>903</v>
      </c>
      <c r="N652" t="s">
        <v>57</v>
      </c>
      <c r="O652" s="1">
        <v>45611</v>
      </c>
      <c r="Q652" s="1">
        <v>46157</v>
      </c>
      <c r="R652" s="2">
        <v>34</v>
      </c>
      <c r="S652">
        <v>1</v>
      </c>
      <c r="T652" t="s">
        <v>58</v>
      </c>
      <c r="U652" t="s">
        <v>59</v>
      </c>
      <c r="V652" s="3">
        <v>0.15</v>
      </c>
      <c r="W652" s="2">
        <v>0</v>
      </c>
      <c r="X652">
        <v>0</v>
      </c>
      <c r="Y652" t="s">
        <v>536</v>
      </c>
      <c r="Z652" t="s">
        <v>61</v>
      </c>
      <c r="AA652">
        <v>0</v>
      </c>
      <c r="AB652" s="2">
        <v>0</v>
      </c>
      <c r="AC652" s="2">
        <v>0</v>
      </c>
      <c r="AD652" s="3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5.0999999999999996</v>
      </c>
      <c r="AN652" s="2">
        <v>5.0999999999999996</v>
      </c>
      <c r="AO652" s="2">
        <v>0</v>
      </c>
      <c r="AP652" s="2">
        <v>0</v>
      </c>
      <c r="AQ652" s="2">
        <v>0</v>
      </c>
    </row>
    <row r="653" spans="1:43" x14ac:dyDescent="0.3">
      <c r="A653" s="1">
        <v>46125</v>
      </c>
      <c r="B653" t="s">
        <v>48</v>
      </c>
      <c r="C653">
        <v>649163</v>
      </c>
      <c r="D653">
        <v>2025721593</v>
      </c>
      <c r="E653" t="s">
        <v>576</v>
      </c>
      <c r="F653" t="s">
        <v>543</v>
      </c>
      <c r="G653" t="s">
        <v>51</v>
      </c>
      <c r="H653" t="s">
        <v>103</v>
      </c>
      <c r="I653" t="s">
        <v>53</v>
      </c>
      <c r="J653" t="s">
        <v>54</v>
      </c>
      <c r="K653">
        <v>796984</v>
      </c>
      <c r="L653" t="s">
        <v>199</v>
      </c>
      <c r="M653" t="s">
        <v>200</v>
      </c>
      <c r="N653" t="s">
        <v>57</v>
      </c>
      <c r="O653" s="1">
        <v>45608</v>
      </c>
      <c r="Q653" s="1">
        <v>46154</v>
      </c>
      <c r="R653" s="2">
        <v>27.38</v>
      </c>
      <c r="S653">
        <v>1</v>
      </c>
      <c r="T653" t="s">
        <v>58</v>
      </c>
      <c r="U653" t="s">
        <v>59</v>
      </c>
      <c r="V653" s="3">
        <v>0.15</v>
      </c>
      <c r="W653" s="2">
        <v>0</v>
      </c>
      <c r="X653">
        <v>0</v>
      </c>
      <c r="Y653" t="s">
        <v>536</v>
      </c>
      <c r="Z653" t="s">
        <v>61</v>
      </c>
      <c r="AA653">
        <v>0</v>
      </c>
      <c r="AB653" s="2">
        <v>0</v>
      </c>
      <c r="AC653" s="2">
        <v>0</v>
      </c>
      <c r="AD653" s="3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4.1100000000000003</v>
      </c>
      <c r="AN653" s="2">
        <v>4.1100000000000003</v>
      </c>
      <c r="AO653" s="2">
        <v>0</v>
      </c>
      <c r="AP653" s="2">
        <v>0</v>
      </c>
      <c r="AQ653" s="2">
        <v>0</v>
      </c>
    </row>
    <row r="654" spans="1:43" x14ac:dyDescent="0.3">
      <c r="A654" s="1">
        <v>46125</v>
      </c>
      <c r="B654" t="s">
        <v>48</v>
      </c>
      <c r="C654">
        <v>649163</v>
      </c>
      <c r="D654">
        <v>2025721594</v>
      </c>
      <c r="E654" t="s">
        <v>576</v>
      </c>
      <c r="F654" t="s">
        <v>543</v>
      </c>
      <c r="G654" t="s">
        <v>51</v>
      </c>
      <c r="H654" t="s">
        <v>103</v>
      </c>
      <c r="I654" t="s">
        <v>53</v>
      </c>
      <c r="J654" t="s">
        <v>117</v>
      </c>
      <c r="K654">
        <v>796984</v>
      </c>
      <c r="L654" t="s">
        <v>199</v>
      </c>
      <c r="M654" t="s">
        <v>200</v>
      </c>
      <c r="N654" t="s">
        <v>57</v>
      </c>
      <c r="O654" s="1">
        <v>45608</v>
      </c>
      <c r="Q654" s="1">
        <v>46154</v>
      </c>
      <c r="R654" s="2">
        <v>20.95</v>
      </c>
      <c r="S654">
        <v>1</v>
      </c>
      <c r="T654" t="s">
        <v>58</v>
      </c>
      <c r="U654" t="s">
        <v>59</v>
      </c>
      <c r="V654" s="3">
        <v>0.15</v>
      </c>
      <c r="W654" s="2">
        <v>0</v>
      </c>
      <c r="X654">
        <v>0</v>
      </c>
      <c r="Y654" t="s">
        <v>536</v>
      </c>
      <c r="Z654" t="s">
        <v>61</v>
      </c>
      <c r="AA654">
        <v>0</v>
      </c>
      <c r="AB654" s="2">
        <v>0</v>
      </c>
      <c r="AC654" s="2">
        <v>0</v>
      </c>
      <c r="AD654" s="3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3.14</v>
      </c>
      <c r="AN654" s="2">
        <v>3.14</v>
      </c>
      <c r="AO654" s="2">
        <v>0</v>
      </c>
      <c r="AP654" s="2">
        <v>0</v>
      </c>
      <c r="AQ654" s="2">
        <v>0</v>
      </c>
    </row>
    <row r="655" spans="1:43" x14ac:dyDescent="0.3">
      <c r="A655" s="1">
        <v>46125</v>
      </c>
      <c r="B655" t="s">
        <v>48</v>
      </c>
      <c r="C655">
        <v>649163</v>
      </c>
      <c r="D655">
        <v>2025724991</v>
      </c>
      <c r="E655" t="s">
        <v>797</v>
      </c>
      <c r="F655" t="s">
        <v>438</v>
      </c>
      <c r="G655" t="s">
        <v>51</v>
      </c>
      <c r="H655" t="s">
        <v>755</v>
      </c>
      <c r="I655" t="s">
        <v>53</v>
      </c>
      <c r="J655" t="s">
        <v>54</v>
      </c>
      <c r="K655">
        <v>756418</v>
      </c>
      <c r="L655" t="s">
        <v>400</v>
      </c>
      <c r="M655" t="s">
        <v>401</v>
      </c>
      <c r="N655" t="s">
        <v>57</v>
      </c>
      <c r="O655" s="1">
        <v>45608</v>
      </c>
      <c r="Q655" s="1">
        <v>46154</v>
      </c>
      <c r="R655" s="2">
        <v>46.17</v>
      </c>
      <c r="S655">
        <v>1</v>
      </c>
      <c r="T655" t="s">
        <v>58</v>
      </c>
      <c r="U655" t="s">
        <v>59</v>
      </c>
      <c r="V655" s="3">
        <v>0.15</v>
      </c>
      <c r="W655" s="2">
        <v>0</v>
      </c>
      <c r="X655">
        <v>0</v>
      </c>
      <c r="Y655" t="s">
        <v>536</v>
      </c>
      <c r="Z655" t="s">
        <v>61</v>
      </c>
      <c r="AA655">
        <v>0</v>
      </c>
      <c r="AB655" s="2">
        <v>0</v>
      </c>
      <c r="AC655" s="2">
        <v>0</v>
      </c>
      <c r="AD655" s="3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6.93</v>
      </c>
      <c r="AN655" s="2">
        <v>6.93</v>
      </c>
      <c r="AO655" s="2">
        <v>0</v>
      </c>
      <c r="AP655" s="2">
        <v>0</v>
      </c>
      <c r="AQ655" s="2">
        <v>0</v>
      </c>
    </row>
    <row r="656" spans="1:43" x14ac:dyDescent="0.3">
      <c r="A656" s="1">
        <v>46125</v>
      </c>
      <c r="B656" t="s">
        <v>48</v>
      </c>
      <c r="C656">
        <v>649163</v>
      </c>
      <c r="D656">
        <v>2025744022</v>
      </c>
      <c r="E656" t="s">
        <v>904</v>
      </c>
      <c r="F656" t="s">
        <v>905</v>
      </c>
      <c r="G656" t="s">
        <v>51</v>
      </c>
      <c r="H656" t="s">
        <v>80</v>
      </c>
      <c r="I656" t="s">
        <v>53</v>
      </c>
      <c r="J656" t="s">
        <v>54</v>
      </c>
      <c r="K656">
        <v>806645</v>
      </c>
      <c r="L656" t="s">
        <v>262</v>
      </c>
      <c r="M656" t="s">
        <v>263</v>
      </c>
      <c r="N656" t="s">
        <v>57</v>
      </c>
      <c r="O656" s="1">
        <v>45609</v>
      </c>
      <c r="Q656" s="1">
        <v>46155</v>
      </c>
      <c r="R656" s="2">
        <v>118</v>
      </c>
      <c r="S656">
        <v>1</v>
      </c>
      <c r="T656" t="s">
        <v>58</v>
      </c>
      <c r="U656" t="s">
        <v>59</v>
      </c>
      <c r="V656" s="3">
        <v>0.15</v>
      </c>
      <c r="W656" s="2">
        <v>0</v>
      </c>
      <c r="X656">
        <v>0</v>
      </c>
      <c r="Y656" t="s">
        <v>536</v>
      </c>
      <c r="Z656" t="s">
        <v>61</v>
      </c>
      <c r="AA656">
        <v>0</v>
      </c>
      <c r="AB656" s="2">
        <v>0</v>
      </c>
      <c r="AC656" s="2">
        <v>0</v>
      </c>
      <c r="AD656" s="3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17.7</v>
      </c>
      <c r="AN656" s="2">
        <v>17.7</v>
      </c>
      <c r="AO656" s="2">
        <v>0</v>
      </c>
      <c r="AP656" s="2">
        <v>0</v>
      </c>
      <c r="AQ656" s="2">
        <v>0</v>
      </c>
    </row>
    <row r="657" spans="1:43" x14ac:dyDescent="0.3">
      <c r="A657" s="1">
        <v>46125</v>
      </c>
      <c r="B657" t="s">
        <v>48</v>
      </c>
      <c r="C657">
        <v>649163</v>
      </c>
      <c r="D657">
        <v>2025783063</v>
      </c>
      <c r="E657" t="s">
        <v>906</v>
      </c>
      <c r="F657" t="s">
        <v>907</v>
      </c>
      <c r="G657" t="s">
        <v>51</v>
      </c>
      <c r="H657" t="s">
        <v>371</v>
      </c>
      <c r="I657" t="s">
        <v>53</v>
      </c>
      <c r="J657" t="s">
        <v>65</v>
      </c>
      <c r="K657">
        <v>767312</v>
      </c>
      <c r="L657" t="s">
        <v>134</v>
      </c>
      <c r="M657" t="s">
        <v>98</v>
      </c>
      <c r="N657" t="s">
        <v>57</v>
      </c>
      <c r="O657" s="1">
        <v>45612</v>
      </c>
      <c r="Q657" s="1">
        <v>46158</v>
      </c>
      <c r="R657" s="2">
        <v>58.17</v>
      </c>
      <c r="S657">
        <v>1</v>
      </c>
      <c r="T657" t="s">
        <v>58</v>
      </c>
      <c r="U657" t="s">
        <v>59</v>
      </c>
      <c r="V657" s="3">
        <v>0.1</v>
      </c>
      <c r="W657" s="2">
        <v>0</v>
      </c>
      <c r="X657">
        <v>0</v>
      </c>
      <c r="Y657" t="s">
        <v>536</v>
      </c>
      <c r="Z657" t="s">
        <v>61</v>
      </c>
      <c r="AA657">
        <v>0</v>
      </c>
      <c r="AB657" s="2">
        <v>0</v>
      </c>
      <c r="AC657" s="2">
        <v>0</v>
      </c>
      <c r="AD657" s="3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5.82</v>
      </c>
      <c r="AN657" s="2">
        <v>5.82</v>
      </c>
      <c r="AO657" s="2">
        <v>0</v>
      </c>
      <c r="AP657" s="2">
        <v>0</v>
      </c>
      <c r="AQ657" s="2">
        <v>0</v>
      </c>
    </row>
    <row r="658" spans="1:43" x14ac:dyDescent="0.3">
      <c r="A658" s="1">
        <v>46125</v>
      </c>
      <c r="B658" t="s">
        <v>48</v>
      </c>
      <c r="C658">
        <v>649163</v>
      </c>
      <c r="D658">
        <v>2025783978</v>
      </c>
      <c r="E658" t="s">
        <v>906</v>
      </c>
      <c r="F658" t="s">
        <v>908</v>
      </c>
      <c r="G658" t="s">
        <v>51</v>
      </c>
      <c r="H658" t="s">
        <v>371</v>
      </c>
      <c r="I658" t="s">
        <v>53</v>
      </c>
      <c r="J658" t="s">
        <v>65</v>
      </c>
      <c r="K658">
        <v>767312</v>
      </c>
      <c r="L658" t="s">
        <v>134</v>
      </c>
      <c r="M658" t="s">
        <v>98</v>
      </c>
      <c r="N658" t="s">
        <v>57</v>
      </c>
      <c r="O658" s="1">
        <v>45612</v>
      </c>
      <c r="Q658" s="1">
        <v>46158</v>
      </c>
      <c r="R658" s="2">
        <v>16.63</v>
      </c>
      <c r="S658">
        <v>1</v>
      </c>
      <c r="T658" t="s">
        <v>58</v>
      </c>
      <c r="U658" t="s">
        <v>59</v>
      </c>
      <c r="V658" s="3">
        <v>0.1</v>
      </c>
      <c r="W658" s="2">
        <v>0</v>
      </c>
      <c r="X658">
        <v>0</v>
      </c>
      <c r="Y658" t="s">
        <v>536</v>
      </c>
      <c r="Z658" t="s">
        <v>61</v>
      </c>
      <c r="AA658">
        <v>0</v>
      </c>
      <c r="AB658" s="2">
        <v>0</v>
      </c>
      <c r="AC658" s="2">
        <v>0</v>
      </c>
      <c r="AD658" s="3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1.66</v>
      </c>
      <c r="AN658" s="2">
        <v>1.66</v>
      </c>
      <c r="AO658" s="2">
        <v>0</v>
      </c>
      <c r="AP658" s="2">
        <v>0</v>
      </c>
      <c r="AQ658" s="2">
        <v>0</v>
      </c>
    </row>
    <row r="659" spans="1:43" x14ac:dyDescent="0.3">
      <c r="A659" s="1">
        <v>46125</v>
      </c>
      <c r="B659" t="s">
        <v>48</v>
      </c>
      <c r="C659">
        <v>649163</v>
      </c>
      <c r="D659">
        <v>2025785647</v>
      </c>
      <c r="E659" t="s">
        <v>800</v>
      </c>
      <c r="F659" t="s">
        <v>801</v>
      </c>
      <c r="G659" t="s">
        <v>51</v>
      </c>
      <c r="H659" t="s">
        <v>52</v>
      </c>
      <c r="I659" t="s">
        <v>53</v>
      </c>
      <c r="J659" t="s">
        <v>97</v>
      </c>
      <c r="K659">
        <v>673059</v>
      </c>
      <c r="L659" t="s">
        <v>115</v>
      </c>
      <c r="M659" t="s">
        <v>116</v>
      </c>
      <c r="N659" t="s">
        <v>57</v>
      </c>
      <c r="O659" s="1">
        <v>45612</v>
      </c>
      <c r="Q659" s="1">
        <v>46158</v>
      </c>
      <c r="R659" s="2">
        <v>51.46</v>
      </c>
      <c r="S659">
        <v>1</v>
      </c>
      <c r="T659" t="s">
        <v>58</v>
      </c>
      <c r="U659" t="s">
        <v>59</v>
      </c>
      <c r="V659" s="3">
        <v>0.15</v>
      </c>
      <c r="W659" s="2">
        <v>0</v>
      </c>
      <c r="X659">
        <v>0</v>
      </c>
      <c r="Y659" t="s">
        <v>536</v>
      </c>
      <c r="Z659" t="s">
        <v>61</v>
      </c>
      <c r="AA659">
        <v>0</v>
      </c>
      <c r="AB659" s="2">
        <v>0</v>
      </c>
      <c r="AC659" s="2">
        <v>0</v>
      </c>
      <c r="AD659" s="3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7.72</v>
      </c>
      <c r="AN659" s="2">
        <v>7.72</v>
      </c>
      <c r="AO659" s="2">
        <v>0</v>
      </c>
      <c r="AP659" s="2">
        <v>0</v>
      </c>
      <c r="AQ659" s="2">
        <v>0</v>
      </c>
    </row>
    <row r="660" spans="1:43" x14ac:dyDescent="0.3">
      <c r="A660" s="1">
        <v>46125</v>
      </c>
      <c r="B660" t="s">
        <v>48</v>
      </c>
      <c r="C660">
        <v>649163</v>
      </c>
      <c r="D660">
        <v>2025992836</v>
      </c>
      <c r="E660" t="s">
        <v>802</v>
      </c>
      <c r="F660" t="s">
        <v>803</v>
      </c>
      <c r="G660" t="s">
        <v>51</v>
      </c>
      <c r="H660" t="s">
        <v>298</v>
      </c>
      <c r="I660" t="s">
        <v>53</v>
      </c>
      <c r="J660" t="s">
        <v>54</v>
      </c>
      <c r="K660">
        <v>673059</v>
      </c>
      <c r="L660" t="s">
        <v>115</v>
      </c>
      <c r="M660" t="s">
        <v>116</v>
      </c>
      <c r="N660" t="s">
        <v>86</v>
      </c>
      <c r="O660" s="1">
        <v>45658</v>
      </c>
      <c r="P660" s="1">
        <v>46118</v>
      </c>
      <c r="Q660" s="1">
        <v>46143</v>
      </c>
      <c r="R660" s="2">
        <v>-30.93</v>
      </c>
      <c r="S660">
        <v>1</v>
      </c>
      <c r="T660" t="s">
        <v>58</v>
      </c>
      <c r="U660" t="s">
        <v>59</v>
      </c>
      <c r="V660" s="3">
        <v>0.15</v>
      </c>
      <c r="W660" s="2">
        <v>0</v>
      </c>
      <c r="X660">
        <v>-1</v>
      </c>
      <c r="Y660" t="s">
        <v>536</v>
      </c>
      <c r="Z660" t="s">
        <v>61</v>
      </c>
      <c r="AA660">
        <v>0</v>
      </c>
      <c r="AB660" s="2">
        <v>0</v>
      </c>
      <c r="AC660" s="2">
        <v>0</v>
      </c>
      <c r="AD660" s="3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-4.6399999999999997</v>
      </c>
      <c r="AN660" s="2">
        <v>-4.6399999999999997</v>
      </c>
      <c r="AO660" s="2">
        <v>0</v>
      </c>
      <c r="AP660" s="2">
        <v>0</v>
      </c>
      <c r="AQ660" s="2">
        <v>0</v>
      </c>
    </row>
    <row r="661" spans="1:43" x14ac:dyDescent="0.3">
      <c r="A661" s="1">
        <v>46125</v>
      </c>
      <c r="B661" t="s">
        <v>48</v>
      </c>
      <c r="C661">
        <v>649163</v>
      </c>
      <c r="D661">
        <v>2026061217</v>
      </c>
      <c r="E661" t="s">
        <v>577</v>
      </c>
      <c r="F661" t="s">
        <v>252</v>
      </c>
      <c r="G661" t="s">
        <v>51</v>
      </c>
      <c r="H661" t="s">
        <v>103</v>
      </c>
      <c r="I661" t="s">
        <v>53</v>
      </c>
      <c r="J661" t="s">
        <v>54</v>
      </c>
      <c r="K661">
        <v>796984</v>
      </c>
      <c r="L661" t="s">
        <v>199</v>
      </c>
      <c r="M661" t="s">
        <v>200</v>
      </c>
      <c r="N661" t="s">
        <v>57</v>
      </c>
      <c r="O661" s="1">
        <v>45641</v>
      </c>
      <c r="Q661" s="1">
        <v>46157</v>
      </c>
      <c r="R661" s="2">
        <v>7.89</v>
      </c>
      <c r="S661">
        <v>1</v>
      </c>
      <c r="T661" t="s">
        <v>58</v>
      </c>
      <c r="U661" t="s">
        <v>59</v>
      </c>
      <c r="V661" s="3">
        <v>0.15</v>
      </c>
      <c r="W661" s="2">
        <v>0</v>
      </c>
      <c r="X661">
        <v>0</v>
      </c>
      <c r="Y661" t="s">
        <v>536</v>
      </c>
      <c r="Z661" t="s">
        <v>61</v>
      </c>
      <c r="AA661">
        <v>0</v>
      </c>
      <c r="AB661" s="2">
        <v>0</v>
      </c>
      <c r="AC661" s="2">
        <v>0</v>
      </c>
      <c r="AD661" s="3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1.18</v>
      </c>
      <c r="AN661" s="2">
        <v>1.18</v>
      </c>
      <c r="AO661" s="2">
        <v>0</v>
      </c>
      <c r="AP661" s="2">
        <v>0</v>
      </c>
      <c r="AQ661" s="2">
        <v>0</v>
      </c>
    </row>
    <row r="662" spans="1:43" x14ac:dyDescent="0.3">
      <c r="A662" s="1">
        <v>46125</v>
      </c>
      <c r="B662" t="s">
        <v>48</v>
      </c>
      <c r="C662">
        <v>649163</v>
      </c>
      <c r="D662">
        <v>2026127399</v>
      </c>
      <c r="E662" t="s">
        <v>487</v>
      </c>
      <c r="F662" t="s">
        <v>145</v>
      </c>
      <c r="G662" t="s">
        <v>51</v>
      </c>
      <c r="H662" t="s">
        <v>114</v>
      </c>
      <c r="I662" t="s">
        <v>53</v>
      </c>
      <c r="J662" t="s">
        <v>54</v>
      </c>
      <c r="K662">
        <v>673059</v>
      </c>
      <c r="L662" t="s">
        <v>115</v>
      </c>
      <c r="M662" t="s">
        <v>116</v>
      </c>
      <c r="N662" t="s">
        <v>86</v>
      </c>
      <c r="O662" s="1">
        <v>45658</v>
      </c>
      <c r="P662" s="1">
        <v>46125</v>
      </c>
      <c r="Q662" s="1">
        <v>46143</v>
      </c>
      <c r="R662" s="2">
        <v>-149.6</v>
      </c>
      <c r="S662">
        <v>1</v>
      </c>
      <c r="T662" t="s">
        <v>58</v>
      </c>
      <c r="U662" t="s">
        <v>59</v>
      </c>
      <c r="V662" s="3">
        <v>0.15</v>
      </c>
      <c r="W662" s="2">
        <v>0</v>
      </c>
      <c r="X662">
        <v>-1</v>
      </c>
      <c r="Y662" t="s">
        <v>536</v>
      </c>
      <c r="Z662" t="s">
        <v>61</v>
      </c>
      <c r="AA662">
        <v>0</v>
      </c>
      <c r="AB662" s="2">
        <v>0</v>
      </c>
      <c r="AC662" s="2">
        <v>0</v>
      </c>
      <c r="AD662" s="3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-22.44</v>
      </c>
      <c r="AN662" s="2">
        <v>-22.44</v>
      </c>
      <c r="AO662" s="2">
        <v>0</v>
      </c>
      <c r="AP662" s="2">
        <v>0</v>
      </c>
      <c r="AQ662" s="2">
        <v>0</v>
      </c>
    </row>
    <row r="663" spans="1:43" x14ac:dyDescent="0.3">
      <c r="A663" s="1">
        <v>46125</v>
      </c>
      <c r="B663" t="s">
        <v>48</v>
      </c>
      <c r="C663">
        <v>649163</v>
      </c>
      <c r="D663">
        <v>2026133998</v>
      </c>
      <c r="E663" t="s">
        <v>199</v>
      </c>
      <c r="F663" t="s">
        <v>222</v>
      </c>
      <c r="G663" t="s">
        <v>51</v>
      </c>
      <c r="H663" t="s">
        <v>103</v>
      </c>
      <c r="I663" t="s">
        <v>53</v>
      </c>
      <c r="J663" t="s">
        <v>54</v>
      </c>
      <c r="K663">
        <v>816021</v>
      </c>
      <c r="L663" t="s">
        <v>104</v>
      </c>
      <c r="M663" t="s">
        <v>105</v>
      </c>
      <c r="N663" t="s">
        <v>57</v>
      </c>
      <c r="O663" s="1">
        <v>45638</v>
      </c>
      <c r="Q663" s="1">
        <v>46154</v>
      </c>
      <c r="R663" s="2">
        <v>18.2</v>
      </c>
      <c r="S663">
        <v>1</v>
      </c>
      <c r="T663" t="s">
        <v>58</v>
      </c>
      <c r="U663" t="s">
        <v>59</v>
      </c>
      <c r="V663" s="3">
        <v>0.15</v>
      </c>
      <c r="W663" s="2">
        <v>0</v>
      </c>
      <c r="X663">
        <v>0</v>
      </c>
      <c r="Y663" t="s">
        <v>536</v>
      </c>
      <c r="Z663" t="s">
        <v>61</v>
      </c>
      <c r="AA663">
        <v>0</v>
      </c>
      <c r="AB663" s="2">
        <v>0</v>
      </c>
      <c r="AC663" s="2">
        <v>0</v>
      </c>
      <c r="AD663" s="3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2.73</v>
      </c>
      <c r="AN663" s="2">
        <v>2.73</v>
      </c>
      <c r="AO663" s="2">
        <v>0</v>
      </c>
      <c r="AP663" s="2">
        <v>0</v>
      </c>
      <c r="AQ663" s="2">
        <v>0</v>
      </c>
    </row>
    <row r="664" spans="1:43" x14ac:dyDescent="0.3">
      <c r="A664" s="1">
        <v>46125</v>
      </c>
      <c r="B664" t="s">
        <v>48</v>
      </c>
      <c r="C664">
        <v>649163</v>
      </c>
      <c r="D664">
        <v>2026179999</v>
      </c>
      <c r="E664" t="s">
        <v>909</v>
      </c>
      <c r="F664" t="s">
        <v>910</v>
      </c>
      <c r="G664" t="s">
        <v>51</v>
      </c>
      <c r="H664" t="s">
        <v>80</v>
      </c>
      <c r="I664" t="s">
        <v>53</v>
      </c>
      <c r="J664" t="s">
        <v>54</v>
      </c>
      <c r="K664">
        <v>812656</v>
      </c>
      <c r="L664" t="s">
        <v>171</v>
      </c>
      <c r="M664" t="s">
        <v>172</v>
      </c>
      <c r="N664" t="s">
        <v>57</v>
      </c>
      <c r="O664" s="1">
        <v>45641</v>
      </c>
      <c r="Q664" s="1">
        <v>46157</v>
      </c>
      <c r="R664" s="2">
        <v>31.6</v>
      </c>
      <c r="S664">
        <v>1</v>
      </c>
      <c r="T664" t="s">
        <v>58</v>
      </c>
      <c r="U664" t="s">
        <v>59</v>
      </c>
      <c r="V664" s="3">
        <v>0.15</v>
      </c>
      <c r="W664" s="2">
        <v>0</v>
      </c>
      <c r="X664">
        <v>0</v>
      </c>
      <c r="Y664" t="s">
        <v>536</v>
      </c>
      <c r="Z664" t="s">
        <v>61</v>
      </c>
      <c r="AA664">
        <v>0</v>
      </c>
      <c r="AB664" s="2">
        <v>0</v>
      </c>
      <c r="AC664" s="2">
        <v>0</v>
      </c>
      <c r="AD664" s="3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4.74</v>
      </c>
      <c r="AN664" s="2">
        <v>4.74</v>
      </c>
      <c r="AO664" s="2">
        <v>0</v>
      </c>
      <c r="AP664" s="2">
        <v>0</v>
      </c>
      <c r="AQ664" s="2">
        <v>0</v>
      </c>
    </row>
    <row r="665" spans="1:43" x14ac:dyDescent="0.3">
      <c r="A665" s="1">
        <v>46125</v>
      </c>
      <c r="B665" t="s">
        <v>48</v>
      </c>
      <c r="C665">
        <v>649163</v>
      </c>
      <c r="D665">
        <v>2026180757</v>
      </c>
      <c r="E665" t="s">
        <v>578</v>
      </c>
      <c r="F665" t="s">
        <v>579</v>
      </c>
      <c r="G665" t="s">
        <v>51</v>
      </c>
      <c r="H665" t="s">
        <v>103</v>
      </c>
      <c r="I665" t="s">
        <v>53</v>
      </c>
      <c r="J665" t="s">
        <v>54</v>
      </c>
      <c r="K665">
        <v>816021</v>
      </c>
      <c r="L665" t="s">
        <v>104</v>
      </c>
      <c r="M665" t="s">
        <v>105</v>
      </c>
      <c r="N665" t="s">
        <v>57</v>
      </c>
      <c r="O665" s="1">
        <v>45641</v>
      </c>
      <c r="Q665" s="1">
        <v>46157</v>
      </c>
      <c r="R665" s="2">
        <v>9.1</v>
      </c>
      <c r="S665">
        <v>1</v>
      </c>
      <c r="T665" t="s">
        <v>58</v>
      </c>
      <c r="U665" t="s">
        <v>59</v>
      </c>
      <c r="V665" s="3">
        <v>0.15</v>
      </c>
      <c r="W665" s="2">
        <v>0</v>
      </c>
      <c r="X665">
        <v>0</v>
      </c>
      <c r="Y665" t="s">
        <v>536</v>
      </c>
      <c r="Z665" t="s">
        <v>61</v>
      </c>
      <c r="AA665">
        <v>0</v>
      </c>
      <c r="AB665" s="2">
        <v>0</v>
      </c>
      <c r="AC665" s="2">
        <v>0</v>
      </c>
      <c r="AD665" s="3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1.36</v>
      </c>
      <c r="AN665" s="2">
        <v>1.36</v>
      </c>
      <c r="AO665" s="2">
        <v>0</v>
      </c>
      <c r="AP665" s="2">
        <v>0</v>
      </c>
      <c r="AQ665" s="2">
        <v>0</v>
      </c>
    </row>
    <row r="666" spans="1:43" x14ac:dyDescent="0.3">
      <c r="A666" s="1">
        <v>46125</v>
      </c>
      <c r="B666" t="s">
        <v>48</v>
      </c>
      <c r="C666">
        <v>649163</v>
      </c>
      <c r="D666">
        <v>2026184417</v>
      </c>
      <c r="E666" t="s">
        <v>580</v>
      </c>
      <c r="F666" t="s">
        <v>132</v>
      </c>
      <c r="G666" t="s">
        <v>51</v>
      </c>
      <c r="H666" t="s">
        <v>103</v>
      </c>
      <c r="I666" t="s">
        <v>53</v>
      </c>
      <c r="J666" t="s">
        <v>54</v>
      </c>
      <c r="K666">
        <v>816021</v>
      </c>
      <c r="L666" t="s">
        <v>104</v>
      </c>
      <c r="M666" t="s">
        <v>105</v>
      </c>
      <c r="N666" t="s">
        <v>57</v>
      </c>
      <c r="O666" s="1">
        <v>45641</v>
      </c>
      <c r="Q666" s="1">
        <v>46157</v>
      </c>
      <c r="R666" s="2">
        <v>9.1</v>
      </c>
      <c r="S666">
        <v>1</v>
      </c>
      <c r="T666" t="s">
        <v>58</v>
      </c>
      <c r="U666" t="s">
        <v>59</v>
      </c>
      <c r="V666" s="3">
        <v>0.15</v>
      </c>
      <c r="W666" s="2">
        <v>0</v>
      </c>
      <c r="X666">
        <v>0</v>
      </c>
      <c r="Y666" t="s">
        <v>536</v>
      </c>
      <c r="Z666" t="s">
        <v>61</v>
      </c>
      <c r="AA666">
        <v>0</v>
      </c>
      <c r="AB666" s="2">
        <v>0</v>
      </c>
      <c r="AC666" s="2">
        <v>0</v>
      </c>
      <c r="AD666" s="3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1.36</v>
      </c>
      <c r="AN666" s="2">
        <v>1.36</v>
      </c>
      <c r="AO666" s="2">
        <v>0</v>
      </c>
      <c r="AP666" s="2">
        <v>0</v>
      </c>
      <c r="AQ666" s="2">
        <v>0</v>
      </c>
    </row>
    <row r="667" spans="1:43" x14ac:dyDescent="0.3">
      <c r="A667" s="1">
        <v>46125</v>
      </c>
      <c r="B667" t="s">
        <v>48</v>
      </c>
      <c r="C667">
        <v>649163</v>
      </c>
      <c r="D667">
        <v>2026186218</v>
      </c>
      <c r="E667" t="s">
        <v>808</v>
      </c>
      <c r="F667" t="s">
        <v>809</v>
      </c>
      <c r="G667" t="s">
        <v>51</v>
      </c>
      <c r="H667" t="s">
        <v>75</v>
      </c>
      <c r="I667" t="s">
        <v>53</v>
      </c>
      <c r="J667" t="s">
        <v>54</v>
      </c>
      <c r="K667">
        <v>767312</v>
      </c>
      <c r="L667" t="s">
        <v>134</v>
      </c>
      <c r="M667" t="s">
        <v>98</v>
      </c>
      <c r="N667" t="s">
        <v>57</v>
      </c>
      <c r="O667" s="1">
        <v>45641</v>
      </c>
      <c r="Q667" s="1">
        <v>46157</v>
      </c>
      <c r="R667" s="2">
        <v>94.38</v>
      </c>
      <c r="S667">
        <v>1</v>
      </c>
      <c r="T667" t="s">
        <v>58</v>
      </c>
      <c r="U667" t="s">
        <v>59</v>
      </c>
      <c r="V667" s="3">
        <v>0.15</v>
      </c>
      <c r="W667" s="2">
        <v>0</v>
      </c>
      <c r="X667">
        <v>0</v>
      </c>
      <c r="Y667" t="s">
        <v>536</v>
      </c>
      <c r="Z667" t="s">
        <v>61</v>
      </c>
      <c r="AA667">
        <v>0</v>
      </c>
      <c r="AB667" s="2">
        <v>0</v>
      </c>
      <c r="AC667" s="2">
        <v>0</v>
      </c>
      <c r="AD667" s="3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14.16</v>
      </c>
      <c r="AN667" s="2">
        <v>14.16</v>
      </c>
      <c r="AO667" s="2">
        <v>0</v>
      </c>
      <c r="AP667" s="2">
        <v>0</v>
      </c>
      <c r="AQ667" s="2">
        <v>0</v>
      </c>
    </row>
    <row r="668" spans="1:43" x14ac:dyDescent="0.3">
      <c r="A668" s="1">
        <v>46125</v>
      </c>
      <c r="B668" t="s">
        <v>48</v>
      </c>
      <c r="C668">
        <v>649163</v>
      </c>
      <c r="D668">
        <v>2026539798</v>
      </c>
      <c r="E668" t="s">
        <v>911</v>
      </c>
      <c r="F668" t="s">
        <v>912</v>
      </c>
      <c r="G668" t="s">
        <v>51</v>
      </c>
      <c r="H668" t="s">
        <v>52</v>
      </c>
      <c r="I668" t="s">
        <v>53</v>
      </c>
      <c r="J668" t="s">
        <v>54</v>
      </c>
      <c r="K668">
        <v>757039</v>
      </c>
      <c r="L668" t="s">
        <v>473</v>
      </c>
      <c r="M668" t="s">
        <v>913</v>
      </c>
      <c r="N668" t="s">
        <v>57</v>
      </c>
      <c r="O668" s="1">
        <v>45668</v>
      </c>
      <c r="Q668" s="1">
        <v>46153</v>
      </c>
      <c r="R668" s="2">
        <v>25.97</v>
      </c>
      <c r="S668">
        <v>1</v>
      </c>
      <c r="T668" t="s">
        <v>58</v>
      </c>
      <c r="U668" t="s">
        <v>59</v>
      </c>
      <c r="V668" s="3">
        <v>0.15</v>
      </c>
      <c r="W668" s="2">
        <v>0</v>
      </c>
      <c r="X668">
        <v>0</v>
      </c>
      <c r="Y668" t="s">
        <v>536</v>
      </c>
      <c r="Z668" t="s">
        <v>61</v>
      </c>
      <c r="AA668">
        <v>0</v>
      </c>
      <c r="AB668" s="2">
        <v>0</v>
      </c>
      <c r="AC668" s="2">
        <v>0</v>
      </c>
      <c r="AD668" s="3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3.9</v>
      </c>
      <c r="AN668" s="2">
        <v>3.9</v>
      </c>
      <c r="AO668" s="2">
        <v>0</v>
      </c>
      <c r="AP668" s="2">
        <v>0</v>
      </c>
      <c r="AQ668" s="2">
        <v>0</v>
      </c>
    </row>
    <row r="669" spans="1:43" x14ac:dyDescent="0.3">
      <c r="A669" s="1">
        <v>46125</v>
      </c>
      <c r="B669" t="s">
        <v>48</v>
      </c>
      <c r="C669">
        <v>649163</v>
      </c>
      <c r="D669">
        <v>2026561983</v>
      </c>
      <c r="E669" t="s">
        <v>914</v>
      </c>
      <c r="F669" t="s">
        <v>915</v>
      </c>
      <c r="G669" t="s">
        <v>51</v>
      </c>
      <c r="H669" t="s">
        <v>80</v>
      </c>
      <c r="I669" t="s">
        <v>53</v>
      </c>
      <c r="J669" t="s">
        <v>54</v>
      </c>
      <c r="K669">
        <v>792847</v>
      </c>
      <c r="L669" t="s">
        <v>597</v>
      </c>
      <c r="M669" t="s">
        <v>599</v>
      </c>
      <c r="N669" t="s">
        <v>57</v>
      </c>
      <c r="O669" s="1">
        <v>45672</v>
      </c>
      <c r="Q669" s="1">
        <v>46157</v>
      </c>
      <c r="R669" s="2">
        <v>49.8</v>
      </c>
      <c r="S669">
        <v>1</v>
      </c>
      <c r="T669" t="s">
        <v>58</v>
      </c>
      <c r="U669" t="s">
        <v>59</v>
      </c>
      <c r="V669" s="3">
        <v>0.15</v>
      </c>
      <c r="W669" s="2">
        <v>0</v>
      </c>
      <c r="X669">
        <v>0</v>
      </c>
      <c r="Y669" t="s">
        <v>536</v>
      </c>
      <c r="Z669" t="s">
        <v>61</v>
      </c>
      <c r="AA669">
        <v>0</v>
      </c>
      <c r="AB669" s="2">
        <v>0</v>
      </c>
      <c r="AC669" s="2">
        <v>0</v>
      </c>
      <c r="AD669" s="3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7.47</v>
      </c>
      <c r="AN669" s="2">
        <v>7.47</v>
      </c>
      <c r="AO669" s="2">
        <v>0</v>
      </c>
      <c r="AP669" s="2">
        <v>0</v>
      </c>
      <c r="AQ669" s="2">
        <v>0</v>
      </c>
    </row>
    <row r="670" spans="1:43" x14ac:dyDescent="0.3">
      <c r="A670" s="1">
        <v>46125</v>
      </c>
      <c r="B670" t="s">
        <v>48</v>
      </c>
      <c r="C670">
        <v>649163</v>
      </c>
      <c r="D670">
        <v>2026568865</v>
      </c>
      <c r="E670" t="s">
        <v>433</v>
      </c>
      <c r="F670" t="s">
        <v>241</v>
      </c>
      <c r="G670" t="s">
        <v>51</v>
      </c>
      <c r="H670" t="s">
        <v>126</v>
      </c>
      <c r="I670" t="s">
        <v>53</v>
      </c>
      <c r="J670" t="s">
        <v>54</v>
      </c>
      <c r="K670">
        <v>756418</v>
      </c>
      <c r="L670" t="s">
        <v>400</v>
      </c>
      <c r="M670" t="s">
        <v>401</v>
      </c>
      <c r="N670" t="s">
        <v>57</v>
      </c>
      <c r="O670" s="1">
        <v>45671</v>
      </c>
      <c r="Q670" s="1">
        <v>46156</v>
      </c>
      <c r="R670" s="2">
        <v>45.97</v>
      </c>
      <c r="S670">
        <v>1</v>
      </c>
      <c r="T670" t="s">
        <v>58</v>
      </c>
      <c r="U670" t="s">
        <v>59</v>
      </c>
      <c r="V670" s="3">
        <v>0.15</v>
      </c>
      <c r="W670" s="2">
        <v>0</v>
      </c>
      <c r="X670">
        <v>0</v>
      </c>
      <c r="Y670" t="s">
        <v>536</v>
      </c>
      <c r="Z670" t="s">
        <v>61</v>
      </c>
      <c r="AA670">
        <v>0</v>
      </c>
      <c r="AB670" s="2">
        <v>0</v>
      </c>
      <c r="AC670" s="2">
        <v>0</v>
      </c>
      <c r="AD670" s="3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6.9</v>
      </c>
      <c r="AN670" s="2">
        <v>6.9</v>
      </c>
      <c r="AO670" s="2">
        <v>0</v>
      </c>
      <c r="AP670" s="2">
        <v>0</v>
      </c>
      <c r="AQ670" s="2">
        <v>0</v>
      </c>
    </row>
    <row r="671" spans="1:43" x14ac:dyDescent="0.3">
      <c r="A671" s="1">
        <v>46125</v>
      </c>
      <c r="B671" t="s">
        <v>48</v>
      </c>
      <c r="C671">
        <v>649163</v>
      </c>
      <c r="D671">
        <v>2026586620</v>
      </c>
      <c r="E671" t="s">
        <v>754</v>
      </c>
      <c r="F671" t="s">
        <v>410</v>
      </c>
      <c r="G671" t="s">
        <v>51</v>
      </c>
      <c r="H671" t="s">
        <v>755</v>
      </c>
      <c r="I671" t="s">
        <v>53</v>
      </c>
      <c r="J671" t="s">
        <v>54</v>
      </c>
      <c r="K671">
        <v>756418</v>
      </c>
      <c r="L671" t="s">
        <v>400</v>
      </c>
      <c r="M671" t="s">
        <v>401</v>
      </c>
      <c r="N671" t="s">
        <v>57</v>
      </c>
      <c r="O671" s="1">
        <v>45672</v>
      </c>
      <c r="Q671" s="1">
        <v>46157</v>
      </c>
      <c r="R671" s="2">
        <v>15.29</v>
      </c>
      <c r="S671">
        <v>1</v>
      </c>
      <c r="T671" t="s">
        <v>58</v>
      </c>
      <c r="U671" t="s">
        <v>59</v>
      </c>
      <c r="V671" s="3">
        <v>0.15</v>
      </c>
      <c r="W671" s="2">
        <v>0</v>
      </c>
      <c r="X671">
        <v>0</v>
      </c>
      <c r="Y671" t="s">
        <v>536</v>
      </c>
      <c r="Z671" t="s">
        <v>61</v>
      </c>
      <c r="AA671">
        <v>0</v>
      </c>
      <c r="AB671" s="2">
        <v>0</v>
      </c>
      <c r="AC671" s="2">
        <v>0</v>
      </c>
      <c r="AD671" s="3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2.29</v>
      </c>
      <c r="AN671" s="2">
        <v>2.29</v>
      </c>
      <c r="AO671" s="2">
        <v>0</v>
      </c>
      <c r="AP671" s="2">
        <v>0</v>
      </c>
      <c r="AQ671" s="2">
        <v>0</v>
      </c>
    </row>
    <row r="672" spans="1:43" x14ac:dyDescent="0.3">
      <c r="A672" s="1">
        <v>46125</v>
      </c>
      <c r="B672" t="s">
        <v>48</v>
      </c>
      <c r="D672">
        <v>2026586621</v>
      </c>
      <c r="E672" t="s">
        <v>754</v>
      </c>
      <c r="F672" t="s">
        <v>410</v>
      </c>
      <c r="G672" t="s">
        <v>51</v>
      </c>
      <c r="H672" t="s">
        <v>755</v>
      </c>
      <c r="I672" t="s">
        <v>53</v>
      </c>
      <c r="J672" t="s">
        <v>97</v>
      </c>
      <c r="L672" t="s">
        <v>400</v>
      </c>
      <c r="M672" t="s">
        <v>401</v>
      </c>
      <c r="N672" t="s">
        <v>57</v>
      </c>
      <c r="O672" s="1">
        <v>45672</v>
      </c>
      <c r="Q672" s="1">
        <v>46157</v>
      </c>
      <c r="R672" s="2">
        <v>25.73</v>
      </c>
      <c r="S672">
        <v>1</v>
      </c>
      <c r="T672" t="s">
        <v>58</v>
      </c>
      <c r="U672" t="s">
        <v>59</v>
      </c>
      <c r="V672" s="3">
        <v>0.15</v>
      </c>
      <c r="W672" s="2">
        <v>0</v>
      </c>
      <c r="X672">
        <v>0</v>
      </c>
      <c r="Y672" t="s">
        <v>536</v>
      </c>
      <c r="Z672" t="s">
        <v>61</v>
      </c>
      <c r="AA672">
        <v>0</v>
      </c>
      <c r="AB672" s="2">
        <v>0</v>
      </c>
      <c r="AC672" s="2">
        <v>0</v>
      </c>
      <c r="AD672" s="3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3.86</v>
      </c>
      <c r="AN672" s="2">
        <v>3.86</v>
      </c>
      <c r="AO672" s="2">
        <v>0</v>
      </c>
      <c r="AP672" s="2">
        <v>0</v>
      </c>
      <c r="AQ672" s="2">
        <v>0</v>
      </c>
    </row>
    <row r="673" spans="1:43" x14ac:dyDescent="0.3">
      <c r="A673" s="1">
        <v>46125</v>
      </c>
      <c r="B673" t="s">
        <v>48</v>
      </c>
      <c r="C673">
        <v>649163</v>
      </c>
      <c r="D673">
        <v>2026607947</v>
      </c>
      <c r="E673" t="s">
        <v>811</v>
      </c>
      <c r="F673" t="s">
        <v>147</v>
      </c>
      <c r="G673" t="s">
        <v>51</v>
      </c>
      <c r="H673" t="s">
        <v>52</v>
      </c>
      <c r="I673" t="s">
        <v>53</v>
      </c>
      <c r="J673" t="s">
        <v>54</v>
      </c>
      <c r="K673">
        <v>767312</v>
      </c>
      <c r="L673" t="s">
        <v>134</v>
      </c>
      <c r="M673" t="s">
        <v>98</v>
      </c>
      <c r="N673" t="s">
        <v>57</v>
      </c>
      <c r="O673" s="1">
        <v>45673</v>
      </c>
      <c r="Q673" s="1">
        <v>46158</v>
      </c>
      <c r="R673" s="2">
        <v>29.79</v>
      </c>
      <c r="S673">
        <v>1</v>
      </c>
      <c r="T673" t="s">
        <v>58</v>
      </c>
      <c r="U673" t="s">
        <v>59</v>
      </c>
      <c r="V673" s="3">
        <v>0.15</v>
      </c>
      <c r="W673" s="2">
        <v>0</v>
      </c>
      <c r="X673">
        <v>0</v>
      </c>
      <c r="Y673" t="s">
        <v>536</v>
      </c>
      <c r="Z673" t="s">
        <v>61</v>
      </c>
      <c r="AA673">
        <v>0</v>
      </c>
      <c r="AB673" s="2">
        <v>0</v>
      </c>
      <c r="AC673" s="2">
        <v>0</v>
      </c>
      <c r="AD673" s="3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4.47</v>
      </c>
      <c r="AN673" s="2">
        <v>4.47</v>
      </c>
      <c r="AO673" s="2">
        <v>0</v>
      </c>
      <c r="AP673" s="2">
        <v>0</v>
      </c>
      <c r="AQ673" s="2">
        <v>0</v>
      </c>
    </row>
    <row r="674" spans="1:43" x14ac:dyDescent="0.3">
      <c r="A674" s="1">
        <v>46125</v>
      </c>
      <c r="B674" t="s">
        <v>48</v>
      </c>
      <c r="C674">
        <v>649163</v>
      </c>
      <c r="D674">
        <v>2026608909</v>
      </c>
      <c r="E674" t="s">
        <v>916</v>
      </c>
      <c r="F674" t="s">
        <v>410</v>
      </c>
      <c r="G674" t="s">
        <v>51</v>
      </c>
      <c r="H674" t="s">
        <v>80</v>
      </c>
      <c r="I674" t="s">
        <v>53</v>
      </c>
      <c r="J674" t="s">
        <v>54</v>
      </c>
      <c r="K674">
        <v>792847</v>
      </c>
      <c r="L674" t="s">
        <v>597</v>
      </c>
      <c r="M674" t="s">
        <v>599</v>
      </c>
      <c r="N674" t="s">
        <v>57</v>
      </c>
      <c r="O674" s="1">
        <v>45673</v>
      </c>
      <c r="Q674" s="1">
        <v>46158</v>
      </c>
      <c r="R674" s="2">
        <v>58.24</v>
      </c>
      <c r="S674">
        <v>1</v>
      </c>
      <c r="T674" t="s">
        <v>58</v>
      </c>
      <c r="U674" t="s">
        <v>59</v>
      </c>
      <c r="V674" s="3">
        <v>0.15</v>
      </c>
      <c r="W674" s="2">
        <v>0</v>
      </c>
      <c r="X674">
        <v>0</v>
      </c>
      <c r="Y674" t="s">
        <v>536</v>
      </c>
      <c r="Z674" t="s">
        <v>61</v>
      </c>
      <c r="AA674">
        <v>0</v>
      </c>
      <c r="AB674" s="2">
        <v>0</v>
      </c>
      <c r="AC674" s="2">
        <v>0</v>
      </c>
      <c r="AD674" s="3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8.74</v>
      </c>
      <c r="AN674" s="2">
        <v>8.74</v>
      </c>
      <c r="AO674" s="2">
        <v>0</v>
      </c>
      <c r="AP674" s="2">
        <v>0</v>
      </c>
      <c r="AQ674" s="2">
        <v>0</v>
      </c>
    </row>
    <row r="675" spans="1:43" x14ac:dyDescent="0.3">
      <c r="A675" s="1">
        <v>46125</v>
      </c>
      <c r="B675" t="s">
        <v>48</v>
      </c>
      <c r="C675">
        <v>649163</v>
      </c>
      <c r="D675">
        <v>2026617755</v>
      </c>
      <c r="E675" t="s">
        <v>581</v>
      </c>
      <c r="F675" t="s">
        <v>98</v>
      </c>
      <c r="G675" t="s">
        <v>51</v>
      </c>
      <c r="H675" t="s">
        <v>70</v>
      </c>
      <c r="I675" t="s">
        <v>53</v>
      </c>
      <c r="J675" t="s">
        <v>54</v>
      </c>
      <c r="K675">
        <v>767312</v>
      </c>
      <c r="L675" t="s">
        <v>134</v>
      </c>
      <c r="M675" t="s">
        <v>98</v>
      </c>
      <c r="N675" t="s">
        <v>57</v>
      </c>
      <c r="O675" s="1">
        <v>45673</v>
      </c>
      <c r="Q675" s="1">
        <v>46158</v>
      </c>
      <c r="R675" s="2">
        <v>198.42</v>
      </c>
      <c r="S675">
        <v>1</v>
      </c>
      <c r="T675" t="s">
        <v>58</v>
      </c>
      <c r="U675" t="s">
        <v>59</v>
      </c>
      <c r="V675" s="3">
        <v>0.15</v>
      </c>
      <c r="W675" s="2">
        <v>0</v>
      </c>
      <c r="X675">
        <v>0</v>
      </c>
      <c r="Y675" t="s">
        <v>536</v>
      </c>
      <c r="Z675" t="s">
        <v>61</v>
      </c>
      <c r="AA675">
        <v>0</v>
      </c>
      <c r="AB675" s="2">
        <v>0</v>
      </c>
      <c r="AC675" s="2">
        <v>0</v>
      </c>
      <c r="AD675" s="3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29.76</v>
      </c>
      <c r="AN675" s="2">
        <v>29.76</v>
      </c>
      <c r="AO675" s="2">
        <v>0</v>
      </c>
      <c r="AP675" s="2">
        <v>0</v>
      </c>
      <c r="AQ675" s="2">
        <v>0</v>
      </c>
    </row>
    <row r="676" spans="1:43" x14ac:dyDescent="0.3">
      <c r="A676" s="1">
        <v>46125</v>
      </c>
      <c r="B676" t="s">
        <v>48</v>
      </c>
      <c r="C676">
        <v>649163</v>
      </c>
      <c r="D676">
        <v>2026625854</v>
      </c>
      <c r="E676" t="s">
        <v>813</v>
      </c>
      <c r="F676" t="s">
        <v>814</v>
      </c>
      <c r="G676" t="s">
        <v>51</v>
      </c>
      <c r="H676" t="s">
        <v>295</v>
      </c>
      <c r="I676" t="s">
        <v>53</v>
      </c>
      <c r="J676" t="s">
        <v>54</v>
      </c>
      <c r="K676">
        <v>767312</v>
      </c>
      <c r="L676" t="s">
        <v>134</v>
      </c>
      <c r="M676" t="s">
        <v>98</v>
      </c>
      <c r="N676" t="s">
        <v>57</v>
      </c>
      <c r="O676" s="1">
        <v>45674</v>
      </c>
      <c r="Q676" s="1">
        <v>46159</v>
      </c>
      <c r="R676" s="2">
        <v>114</v>
      </c>
      <c r="S676">
        <v>1</v>
      </c>
      <c r="T676" t="s">
        <v>58</v>
      </c>
      <c r="U676" t="s">
        <v>59</v>
      </c>
      <c r="V676" s="3">
        <v>0.15</v>
      </c>
      <c r="W676" s="2">
        <v>0</v>
      </c>
      <c r="X676">
        <v>0</v>
      </c>
      <c r="Y676" t="s">
        <v>536</v>
      </c>
      <c r="Z676" t="s">
        <v>61</v>
      </c>
      <c r="AA676">
        <v>0</v>
      </c>
      <c r="AB676" s="2">
        <v>0</v>
      </c>
      <c r="AC676" s="2">
        <v>0</v>
      </c>
      <c r="AD676" s="3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17.100000000000001</v>
      </c>
      <c r="AN676" s="2">
        <v>17.100000000000001</v>
      </c>
      <c r="AO676" s="2">
        <v>0</v>
      </c>
      <c r="AP676" s="2">
        <v>0</v>
      </c>
      <c r="AQ676" s="2">
        <v>0</v>
      </c>
    </row>
    <row r="677" spans="1:43" x14ac:dyDescent="0.3">
      <c r="A677" s="1">
        <v>46125</v>
      </c>
      <c r="B677" t="s">
        <v>48</v>
      </c>
      <c r="C677">
        <v>649163</v>
      </c>
      <c r="D677">
        <v>2026836001</v>
      </c>
      <c r="E677" t="s">
        <v>815</v>
      </c>
      <c r="F677" t="s">
        <v>816</v>
      </c>
      <c r="G677" t="s">
        <v>51</v>
      </c>
      <c r="H677" t="s">
        <v>80</v>
      </c>
      <c r="I677" t="s">
        <v>53</v>
      </c>
      <c r="J677" t="s">
        <v>54</v>
      </c>
      <c r="K677">
        <v>812782</v>
      </c>
      <c r="L677" t="s">
        <v>224</v>
      </c>
      <c r="M677" t="s">
        <v>225</v>
      </c>
      <c r="N677" t="s">
        <v>86</v>
      </c>
      <c r="O677" s="1">
        <v>45689</v>
      </c>
      <c r="P677" s="1">
        <v>46125</v>
      </c>
      <c r="Q677" s="1">
        <v>46143</v>
      </c>
      <c r="R677" s="2">
        <v>-46.59</v>
      </c>
      <c r="S677">
        <v>1</v>
      </c>
      <c r="T677" t="s">
        <v>58</v>
      </c>
      <c r="U677" t="s">
        <v>59</v>
      </c>
      <c r="V677" s="3">
        <v>0.15</v>
      </c>
      <c r="W677" s="2">
        <v>0</v>
      </c>
      <c r="X677">
        <v>-1</v>
      </c>
      <c r="Y677" t="s">
        <v>536</v>
      </c>
      <c r="Z677" t="s">
        <v>61</v>
      </c>
      <c r="AA677">
        <v>0</v>
      </c>
      <c r="AB677" s="2">
        <v>0</v>
      </c>
      <c r="AC677" s="2">
        <v>0</v>
      </c>
      <c r="AD677" s="3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-6.99</v>
      </c>
      <c r="AN677" s="2">
        <v>-6.99</v>
      </c>
      <c r="AO677" s="2">
        <v>0</v>
      </c>
      <c r="AP677" s="2">
        <v>0</v>
      </c>
      <c r="AQ677" s="2">
        <v>0</v>
      </c>
    </row>
    <row r="678" spans="1:43" x14ac:dyDescent="0.3">
      <c r="A678" s="1">
        <v>46125</v>
      </c>
      <c r="B678" t="s">
        <v>48</v>
      </c>
      <c r="C678">
        <v>649163</v>
      </c>
      <c r="D678">
        <v>2027052528</v>
      </c>
      <c r="E678" t="s">
        <v>817</v>
      </c>
      <c r="F678" t="s">
        <v>818</v>
      </c>
      <c r="G678" t="s">
        <v>51</v>
      </c>
      <c r="H678" t="s">
        <v>80</v>
      </c>
      <c r="I678" t="s">
        <v>53</v>
      </c>
      <c r="J678" t="s">
        <v>54</v>
      </c>
      <c r="K678">
        <v>766747</v>
      </c>
      <c r="L678" t="s">
        <v>819</v>
      </c>
      <c r="M678" t="s">
        <v>175</v>
      </c>
      <c r="N678" t="s">
        <v>57</v>
      </c>
      <c r="O678" s="1">
        <v>45699</v>
      </c>
      <c r="Q678" s="1">
        <v>46153</v>
      </c>
      <c r="R678" s="2">
        <v>11.5</v>
      </c>
      <c r="S678">
        <v>1</v>
      </c>
      <c r="T678" t="s">
        <v>58</v>
      </c>
      <c r="U678" t="s">
        <v>59</v>
      </c>
      <c r="V678" s="3">
        <v>0.15</v>
      </c>
      <c r="W678" s="2">
        <v>0</v>
      </c>
      <c r="X678">
        <v>0</v>
      </c>
      <c r="Y678" t="s">
        <v>536</v>
      </c>
      <c r="Z678" t="s">
        <v>61</v>
      </c>
      <c r="AA678">
        <v>0</v>
      </c>
      <c r="AB678" s="2">
        <v>0</v>
      </c>
      <c r="AC678" s="2">
        <v>0</v>
      </c>
      <c r="AD678" s="3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1.72</v>
      </c>
      <c r="AN678" s="2">
        <v>1.72</v>
      </c>
      <c r="AO678" s="2">
        <v>0</v>
      </c>
      <c r="AP678" s="2">
        <v>0</v>
      </c>
      <c r="AQ678" s="2">
        <v>0</v>
      </c>
    </row>
    <row r="679" spans="1:43" x14ac:dyDescent="0.3">
      <c r="A679" s="1">
        <v>46125</v>
      </c>
      <c r="B679" t="s">
        <v>48</v>
      </c>
      <c r="C679">
        <v>649163</v>
      </c>
      <c r="D679">
        <v>2027055700</v>
      </c>
      <c r="E679" t="s">
        <v>820</v>
      </c>
      <c r="F679" t="s">
        <v>821</v>
      </c>
      <c r="G679" t="s">
        <v>51</v>
      </c>
      <c r="H679" t="s">
        <v>103</v>
      </c>
      <c r="I679" t="s">
        <v>53</v>
      </c>
      <c r="J679" t="s">
        <v>54</v>
      </c>
      <c r="K679">
        <v>816021</v>
      </c>
      <c r="L679" t="s">
        <v>104</v>
      </c>
      <c r="M679" t="s">
        <v>105</v>
      </c>
      <c r="N679" t="s">
        <v>57</v>
      </c>
      <c r="O679" s="1">
        <v>45699</v>
      </c>
      <c r="Q679" s="1">
        <v>46153</v>
      </c>
      <c r="R679" s="2">
        <v>9.1</v>
      </c>
      <c r="S679">
        <v>1</v>
      </c>
      <c r="T679" t="s">
        <v>58</v>
      </c>
      <c r="U679" t="s">
        <v>59</v>
      </c>
      <c r="V679" s="3">
        <v>0.15</v>
      </c>
      <c r="W679" s="2">
        <v>0</v>
      </c>
      <c r="X679">
        <v>0</v>
      </c>
      <c r="Y679" t="s">
        <v>536</v>
      </c>
      <c r="Z679" t="s">
        <v>61</v>
      </c>
      <c r="AA679">
        <v>0</v>
      </c>
      <c r="AB679" s="2">
        <v>0</v>
      </c>
      <c r="AC679" s="2">
        <v>0</v>
      </c>
      <c r="AD679" s="3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1.36</v>
      </c>
      <c r="AN679" s="2">
        <v>1.36</v>
      </c>
      <c r="AO679" s="2">
        <v>0</v>
      </c>
      <c r="AP679" s="2">
        <v>0</v>
      </c>
      <c r="AQ679" s="2">
        <v>0</v>
      </c>
    </row>
    <row r="680" spans="1:43" x14ac:dyDescent="0.3">
      <c r="A680" s="1">
        <v>46125</v>
      </c>
      <c r="B680" t="s">
        <v>48</v>
      </c>
      <c r="C680">
        <v>649163</v>
      </c>
      <c r="D680">
        <v>2027059396</v>
      </c>
      <c r="E680" t="s">
        <v>822</v>
      </c>
      <c r="F680" t="s">
        <v>823</v>
      </c>
      <c r="G680" t="s">
        <v>51</v>
      </c>
      <c r="H680" t="s">
        <v>80</v>
      </c>
      <c r="I680" t="s">
        <v>53</v>
      </c>
      <c r="J680" t="s">
        <v>54</v>
      </c>
      <c r="K680">
        <v>824062</v>
      </c>
      <c r="L680" t="s">
        <v>167</v>
      </c>
      <c r="M680" t="s">
        <v>168</v>
      </c>
      <c r="N680" t="s">
        <v>57</v>
      </c>
      <c r="O680" s="1">
        <v>45700</v>
      </c>
      <c r="Q680" s="1">
        <v>46154</v>
      </c>
      <c r="R680" s="2">
        <v>41.5</v>
      </c>
      <c r="S680">
        <v>1</v>
      </c>
      <c r="T680" t="s">
        <v>58</v>
      </c>
      <c r="U680" t="s">
        <v>59</v>
      </c>
      <c r="V680" s="3">
        <v>0.15</v>
      </c>
      <c r="W680" s="2">
        <v>0</v>
      </c>
      <c r="X680">
        <v>0</v>
      </c>
      <c r="Y680" t="s">
        <v>536</v>
      </c>
      <c r="Z680" t="s">
        <v>61</v>
      </c>
      <c r="AA680">
        <v>0</v>
      </c>
      <c r="AB680" s="2">
        <v>0</v>
      </c>
      <c r="AC680" s="2">
        <v>0</v>
      </c>
      <c r="AD680" s="3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6.22</v>
      </c>
      <c r="AN680" s="2">
        <v>6.22</v>
      </c>
      <c r="AO680" s="2">
        <v>0</v>
      </c>
      <c r="AP680" s="2">
        <v>0</v>
      </c>
      <c r="AQ680" s="2">
        <v>0</v>
      </c>
    </row>
    <row r="681" spans="1:43" x14ac:dyDescent="0.3">
      <c r="A681" s="1">
        <v>46125</v>
      </c>
      <c r="B681" t="s">
        <v>48</v>
      </c>
      <c r="C681">
        <v>649163</v>
      </c>
      <c r="D681">
        <v>2027064140</v>
      </c>
      <c r="E681" t="s">
        <v>582</v>
      </c>
      <c r="F681" t="s">
        <v>116</v>
      </c>
      <c r="G681" t="s">
        <v>51</v>
      </c>
      <c r="H681" t="s">
        <v>126</v>
      </c>
      <c r="I681" t="s">
        <v>53</v>
      </c>
      <c r="J681" t="s">
        <v>117</v>
      </c>
      <c r="K681">
        <v>673059</v>
      </c>
      <c r="L681" t="s">
        <v>115</v>
      </c>
      <c r="M681" t="s">
        <v>116</v>
      </c>
      <c r="N681" t="s">
        <v>57</v>
      </c>
      <c r="O681" s="1">
        <v>45700</v>
      </c>
      <c r="Q681" s="1">
        <v>46154</v>
      </c>
      <c r="R681" s="2">
        <v>23.39</v>
      </c>
      <c r="S681">
        <v>1</v>
      </c>
      <c r="T681" t="s">
        <v>58</v>
      </c>
      <c r="U681" t="s">
        <v>59</v>
      </c>
      <c r="V681" s="3">
        <v>0.15</v>
      </c>
      <c r="W681" s="2">
        <v>0</v>
      </c>
      <c r="X681">
        <v>0</v>
      </c>
      <c r="Y681" t="s">
        <v>536</v>
      </c>
      <c r="Z681" t="s">
        <v>61</v>
      </c>
      <c r="AA681">
        <v>0</v>
      </c>
      <c r="AB681" s="2">
        <v>0</v>
      </c>
      <c r="AC681" s="2">
        <v>0</v>
      </c>
      <c r="AD681" s="3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3.51</v>
      </c>
      <c r="AN681" s="2">
        <v>3.51</v>
      </c>
      <c r="AO681" s="2">
        <v>0</v>
      </c>
      <c r="AP681" s="2">
        <v>0</v>
      </c>
      <c r="AQ681" s="2">
        <v>0</v>
      </c>
    </row>
    <row r="682" spans="1:43" x14ac:dyDescent="0.3">
      <c r="A682" s="1">
        <v>46125</v>
      </c>
      <c r="B682" t="s">
        <v>48</v>
      </c>
      <c r="C682">
        <v>649163</v>
      </c>
      <c r="D682">
        <v>2027064142</v>
      </c>
      <c r="E682" t="s">
        <v>582</v>
      </c>
      <c r="F682" t="s">
        <v>116</v>
      </c>
      <c r="G682" t="s">
        <v>51</v>
      </c>
      <c r="H682" t="s">
        <v>126</v>
      </c>
      <c r="I682" t="s">
        <v>53</v>
      </c>
      <c r="J682" t="s">
        <v>54</v>
      </c>
      <c r="K682">
        <v>673059</v>
      </c>
      <c r="L682" t="s">
        <v>115</v>
      </c>
      <c r="M682" t="s">
        <v>116</v>
      </c>
      <c r="N682" t="s">
        <v>57</v>
      </c>
      <c r="O682" s="1">
        <v>45700</v>
      </c>
      <c r="Q682" s="1">
        <v>46154</v>
      </c>
      <c r="R682" s="2">
        <v>115.91</v>
      </c>
      <c r="S682">
        <v>1</v>
      </c>
      <c r="T682" t="s">
        <v>58</v>
      </c>
      <c r="U682" t="s">
        <v>59</v>
      </c>
      <c r="V682" s="3">
        <v>0.15</v>
      </c>
      <c r="W682" s="2">
        <v>0</v>
      </c>
      <c r="X682">
        <v>0</v>
      </c>
      <c r="Y682" t="s">
        <v>536</v>
      </c>
      <c r="Z682" t="s">
        <v>61</v>
      </c>
      <c r="AA682">
        <v>0</v>
      </c>
      <c r="AB682" s="2">
        <v>0</v>
      </c>
      <c r="AC682" s="2">
        <v>0</v>
      </c>
      <c r="AD682" s="3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17.39</v>
      </c>
      <c r="AN682" s="2">
        <v>17.39</v>
      </c>
      <c r="AO682" s="2">
        <v>0</v>
      </c>
      <c r="AP682" s="2">
        <v>0</v>
      </c>
      <c r="AQ682" s="2">
        <v>0</v>
      </c>
    </row>
    <row r="683" spans="1:43" x14ac:dyDescent="0.3">
      <c r="A683" s="1">
        <v>46125</v>
      </c>
      <c r="B683" t="s">
        <v>48</v>
      </c>
      <c r="C683">
        <v>649163</v>
      </c>
      <c r="D683">
        <v>2027072202</v>
      </c>
      <c r="E683" t="s">
        <v>824</v>
      </c>
      <c r="F683" t="s">
        <v>825</v>
      </c>
      <c r="G683" t="s">
        <v>51</v>
      </c>
      <c r="H683" t="s">
        <v>103</v>
      </c>
      <c r="I683" t="s">
        <v>53</v>
      </c>
      <c r="J683" t="s">
        <v>54</v>
      </c>
      <c r="K683">
        <v>816021</v>
      </c>
      <c r="L683" t="s">
        <v>104</v>
      </c>
      <c r="M683" t="s">
        <v>105</v>
      </c>
      <c r="N683" t="s">
        <v>57</v>
      </c>
      <c r="O683" s="1">
        <v>45703</v>
      </c>
      <c r="Q683" s="1">
        <v>46157</v>
      </c>
      <c r="R683" s="2">
        <v>18.2</v>
      </c>
      <c r="S683">
        <v>1</v>
      </c>
      <c r="T683" t="s">
        <v>58</v>
      </c>
      <c r="U683" t="s">
        <v>59</v>
      </c>
      <c r="V683" s="3">
        <v>0.15</v>
      </c>
      <c r="W683" s="2">
        <v>0</v>
      </c>
      <c r="X683">
        <v>0</v>
      </c>
      <c r="Y683" t="s">
        <v>536</v>
      </c>
      <c r="Z683" t="s">
        <v>61</v>
      </c>
      <c r="AA683">
        <v>0</v>
      </c>
      <c r="AB683" s="2">
        <v>0</v>
      </c>
      <c r="AC683" s="2">
        <v>0</v>
      </c>
      <c r="AD683" s="3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2.73</v>
      </c>
      <c r="AN683" s="2">
        <v>2.73</v>
      </c>
      <c r="AO683" s="2">
        <v>0</v>
      </c>
      <c r="AP683" s="2">
        <v>0</v>
      </c>
      <c r="AQ683" s="2">
        <v>0</v>
      </c>
    </row>
    <row r="684" spans="1:43" x14ac:dyDescent="0.3">
      <c r="A684" s="1">
        <v>46125</v>
      </c>
      <c r="B684" t="s">
        <v>48</v>
      </c>
      <c r="C684">
        <v>649163</v>
      </c>
      <c r="D684">
        <v>2027106748</v>
      </c>
      <c r="E684" t="s">
        <v>826</v>
      </c>
      <c r="F684" t="s">
        <v>401</v>
      </c>
      <c r="G684" t="s">
        <v>51</v>
      </c>
      <c r="H684" t="s">
        <v>80</v>
      </c>
      <c r="I684" t="s">
        <v>53</v>
      </c>
      <c r="J684" t="s">
        <v>54</v>
      </c>
      <c r="K684">
        <v>792847</v>
      </c>
      <c r="L684" t="s">
        <v>597</v>
      </c>
      <c r="M684" t="s">
        <v>599</v>
      </c>
      <c r="N684" t="s">
        <v>57</v>
      </c>
      <c r="O684" s="1">
        <v>45703</v>
      </c>
      <c r="Q684" s="1">
        <v>46157</v>
      </c>
      <c r="R684" s="2">
        <v>11.5</v>
      </c>
      <c r="S684">
        <v>1</v>
      </c>
      <c r="T684" t="s">
        <v>58</v>
      </c>
      <c r="U684" t="s">
        <v>59</v>
      </c>
      <c r="V684" s="3">
        <v>0.15</v>
      </c>
      <c r="W684" s="2">
        <v>0</v>
      </c>
      <c r="X684">
        <v>0</v>
      </c>
      <c r="Y684" t="s">
        <v>536</v>
      </c>
      <c r="Z684" t="s">
        <v>61</v>
      </c>
      <c r="AA684">
        <v>0</v>
      </c>
      <c r="AB684" s="2">
        <v>0</v>
      </c>
      <c r="AC684" s="2">
        <v>0</v>
      </c>
      <c r="AD684" s="3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1.72</v>
      </c>
      <c r="AN684" s="2">
        <v>1.72</v>
      </c>
      <c r="AO684" s="2">
        <v>0</v>
      </c>
      <c r="AP684" s="2">
        <v>0</v>
      </c>
      <c r="AQ684" s="2">
        <v>0</v>
      </c>
    </row>
    <row r="685" spans="1:43" x14ac:dyDescent="0.3">
      <c r="A685" s="1">
        <v>46125</v>
      </c>
      <c r="B685" t="s">
        <v>48</v>
      </c>
      <c r="C685">
        <v>649163</v>
      </c>
      <c r="D685">
        <v>2027115501</v>
      </c>
      <c r="E685" t="s">
        <v>583</v>
      </c>
      <c r="F685" t="s">
        <v>584</v>
      </c>
      <c r="G685" t="s">
        <v>51</v>
      </c>
      <c r="H685" t="s">
        <v>80</v>
      </c>
      <c r="I685" t="s">
        <v>53</v>
      </c>
      <c r="J685" t="s">
        <v>54</v>
      </c>
      <c r="K685">
        <v>768887</v>
      </c>
      <c r="L685" t="s">
        <v>425</v>
      </c>
      <c r="M685" t="s">
        <v>123</v>
      </c>
      <c r="N685" t="s">
        <v>57</v>
      </c>
      <c r="O685" s="1">
        <v>45703</v>
      </c>
      <c r="Q685" s="1">
        <v>46157</v>
      </c>
      <c r="R685" s="2">
        <v>41.44</v>
      </c>
      <c r="S685">
        <v>1</v>
      </c>
      <c r="T685" t="s">
        <v>58</v>
      </c>
      <c r="U685" t="s">
        <v>59</v>
      </c>
      <c r="V685" s="3">
        <v>0.15</v>
      </c>
      <c r="W685" s="2">
        <v>0</v>
      </c>
      <c r="X685">
        <v>0</v>
      </c>
      <c r="Y685" t="s">
        <v>536</v>
      </c>
      <c r="Z685" t="s">
        <v>61</v>
      </c>
      <c r="AA685">
        <v>0</v>
      </c>
      <c r="AB685" s="2">
        <v>0</v>
      </c>
      <c r="AC685" s="2">
        <v>0</v>
      </c>
      <c r="AD685" s="3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6.22</v>
      </c>
      <c r="AN685" s="2">
        <v>6.22</v>
      </c>
      <c r="AO685" s="2">
        <v>0</v>
      </c>
      <c r="AP685" s="2">
        <v>0</v>
      </c>
      <c r="AQ685" s="2">
        <v>0</v>
      </c>
    </row>
    <row r="686" spans="1:43" x14ac:dyDescent="0.3">
      <c r="A686" s="1">
        <v>46125</v>
      </c>
      <c r="B686" t="s">
        <v>48</v>
      </c>
      <c r="C686">
        <v>649163</v>
      </c>
      <c r="D686">
        <v>2027258064</v>
      </c>
      <c r="E686" t="s">
        <v>917</v>
      </c>
      <c r="F686" t="s">
        <v>918</v>
      </c>
      <c r="G686" t="s">
        <v>51</v>
      </c>
      <c r="H686" t="s">
        <v>52</v>
      </c>
      <c r="I686" t="s">
        <v>53</v>
      </c>
      <c r="J686" t="s">
        <v>54</v>
      </c>
      <c r="K686">
        <v>673059</v>
      </c>
      <c r="L686" t="s">
        <v>115</v>
      </c>
      <c r="M686" t="s">
        <v>116</v>
      </c>
      <c r="N686" t="s">
        <v>57</v>
      </c>
      <c r="O686" s="1">
        <v>45710</v>
      </c>
      <c r="Q686" s="1">
        <v>46134</v>
      </c>
      <c r="R686" s="2">
        <v>-1.37</v>
      </c>
      <c r="S686">
        <v>1</v>
      </c>
      <c r="T686" t="s">
        <v>58</v>
      </c>
      <c r="U686" t="s">
        <v>59</v>
      </c>
      <c r="V686" s="3">
        <v>0.15</v>
      </c>
      <c r="W686" s="2">
        <v>0</v>
      </c>
      <c r="X686">
        <v>-1</v>
      </c>
      <c r="Y686" t="s">
        <v>536</v>
      </c>
      <c r="Z686" t="s">
        <v>61</v>
      </c>
      <c r="AA686">
        <v>0</v>
      </c>
      <c r="AB686" s="2">
        <v>0</v>
      </c>
      <c r="AC686" s="2">
        <v>0</v>
      </c>
      <c r="AD686" s="3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-0.21</v>
      </c>
      <c r="AN686" s="2">
        <v>-0.21</v>
      </c>
      <c r="AO686" s="2">
        <v>0</v>
      </c>
      <c r="AP686" s="2">
        <v>0</v>
      </c>
      <c r="AQ686" s="2">
        <v>0</v>
      </c>
    </row>
    <row r="687" spans="1:43" x14ac:dyDescent="0.3">
      <c r="A687" s="1">
        <v>46125</v>
      </c>
      <c r="B687" t="s">
        <v>48</v>
      </c>
      <c r="C687">
        <v>649163</v>
      </c>
      <c r="D687">
        <v>2027706490</v>
      </c>
      <c r="E687" t="s">
        <v>830</v>
      </c>
      <c r="F687" t="s">
        <v>107</v>
      </c>
      <c r="G687" t="s">
        <v>51</v>
      </c>
      <c r="H687" t="s">
        <v>80</v>
      </c>
      <c r="I687" t="s">
        <v>53</v>
      </c>
      <c r="J687" t="s">
        <v>54</v>
      </c>
      <c r="K687">
        <v>768887</v>
      </c>
      <c r="L687" t="s">
        <v>425</v>
      </c>
      <c r="M687" t="s">
        <v>123</v>
      </c>
      <c r="N687" t="s">
        <v>57</v>
      </c>
      <c r="O687" s="1">
        <v>45727</v>
      </c>
      <c r="Q687" s="1">
        <v>46153</v>
      </c>
      <c r="R687" s="2">
        <v>145.41999999999999</v>
      </c>
      <c r="S687">
        <v>1</v>
      </c>
      <c r="T687" t="s">
        <v>58</v>
      </c>
      <c r="U687" t="s">
        <v>59</v>
      </c>
      <c r="V687" s="3">
        <v>0.15</v>
      </c>
      <c r="W687" s="2">
        <v>0</v>
      </c>
      <c r="X687">
        <v>0</v>
      </c>
      <c r="Y687" t="s">
        <v>536</v>
      </c>
      <c r="Z687" t="s">
        <v>61</v>
      </c>
      <c r="AA687">
        <v>0</v>
      </c>
      <c r="AB687" s="2">
        <v>0</v>
      </c>
      <c r="AC687" s="2">
        <v>0</v>
      </c>
      <c r="AD687" s="3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21.81</v>
      </c>
      <c r="AN687" s="2">
        <v>21.81</v>
      </c>
      <c r="AO687" s="2">
        <v>0</v>
      </c>
      <c r="AP687" s="2">
        <v>0</v>
      </c>
      <c r="AQ687" s="2">
        <v>0</v>
      </c>
    </row>
    <row r="688" spans="1:43" x14ac:dyDescent="0.3">
      <c r="A688" s="1">
        <v>46125</v>
      </c>
      <c r="B688" t="s">
        <v>48</v>
      </c>
      <c r="C688">
        <v>649163</v>
      </c>
      <c r="D688">
        <v>2027721564</v>
      </c>
      <c r="E688" t="s">
        <v>919</v>
      </c>
      <c r="F688" t="s">
        <v>920</v>
      </c>
      <c r="G688" t="s">
        <v>51</v>
      </c>
      <c r="H688" t="s">
        <v>80</v>
      </c>
      <c r="I688" t="s">
        <v>53</v>
      </c>
      <c r="J688" t="s">
        <v>54</v>
      </c>
      <c r="K688">
        <v>768887</v>
      </c>
      <c r="L688" t="s">
        <v>425</v>
      </c>
      <c r="M688" t="s">
        <v>123</v>
      </c>
      <c r="N688" t="s">
        <v>57</v>
      </c>
      <c r="O688" s="1">
        <v>45727</v>
      </c>
      <c r="Q688" s="1">
        <v>46153</v>
      </c>
      <c r="R688" s="2">
        <v>145.41999999999999</v>
      </c>
      <c r="S688">
        <v>1</v>
      </c>
      <c r="T688" t="s">
        <v>58</v>
      </c>
      <c r="U688" t="s">
        <v>59</v>
      </c>
      <c r="V688" s="3">
        <v>0.15</v>
      </c>
      <c r="W688" s="2">
        <v>0</v>
      </c>
      <c r="X688">
        <v>0</v>
      </c>
      <c r="Y688" t="s">
        <v>536</v>
      </c>
      <c r="Z688" t="s">
        <v>61</v>
      </c>
      <c r="AA688">
        <v>0</v>
      </c>
      <c r="AB688" s="2">
        <v>0</v>
      </c>
      <c r="AC688" s="2">
        <v>0</v>
      </c>
      <c r="AD688" s="3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21.81</v>
      </c>
      <c r="AN688" s="2">
        <v>21.81</v>
      </c>
      <c r="AO688" s="2">
        <v>0</v>
      </c>
      <c r="AP688" s="2">
        <v>0</v>
      </c>
      <c r="AQ688" s="2">
        <v>0</v>
      </c>
    </row>
    <row r="689" spans="1:43" x14ac:dyDescent="0.3">
      <c r="A689" s="1">
        <v>46125</v>
      </c>
      <c r="B689" t="s">
        <v>48</v>
      </c>
      <c r="C689">
        <v>649163</v>
      </c>
      <c r="D689">
        <v>2027729457</v>
      </c>
      <c r="E689" t="s">
        <v>831</v>
      </c>
      <c r="F689" t="s">
        <v>832</v>
      </c>
      <c r="G689" t="s">
        <v>51</v>
      </c>
      <c r="H689" t="s">
        <v>80</v>
      </c>
      <c r="I689" t="s">
        <v>53</v>
      </c>
      <c r="J689" t="s">
        <v>54</v>
      </c>
      <c r="K689">
        <v>812782</v>
      </c>
      <c r="L689" t="s">
        <v>224</v>
      </c>
      <c r="M689" t="s">
        <v>225</v>
      </c>
      <c r="N689" t="s">
        <v>57</v>
      </c>
      <c r="O689" s="1">
        <v>45728</v>
      </c>
      <c r="Q689" s="1">
        <v>46154</v>
      </c>
      <c r="R689" s="2">
        <v>15.75</v>
      </c>
      <c r="S689">
        <v>1</v>
      </c>
      <c r="T689" t="s">
        <v>58</v>
      </c>
      <c r="U689" t="s">
        <v>59</v>
      </c>
      <c r="V689" s="3">
        <v>0.15</v>
      </c>
      <c r="W689" s="2">
        <v>0</v>
      </c>
      <c r="X689">
        <v>0</v>
      </c>
      <c r="Y689" t="s">
        <v>536</v>
      </c>
      <c r="Z689" t="s">
        <v>61</v>
      </c>
      <c r="AA689">
        <v>0</v>
      </c>
      <c r="AB689" s="2">
        <v>0</v>
      </c>
      <c r="AC689" s="2">
        <v>0</v>
      </c>
      <c r="AD689" s="3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2.36</v>
      </c>
      <c r="AN689" s="2">
        <v>2.36</v>
      </c>
      <c r="AO689" s="2">
        <v>0</v>
      </c>
      <c r="AP689" s="2">
        <v>0</v>
      </c>
      <c r="AQ689" s="2">
        <v>0</v>
      </c>
    </row>
    <row r="690" spans="1:43" x14ac:dyDescent="0.3">
      <c r="A690" s="1">
        <v>46125</v>
      </c>
      <c r="B690" t="s">
        <v>48</v>
      </c>
      <c r="C690">
        <v>649163</v>
      </c>
      <c r="D690">
        <v>2027738389</v>
      </c>
      <c r="E690" t="s">
        <v>921</v>
      </c>
      <c r="F690" t="s">
        <v>922</v>
      </c>
      <c r="G690" t="s">
        <v>51</v>
      </c>
      <c r="H690" t="s">
        <v>295</v>
      </c>
      <c r="I690" t="s">
        <v>53</v>
      </c>
      <c r="J690" t="s">
        <v>54</v>
      </c>
      <c r="K690">
        <v>767312</v>
      </c>
      <c r="L690" t="s">
        <v>134</v>
      </c>
      <c r="M690" t="s">
        <v>98</v>
      </c>
      <c r="N690" t="s">
        <v>57</v>
      </c>
      <c r="O690" s="1">
        <v>45728</v>
      </c>
      <c r="Q690" s="1">
        <v>46154</v>
      </c>
      <c r="R690" s="2">
        <v>77.48</v>
      </c>
      <c r="S690">
        <v>1</v>
      </c>
      <c r="T690" t="s">
        <v>58</v>
      </c>
      <c r="U690" t="s">
        <v>59</v>
      </c>
      <c r="V690" s="3">
        <v>0.15</v>
      </c>
      <c r="W690" s="2">
        <v>0</v>
      </c>
      <c r="X690">
        <v>0</v>
      </c>
      <c r="Y690" t="s">
        <v>536</v>
      </c>
      <c r="Z690" t="s">
        <v>61</v>
      </c>
      <c r="AA690">
        <v>0</v>
      </c>
      <c r="AB690" s="2">
        <v>0</v>
      </c>
      <c r="AC690" s="2">
        <v>0</v>
      </c>
      <c r="AD690" s="3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11.62</v>
      </c>
      <c r="AN690" s="2">
        <v>11.62</v>
      </c>
      <c r="AO690" s="2">
        <v>0</v>
      </c>
      <c r="AP690" s="2">
        <v>0</v>
      </c>
      <c r="AQ690" s="2">
        <v>0</v>
      </c>
    </row>
    <row r="691" spans="1:43" x14ac:dyDescent="0.3">
      <c r="A691" s="1">
        <v>46125</v>
      </c>
      <c r="B691" t="s">
        <v>48</v>
      </c>
      <c r="C691">
        <v>649163</v>
      </c>
      <c r="D691">
        <v>2027738390</v>
      </c>
      <c r="E691" t="s">
        <v>921</v>
      </c>
      <c r="F691" t="s">
        <v>922</v>
      </c>
      <c r="G691" t="s">
        <v>51</v>
      </c>
      <c r="H691" t="s">
        <v>295</v>
      </c>
      <c r="I691" t="s">
        <v>53</v>
      </c>
      <c r="J691" t="s">
        <v>65</v>
      </c>
      <c r="K691">
        <v>767312</v>
      </c>
      <c r="L691" t="s">
        <v>134</v>
      </c>
      <c r="M691" t="s">
        <v>98</v>
      </c>
      <c r="N691" t="s">
        <v>57</v>
      </c>
      <c r="O691" s="1">
        <v>45728</v>
      </c>
      <c r="Q691" s="1">
        <v>46154</v>
      </c>
      <c r="R691" s="2">
        <v>30.83</v>
      </c>
      <c r="S691">
        <v>1</v>
      </c>
      <c r="T691" t="s">
        <v>58</v>
      </c>
      <c r="U691" t="s">
        <v>59</v>
      </c>
      <c r="V691" s="3">
        <v>0.1</v>
      </c>
      <c r="W691" s="2">
        <v>0</v>
      </c>
      <c r="X691">
        <v>0</v>
      </c>
      <c r="Y691" t="s">
        <v>536</v>
      </c>
      <c r="Z691" t="s">
        <v>61</v>
      </c>
      <c r="AA691">
        <v>0</v>
      </c>
      <c r="AB691" s="2">
        <v>0</v>
      </c>
      <c r="AC691" s="2">
        <v>0</v>
      </c>
      <c r="AD691" s="3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3.08</v>
      </c>
      <c r="AN691" s="2">
        <v>3.08</v>
      </c>
      <c r="AO691" s="2">
        <v>0</v>
      </c>
      <c r="AP691" s="2">
        <v>0</v>
      </c>
      <c r="AQ691" s="2">
        <v>0</v>
      </c>
    </row>
    <row r="692" spans="1:43" x14ac:dyDescent="0.3">
      <c r="A692" s="1">
        <v>46125</v>
      </c>
      <c r="B692" t="s">
        <v>48</v>
      </c>
      <c r="C692">
        <v>649163</v>
      </c>
      <c r="D692">
        <v>2027767677</v>
      </c>
      <c r="E692" t="s">
        <v>833</v>
      </c>
      <c r="F692" t="s">
        <v>834</v>
      </c>
      <c r="G692" t="s">
        <v>51</v>
      </c>
      <c r="H692" t="s">
        <v>75</v>
      </c>
      <c r="I692" t="s">
        <v>53</v>
      </c>
      <c r="J692" t="s">
        <v>54</v>
      </c>
      <c r="K692">
        <v>764123</v>
      </c>
      <c r="L692" t="s">
        <v>742</v>
      </c>
      <c r="M692" t="s">
        <v>743</v>
      </c>
      <c r="N692" t="s">
        <v>57</v>
      </c>
      <c r="O692" s="1">
        <v>45729</v>
      </c>
      <c r="Q692" s="1">
        <v>46155</v>
      </c>
      <c r="R692" s="2">
        <v>56.55</v>
      </c>
      <c r="S692">
        <v>1</v>
      </c>
      <c r="T692" t="s">
        <v>58</v>
      </c>
      <c r="U692" t="s">
        <v>59</v>
      </c>
      <c r="V692" s="3">
        <v>0.15</v>
      </c>
      <c r="W692" s="2">
        <v>0</v>
      </c>
      <c r="X692">
        <v>0</v>
      </c>
      <c r="Y692" t="s">
        <v>536</v>
      </c>
      <c r="Z692" t="s">
        <v>61</v>
      </c>
      <c r="AA692">
        <v>0</v>
      </c>
      <c r="AB692" s="2">
        <v>0</v>
      </c>
      <c r="AC692" s="2">
        <v>0</v>
      </c>
      <c r="AD692" s="3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8.48</v>
      </c>
      <c r="AN692" s="2">
        <v>8.48</v>
      </c>
      <c r="AO692" s="2">
        <v>0</v>
      </c>
      <c r="AP692" s="2">
        <v>0</v>
      </c>
      <c r="AQ692" s="2">
        <v>0</v>
      </c>
    </row>
    <row r="693" spans="1:43" x14ac:dyDescent="0.3">
      <c r="A693" s="1">
        <v>46125</v>
      </c>
      <c r="B693" t="s">
        <v>48</v>
      </c>
      <c r="C693">
        <v>649163</v>
      </c>
      <c r="D693">
        <v>2027849974</v>
      </c>
      <c r="E693" t="s">
        <v>758</v>
      </c>
      <c r="F693" t="s">
        <v>318</v>
      </c>
      <c r="G693" t="s">
        <v>51</v>
      </c>
      <c r="H693" t="s">
        <v>759</v>
      </c>
      <c r="I693" t="s">
        <v>53</v>
      </c>
      <c r="J693" t="s">
        <v>54</v>
      </c>
      <c r="K693">
        <v>650218</v>
      </c>
      <c r="L693" t="s">
        <v>544</v>
      </c>
      <c r="M693" t="s">
        <v>324</v>
      </c>
      <c r="N693" t="s">
        <v>57</v>
      </c>
      <c r="O693" s="1">
        <v>45733</v>
      </c>
      <c r="Q693" s="1">
        <v>46159</v>
      </c>
      <c r="R693" s="2">
        <v>50.96</v>
      </c>
      <c r="S693">
        <v>1</v>
      </c>
      <c r="T693" t="s">
        <v>58</v>
      </c>
      <c r="U693" t="s">
        <v>59</v>
      </c>
      <c r="V693" s="3">
        <v>0.15</v>
      </c>
      <c r="W693" s="2">
        <v>0</v>
      </c>
      <c r="X693">
        <v>0</v>
      </c>
      <c r="Y693" t="s">
        <v>536</v>
      </c>
      <c r="Z693" t="s">
        <v>61</v>
      </c>
      <c r="AA693">
        <v>0</v>
      </c>
      <c r="AB693" s="2">
        <v>0</v>
      </c>
      <c r="AC693" s="2">
        <v>0</v>
      </c>
      <c r="AD693" s="3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7.64</v>
      </c>
      <c r="AN693" s="2">
        <v>7.64</v>
      </c>
      <c r="AO693" s="2">
        <v>0</v>
      </c>
      <c r="AP693" s="2">
        <v>0</v>
      </c>
      <c r="AQ693" s="2">
        <v>0</v>
      </c>
    </row>
    <row r="694" spans="1:43" x14ac:dyDescent="0.3">
      <c r="A694" s="1">
        <v>46125</v>
      </c>
      <c r="B694" t="s">
        <v>48</v>
      </c>
      <c r="C694">
        <v>649163</v>
      </c>
      <c r="D694">
        <v>2028174266</v>
      </c>
      <c r="E694" t="s">
        <v>837</v>
      </c>
      <c r="F694" t="s">
        <v>838</v>
      </c>
      <c r="G694" t="s">
        <v>51</v>
      </c>
      <c r="H694" t="s">
        <v>80</v>
      </c>
      <c r="I694" t="s">
        <v>53</v>
      </c>
      <c r="J694" t="s">
        <v>54</v>
      </c>
      <c r="K694">
        <v>843573</v>
      </c>
      <c r="L694" t="s">
        <v>228</v>
      </c>
      <c r="M694" t="s">
        <v>229</v>
      </c>
      <c r="N694" t="s">
        <v>57</v>
      </c>
      <c r="O694" s="1">
        <v>45758</v>
      </c>
      <c r="Q694" s="1">
        <v>46153</v>
      </c>
      <c r="R694" s="2">
        <v>19</v>
      </c>
      <c r="S694">
        <v>1</v>
      </c>
      <c r="T694" t="s">
        <v>58</v>
      </c>
      <c r="U694" t="s">
        <v>59</v>
      </c>
      <c r="V694" s="3">
        <v>0.15</v>
      </c>
      <c r="W694" s="2">
        <v>0</v>
      </c>
      <c r="X694">
        <v>0</v>
      </c>
      <c r="Y694" t="s">
        <v>536</v>
      </c>
      <c r="Z694" t="s">
        <v>61</v>
      </c>
      <c r="AA694">
        <v>0</v>
      </c>
      <c r="AB694" s="2">
        <v>0</v>
      </c>
      <c r="AC694" s="2">
        <v>0</v>
      </c>
      <c r="AD694" s="3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2.85</v>
      </c>
      <c r="AN694" s="2">
        <v>2.85</v>
      </c>
      <c r="AO694" s="2">
        <v>0</v>
      </c>
      <c r="AP694" s="2">
        <v>0</v>
      </c>
      <c r="AQ694" s="2">
        <v>0</v>
      </c>
    </row>
    <row r="695" spans="1:43" x14ac:dyDescent="0.3">
      <c r="A695" s="1">
        <v>46125</v>
      </c>
      <c r="B695" t="s">
        <v>48</v>
      </c>
      <c r="C695">
        <v>649163</v>
      </c>
      <c r="D695">
        <v>2028367116</v>
      </c>
      <c r="E695" t="s">
        <v>586</v>
      </c>
      <c r="F695" t="s">
        <v>587</v>
      </c>
      <c r="G695" t="s">
        <v>51</v>
      </c>
      <c r="H695" t="s">
        <v>223</v>
      </c>
      <c r="I695" t="s">
        <v>53</v>
      </c>
      <c r="J695" t="s">
        <v>54</v>
      </c>
      <c r="K695">
        <v>673059</v>
      </c>
      <c r="L695" t="s">
        <v>115</v>
      </c>
      <c r="M695" t="s">
        <v>116</v>
      </c>
      <c r="N695" t="s">
        <v>57</v>
      </c>
      <c r="O695" s="1">
        <v>45759</v>
      </c>
      <c r="Q695" s="1">
        <v>46154</v>
      </c>
      <c r="R695" s="2">
        <v>63.95</v>
      </c>
      <c r="S695">
        <v>1</v>
      </c>
      <c r="T695" t="s">
        <v>58</v>
      </c>
      <c r="U695" t="s">
        <v>59</v>
      </c>
      <c r="V695" s="3">
        <v>0.15</v>
      </c>
      <c r="W695" s="2">
        <v>0</v>
      </c>
      <c r="X695">
        <v>0</v>
      </c>
      <c r="Y695" t="s">
        <v>536</v>
      </c>
      <c r="Z695" t="s">
        <v>61</v>
      </c>
      <c r="AA695">
        <v>0</v>
      </c>
      <c r="AB695" s="2">
        <v>0</v>
      </c>
      <c r="AC695" s="2">
        <v>0</v>
      </c>
      <c r="AD695" s="3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9.59</v>
      </c>
      <c r="AN695" s="2">
        <v>9.59</v>
      </c>
      <c r="AO695" s="2">
        <v>0</v>
      </c>
      <c r="AP695" s="2">
        <v>0</v>
      </c>
      <c r="AQ695" s="2">
        <v>0</v>
      </c>
    </row>
    <row r="696" spans="1:43" x14ac:dyDescent="0.3">
      <c r="A696" s="1">
        <v>46125</v>
      </c>
      <c r="B696" t="s">
        <v>48</v>
      </c>
      <c r="C696">
        <v>649163</v>
      </c>
      <c r="D696">
        <v>2028379892</v>
      </c>
      <c r="E696" t="s">
        <v>588</v>
      </c>
      <c r="F696" t="s">
        <v>589</v>
      </c>
      <c r="G696" t="s">
        <v>51</v>
      </c>
      <c r="H696" t="s">
        <v>70</v>
      </c>
      <c r="I696" t="s">
        <v>53</v>
      </c>
      <c r="J696" t="s">
        <v>54</v>
      </c>
      <c r="K696">
        <v>822865</v>
      </c>
      <c r="L696" t="s">
        <v>590</v>
      </c>
      <c r="M696" t="s">
        <v>591</v>
      </c>
      <c r="N696" t="s">
        <v>57</v>
      </c>
      <c r="O696" s="1">
        <v>45760</v>
      </c>
      <c r="Q696" s="1">
        <v>46155</v>
      </c>
      <c r="R696" s="2">
        <v>129.22</v>
      </c>
      <c r="S696">
        <v>1</v>
      </c>
      <c r="T696" t="s">
        <v>58</v>
      </c>
      <c r="U696" t="s">
        <v>59</v>
      </c>
      <c r="V696" s="3">
        <v>0.15</v>
      </c>
      <c r="W696" s="2">
        <v>0</v>
      </c>
      <c r="X696">
        <v>0</v>
      </c>
      <c r="Y696" t="s">
        <v>536</v>
      </c>
      <c r="Z696" t="s">
        <v>61</v>
      </c>
      <c r="AA696">
        <v>0</v>
      </c>
      <c r="AB696" s="2">
        <v>0</v>
      </c>
      <c r="AC696" s="2">
        <v>0</v>
      </c>
      <c r="AD696" s="3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19.38</v>
      </c>
      <c r="AN696" s="2">
        <v>19.38</v>
      </c>
      <c r="AO696" s="2">
        <v>0</v>
      </c>
      <c r="AP696" s="2">
        <v>0</v>
      </c>
      <c r="AQ696" s="2">
        <v>0</v>
      </c>
    </row>
    <row r="697" spans="1:43" x14ac:dyDescent="0.3">
      <c r="A697" s="1">
        <v>46125</v>
      </c>
      <c r="B697" t="s">
        <v>48</v>
      </c>
      <c r="C697">
        <v>649163</v>
      </c>
      <c r="D697">
        <v>2028782159</v>
      </c>
      <c r="E697" t="s">
        <v>923</v>
      </c>
      <c r="F697" t="s">
        <v>924</v>
      </c>
      <c r="G697" t="s">
        <v>51</v>
      </c>
      <c r="H697" t="s">
        <v>70</v>
      </c>
      <c r="I697" t="s">
        <v>53</v>
      </c>
      <c r="J697" t="s">
        <v>54</v>
      </c>
      <c r="K697">
        <v>822733</v>
      </c>
      <c r="L697" t="s">
        <v>219</v>
      </c>
      <c r="M697" t="s">
        <v>220</v>
      </c>
      <c r="N697" t="s">
        <v>57</v>
      </c>
      <c r="O697" s="1">
        <v>45792</v>
      </c>
      <c r="Q697" s="1">
        <v>46157</v>
      </c>
      <c r="R697" s="2">
        <v>48.76</v>
      </c>
      <c r="S697">
        <v>1</v>
      </c>
      <c r="T697" t="s">
        <v>58</v>
      </c>
      <c r="U697" t="s">
        <v>59</v>
      </c>
      <c r="V697" s="3">
        <v>0.7</v>
      </c>
      <c r="W697" s="2">
        <v>0</v>
      </c>
      <c r="X697">
        <v>0</v>
      </c>
      <c r="Y697" t="s">
        <v>60</v>
      </c>
      <c r="Z697" t="s">
        <v>61</v>
      </c>
      <c r="AA697">
        <v>0</v>
      </c>
      <c r="AB697" s="2">
        <v>0</v>
      </c>
      <c r="AC697" s="2">
        <v>0</v>
      </c>
      <c r="AD697" s="3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34.130000000000003</v>
      </c>
      <c r="AN697" s="2">
        <v>34.130000000000003</v>
      </c>
      <c r="AO697" s="2">
        <v>0</v>
      </c>
      <c r="AP697" s="2">
        <v>0</v>
      </c>
      <c r="AQ697" s="2">
        <v>0</v>
      </c>
    </row>
    <row r="698" spans="1:43" x14ac:dyDescent="0.3">
      <c r="A698" s="1">
        <v>46125</v>
      </c>
      <c r="B698" t="s">
        <v>48</v>
      </c>
      <c r="C698">
        <v>649163</v>
      </c>
      <c r="D698">
        <v>2028881458</v>
      </c>
      <c r="E698" t="s">
        <v>630</v>
      </c>
      <c r="F698" t="s">
        <v>925</v>
      </c>
      <c r="G698" t="s">
        <v>51</v>
      </c>
      <c r="H698" t="s">
        <v>80</v>
      </c>
      <c r="I698" t="s">
        <v>53</v>
      </c>
      <c r="J698" t="s">
        <v>54</v>
      </c>
      <c r="K698">
        <v>812656</v>
      </c>
      <c r="L698" t="s">
        <v>171</v>
      </c>
      <c r="M698" t="s">
        <v>172</v>
      </c>
      <c r="N698" t="s">
        <v>57</v>
      </c>
      <c r="O698" s="1">
        <v>45793</v>
      </c>
      <c r="Q698" s="1">
        <v>46158</v>
      </c>
      <c r="R698" s="2">
        <v>27.19</v>
      </c>
      <c r="S698">
        <v>1</v>
      </c>
      <c r="T698" t="s">
        <v>58</v>
      </c>
      <c r="U698" t="s">
        <v>59</v>
      </c>
      <c r="V698" s="3">
        <v>0.7</v>
      </c>
      <c r="W698" s="2">
        <v>0</v>
      </c>
      <c r="X698">
        <v>0</v>
      </c>
      <c r="Y698" t="s">
        <v>60</v>
      </c>
      <c r="Z698" t="s">
        <v>61</v>
      </c>
      <c r="AA698">
        <v>0</v>
      </c>
      <c r="AB698" s="2">
        <v>0</v>
      </c>
      <c r="AC698" s="2">
        <v>0</v>
      </c>
      <c r="AD698" s="3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19.03</v>
      </c>
      <c r="AN698" s="2">
        <v>19.03</v>
      </c>
      <c r="AO698" s="2">
        <v>0</v>
      </c>
      <c r="AP698" s="2">
        <v>0</v>
      </c>
      <c r="AQ698" s="2">
        <v>0</v>
      </c>
    </row>
    <row r="699" spans="1:43" x14ac:dyDescent="0.3">
      <c r="A699" s="1">
        <v>46125</v>
      </c>
      <c r="B699" t="s">
        <v>48</v>
      </c>
      <c r="C699">
        <v>649163</v>
      </c>
      <c r="D699">
        <v>2028912654</v>
      </c>
      <c r="E699" t="s">
        <v>926</v>
      </c>
      <c r="F699" t="s">
        <v>548</v>
      </c>
      <c r="G699" t="s">
        <v>51</v>
      </c>
      <c r="H699" t="s">
        <v>70</v>
      </c>
      <c r="I699" t="s">
        <v>53</v>
      </c>
      <c r="J699" t="s">
        <v>54</v>
      </c>
      <c r="K699">
        <v>823350</v>
      </c>
      <c r="L699" t="s">
        <v>120</v>
      </c>
      <c r="M699" t="s">
        <v>121</v>
      </c>
      <c r="N699" t="s">
        <v>57</v>
      </c>
      <c r="O699" s="1">
        <v>45791</v>
      </c>
      <c r="Q699" s="1">
        <v>46156</v>
      </c>
      <c r="R699" s="2">
        <v>150.66</v>
      </c>
      <c r="S699">
        <v>1</v>
      </c>
      <c r="T699" t="s">
        <v>58</v>
      </c>
      <c r="U699" t="s">
        <v>59</v>
      </c>
      <c r="V699" s="3">
        <v>0.7</v>
      </c>
      <c r="W699" s="2">
        <v>0</v>
      </c>
      <c r="X699">
        <v>0</v>
      </c>
      <c r="Y699" t="s">
        <v>60</v>
      </c>
      <c r="Z699" t="s">
        <v>61</v>
      </c>
      <c r="AA699">
        <v>0</v>
      </c>
      <c r="AB699" s="2">
        <v>0</v>
      </c>
      <c r="AC699" s="2">
        <v>0</v>
      </c>
      <c r="AD699" s="3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105.46</v>
      </c>
      <c r="AN699" s="2">
        <v>105.46</v>
      </c>
      <c r="AO699" s="2">
        <v>0</v>
      </c>
      <c r="AP699" s="2">
        <v>0</v>
      </c>
      <c r="AQ699" s="2">
        <v>0</v>
      </c>
    </row>
    <row r="700" spans="1:43" x14ac:dyDescent="0.3">
      <c r="A700" s="1">
        <v>46125</v>
      </c>
      <c r="B700" t="s">
        <v>48</v>
      </c>
      <c r="C700">
        <v>649163</v>
      </c>
      <c r="D700">
        <v>2028930864</v>
      </c>
      <c r="E700" t="s">
        <v>927</v>
      </c>
      <c r="F700" t="s">
        <v>928</v>
      </c>
      <c r="G700" t="s">
        <v>51</v>
      </c>
      <c r="H700" t="s">
        <v>75</v>
      </c>
      <c r="I700" t="s">
        <v>53</v>
      </c>
      <c r="J700" t="s">
        <v>54</v>
      </c>
      <c r="K700">
        <v>813184</v>
      </c>
      <c r="L700" t="s">
        <v>127</v>
      </c>
      <c r="M700" t="s">
        <v>128</v>
      </c>
      <c r="N700" t="s">
        <v>57</v>
      </c>
      <c r="O700" s="1">
        <v>45793</v>
      </c>
      <c r="Q700" s="1">
        <v>46158</v>
      </c>
      <c r="R700" s="2">
        <v>107.87</v>
      </c>
      <c r="S700">
        <v>1</v>
      </c>
      <c r="T700" t="s">
        <v>58</v>
      </c>
      <c r="U700" t="s">
        <v>59</v>
      </c>
      <c r="V700" s="3">
        <v>0.7</v>
      </c>
      <c r="W700" s="2">
        <v>0</v>
      </c>
      <c r="X700">
        <v>0</v>
      </c>
      <c r="Y700" t="s">
        <v>60</v>
      </c>
      <c r="Z700" t="s">
        <v>61</v>
      </c>
      <c r="AA700">
        <v>0</v>
      </c>
      <c r="AB700" s="2">
        <v>0</v>
      </c>
      <c r="AC700" s="2">
        <v>0</v>
      </c>
      <c r="AD700" s="3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75.510000000000005</v>
      </c>
      <c r="AN700" s="2">
        <v>75.510000000000005</v>
      </c>
      <c r="AO700" s="2">
        <v>0</v>
      </c>
      <c r="AP700" s="2">
        <v>0</v>
      </c>
      <c r="AQ700" s="2">
        <v>0</v>
      </c>
    </row>
    <row r="701" spans="1:43" x14ac:dyDescent="0.3">
      <c r="A701" s="1">
        <v>46125</v>
      </c>
      <c r="B701" t="s">
        <v>48</v>
      </c>
      <c r="C701">
        <v>649163</v>
      </c>
      <c r="D701">
        <v>2028931111</v>
      </c>
      <c r="E701" t="s">
        <v>929</v>
      </c>
      <c r="F701" t="s">
        <v>472</v>
      </c>
      <c r="G701" t="s">
        <v>51</v>
      </c>
      <c r="H701" t="s">
        <v>75</v>
      </c>
      <c r="I701" t="s">
        <v>53</v>
      </c>
      <c r="J701" t="s">
        <v>54</v>
      </c>
      <c r="K701">
        <v>813184</v>
      </c>
      <c r="L701" t="s">
        <v>127</v>
      </c>
      <c r="M701" t="s">
        <v>128</v>
      </c>
      <c r="N701" t="s">
        <v>57</v>
      </c>
      <c r="O701" s="1">
        <v>45793</v>
      </c>
      <c r="Q701" s="1">
        <v>46158</v>
      </c>
      <c r="R701" s="2">
        <v>107.87</v>
      </c>
      <c r="S701">
        <v>1</v>
      </c>
      <c r="T701" t="s">
        <v>58</v>
      </c>
      <c r="U701" t="s">
        <v>59</v>
      </c>
      <c r="V701" s="3">
        <v>0.7</v>
      </c>
      <c r="W701" s="2">
        <v>0</v>
      </c>
      <c r="X701">
        <v>0</v>
      </c>
      <c r="Y701" t="s">
        <v>60</v>
      </c>
      <c r="Z701" t="s">
        <v>61</v>
      </c>
      <c r="AA701">
        <v>0</v>
      </c>
      <c r="AB701" s="2">
        <v>0</v>
      </c>
      <c r="AC701" s="2">
        <v>0</v>
      </c>
      <c r="AD701" s="3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75.510000000000005</v>
      </c>
      <c r="AN701" s="2">
        <v>75.510000000000005</v>
      </c>
      <c r="AO701" s="2">
        <v>0</v>
      </c>
      <c r="AP701" s="2">
        <v>0</v>
      </c>
      <c r="AQ701" s="2">
        <v>0</v>
      </c>
    </row>
    <row r="702" spans="1:43" x14ac:dyDescent="0.3">
      <c r="A702" s="1">
        <v>46125</v>
      </c>
      <c r="B702" t="s">
        <v>48</v>
      </c>
      <c r="C702">
        <v>649163</v>
      </c>
      <c r="D702">
        <v>2028935095</v>
      </c>
      <c r="E702" t="s">
        <v>592</v>
      </c>
      <c r="F702" t="s">
        <v>593</v>
      </c>
      <c r="G702" t="s">
        <v>51</v>
      </c>
      <c r="H702" t="s">
        <v>52</v>
      </c>
      <c r="I702" t="s">
        <v>53</v>
      </c>
      <c r="J702" t="s">
        <v>54</v>
      </c>
      <c r="K702">
        <v>821015</v>
      </c>
      <c r="L702" t="s">
        <v>234</v>
      </c>
      <c r="M702" t="s">
        <v>235</v>
      </c>
      <c r="N702" t="s">
        <v>57</v>
      </c>
      <c r="O702" s="1">
        <v>45792</v>
      </c>
      <c r="Q702" s="1">
        <v>46157</v>
      </c>
      <c r="R702" s="2">
        <v>10.71</v>
      </c>
      <c r="S702">
        <v>1</v>
      </c>
      <c r="T702" t="s">
        <v>58</v>
      </c>
      <c r="U702" t="s">
        <v>59</v>
      </c>
      <c r="V702" s="3">
        <v>0.7</v>
      </c>
      <c r="W702" s="2">
        <v>0</v>
      </c>
      <c r="X702">
        <v>0</v>
      </c>
      <c r="Y702" t="s">
        <v>60</v>
      </c>
      <c r="Z702" t="s">
        <v>61</v>
      </c>
      <c r="AA702">
        <v>0</v>
      </c>
      <c r="AB702" s="2">
        <v>0</v>
      </c>
      <c r="AC702" s="2">
        <v>0</v>
      </c>
      <c r="AD702" s="3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7.5</v>
      </c>
      <c r="AN702" s="2">
        <v>7.5</v>
      </c>
      <c r="AO702" s="2">
        <v>0</v>
      </c>
      <c r="AP702" s="2">
        <v>0</v>
      </c>
      <c r="AQ702" s="2">
        <v>0</v>
      </c>
    </row>
    <row r="703" spans="1:43" x14ac:dyDescent="0.3">
      <c r="A703" s="1">
        <v>46125</v>
      </c>
      <c r="B703" t="s">
        <v>48</v>
      </c>
      <c r="C703">
        <v>649163</v>
      </c>
      <c r="D703">
        <v>2028937037</v>
      </c>
      <c r="E703" t="s">
        <v>930</v>
      </c>
      <c r="F703" t="s">
        <v>931</v>
      </c>
      <c r="G703" t="s">
        <v>51</v>
      </c>
      <c r="H703" t="s">
        <v>75</v>
      </c>
      <c r="I703" t="s">
        <v>53</v>
      </c>
      <c r="J703" t="s">
        <v>54</v>
      </c>
      <c r="K703">
        <v>813184</v>
      </c>
      <c r="L703" t="s">
        <v>127</v>
      </c>
      <c r="M703" t="s">
        <v>128</v>
      </c>
      <c r="N703" t="s">
        <v>57</v>
      </c>
      <c r="O703" s="1">
        <v>45793</v>
      </c>
      <c r="Q703" s="1">
        <v>46158</v>
      </c>
      <c r="R703" s="2">
        <v>107.87</v>
      </c>
      <c r="S703">
        <v>1</v>
      </c>
      <c r="T703" t="s">
        <v>58</v>
      </c>
      <c r="U703" t="s">
        <v>59</v>
      </c>
      <c r="V703" s="3">
        <v>0.7</v>
      </c>
      <c r="W703" s="2">
        <v>0</v>
      </c>
      <c r="X703">
        <v>0</v>
      </c>
      <c r="Y703" t="s">
        <v>60</v>
      </c>
      <c r="Z703" t="s">
        <v>61</v>
      </c>
      <c r="AA703">
        <v>0</v>
      </c>
      <c r="AB703" s="2">
        <v>0</v>
      </c>
      <c r="AC703" s="2">
        <v>0</v>
      </c>
      <c r="AD703" s="3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75.510000000000005</v>
      </c>
      <c r="AN703" s="2">
        <v>75.510000000000005</v>
      </c>
      <c r="AO703" s="2">
        <v>0</v>
      </c>
      <c r="AP703" s="2">
        <v>0</v>
      </c>
      <c r="AQ703" s="2">
        <v>0</v>
      </c>
    </row>
    <row r="704" spans="1:43" x14ac:dyDescent="0.3">
      <c r="A704" s="1">
        <v>46125</v>
      </c>
      <c r="B704" t="s">
        <v>48</v>
      </c>
      <c r="C704">
        <v>649163</v>
      </c>
      <c r="D704">
        <v>2028941657</v>
      </c>
      <c r="E704" t="s">
        <v>594</v>
      </c>
      <c r="F704" t="s">
        <v>595</v>
      </c>
      <c r="G704" t="s">
        <v>51</v>
      </c>
      <c r="H704" t="s">
        <v>75</v>
      </c>
      <c r="I704" t="s">
        <v>53</v>
      </c>
      <c r="J704" t="s">
        <v>54</v>
      </c>
      <c r="K704">
        <v>822723</v>
      </c>
      <c r="L704" t="s">
        <v>76</v>
      </c>
      <c r="M704" t="s">
        <v>77</v>
      </c>
      <c r="N704" t="s">
        <v>57</v>
      </c>
      <c r="O704" s="1">
        <v>45792</v>
      </c>
      <c r="Q704" s="1">
        <v>46157</v>
      </c>
      <c r="R704" s="2">
        <v>134.86000000000001</v>
      </c>
      <c r="S704">
        <v>1</v>
      </c>
      <c r="T704" t="s">
        <v>58</v>
      </c>
      <c r="U704" t="s">
        <v>59</v>
      </c>
      <c r="V704" s="3">
        <v>0.7</v>
      </c>
      <c r="W704" s="2">
        <v>0</v>
      </c>
      <c r="X704">
        <v>0</v>
      </c>
      <c r="Y704" t="s">
        <v>60</v>
      </c>
      <c r="Z704" t="s">
        <v>61</v>
      </c>
      <c r="AA704">
        <v>0</v>
      </c>
      <c r="AB704" s="2">
        <v>0</v>
      </c>
      <c r="AC704" s="2">
        <v>0</v>
      </c>
      <c r="AD704" s="3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94.4</v>
      </c>
      <c r="AN704" s="2">
        <v>94.4</v>
      </c>
      <c r="AO704" s="2">
        <v>0</v>
      </c>
      <c r="AP704" s="2">
        <v>0</v>
      </c>
      <c r="AQ704" s="2">
        <v>0</v>
      </c>
    </row>
    <row r="705" spans="1:43" x14ac:dyDescent="0.3">
      <c r="A705" s="1">
        <v>46125</v>
      </c>
      <c r="B705" t="s">
        <v>48</v>
      </c>
      <c r="C705">
        <v>649163</v>
      </c>
      <c r="D705">
        <v>2028942144</v>
      </c>
      <c r="E705" t="s">
        <v>932</v>
      </c>
      <c r="F705" t="s">
        <v>933</v>
      </c>
      <c r="G705" t="s">
        <v>51</v>
      </c>
      <c r="H705" t="s">
        <v>295</v>
      </c>
      <c r="I705" t="s">
        <v>53</v>
      </c>
      <c r="J705" t="s">
        <v>54</v>
      </c>
      <c r="K705">
        <v>820140</v>
      </c>
      <c r="L705" t="s">
        <v>686</v>
      </c>
      <c r="M705" t="s">
        <v>249</v>
      </c>
      <c r="N705" t="s">
        <v>57</v>
      </c>
      <c r="O705" s="1">
        <v>45792</v>
      </c>
      <c r="Q705" s="1">
        <v>46157</v>
      </c>
      <c r="R705" s="2">
        <v>31.6</v>
      </c>
      <c r="S705">
        <v>1</v>
      </c>
      <c r="T705" t="s">
        <v>58</v>
      </c>
      <c r="U705" t="s">
        <v>59</v>
      </c>
      <c r="V705" s="3">
        <v>0.3</v>
      </c>
      <c r="W705" s="2">
        <v>0</v>
      </c>
      <c r="X705">
        <v>0</v>
      </c>
      <c r="Y705" t="s">
        <v>60</v>
      </c>
      <c r="Z705" t="s">
        <v>61</v>
      </c>
      <c r="AA705">
        <v>0</v>
      </c>
      <c r="AB705" s="2">
        <v>0</v>
      </c>
      <c r="AC705" s="2">
        <v>0</v>
      </c>
      <c r="AD705" s="3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9.48</v>
      </c>
      <c r="AN705" s="2">
        <v>9.48</v>
      </c>
      <c r="AO705" s="2">
        <v>0</v>
      </c>
      <c r="AP705" s="2">
        <v>0</v>
      </c>
      <c r="AQ705" s="2">
        <v>0</v>
      </c>
    </row>
    <row r="706" spans="1:43" x14ac:dyDescent="0.3">
      <c r="A706" s="1">
        <v>46125</v>
      </c>
      <c r="B706" t="s">
        <v>48</v>
      </c>
      <c r="C706">
        <v>649163</v>
      </c>
      <c r="D706">
        <v>2028946855</v>
      </c>
      <c r="E706" t="s">
        <v>934</v>
      </c>
      <c r="F706" t="s">
        <v>935</v>
      </c>
      <c r="G706" t="s">
        <v>51</v>
      </c>
      <c r="H706" t="s">
        <v>75</v>
      </c>
      <c r="I706" t="s">
        <v>53</v>
      </c>
      <c r="J706" t="s">
        <v>54</v>
      </c>
      <c r="K706">
        <v>813184</v>
      </c>
      <c r="L706" t="s">
        <v>127</v>
      </c>
      <c r="M706" t="s">
        <v>128</v>
      </c>
      <c r="N706" t="s">
        <v>57</v>
      </c>
      <c r="O706" s="1">
        <v>45793</v>
      </c>
      <c r="Q706" s="1">
        <v>46158</v>
      </c>
      <c r="R706" s="2">
        <v>19</v>
      </c>
      <c r="S706">
        <v>1</v>
      </c>
      <c r="T706" t="s">
        <v>58</v>
      </c>
      <c r="U706" t="s">
        <v>59</v>
      </c>
      <c r="V706" s="3">
        <v>0.7</v>
      </c>
      <c r="W706" s="2">
        <v>0</v>
      </c>
      <c r="X706">
        <v>0</v>
      </c>
      <c r="Y706" t="s">
        <v>60</v>
      </c>
      <c r="Z706" t="s">
        <v>61</v>
      </c>
      <c r="AA706">
        <v>0</v>
      </c>
      <c r="AB706" s="2">
        <v>0</v>
      </c>
      <c r="AC706" s="2">
        <v>0</v>
      </c>
      <c r="AD706" s="3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13.3</v>
      </c>
      <c r="AN706" s="2">
        <v>13.3</v>
      </c>
      <c r="AO706" s="2">
        <v>0</v>
      </c>
      <c r="AP706" s="2">
        <v>0</v>
      </c>
      <c r="AQ706" s="2">
        <v>0</v>
      </c>
    </row>
    <row r="707" spans="1:43" x14ac:dyDescent="0.3">
      <c r="A707" s="1">
        <v>46125</v>
      </c>
      <c r="B707" t="s">
        <v>48</v>
      </c>
      <c r="C707">
        <v>649163</v>
      </c>
      <c r="D707">
        <v>2028958357</v>
      </c>
      <c r="E707" t="s">
        <v>596</v>
      </c>
      <c r="F707" t="s">
        <v>202</v>
      </c>
      <c r="G707" t="s">
        <v>51</v>
      </c>
      <c r="H707" t="s">
        <v>80</v>
      </c>
      <c r="I707" t="s">
        <v>53</v>
      </c>
      <c r="J707" t="s">
        <v>54</v>
      </c>
      <c r="K707">
        <v>673059</v>
      </c>
      <c r="L707" t="s">
        <v>115</v>
      </c>
      <c r="M707" t="s">
        <v>116</v>
      </c>
      <c r="N707" t="s">
        <v>57</v>
      </c>
      <c r="O707" s="1">
        <v>45793</v>
      </c>
      <c r="Q707" s="1">
        <v>46158</v>
      </c>
      <c r="R707" s="2">
        <v>118.33</v>
      </c>
      <c r="S707">
        <v>1</v>
      </c>
      <c r="T707" t="s">
        <v>58</v>
      </c>
      <c r="U707" t="s">
        <v>59</v>
      </c>
      <c r="V707" s="3">
        <v>0.7</v>
      </c>
      <c r="W707" s="2">
        <v>0</v>
      </c>
      <c r="X707">
        <v>0</v>
      </c>
      <c r="Y707" t="s">
        <v>60</v>
      </c>
      <c r="Z707" t="s">
        <v>61</v>
      </c>
      <c r="AA707">
        <v>0</v>
      </c>
      <c r="AB707" s="2">
        <v>0</v>
      </c>
      <c r="AC707" s="2">
        <v>0</v>
      </c>
      <c r="AD707" s="3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82.83</v>
      </c>
      <c r="AN707" s="2">
        <v>82.83</v>
      </c>
      <c r="AO707" s="2">
        <v>0</v>
      </c>
      <c r="AP707" s="2">
        <v>0</v>
      </c>
      <c r="AQ707" s="2">
        <v>0</v>
      </c>
    </row>
    <row r="708" spans="1:43" x14ac:dyDescent="0.3">
      <c r="A708" s="1">
        <v>46125</v>
      </c>
      <c r="B708" t="s">
        <v>48</v>
      </c>
      <c r="C708">
        <v>649163</v>
      </c>
      <c r="D708">
        <v>2028962513</v>
      </c>
      <c r="E708" t="s">
        <v>936</v>
      </c>
      <c r="F708" t="s">
        <v>937</v>
      </c>
      <c r="G708" t="s">
        <v>51</v>
      </c>
      <c r="H708" t="s">
        <v>52</v>
      </c>
      <c r="I708" t="s">
        <v>53</v>
      </c>
      <c r="J708" t="s">
        <v>54</v>
      </c>
      <c r="K708">
        <v>806645</v>
      </c>
      <c r="L708" t="s">
        <v>262</v>
      </c>
      <c r="M708" t="s">
        <v>263</v>
      </c>
      <c r="N708" t="s">
        <v>57</v>
      </c>
      <c r="O708" s="1">
        <v>45793</v>
      </c>
      <c r="Q708" s="1">
        <v>46158</v>
      </c>
      <c r="R708" s="2">
        <v>21.14</v>
      </c>
      <c r="S708">
        <v>1</v>
      </c>
      <c r="T708" t="s">
        <v>58</v>
      </c>
      <c r="U708" t="s">
        <v>59</v>
      </c>
      <c r="V708" s="3">
        <v>0.7</v>
      </c>
      <c r="W708" s="2">
        <v>0</v>
      </c>
      <c r="X708">
        <v>0</v>
      </c>
      <c r="Y708" t="s">
        <v>60</v>
      </c>
      <c r="Z708" t="s">
        <v>61</v>
      </c>
      <c r="AA708">
        <v>0</v>
      </c>
      <c r="AB708" s="2">
        <v>0</v>
      </c>
      <c r="AC708" s="2">
        <v>0</v>
      </c>
      <c r="AD708" s="3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14.8</v>
      </c>
      <c r="AN708" s="2">
        <v>14.8</v>
      </c>
      <c r="AO708" s="2">
        <v>0</v>
      </c>
      <c r="AP708" s="2">
        <v>0</v>
      </c>
      <c r="AQ708" s="2">
        <v>0</v>
      </c>
    </row>
    <row r="709" spans="1:43" x14ac:dyDescent="0.3">
      <c r="A709" s="1">
        <v>46125</v>
      </c>
      <c r="B709" t="s">
        <v>48</v>
      </c>
      <c r="C709">
        <v>649163</v>
      </c>
      <c r="D709">
        <v>2028963797</v>
      </c>
      <c r="E709" t="s">
        <v>844</v>
      </c>
      <c r="F709" t="s">
        <v>630</v>
      </c>
      <c r="G709" t="s">
        <v>51</v>
      </c>
      <c r="H709" t="s">
        <v>80</v>
      </c>
      <c r="I709" t="s">
        <v>53</v>
      </c>
      <c r="J709" t="s">
        <v>54</v>
      </c>
      <c r="K709">
        <v>806645</v>
      </c>
      <c r="L709" t="s">
        <v>262</v>
      </c>
      <c r="M709" t="s">
        <v>263</v>
      </c>
      <c r="N709" t="s">
        <v>57</v>
      </c>
      <c r="O709" s="1">
        <v>45793</v>
      </c>
      <c r="Q709" s="1">
        <v>46158</v>
      </c>
      <c r="R709" s="2">
        <v>11.5</v>
      </c>
      <c r="S709">
        <v>1</v>
      </c>
      <c r="T709" t="s">
        <v>58</v>
      </c>
      <c r="U709" t="s">
        <v>59</v>
      </c>
      <c r="V709" s="3">
        <v>0.7</v>
      </c>
      <c r="W709" s="2">
        <v>0</v>
      </c>
      <c r="X709">
        <v>0</v>
      </c>
      <c r="Y709" t="s">
        <v>60</v>
      </c>
      <c r="Z709" t="s">
        <v>61</v>
      </c>
      <c r="AA709">
        <v>0</v>
      </c>
      <c r="AB709" s="2">
        <v>0</v>
      </c>
      <c r="AC709" s="2">
        <v>0</v>
      </c>
      <c r="AD709" s="3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8.0500000000000007</v>
      </c>
      <c r="AN709" s="2">
        <v>8.0500000000000007</v>
      </c>
      <c r="AO709" s="2">
        <v>0</v>
      </c>
      <c r="AP709" s="2">
        <v>0</v>
      </c>
      <c r="AQ709" s="2">
        <v>0</v>
      </c>
    </row>
    <row r="710" spans="1:43" x14ac:dyDescent="0.3">
      <c r="A710" s="1">
        <v>46125</v>
      </c>
      <c r="B710" t="s">
        <v>48</v>
      </c>
      <c r="C710">
        <v>649163</v>
      </c>
      <c r="D710">
        <v>2028965776</v>
      </c>
      <c r="E710" t="s">
        <v>597</v>
      </c>
      <c r="F710" t="s">
        <v>598</v>
      </c>
      <c r="G710" t="s">
        <v>51</v>
      </c>
      <c r="H710" t="s">
        <v>80</v>
      </c>
      <c r="I710" t="s">
        <v>53</v>
      </c>
      <c r="J710" t="s">
        <v>54</v>
      </c>
      <c r="K710">
        <v>792847</v>
      </c>
      <c r="L710" t="s">
        <v>597</v>
      </c>
      <c r="M710" t="s">
        <v>599</v>
      </c>
      <c r="N710" t="s">
        <v>57</v>
      </c>
      <c r="O710" s="1">
        <v>45793</v>
      </c>
      <c r="Q710" s="1">
        <v>46158</v>
      </c>
      <c r="R710" s="2">
        <v>58.24</v>
      </c>
      <c r="S710">
        <v>1</v>
      </c>
      <c r="T710" t="s">
        <v>58</v>
      </c>
      <c r="U710" t="s">
        <v>59</v>
      </c>
      <c r="V710" s="3">
        <v>0.7</v>
      </c>
      <c r="W710" s="2">
        <v>0</v>
      </c>
      <c r="X710">
        <v>0</v>
      </c>
      <c r="Y710" t="s">
        <v>60</v>
      </c>
      <c r="Z710" t="s">
        <v>61</v>
      </c>
      <c r="AA710">
        <v>0</v>
      </c>
      <c r="AB710" s="2">
        <v>0</v>
      </c>
      <c r="AC710" s="2">
        <v>0</v>
      </c>
      <c r="AD710" s="3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40.770000000000003</v>
      </c>
      <c r="AN710" s="2">
        <v>40.770000000000003</v>
      </c>
      <c r="AO710" s="2">
        <v>0</v>
      </c>
      <c r="AP710" s="2">
        <v>0</v>
      </c>
      <c r="AQ710" s="2">
        <v>0</v>
      </c>
    </row>
    <row r="711" spans="1:43" x14ac:dyDescent="0.3">
      <c r="A711" s="1">
        <v>46125</v>
      </c>
      <c r="B711" t="s">
        <v>48</v>
      </c>
      <c r="C711">
        <v>649163</v>
      </c>
      <c r="D711">
        <v>2028965822</v>
      </c>
      <c r="E711" t="s">
        <v>938</v>
      </c>
      <c r="F711" t="s">
        <v>939</v>
      </c>
      <c r="G711" t="s">
        <v>51</v>
      </c>
      <c r="H711" t="s">
        <v>600</v>
      </c>
      <c r="I711" t="s">
        <v>53</v>
      </c>
      <c r="J711" t="s">
        <v>54</v>
      </c>
      <c r="K711">
        <v>792847</v>
      </c>
      <c r="L711" t="s">
        <v>597</v>
      </c>
      <c r="M711" t="s">
        <v>599</v>
      </c>
      <c r="N711" t="s">
        <v>57</v>
      </c>
      <c r="O711" s="1">
        <v>45793</v>
      </c>
      <c r="Q711" s="1">
        <v>46158</v>
      </c>
      <c r="R711" s="2">
        <v>34</v>
      </c>
      <c r="S711">
        <v>1</v>
      </c>
      <c r="T711" t="s">
        <v>58</v>
      </c>
      <c r="U711" t="s">
        <v>59</v>
      </c>
      <c r="V711" s="3">
        <v>0.7</v>
      </c>
      <c r="W711" s="2">
        <v>0</v>
      </c>
      <c r="X711">
        <v>0</v>
      </c>
      <c r="Y711" t="s">
        <v>60</v>
      </c>
      <c r="Z711" t="s">
        <v>61</v>
      </c>
      <c r="AA711">
        <v>0</v>
      </c>
      <c r="AB711" s="2">
        <v>0</v>
      </c>
      <c r="AC711" s="2">
        <v>0</v>
      </c>
      <c r="AD711" s="3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23.8</v>
      </c>
      <c r="AN711" s="2">
        <v>23.8</v>
      </c>
      <c r="AO711" s="2">
        <v>0</v>
      </c>
      <c r="AP711" s="2">
        <v>0</v>
      </c>
      <c r="AQ711" s="2">
        <v>0</v>
      </c>
    </row>
    <row r="712" spans="1:43" x14ac:dyDescent="0.3">
      <c r="A712" s="1">
        <v>46125</v>
      </c>
      <c r="B712" t="s">
        <v>48</v>
      </c>
      <c r="C712">
        <v>649163</v>
      </c>
      <c r="D712">
        <v>2028977072</v>
      </c>
      <c r="E712" t="s">
        <v>845</v>
      </c>
      <c r="F712" t="s">
        <v>314</v>
      </c>
      <c r="G712" t="s">
        <v>51</v>
      </c>
      <c r="H712" t="s">
        <v>126</v>
      </c>
      <c r="I712" t="s">
        <v>53</v>
      </c>
      <c r="J712" t="s">
        <v>54</v>
      </c>
      <c r="K712">
        <v>822865</v>
      </c>
      <c r="L712" t="s">
        <v>590</v>
      </c>
      <c r="M712" t="s">
        <v>591</v>
      </c>
      <c r="N712" t="s">
        <v>57</v>
      </c>
      <c r="O712" s="1">
        <v>45794</v>
      </c>
      <c r="Q712" s="1">
        <v>46159</v>
      </c>
      <c r="R712" s="2">
        <v>50.6</v>
      </c>
      <c r="S712">
        <v>1</v>
      </c>
      <c r="T712" t="s">
        <v>58</v>
      </c>
      <c r="U712" t="s">
        <v>59</v>
      </c>
      <c r="V712" s="3">
        <v>0.7</v>
      </c>
      <c r="W712" s="2">
        <v>0</v>
      </c>
      <c r="X712">
        <v>0</v>
      </c>
      <c r="Y712" t="s">
        <v>60</v>
      </c>
      <c r="Z712" t="s">
        <v>61</v>
      </c>
      <c r="AA712">
        <v>0</v>
      </c>
      <c r="AB712" s="2">
        <v>0</v>
      </c>
      <c r="AC712" s="2">
        <v>0</v>
      </c>
      <c r="AD712" s="3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35.42</v>
      </c>
      <c r="AN712" s="2">
        <v>35.42</v>
      </c>
      <c r="AO712" s="2">
        <v>0</v>
      </c>
      <c r="AP712" s="2">
        <v>0</v>
      </c>
      <c r="AQ712" s="2">
        <v>0</v>
      </c>
    </row>
    <row r="713" spans="1:43" x14ac:dyDescent="0.3">
      <c r="A713" s="1">
        <v>46125</v>
      </c>
      <c r="B713" t="s">
        <v>48</v>
      </c>
      <c r="C713">
        <v>649163</v>
      </c>
      <c r="D713">
        <v>2029174126</v>
      </c>
      <c r="E713" t="s">
        <v>940</v>
      </c>
      <c r="F713" t="s">
        <v>941</v>
      </c>
      <c r="G713" t="s">
        <v>51</v>
      </c>
      <c r="H713" t="s">
        <v>93</v>
      </c>
      <c r="I713" t="s">
        <v>53</v>
      </c>
      <c r="J713" t="s">
        <v>65</v>
      </c>
      <c r="K713">
        <v>652037</v>
      </c>
      <c r="L713" t="s">
        <v>164</v>
      </c>
      <c r="M713" t="s">
        <v>165</v>
      </c>
      <c r="N713" t="s">
        <v>57</v>
      </c>
      <c r="O713" s="1">
        <v>45809</v>
      </c>
      <c r="Q713" s="1">
        <v>46174</v>
      </c>
      <c r="R713" s="2">
        <v>41.88</v>
      </c>
      <c r="S713">
        <v>1</v>
      </c>
      <c r="T713" t="s">
        <v>58</v>
      </c>
      <c r="U713" t="s">
        <v>59</v>
      </c>
      <c r="V713" s="3">
        <v>0.9</v>
      </c>
      <c r="W713" s="2">
        <v>0</v>
      </c>
      <c r="X713">
        <v>0</v>
      </c>
      <c r="Y713" t="s">
        <v>60</v>
      </c>
      <c r="Z713" t="s">
        <v>61</v>
      </c>
      <c r="AA713">
        <v>0</v>
      </c>
      <c r="AB713" s="2">
        <v>0</v>
      </c>
      <c r="AC713" s="2">
        <v>0</v>
      </c>
      <c r="AD713" s="3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37.69</v>
      </c>
      <c r="AN713" s="2">
        <v>37.69</v>
      </c>
      <c r="AO713" s="2">
        <v>0</v>
      </c>
      <c r="AP713" s="2">
        <v>0</v>
      </c>
      <c r="AQ713" s="2">
        <v>0</v>
      </c>
    </row>
    <row r="714" spans="1:43" x14ac:dyDescent="0.3">
      <c r="A714" s="1">
        <v>46125</v>
      </c>
      <c r="B714" t="s">
        <v>48</v>
      </c>
      <c r="C714">
        <v>649163</v>
      </c>
      <c r="D714">
        <v>2029185272</v>
      </c>
      <c r="E714" t="s">
        <v>601</v>
      </c>
      <c r="F714" t="s">
        <v>468</v>
      </c>
      <c r="G714" t="s">
        <v>51</v>
      </c>
      <c r="H714" t="s">
        <v>457</v>
      </c>
      <c r="I714" t="s">
        <v>53</v>
      </c>
      <c r="J714" t="s">
        <v>54</v>
      </c>
      <c r="K714">
        <v>673059</v>
      </c>
      <c r="L714" t="s">
        <v>115</v>
      </c>
      <c r="M714" t="s">
        <v>116</v>
      </c>
      <c r="N714" t="s">
        <v>57</v>
      </c>
      <c r="O714" s="1">
        <v>45825</v>
      </c>
      <c r="Q714" s="1">
        <v>46159</v>
      </c>
      <c r="R714" s="2">
        <v>10.82</v>
      </c>
      <c r="S714">
        <v>1</v>
      </c>
      <c r="T714" t="s">
        <v>58</v>
      </c>
      <c r="U714" t="s">
        <v>59</v>
      </c>
      <c r="V714" s="3">
        <v>0.7</v>
      </c>
      <c r="W714" s="2">
        <v>0</v>
      </c>
      <c r="X714">
        <v>0</v>
      </c>
      <c r="Y714" t="s">
        <v>60</v>
      </c>
      <c r="Z714" t="s">
        <v>61</v>
      </c>
      <c r="AA714">
        <v>0</v>
      </c>
      <c r="AB714" s="2">
        <v>0</v>
      </c>
      <c r="AC714" s="2">
        <v>0</v>
      </c>
      <c r="AD714" s="3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7.57</v>
      </c>
      <c r="AN714" s="2">
        <v>7.57</v>
      </c>
      <c r="AO714" s="2">
        <v>0</v>
      </c>
      <c r="AP714" s="2">
        <v>0</v>
      </c>
      <c r="AQ714" s="2">
        <v>0</v>
      </c>
    </row>
    <row r="715" spans="1:43" x14ac:dyDescent="0.3">
      <c r="A715" s="1">
        <v>46125</v>
      </c>
      <c r="B715" t="s">
        <v>48</v>
      </c>
      <c r="C715">
        <v>649163</v>
      </c>
      <c r="D715">
        <v>2029378057</v>
      </c>
      <c r="E715" t="s">
        <v>449</v>
      </c>
      <c r="F715" t="s">
        <v>847</v>
      </c>
      <c r="G715" t="s">
        <v>51</v>
      </c>
      <c r="H715" t="s">
        <v>70</v>
      </c>
      <c r="I715" t="s">
        <v>53</v>
      </c>
      <c r="J715" t="s">
        <v>54</v>
      </c>
      <c r="K715">
        <v>823350</v>
      </c>
      <c r="L715" t="s">
        <v>120</v>
      </c>
      <c r="M715" t="s">
        <v>121</v>
      </c>
      <c r="N715" t="s">
        <v>57</v>
      </c>
      <c r="O715" s="1">
        <v>45820</v>
      </c>
      <c r="Q715" s="1">
        <v>46154</v>
      </c>
      <c r="R715" s="2">
        <v>261</v>
      </c>
      <c r="S715">
        <v>1</v>
      </c>
      <c r="T715" t="s">
        <v>58</v>
      </c>
      <c r="U715" t="s">
        <v>59</v>
      </c>
      <c r="V715" s="3">
        <v>0.7</v>
      </c>
      <c r="W715" s="2">
        <v>0</v>
      </c>
      <c r="X715">
        <v>0</v>
      </c>
      <c r="Y715" t="s">
        <v>60</v>
      </c>
      <c r="Z715" t="s">
        <v>61</v>
      </c>
      <c r="AA715">
        <v>0</v>
      </c>
      <c r="AB715" s="2">
        <v>0</v>
      </c>
      <c r="AC715" s="2">
        <v>0</v>
      </c>
      <c r="AD715" s="3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182.7</v>
      </c>
      <c r="AN715" s="2">
        <v>182.7</v>
      </c>
      <c r="AO715" s="2">
        <v>0</v>
      </c>
      <c r="AP715" s="2">
        <v>0</v>
      </c>
      <c r="AQ715" s="2">
        <v>0</v>
      </c>
    </row>
    <row r="716" spans="1:43" x14ac:dyDescent="0.3">
      <c r="A716" s="1">
        <v>46125</v>
      </c>
      <c r="B716" t="s">
        <v>48</v>
      </c>
      <c r="C716">
        <v>649163</v>
      </c>
      <c r="D716">
        <v>2029378058</v>
      </c>
      <c r="E716" t="s">
        <v>449</v>
      </c>
      <c r="F716" t="s">
        <v>847</v>
      </c>
      <c r="G716" t="s">
        <v>51</v>
      </c>
      <c r="H716" t="s">
        <v>70</v>
      </c>
      <c r="I716" t="s">
        <v>53</v>
      </c>
      <c r="J716" t="s">
        <v>65</v>
      </c>
      <c r="K716">
        <v>823350</v>
      </c>
      <c r="L716" t="s">
        <v>120</v>
      </c>
      <c r="M716" t="s">
        <v>121</v>
      </c>
      <c r="N716" t="s">
        <v>57</v>
      </c>
      <c r="O716" s="1">
        <v>45820</v>
      </c>
      <c r="Q716" s="1">
        <v>46154</v>
      </c>
      <c r="R716" s="2">
        <v>103.75</v>
      </c>
      <c r="S716">
        <v>1</v>
      </c>
      <c r="T716" t="s">
        <v>58</v>
      </c>
      <c r="U716" t="s">
        <v>59</v>
      </c>
      <c r="V716" s="3">
        <v>0.9</v>
      </c>
      <c r="W716" s="2">
        <v>0</v>
      </c>
      <c r="X716">
        <v>0</v>
      </c>
      <c r="Y716" t="s">
        <v>60</v>
      </c>
      <c r="Z716" t="s">
        <v>61</v>
      </c>
      <c r="AA716">
        <v>0</v>
      </c>
      <c r="AB716" s="2">
        <v>0</v>
      </c>
      <c r="AC716" s="2">
        <v>0</v>
      </c>
      <c r="AD716" s="3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93.38</v>
      </c>
      <c r="AN716" s="2">
        <v>93.38</v>
      </c>
      <c r="AO716" s="2">
        <v>0</v>
      </c>
      <c r="AP716" s="2">
        <v>0</v>
      </c>
      <c r="AQ716" s="2">
        <v>0</v>
      </c>
    </row>
    <row r="717" spans="1:43" x14ac:dyDescent="0.3">
      <c r="A717" s="1">
        <v>46125</v>
      </c>
      <c r="B717" t="s">
        <v>48</v>
      </c>
      <c r="C717">
        <v>649163</v>
      </c>
      <c r="D717">
        <v>2029398822</v>
      </c>
      <c r="E717" t="s">
        <v>942</v>
      </c>
      <c r="F717" t="s">
        <v>320</v>
      </c>
      <c r="G717" t="s">
        <v>51</v>
      </c>
      <c r="H717" t="s">
        <v>612</v>
      </c>
      <c r="I717" t="s">
        <v>53</v>
      </c>
      <c r="J717" t="s">
        <v>94</v>
      </c>
      <c r="K717">
        <v>856824</v>
      </c>
      <c r="L717" t="s">
        <v>71</v>
      </c>
      <c r="M717" t="s">
        <v>72</v>
      </c>
      <c r="N717" t="s">
        <v>57</v>
      </c>
      <c r="O717" s="1">
        <v>45819</v>
      </c>
      <c r="Q717" s="1">
        <v>46153</v>
      </c>
      <c r="R717" s="2">
        <v>12.83</v>
      </c>
      <c r="S717">
        <v>1</v>
      </c>
      <c r="T717" t="s">
        <v>58</v>
      </c>
      <c r="U717" t="s">
        <v>59</v>
      </c>
      <c r="V717" s="3">
        <v>0.42</v>
      </c>
      <c r="W717" s="2">
        <v>0</v>
      </c>
      <c r="X717">
        <v>0</v>
      </c>
      <c r="Y717" t="s">
        <v>60</v>
      </c>
      <c r="Z717" t="s">
        <v>61</v>
      </c>
      <c r="AA717">
        <v>0</v>
      </c>
      <c r="AB717" s="2">
        <v>0</v>
      </c>
      <c r="AC717" s="2">
        <v>0</v>
      </c>
      <c r="AD717" s="3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5.39</v>
      </c>
      <c r="AN717" s="2">
        <v>5.39</v>
      </c>
      <c r="AO717" s="2">
        <v>0</v>
      </c>
      <c r="AP717" s="2">
        <v>0</v>
      </c>
      <c r="AQ717" s="2">
        <v>0</v>
      </c>
    </row>
    <row r="718" spans="1:43" x14ac:dyDescent="0.3">
      <c r="A718" s="1">
        <v>46125</v>
      </c>
      <c r="B718" t="s">
        <v>48</v>
      </c>
      <c r="C718">
        <v>649163</v>
      </c>
      <c r="D718">
        <v>2029402295</v>
      </c>
      <c r="E718" t="s">
        <v>943</v>
      </c>
      <c r="F718" t="s">
        <v>944</v>
      </c>
      <c r="G718" t="s">
        <v>51</v>
      </c>
      <c r="H718" t="s">
        <v>80</v>
      </c>
      <c r="I718" t="s">
        <v>53</v>
      </c>
      <c r="J718" t="s">
        <v>54</v>
      </c>
      <c r="K718">
        <v>843573</v>
      </c>
      <c r="L718" t="s">
        <v>228</v>
      </c>
      <c r="M718" t="s">
        <v>229</v>
      </c>
      <c r="N718" t="s">
        <v>57</v>
      </c>
      <c r="O718" s="1">
        <v>45821</v>
      </c>
      <c r="Q718" s="1">
        <v>46155</v>
      </c>
      <c r="R718" s="2">
        <v>42.38</v>
      </c>
      <c r="S718">
        <v>1</v>
      </c>
      <c r="T718" t="s">
        <v>58</v>
      </c>
      <c r="U718" t="s">
        <v>59</v>
      </c>
      <c r="V718" s="3">
        <v>0.7</v>
      </c>
      <c r="W718" s="2">
        <v>0</v>
      </c>
      <c r="X718">
        <v>0</v>
      </c>
      <c r="Y718" t="s">
        <v>60</v>
      </c>
      <c r="Z718" t="s">
        <v>61</v>
      </c>
      <c r="AA718">
        <v>0</v>
      </c>
      <c r="AB718" s="2">
        <v>0</v>
      </c>
      <c r="AC718" s="2">
        <v>0</v>
      </c>
      <c r="AD718" s="3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29.67</v>
      </c>
      <c r="AN718" s="2">
        <v>29.67</v>
      </c>
      <c r="AO718" s="2">
        <v>0</v>
      </c>
      <c r="AP718" s="2">
        <v>0</v>
      </c>
      <c r="AQ718" s="2">
        <v>0</v>
      </c>
    </row>
    <row r="719" spans="1:43" x14ac:dyDescent="0.3">
      <c r="A719" s="1">
        <v>46125</v>
      </c>
      <c r="B719" t="s">
        <v>48</v>
      </c>
      <c r="C719">
        <v>649163</v>
      </c>
      <c r="D719">
        <v>2029432398</v>
      </c>
      <c r="E719" t="s">
        <v>945</v>
      </c>
      <c r="F719" t="s">
        <v>946</v>
      </c>
      <c r="G719" t="s">
        <v>51</v>
      </c>
      <c r="H719" t="s">
        <v>80</v>
      </c>
      <c r="I719" t="s">
        <v>53</v>
      </c>
      <c r="J719" t="s">
        <v>54</v>
      </c>
      <c r="K719">
        <v>807212</v>
      </c>
      <c r="L719" t="s">
        <v>89</v>
      </c>
      <c r="M719" t="s">
        <v>90</v>
      </c>
      <c r="N719" t="s">
        <v>57</v>
      </c>
      <c r="O719" s="1">
        <v>45821</v>
      </c>
      <c r="Q719" s="1">
        <v>46155</v>
      </c>
      <c r="R719" s="2">
        <v>19</v>
      </c>
      <c r="S719">
        <v>1</v>
      </c>
      <c r="T719" t="s">
        <v>58</v>
      </c>
      <c r="U719" t="s">
        <v>59</v>
      </c>
      <c r="V719" s="3">
        <v>0.7</v>
      </c>
      <c r="W719" s="2">
        <v>0</v>
      </c>
      <c r="X719">
        <v>0</v>
      </c>
      <c r="Y719" t="s">
        <v>60</v>
      </c>
      <c r="Z719" t="s">
        <v>61</v>
      </c>
      <c r="AA719">
        <v>0</v>
      </c>
      <c r="AB719" s="2">
        <v>0</v>
      </c>
      <c r="AC719" s="2">
        <v>0</v>
      </c>
      <c r="AD719" s="3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13.3</v>
      </c>
      <c r="AN719" s="2">
        <v>13.3</v>
      </c>
      <c r="AO719" s="2">
        <v>0</v>
      </c>
      <c r="AP719" s="2">
        <v>0</v>
      </c>
      <c r="AQ719" s="2">
        <v>0</v>
      </c>
    </row>
    <row r="720" spans="1:43" x14ac:dyDescent="0.3">
      <c r="A720" s="1">
        <v>46125</v>
      </c>
      <c r="B720" t="s">
        <v>48</v>
      </c>
      <c r="C720">
        <v>649163</v>
      </c>
      <c r="D720">
        <v>2029434655</v>
      </c>
      <c r="E720" t="s">
        <v>947</v>
      </c>
      <c r="F720" t="s">
        <v>453</v>
      </c>
      <c r="G720" t="s">
        <v>51</v>
      </c>
      <c r="H720" t="s">
        <v>52</v>
      </c>
      <c r="I720" t="s">
        <v>53</v>
      </c>
      <c r="J720" t="s">
        <v>54</v>
      </c>
      <c r="K720">
        <v>812782</v>
      </c>
      <c r="L720" t="s">
        <v>224</v>
      </c>
      <c r="M720" t="s">
        <v>225</v>
      </c>
      <c r="N720" t="s">
        <v>57</v>
      </c>
      <c r="O720" s="1">
        <v>45821</v>
      </c>
      <c r="Q720" s="1">
        <v>46155</v>
      </c>
      <c r="R720" s="2">
        <v>83.79</v>
      </c>
      <c r="S720">
        <v>1</v>
      </c>
      <c r="T720" t="s">
        <v>58</v>
      </c>
      <c r="U720" t="s">
        <v>59</v>
      </c>
      <c r="V720" s="3">
        <v>0.7</v>
      </c>
      <c r="W720" s="2">
        <v>0</v>
      </c>
      <c r="X720">
        <v>0</v>
      </c>
      <c r="Y720" t="s">
        <v>60</v>
      </c>
      <c r="Z720" t="s">
        <v>61</v>
      </c>
      <c r="AA720">
        <v>0</v>
      </c>
      <c r="AB720" s="2">
        <v>0</v>
      </c>
      <c r="AC720" s="2">
        <v>0</v>
      </c>
      <c r="AD720" s="3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58.65</v>
      </c>
      <c r="AN720" s="2">
        <v>58.65</v>
      </c>
      <c r="AO720" s="2">
        <v>0</v>
      </c>
      <c r="AP720" s="2">
        <v>0</v>
      </c>
      <c r="AQ720" s="2">
        <v>0</v>
      </c>
    </row>
    <row r="721" spans="1:43" x14ac:dyDescent="0.3">
      <c r="A721" s="1">
        <v>46125</v>
      </c>
      <c r="B721" t="s">
        <v>48</v>
      </c>
      <c r="C721">
        <v>649163</v>
      </c>
      <c r="D721">
        <v>2029481266</v>
      </c>
      <c r="E721" t="s">
        <v>850</v>
      </c>
      <c r="F721" t="s">
        <v>851</v>
      </c>
      <c r="G721" t="s">
        <v>51</v>
      </c>
      <c r="H721" t="s">
        <v>64</v>
      </c>
      <c r="I721" t="s">
        <v>53</v>
      </c>
      <c r="J721" t="s">
        <v>54</v>
      </c>
      <c r="K721">
        <v>877790</v>
      </c>
      <c r="L721" t="s">
        <v>66</v>
      </c>
      <c r="M721" t="s">
        <v>67</v>
      </c>
      <c r="N721" t="s">
        <v>57</v>
      </c>
      <c r="O721" s="1">
        <v>45825</v>
      </c>
      <c r="Q721" s="1">
        <v>46159</v>
      </c>
      <c r="R721" s="2">
        <v>3.52</v>
      </c>
      <c r="S721">
        <v>1</v>
      </c>
      <c r="T721" t="s">
        <v>58</v>
      </c>
      <c r="U721" t="s">
        <v>59</v>
      </c>
      <c r="V721" s="3">
        <v>0.7</v>
      </c>
      <c r="W721" s="2">
        <v>0</v>
      </c>
      <c r="X721">
        <v>0</v>
      </c>
      <c r="Y721" t="s">
        <v>60</v>
      </c>
      <c r="Z721" t="s">
        <v>61</v>
      </c>
      <c r="AA721">
        <v>0</v>
      </c>
      <c r="AB721" s="2">
        <v>0</v>
      </c>
      <c r="AC721" s="2">
        <v>0</v>
      </c>
      <c r="AD721" s="3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2.46</v>
      </c>
      <c r="AN721" s="2">
        <v>2.46</v>
      </c>
      <c r="AO721" s="2">
        <v>0</v>
      </c>
      <c r="AP721" s="2">
        <v>0</v>
      </c>
      <c r="AQ721" s="2">
        <v>0</v>
      </c>
    </row>
    <row r="722" spans="1:43" x14ac:dyDescent="0.3">
      <c r="A722" s="1">
        <v>46125</v>
      </c>
      <c r="B722" t="s">
        <v>48</v>
      </c>
      <c r="C722">
        <v>649163</v>
      </c>
      <c r="D722">
        <v>2029488849</v>
      </c>
      <c r="E722" t="s">
        <v>948</v>
      </c>
      <c r="F722" t="s">
        <v>949</v>
      </c>
      <c r="G722" t="s">
        <v>51</v>
      </c>
      <c r="H722" t="s">
        <v>80</v>
      </c>
      <c r="I722" t="s">
        <v>53</v>
      </c>
      <c r="J722" t="s">
        <v>65</v>
      </c>
      <c r="K722">
        <v>807212</v>
      </c>
      <c r="L722" t="s">
        <v>89</v>
      </c>
      <c r="M722" t="s">
        <v>90</v>
      </c>
      <c r="N722" t="s">
        <v>57</v>
      </c>
      <c r="O722" s="1">
        <v>45825</v>
      </c>
      <c r="Q722" s="1">
        <v>46159</v>
      </c>
      <c r="R722" s="2">
        <v>21.6</v>
      </c>
      <c r="S722">
        <v>1</v>
      </c>
      <c r="T722" t="s">
        <v>58</v>
      </c>
      <c r="U722" t="s">
        <v>59</v>
      </c>
      <c r="V722" s="3">
        <v>0.9</v>
      </c>
      <c r="W722" s="2">
        <v>0</v>
      </c>
      <c r="X722">
        <v>0</v>
      </c>
      <c r="Y722" t="s">
        <v>60</v>
      </c>
      <c r="Z722" t="s">
        <v>61</v>
      </c>
      <c r="AA722">
        <v>0</v>
      </c>
      <c r="AB722" s="2">
        <v>0</v>
      </c>
      <c r="AC722" s="2">
        <v>0</v>
      </c>
      <c r="AD722" s="3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19.440000000000001</v>
      </c>
      <c r="AN722" s="2">
        <v>19.440000000000001</v>
      </c>
      <c r="AO722" s="2">
        <v>0</v>
      </c>
      <c r="AP722" s="2">
        <v>0</v>
      </c>
      <c r="AQ722" s="2">
        <v>0</v>
      </c>
    </row>
    <row r="723" spans="1:43" x14ac:dyDescent="0.3">
      <c r="A723" s="1">
        <v>46125</v>
      </c>
      <c r="B723" t="s">
        <v>48</v>
      </c>
      <c r="C723">
        <v>649163</v>
      </c>
      <c r="D723">
        <v>2029657454</v>
      </c>
      <c r="E723" t="s">
        <v>149</v>
      </c>
      <c r="F723" t="s">
        <v>602</v>
      </c>
      <c r="G723" t="s">
        <v>51</v>
      </c>
      <c r="H723" t="s">
        <v>52</v>
      </c>
      <c r="I723" t="s">
        <v>53</v>
      </c>
      <c r="J723" t="s">
        <v>117</v>
      </c>
      <c r="K723">
        <v>673059</v>
      </c>
      <c r="L723" t="s">
        <v>115</v>
      </c>
      <c r="M723" t="s">
        <v>116</v>
      </c>
      <c r="N723" t="s">
        <v>86</v>
      </c>
      <c r="O723" s="1">
        <v>45870</v>
      </c>
      <c r="P723" s="1">
        <v>46125</v>
      </c>
      <c r="Q723" s="1">
        <v>46143</v>
      </c>
      <c r="R723" s="2">
        <v>-20.58</v>
      </c>
      <c r="S723">
        <v>1</v>
      </c>
      <c r="T723" t="s">
        <v>58</v>
      </c>
      <c r="U723" t="s">
        <v>59</v>
      </c>
      <c r="V723" s="3">
        <v>0.7</v>
      </c>
      <c r="W723" s="2">
        <v>0</v>
      </c>
      <c r="X723">
        <v>-1</v>
      </c>
      <c r="Y723" t="s">
        <v>60</v>
      </c>
      <c r="Z723" t="s">
        <v>61</v>
      </c>
      <c r="AA723">
        <v>0</v>
      </c>
      <c r="AB723" s="2">
        <v>0</v>
      </c>
      <c r="AC723" s="2">
        <v>0</v>
      </c>
      <c r="AD723" s="3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-14.41</v>
      </c>
      <c r="AN723" s="2">
        <v>-14.41</v>
      </c>
      <c r="AO723" s="2">
        <v>0</v>
      </c>
      <c r="AP723" s="2">
        <v>0</v>
      </c>
      <c r="AQ723" s="2">
        <v>0</v>
      </c>
    </row>
    <row r="724" spans="1:43" x14ac:dyDescent="0.3">
      <c r="A724" s="1">
        <v>46125</v>
      </c>
      <c r="B724" t="s">
        <v>48</v>
      </c>
      <c r="C724">
        <v>649163</v>
      </c>
      <c r="D724">
        <v>2029657455</v>
      </c>
      <c r="E724" t="s">
        <v>149</v>
      </c>
      <c r="F724" t="s">
        <v>602</v>
      </c>
      <c r="G724" t="s">
        <v>51</v>
      </c>
      <c r="H724" t="s">
        <v>52</v>
      </c>
      <c r="I724" t="s">
        <v>53</v>
      </c>
      <c r="J724" t="s">
        <v>54</v>
      </c>
      <c r="K724">
        <v>673059</v>
      </c>
      <c r="L724" t="s">
        <v>115</v>
      </c>
      <c r="M724" t="s">
        <v>116</v>
      </c>
      <c r="N724" t="s">
        <v>86</v>
      </c>
      <c r="O724" s="1">
        <v>45870</v>
      </c>
      <c r="P724" s="1">
        <v>46125</v>
      </c>
      <c r="Q724" s="1">
        <v>46143</v>
      </c>
      <c r="R724" s="2">
        <v>-58.7</v>
      </c>
      <c r="S724">
        <v>1</v>
      </c>
      <c r="T724" t="s">
        <v>58</v>
      </c>
      <c r="U724" t="s">
        <v>59</v>
      </c>
      <c r="V724" s="3">
        <v>0.7</v>
      </c>
      <c r="W724" s="2">
        <v>0</v>
      </c>
      <c r="X724">
        <v>-1</v>
      </c>
      <c r="Y724" t="s">
        <v>60</v>
      </c>
      <c r="Z724" t="s">
        <v>61</v>
      </c>
      <c r="AA724">
        <v>0</v>
      </c>
      <c r="AB724" s="2">
        <v>0</v>
      </c>
      <c r="AC724" s="2">
        <v>0</v>
      </c>
      <c r="AD724" s="3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-41.09</v>
      </c>
      <c r="AN724" s="2">
        <v>-41.09</v>
      </c>
      <c r="AO724" s="2">
        <v>0</v>
      </c>
      <c r="AP724" s="2">
        <v>0</v>
      </c>
      <c r="AQ724" s="2">
        <v>0</v>
      </c>
    </row>
    <row r="725" spans="1:43" x14ac:dyDescent="0.3">
      <c r="A725" s="1">
        <v>46125</v>
      </c>
      <c r="B725" t="s">
        <v>48</v>
      </c>
      <c r="C725">
        <v>649163</v>
      </c>
      <c r="D725">
        <v>2029878252</v>
      </c>
      <c r="E725" t="s">
        <v>603</v>
      </c>
      <c r="F725" t="s">
        <v>225</v>
      </c>
      <c r="G725" t="s">
        <v>51</v>
      </c>
      <c r="H725" t="s">
        <v>80</v>
      </c>
      <c r="I725" t="s">
        <v>53</v>
      </c>
      <c r="J725" t="s">
        <v>54</v>
      </c>
      <c r="K725">
        <v>824076</v>
      </c>
      <c r="L725" t="s">
        <v>81</v>
      </c>
      <c r="M725" t="s">
        <v>82</v>
      </c>
      <c r="N725" t="s">
        <v>57</v>
      </c>
      <c r="O725" s="1">
        <v>45853</v>
      </c>
      <c r="Q725" s="1">
        <v>46157</v>
      </c>
      <c r="R725" s="2">
        <v>39.25</v>
      </c>
      <c r="S725">
        <v>1</v>
      </c>
      <c r="T725" t="s">
        <v>58</v>
      </c>
      <c r="U725" t="s">
        <v>59</v>
      </c>
      <c r="V725" s="3">
        <v>0.7</v>
      </c>
      <c r="W725" s="2">
        <v>0</v>
      </c>
      <c r="X725">
        <v>0</v>
      </c>
      <c r="Y725" t="s">
        <v>60</v>
      </c>
      <c r="Z725" t="s">
        <v>61</v>
      </c>
      <c r="AA725">
        <v>0</v>
      </c>
      <c r="AB725" s="2">
        <v>0</v>
      </c>
      <c r="AC725" s="2">
        <v>0</v>
      </c>
      <c r="AD725" s="3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27.48</v>
      </c>
      <c r="AN725" s="2">
        <v>27.48</v>
      </c>
      <c r="AO725" s="2">
        <v>0</v>
      </c>
      <c r="AP725" s="2">
        <v>0</v>
      </c>
      <c r="AQ725" s="2">
        <v>0</v>
      </c>
    </row>
    <row r="726" spans="1:43" x14ac:dyDescent="0.3">
      <c r="A726" s="1">
        <v>46125</v>
      </c>
      <c r="B726" t="s">
        <v>950</v>
      </c>
      <c r="C726">
        <v>649163</v>
      </c>
      <c r="D726">
        <v>2025649889</v>
      </c>
      <c r="E726" t="s">
        <v>545</v>
      </c>
      <c r="F726" t="s">
        <v>546</v>
      </c>
      <c r="G726" t="s">
        <v>51</v>
      </c>
      <c r="I726" t="s">
        <v>533</v>
      </c>
      <c r="J726" t="s">
        <v>534</v>
      </c>
      <c r="K726">
        <v>649163</v>
      </c>
      <c r="L726" t="s">
        <v>544</v>
      </c>
      <c r="M726" t="s">
        <v>324</v>
      </c>
      <c r="N726" t="s">
        <v>86</v>
      </c>
      <c r="O726" s="1">
        <v>45658</v>
      </c>
      <c r="P726" s="1">
        <v>46125</v>
      </c>
      <c r="R726" s="2">
        <v>0</v>
      </c>
      <c r="AB726" s="2">
        <v>0</v>
      </c>
      <c r="AC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</row>
    <row r="727" spans="1:43" x14ac:dyDescent="0.3">
      <c r="A727" s="1">
        <v>46125</v>
      </c>
      <c r="B727" t="s">
        <v>950</v>
      </c>
      <c r="C727">
        <v>649163</v>
      </c>
      <c r="D727">
        <v>2025649890</v>
      </c>
      <c r="E727" t="s">
        <v>545</v>
      </c>
      <c r="F727" t="s">
        <v>546</v>
      </c>
      <c r="G727" t="s">
        <v>51</v>
      </c>
      <c r="I727" t="s">
        <v>499</v>
      </c>
      <c r="J727" t="s">
        <v>502</v>
      </c>
      <c r="K727">
        <v>649163</v>
      </c>
      <c r="L727" t="s">
        <v>544</v>
      </c>
      <c r="M727" t="s">
        <v>324</v>
      </c>
      <c r="N727" t="s">
        <v>86</v>
      </c>
      <c r="O727" s="1">
        <v>45658</v>
      </c>
      <c r="P727" s="1">
        <v>46125</v>
      </c>
      <c r="R727" s="2">
        <v>0</v>
      </c>
      <c r="AB727" s="2">
        <v>0</v>
      </c>
      <c r="AC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</row>
    <row r="728" spans="1:43" x14ac:dyDescent="0.3">
      <c r="A728" s="1">
        <v>46125</v>
      </c>
      <c r="B728" t="s">
        <v>950</v>
      </c>
      <c r="C728">
        <v>649163</v>
      </c>
      <c r="D728">
        <v>2026127399</v>
      </c>
      <c r="E728" t="s">
        <v>487</v>
      </c>
      <c r="F728" t="s">
        <v>145</v>
      </c>
      <c r="G728" t="s">
        <v>51</v>
      </c>
      <c r="I728" t="s">
        <v>53</v>
      </c>
      <c r="J728" t="s">
        <v>54</v>
      </c>
      <c r="K728">
        <v>649163</v>
      </c>
      <c r="L728" t="s">
        <v>115</v>
      </c>
      <c r="M728" t="s">
        <v>116</v>
      </c>
      <c r="N728" t="s">
        <v>86</v>
      </c>
      <c r="O728" s="1">
        <v>45658</v>
      </c>
      <c r="P728" s="1">
        <v>46125</v>
      </c>
      <c r="R728" s="2">
        <v>0</v>
      </c>
      <c r="AB728" s="2">
        <v>0</v>
      </c>
      <c r="AC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</row>
    <row r="729" spans="1:43" x14ac:dyDescent="0.3">
      <c r="A729" s="1">
        <v>46125</v>
      </c>
      <c r="B729" t="s">
        <v>950</v>
      </c>
      <c r="C729">
        <v>649163</v>
      </c>
      <c r="D729">
        <v>2026127400</v>
      </c>
      <c r="E729" t="s">
        <v>487</v>
      </c>
      <c r="F729" t="s">
        <v>145</v>
      </c>
      <c r="G729" t="s">
        <v>51</v>
      </c>
      <c r="I729" t="s">
        <v>483</v>
      </c>
      <c r="J729" t="s">
        <v>484</v>
      </c>
      <c r="K729">
        <v>649163</v>
      </c>
      <c r="L729" t="s">
        <v>115</v>
      </c>
      <c r="M729" t="s">
        <v>116</v>
      </c>
      <c r="N729" t="s">
        <v>86</v>
      </c>
      <c r="O729" s="1">
        <v>45658</v>
      </c>
      <c r="P729" s="1">
        <v>46125</v>
      </c>
      <c r="R729" s="2">
        <v>0</v>
      </c>
      <c r="AB729" s="2">
        <v>0</v>
      </c>
      <c r="AC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</row>
    <row r="730" spans="1:43" x14ac:dyDescent="0.3">
      <c r="A730" s="1">
        <v>46125</v>
      </c>
      <c r="B730" t="s">
        <v>950</v>
      </c>
      <c r="C730">
        <v>649163</v>
      </c>
      <c r="D730">
        <v>2026836000</v>
      </c>
      <c r="E730" t="s">
        <v>815</v>
      </c>
      <c r="F730" t="s">
        <v>816</v>
      </c>
      <c r="G730" t="s">
        <v>51</v>
      </c>
      <c r="I730" t="s">
        <v>483</v>
      </c>
      <c r="J730" t="s">
        <v>484</v>
      </c>
      <c r="K730">
        <v>649163</v>
      </c>
      <c r="L730" t="s">
        <v>224</v>
      </c>
      <c r="M730" t="s">
        <v>225</v>
      </c>
      <c r="N730" t="s">
        <v>86</v>
      </c>
      <c r="O730" s="1">
        <v>45689</v>
      </c>
      <c r="P730" s="1">
        <v>46125</v>
      </c>
      <c r="R730" s="2">
        <v>0</v>
      </c>
      <c r="AB730" s="2">
        <v>0</v>
      </c>
      <c r="AC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</row>
    <row r="731" spans="1:43" x14ac:dyDescent="0.3">
      <c r="A731" s="1">
        <v>46125</v>
      </c>
      <c r="B731" t="s">
        <v>950</v>
      </c>
      <c r="C731">
        <v>649163</v>
      </c>
      <c r="D731">
        <v>2026836001</v>
      </c>
      <c r="E731" t="s">
        <v>815</v>
      </c>
      <c r="F731" t="s">
        <v>816</v>
      </c>
      <c r="G731" t="s">
        <v>51</v>
      </c>
      <c r="I731" t="s">
        <v>53</v>
      </c>
      <c r="J731" t="s">
        <v>54</v>
      </c>
      <c r="K731">
        <v>649163</v>
      </c>
      <c r="L731" t="s">
        <v>224</v>
      </c>
      <c r="M731" t="s">
        <v>225</v>
      </c>
      <c r="N731" t="s">
        <v>86</v>
      </c>
      <c r="O731" s="1">
        <v>45689</v>
      </c>
      <c r="P731" s="1">
        <v>46125</v>
      </c>
      <c r="R731" s="2">
        <v>0</v>
      </c>
      <c r="AB731" s="2">
        <v>0</v>
      </c>
      <c r="AC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</row>
    <row r="732" spans="1:43" x14ac:dyDescent="0.3">
      <c r="A732" s="1">
        <v>46125</v>
      </c>
      <c r="B732" t="s">
        <v>950</v>
      </c>
      <c r="C732">
        <v>651818</v>
      </c>
      <c r="D732">
        <v>2027859846</v>
      </c>
      <c r="E732" t="s">
        <v>951</v>
      </c>
      <c r="F732" t="s">
        <v>952</v>
      </c>
      <c r="G732" t="s">
        <v>51</v>
      </c>
      <c r="I732" t="s">
        <v>53</v>
      </c>
      <c r="J732" t="s">
        <v>65</v>
      </c>
      <c r="K732">
        <v>651818</v>
      </c>
      <c r="L732" t="s">
        <v>55</v>
      </c>
      <c r="M732" t="s">
        <v>56</v>
      </c>
      <c r="N732" t="s">
        <v>86</v>
      </c>
      <c r="O732" s="1">
        <v>45754</v>
      </c>
      <c r="P732" s="1">
        <v>46125</v>
      </c>
      <c r="R732" s="2">
        <v>0</v>
      </c>
      <c r="AB732" s="2">
        <v>0</v>
      </c>
      <c r="AC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</row>
    <row r="733" spans="1:43" x14ac:dyDescent="0.3">
      <c r="A733" s="1">
        <v>46125</v>
      </c>
      <c r="B733" t="s">
        <v>950</v>
      </c>
      <c r="C733">
        <v>649163</v>
      </c>
      <c r="D733">
        <v>2027431059</v>
      </c>
      <c r="E733" t="s">
        <v>828</v>
      </c>
      <c r="F733" t="s">
        <v>829</v>
      </c>
      <c r="G733" t="s">
        <v>51</v>
      </c>
      <c r="I733" t="s">
        <v>483</v>
      </c>
      <c r="J733" t="s">
        <v>484</v>
      </c>
      <c r="K733">
        <v>649163</v>
      </c>
      <c r="L733" t="s">
        <v>134</v>
      </c>
      <c r="M733" t="s">
        <v>98</v>
      </c>
      <c r="N733" t="s">
        <v>86</v>
      </c>
      <c r="O733" s="1">
        <v>45716</v>
      </c>
      <c r="P733" s="1">
        <v>46125</v>
      </c>
      <c r="R733" s="2">
        <v>0</v>
      </c>
      <c r="AB733" s="2">
        <v>0</v>
      </c>
      <c r="AC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</row>
    <row r="734" spans="1:43" x14ac:dyDescent="0.3">
      <c r="A734" s="1">
        <v>46125</v>
      </c>
      <c r="B734" t="s">
        <v>950</v>
      </c>
      <c r="C734">
        <v>807212</v>
      </c>
      <c r="D734">
        <v>2028890707</v>
      </c>
      <c r="E734" t="s">
        <v>953</v>
      </c>
      <c r="F734" t="s">
        <v>954</v>
      </c>
      <c r="G734" t="s">
        <v>51</v>
      </c>
      <c r="I734" t="s">
        <v>53</v>
      </c>
      <c r="J734" t="s">
        <v>54</v>
      </c>
      <c r="K734">
        <v>807212</v>
      </c>
      <c r="L734" t="s">
        <v>89</v>
      </c>
      <c r="M734" t="s">
        <v>90</v>
      </c>
      <c r="N734" t="s">
        <v>86</v>
      </c>
      <c r="O734" s="1">
        <v>45790</v>
      </c>
      <c r="P734" s="1">
        <v>46125</v>
      </c>
      <c r="R734" s="2">
        <v>0</v>
      </c>
      <c r="AB734" s="2">
        <v>0</v>
      </c>
      <c r="AC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</row>
    <row r="735" spans="1:43" x14ac:dyDescent="0.3">
      <c r="A735" s="1">
        <v>46125</v>
      </c>
      <c r="B735" t="s">
        <v>950</v>
      </c>
      <c r="C735">
        <v>856163</v>
      </c>
      <c r="D735">
        <v>2028937325</v>
      </c>
      <c r="E735" t="s">
        <v>955</v>
      </c>
      <c r="F735" t="s">
        <v>956</v>
      </c>
      <c r="G735" t="s">
        <v>51</v>
      </c>
      <c r="I735" t="s">
        <v>53</v>
      </c>
      <c r="J735" t="s">
        <v>54</v>
      </c>
      <c r="K735">
        <v>856163</v>
      </c>
      <c r="L735" t="s">
        <v>120</v>
      </c>
      <c r="M735" t="s">
        <v>183</v>
      </c>
      <c r="N735" t="s">
        <v>86</v>
      </c>
      <c r="O735" s="1">
        <v>45792</v>
      </c>
      <c r="P735" s="1">
        <v>46125</v>
      </c>
      <c r="R735" s="2">
        <v>0</v>
      </c>
      <c r="AB735" s="2">
        <v>0</v>
      </c>
      <c r="AC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</row>
    <row r="736" spans="1:43" x14ac:dyDescent="0.3">
      <c r="A736" s="1">
        <v>46125</v>
      </c>
      <c r="B736" t="s">
        <v>950</v>
      </c>
      <c r="C736">
        <v>649163</v>
      </c>
      <c r="D736">
        <v>2029657453</v>
      </c>
      <c r="E736" t="s">
        <v>149</v>
      </c>
      <c r="F736" t="s">
        <v>602</v>
      </c>
      <c r="G736" t="s">
        <v>51</v>
      </c>
      <c r="I736" t="s">
        <v>444</v>
      </c>
      <c r="J736" t="s">
        <v>451</v>
      </c>
      <c r="K736">
        <v>649163</v>
      </c>
      <c r="L736" t="s">
        <v>115</v>
      </c>
      <c r="M736" t="s">
        <v>116</v>
      </c>
      <c r="N736" t="s">
        <v>86</v>
      </c>
      <c r="O736" s="1">
        <v>45870</v>
      </c>
      <c r="P736" s="1">
        <v>46125</v>
      </c>
      <c r="R736" s="2">
        <v>0</v>
      </c>
      <c r="AB736" s="2">
        <v>398.43</v>
      </c>
      <c r="AC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398.43</v>
      </c>
      <c r="AN736" s="2">
        <v>0</v>
      </c>
      <c r="AO736" s="2">
        <v>0</v>
      </c>
      <c r="AP736" s="2">
        <v>0</v>
      </c>
      <c r="AQ736" s="2">
        <v>0</v>
      </c>
    </row>
    <row r="737" spans="1:43" x14ac:dyDescent="0.3">
      <c r="A737" s="1">
        <v>46125</v>
      </c>
      <c r="B737" t="s">
        <v>950</v>
      </c>
      <c r="C737">
        <v>649163</v>
      </c>
      <c r="D737">
        <v>2029657454</v>
      </c>
      <c r="E737" t="s">
        <v>149</v>
      </c>
      <c r="F737" t="s">
        <v>602</v>
      </c>
      <c r="G737" t="s">
        <v>51</v>
      </c>
      <c r="I737" t="s">
        <v>53</v>
      </c>
      <c r="J737" t="s">
        <v>117</v>
      </c>
      <c r="K737">
        <v>649163</v>
      </c>
      <c r="L737" t="s">
        <v>115</v>
      </c>
      <c r="M737" t="s">
        <v>116</v>
      </c>
      <c r="N737" t="s">
        <v>86</v>
      </c>
      <c r="O737" s="1">
        <v>45870</v>
      </c>
      <c r="P737" s="1">
        <v>46125</v>
      </c>
      <c r="R737" s="2">
        <v>0</v>
      </c>
      <c r="AB737" s="2">
        <v>108.07</v>
      </c>
      <c r="AC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108.07</v>
      </c>
      <c r="AN737" s="2">
        <v>0</v>
      </c>
      <c r="AO737" s="2">
        <v>0</v>
      </c>
      <c r="AP737" s="2">
        <v>0</v>
      </c>
      <c r="AQ737" s="2">
        <v>0</v>
      </c>
    </row>
    <row r="738" spans="1:43" x14ac:dyDescent="0.3">
      <c r="A738" s="1">
        <v>46125</v>
      </c>
      <c r="B738" t="s">
        <v>950</v>
      </c>
      <c r="C738">
        <v>649163</v>
      </c>
      <c r="D738">
        <v>2029657455</v>
      </c>
      <c r="E738" t="s">
        <v>149</v>
      </c>
      <c r="F738" t="s">
        <v>602</v>
      </c>
      <c r="G738" t="s">
        <v>51</v>
      </c>
      <c r="I738" t="s">
        <v>53</v>
      </c>
      <c r="J738" t="s">
        <v>54</v>
      </c>
      <c r="K738">
        <v>649163</v>
      </c>
      <c r="L738" t="s">
        <v>115</v>
      </c>
      <c r="M738" t="s">
        <v>116</v>
      </c>
      <c r="N738" t="s">
        <v>86</v>
      </c>
      <c r="O738" s="1">
        <v>45870</v>
      </c>
      <c r="P738" s="1">
        <v>46125</v>
      </c>
      <c r="R738" s="2">
        <v>0</v>
      </c>
      <c r="AB738" s="2">
        <v>308.14999999999998</v>
      </c>
      <c r="AC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308.14999999999998</v>
      </c>
      <c r="AN738" s="2">
        <v>0</v>
      </c>
      <c r="AO738" s="2">
        <v>0</v>
      </c>
      <c r="AP738" s="2">
        <v>0</v>
      </c>
      <c r="AQ738" s="2">
        <v>0</v>
      </c>
    </row>
    <row r="739" spans="1:43" x14ac:dyDescent="0.3">
      <c r="A739" s="1">
        <v>46125</v>
      </c>
      <c r="B739" t="s">
        <v>950</v>
      </c>
      <c r="C739">
        <v>649163</v>
      </c>
      <c r="D739">
        <v>2029657456</v>
      </c>
      <c r="E739" t="s">
        <v>149</v>
      </c>
      <c r="F739" t="s">
        <v>602</v>
      </c>
      <c r="G739" t="s">
        <v>51</v>
      </c>
      <c r="I739" t="s">
        <v>483</v>
      </c>
      <c r="J739" t="s">
        <v>484</v>
      </c>
      <c r="K739">
        <v>649163</v>
      </c>
      <c r="L739" t="s">
        <v>115</v>
      </c>
      <c r="M739" t="s">
        <v>116</v>
      </c>
      <c r="N739" t="s">
        <v>86</v>
      </c>
      <c r="O739" s="1">
        <v>45870</v>
      </c>
      <c r="P739" s="1">
        <v>46125</v>
      </c>
      <c r="R739" s="2">
        <v>0</v>
      </c>
      <c r="AB739" s="2">
        <v>81.27</v>
      </c>
      <c r="AC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81.27</v>
      </c>
      <c r="AN739" s="2">
        <v>0</v>
      </c>
      <c r="AO739" s="2">
        <v>0</v>
      </c>
      <c r="AP739" s="2">
        <v>0</v>
      </c>
      <c r="AQ739" s="2">
        <v>0</v>
      </c>
    </row>
    <row r="740" spans="1:43" x14ac:dyDescent="0.3">
      <c r="A740" s="1">
        <v>46125</v>
      </c>
      <c r="B740" t="s">
        <v>950</v>
      </c>
      <c r="C740">
        <v>649163</v>
      </c>
      <c r="D740">
        <v>2029959146</v>
      </c>
      <c r="E740" t="s">
        <v>83</v>
      </c>
      <c r="F740" t="s">
        <v>84</v>
      </c>
      <c r="G740" t="s">
        <v>51</v>
      </c>
      <c r="I740" t="s">
        <v>444</v>
      </c>
      <c r="J740" t="s">
        <v>454</v>
      </c>
      <c r="K740">
        <v>649163</v>
      </c>
      <c r="L740" t="s">
        <v>55</v>
      </c>
      <c r="M740" t="s">
        <v>56</v>
      </c>
      <c r="N740" t="s">
        <v>86</v>
      </c>
      <c r="O740" s="1">
        <v>45876</v>
      </c>
      <c r="P740" s="1">
        <v>46125</v>
      </c>
      <c r="R740" s="2">
        <v>0</v>
      </c>
      <c r="AB740" s="2">
        <v>841.5</v>
      </c>
      <c r="AC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841.5</v>
      </c>
      <c r="AN740" s="2">
        <v>0</v>
      </c>
      <c r="AO740" s="2">
        <v>0</v>
      </c>
      <c r="AP740" s="2">
        <v>0</v>
      </c>
      <c r="AQ740" s="2">
        <v>0</v>
      </c>
    </row>
    <row r="741" spans="1:43" x14ac:dyDescent="0.3">
      <c r="A741" s="1">
        <v>46125</v>
      </c>
      <c r="B741" t="s">
        <v>950</v>
      </c>
      <c r="C741">
        <v>649163</v>
      </c>
      <c r="D741">
        <v>2029959147</v>
      </c>
      <c r="E741" t="s">
        <v>83</v>
      </c>
      <c r="F741" t="s">
        <v>84</v>
      </c>
      <c r="G741" t="s">
        <v>51</v>
      </c>
      <c r="I741" t="s">
        <v>53</v>
      </c>
      <c r="J741" t="s">
        <v>54</v>
      </c>
      <c r="K741">
        <v>649163</v>
      </c>
      <c r="L741" t="s">
        <v>55</v>
      </c>
      <c r="M741" t="s">
        <v>56</v>
      </c>
      <c r="N741" t="s">
        <v>86</v>
      </c>
      <c r="O741" s="1">
        <v>45876</v>
      </c>
      <c r="P741" s="1">
        <v>46125</v>
      </c>
      <c r="R741" s="2">
        <v>0</v>
      </c>
      <c r="AB741" s="2">
        <v>513.74</v>
      </c>
      <c r="AC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513.74</v>
      </c>
      <c r="AN741" s="2">
        <v>0</v>
      </c>
      <c r="AO741" s="2">
        <v>0</v>
      </c>
      <c r="AP741" s="2">
        <v>0</v>
      </c>
      <c r="AQ741" s="2">
        <v>0</v>
      </c>
    </row>
    <row r="742" spans="1:43" x14ac:dyDescent="0.3">
      <c r="A742" s="1">
        <v>46125</v>
      </c>
      <c r="B742" t="s">
        <v>950</v>
      </c>
      <c r="C742">
        <v>651818</v>
      </c>
      <c r="D742">
        <v>2030517072</v>
      </c>
      <c r="E742" t="s">
        <v>957</v>
      </c>
      <c r="F742" t="s">
        <v>958</v>
      </c>
      <c r="G742" t="s">
        <v>51</v>
      </c>
      <c r="I742" t="s">
        <v>483</v>
      </c>
      <c r="J742" t="s">
        <v>484</v>
      </c>
      <c r="K742">
        <v>651818</v>
      </c>
      <c r="L742" t="s">
        <v>55</v>
      </c>
      <c r="M742" t="s">
        <v>56</v>
      </c>
      <c r="N742" t="s">
        <v>86</v>
      </c>
      <c r="O742" s="1">
        <v>45907</v>
      </c>
      <c r="P742" s="1">
        <v>46125</v>
      </c>
      <c r="R742" s="2">
        <v>0</v>
      </c>
      <c r="AB742" s="2">
        <v>107.62</v>
      </c>
      <c r="AC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107.62</v>
      </c>
      <c r="AN742" s="2">
        <v>0</v>
      </c>
      <c r="AO742" s="2">
        <v>0</v>
      </c>
      <c r="AP742" s="2">
        <v>0</v>
      </c>
      <c r="AQ742" s="2">
        <v>0</v>
      </c>
    </row>
    <row r="743" spans="1:43" x14ac:dyDescent="0.3">
      <c r="A743" s="1">
        <v>46125</v>
      </c>
      <c r="B743" t="s">
        <v>950</v>
      </c>
      <c r="C743">
        <v>649163</v>
      </c>
      <c r="D743">
        <v>2030943608</v>
      </c>
      <c r="E743" t="s">
        <v>169</v>
      </c>
      <c r="F743" t="s">
        <v>170</v>
      </c>
      <c r="G743" t="s">
        <v>51</v>
      </c>
      <c r="I743" t="s">
        <v>53</v>
      </c>
      <c r="J743" t="s">
        <v>54</v>
      </c>
      <c r="K743">
        <v>649163</v>
      </c>
      <c r="L743" t="s">
        <v>171</v>
      </c>
      <c r="M743" t="s">
        <v>172</v>
      </c>
      <c r="N743" t="s">
        <v>86</v>
      </c>
      <c r="O743" s="1">
        <v>45931</v>
      </c>
      <c r="P743" s="1">
        <v>46125</v>
      </c>
      <c r="R743" s="2">
        <v>0</v>
      </c>
      <c r="AB743" s="2">
        <v>668.82</v>
      </c>
      <c r="AC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668.82</v>
      </c>
      <c r="AN743" s="2">
        <v>0</v>
      </c>
      <c r="AO743" s="2">
        <v>0</v>
      </c>
      <c r="AP743" s="2">
        <v>0</v>
      </c>
      <c r="AQ743" s="2">
        <v>0</v>
      </c>
    </row>
    <row r="744" spans="1:43" x14ac:dyDescent="0.3">
      <c r="A744" s="1">
        <v>46125</v>
      </c>
      <c r="B744" t="s">
        <v>950</v>
      </c>
      <c r="C744">
        <v>884312</v>
      </c>
      <c r="D744">
        <v>2032489609</v>
      </c>
      <c r="E744" t="s">
        <v>959</v>
      </c>
      <c r="F744" t="s">
        <v>960</v>
      </c>
      <c r="G744" t="s">
        <v>51</v>
      </c>
      <c r="I744" t="s">
        <v>53</v>
      </c>
      <c r="J744" t="s">
        <v>54</v>
      </c>
      <c r="K744">
        <v>884312</v>
      </c>
      <c r="L744" t="s">
        <v>374</v>
      </c>
      <c r="M744" t="s">
        <v>375</v>
      </c>
      <c r="N744" t="s">
        <v>86</v>
      </c>
      <c r="O744" s="1">
        <v>45999</v>
      </c>
      <c r="P744" s="1">
        <v>46125</v>
      </c>
      <c r="R744" s="2">
        <v>0</v>
      </c>
      <c r="AB744" s="2">
        <v>173.4</v>
      </c>
      <c r="AC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115.6</v>
      </c>
      <c r="AN744" s="2">
        <v>-57.8</v>
      </c>
      <c r="AO744" s="2">
        <v>-57.8</v>
      </c>
      <c r="AP744" s="2">
        <v>0</v>
      </c>
      <c r="AQ744" s="2">
        <v>0</v>
      </c>
    </row>
    <row r="745" spans="1:43" x14ac:dyDescent="0.3">
      <c r="A745" s="1">
        <v>46125</v>
      </c>
      <c r="B745" t="s">
        <v>950</v>
      </c>
      <c r="C745">
        <v>649163</v>
      </c>
      <c r="D745">
        <v>2032634844</v>
      </c>
      <c r="E745" t="s">
        <v>323</v>
      </c>
      <c r="F745" t="s">
        <v>324</v>
      </c>
      <c r="G745" t="s">
        <v>51</v>
      </c>
      <c r="I745" t="s">
        <v>483</v>
      </c>
      <c r="J745" t="s">
        <v>484</v>
      </c>
      <c r="K745">
        <v>649163</v>
      </c>
      <c r="L745" t="s">
        <v>311</v>
      </c>
      <c r="M745" t="s">
        <v>312</v>
      </c>
      <c r="N745" t="s">
        <v>86</v>
      </c>
      <c r="O745" s="1">
        <v>46003</v>
      </c>
      <c r="P745" s="1">
        <v>46125</v>
      </c>
      <c r="R745" s="2">
        <v>0</v>
      </c>
      <c r="AB745" s="2">
        <v>164.64</v>
      </c>
      <c r="AC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109.76</v>
      </c>
      <c r="AN745" s="2">
        <v>-54.88</v>
      </c>
      <c r="AO745" s="2">
        <v>-54.88</v>
      </c>
      <c r="AP745" s="2">
        <v>0</v>
      </c>
      <c r="AQ745" s="2">
        <v>0</v>
      </c>
    </row>
    <row r="746" spans="1:43" x14ac:dyDescent="0.3">
      <c r="A746" s="1">
        <v>46125</v>
      </c>
      <c r="B746" t="s">
        <v>950</v>
      </c>
      <c r="C746">
        <v>649163</v>
      </c>
      <c r="D746">
        <v>2032311595</v>
      </c>
      <c r="E746" t="s">
        <v>287</v>
      </c>
      <c r="F746" t="s">
        <v>288</v>
      </c>
      <c r="G746" t="s">
        <v>51</v>
      </c>
      <c r="I746" t="s">
        <v>53</v>
      </c>
      <c r="J746" t="s">
        <v>54</v>
      </c>
      <c r="K746">
        <v>649163</v>
      </c>
      <c r="L746" t="s">
        <v>110</v>
      </c>
      <c r="M746" t="s">
        <v>111</v>
      </c>
      <c r="N746" t="s">
        <v>86</v>
      </c>
      <c r="O746" s="1">
        <v>46023</v>
      </c>
      <c r="P746" s="1">
        <v>46125</v>
      </c>
      <c r="R746" s="2">
        <v>0</v>
      </c>
      <c r="AB746" s="2">
        <v>874.92</v>
      </c>
      <c r="AC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583.28</v>
      </c>
      <c r="AN746" s="2">
        <v>-291.64</v>
      </c>
      <c r="AO746" s="2">
        <v>-291.64</v>
      </c>
      <c r="AP746" s="2">
        <v>0</v>
      </c>
      <c r="AQ746" s="2">
        <v>0</v>
      </c>
    </row>
    <row r="747" spans="1:43" x14ac:dyDescent="0.3">
      <c r="A747" s="1">
        <v>46125</v>
      </c>
      <c r="B747" t="s">
        <v>950</v>
      </c>
      <c r="C747">
        <v>651818</v>
      </c>
      <c r="D747">
        <v>2033028673</v>
      </c>
      <c r="E747" t="s">
        <v>813</v>
      </c>
      <c r="F747" t="s">
        <v>56</v>
      </c>
      <c r="G747" t="s">
        <v>51</v>
      </c>
      <c r="I747" t="s">
        <v>444</v>
      </c>
      <c r="J747" t="s">
        <v>454</v>
      </c>
      <c r="K747">
        <v>651818</v>
      </c>
      <c r="L747" t="s">
        <v>55</v>
      </c>
      <c r="M747" t="s">
        <v>56</v>
      </c>
      <c r="N747" t="s">
        <v>86</v>
      </c>
      <c r="O747" s="1">
        <v>46039</v>
      </c>
      <c r="P747" s="1">
        <v>46125</v>
      </c>
      <c r="R747" s="2">
        <v>0</v>
      </c>
      <c r="AB747" s="2">
        <v>547.5</v>
      </c>
      <c r="AC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182.5</v>
      </c>
      <c r="AN747" s="2">
        <v>-365</v>
      </c>
      <c r="AO747" s="2">
        <v>-365</v>
      </c>
      <c r="AP747" s="2">
        <v>0</v>
      </c>
      <c r="AQ747" s="2">
        <v>0</v>
      </c>
    </row>
    <row r="748" spans="1:43" x14ac:dyDescent="0.3">
      <c r="A748" s="1">
        <v>46125</v>
      </c>
      <c r="B748" t="s">
        <v>950</v>
      </c>
      <c r="C748">
        <v>839474</v>
      </c>
      <c r="D748">
        <v>2033027788</v>
      </c>
      <c r="E748" t="s">
        <v>961</v>
      </c>
      <c r="F748" t="s">
        <v>304</v>
      </c>
      <c r="G748" t="s">
        <v>51</v>
      </c>
      <c r="I748" t="s">
        <v>962</v>
      </c>
      <c r="J748" t="s">
        <v>963</v>
      </c>
      <c r="K748">
        <v>839474</v>
      </c>
      <c r="L748" t="s">
        <v>964</v>
      </c>
      <c r="M748" t="s">
        <v>965</v>
      </c>
      <c r="N748" t="s">
        <v>86</v>
      </c>
      <c r="O748" s="1">
        <v>46030</v>
      </c>
      <c r="P748" s="1">
        <v>46125</v>
      </c>
      <c r="R748" s="2">
        <v>0</v>
      </c>
      <c r="AB748" s="2">
        <v>632.28</v>
      </c>
      <c r="AC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262.76</v>
      </c>
      <c r="AN748" s="2">
        <v>-369.52</v>
      </c>
      <c r="AO748" s="2">
        <v>-369.52</v>
      </c>
      <c r="AP748" s="2">
        <v>0</v>
      </c>
      <c r="AQ748" s="2">
        <v>0</v>
      </c>
    </row>
    <row r="749" spans="1:43" x14ac:dyDescent="0.3">
      <c r="A749" s="1">
        <v>46125</v>
      </c>
      <c r="B749" t="s">
        <v>950</v>
      </c>
      <c r="C749">
        <v>822733</v>
      </c>
      <c r="D749">
        <v>2032430003</v>
      </c>
      <c r="E749" t="s">
        <v>521</v>
      </c>
      <c r="F749" t="s">
        <v>719</v>
      </c>
      <c r="G749" t="s">
        <v>51</v>
      </c>
      <c r="I749" t="s">
        <v>475</v>
      </c>
      <c r="J749" t="s">
        <v>966</v>
      </c>
      <c r="K749">
        <v>822733</v>
      </c>
      <c r="L749" t="s">
        <v>219</v>
      </c>
      <c r="M749" t="s">
        <v>220</v>
      </c>
      <c r="N749" t="s">
        <v>86</v>
      </c>
      <c r="O749" s="1">
        <v>45993</v>
      </c>
      <c r="P749" s="1">
        <v>46125</v>
      </c>
      <c r="R749" s="2">
        <v>0</v>
      </c>
      <c r="AB749" s="2">
        <v>6.96</v>
      </c>
      <c r="AC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1.1599999999999999</v>
      </c>
      <c r="AN749" s="2">
        <v>-5.8</v>
      </c>
      <c r="AO749" s="2">
        <v>-5.8</v>
      </c>
      <c r="AP749" s="2">
        <v>0</v>
      </c>
      <c r="AQ749" s="2">
        <v>0</v>
      </c>
    </row>
    <row r="750" spans="1:43" x14ac:dyDescent="0.3">
      <c r="A750" s="1">
        <v>46125</v>
      </c>
      <c r="B750" t="s">
        <v>950</v>
      </c>
      <c r="C750">
        <v>649163</v>
      </c>
      <c r="D750">
        <v>2033514020</v>
      </c>
      <c r="E750" t="s">
        <v>772</v>
      </c>
      <c r="F750" t="s">
        <v>773</v>
      </c>
      <c r="G750" t="s">
        <v>51</v>
      </c>
      <c r="I750" t="s">
        <v>499</v>
      </c>
      <c r="J750" t="s">
        <v>500</v>
      </c>
      <c r="K750">
        <v>649163</v>
      </c>
      <c r="L750" t="s">
        <v>307</v>
      </c>
      <c r="M750" t="s">
        <v>308</v>
      </c>
      <c r="N750" t="s">
        <v>86</v>
      </c>
      <c r="O750" s="1">
        <v>46059</v>
      </c>
      <c r="P750" s="1">
        <v>46125</v>
      </c>
      <c r="R750" s="2">
        <v>0</v>
      </c>
      <c r="AB750" s="2">
        <v>299.39999999999998</v>
      </c>
      <c r="AC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149.69999999999999</v>
      </c>
      <c r="AN750" s="2">
        <v>-149.69999999999999</v>
      </c>
      <c r="AO750" s="2">
        <v>-149.69999999999999</v>
      </c>
      <c r="AP750" s="2">
        <v>0</v>
      </c>
      <c r="AQ750" s="2">
        <v>0</v>
      </c>
    </row>
    <row r="751" spans="1:43" x14ac:dyDescent="0.3">
      <c r="A751" s="1">
        <v>46125</v>
      </c>
      <c r="B751" t="s">
        <v>950</v>
      </c>
      <c r="C751">
        <v>649163</v>
      </c>
      <c r="D751">
        <v>2033514021</v>
      </c>
      <c r="E751" t="s">
        <v>772</v>
      </c>
      <c r="F751" t="s">
        <v>773</v>
      </c>
      <c r="G751" t="s">
        <v>51</v>
      </c>
      <c r="I751" t="s">
        <v>499</v>
      </c>
      <c r="J751" t="s">
        <v>501</v>
      </c>
      <c r="K751">
        <v>649163</v>
      </c>
      <c r="L751" t="s">
        <v>307</v>
      </c>
      <c r="M751" t="s">
        <v>308</v>
      </c>
      <c r="N751" t="s">
        <v>86</v>
      </c>
      <c r="O751" s="1">
        <v>46059</v>
      </c>
      <c r="P751" s="1">
        <v>46125</v>
      </c>
      <c r="R751" s="2">
        <v>0</v>
      </c>
      <c r="AB751" s="2">
        <v>16.14</v>
      </c>
      <c r="AC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8.07</v>
      </c>
      <c r="AN751" s="2">
        <v>-8.07</v>
      </c>
      <c r="AO751" s="2">
        <v>-8.07</v>
      </c>
      <c r="AP751" s="2">
        <v>0</v>
      </c>
      <c r="AQ751" s="2">
        <v>0</v>
      </c>
    </row>
    <row r="752" spans="1:43" x14ac:dyDescent="0.3">
      <c r="A752" s="1">
        <v>46125</v>
      </c>
      <c r="B752" t="s">
        <v>950</v>
      </c>
      <c r="C752">
        <v>649163</v>
      </c>
      <c r="D752">
        <v>2033514022</v>
      </c>
      <c r="E752" t="s">
        <v>772</v>
      </c>
      <c r="F752" t="s">
        <v>773</v>
      </c>
      <c r="G752" t="s">
        <v>51</v>
      </c>
      <c r="I752" t="s">
        <v>475</v>
      </c>
      <c r="J752" t="s">
        <v>476</v>
      </c>
      <c r="K752">
        <v>649163</v>
      </c>
      <c r="L752" t="s">
        <v>307</v>
      </c>
      <c r="M752" t="s">
        <v>308</v>
      </c>
      <c r="N752" t="s">
        <v>86</v>
      </c>
      <c r="O752" s="1">
        <v>46059</v>
      </c>
      <c r="P752" s="1">
        <v>46125</v>
      </c>
      <c r="R752" s="2">
        <v>0</v>
      </c>
      <c r="AB752" s="2">
        <v>34.200000000000003</v>
      </c>
      <c r="AC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11.4</v>
      </c>
      <c r="AN752" s="2">
        <v>-22.8</v>
      </c>
      <c r="AO752" s="2">
        <v>-22.8</v>
      </c>
      <c r="AP752" s="2">
        <v>0</v>
      </c>
      <c r="AQ752" s="2">
        <v>0</v>
      </c>
    </row>
    <row r="753" spans="1:43" x14ac:dyDescent="0.3">
      <c r="A753" s="1">
        <v>46125</v>
      </c>
      <c r="B753" t="s">
        <v>950</v>
      </c>
      <c r="C753">
        <v>856163</v>
      </c>
      <c r="D753">
        <v>2033521990</v>
      </c>
      <c r="E753" t="s">
        <v>967</v>
      </c>
      <c r="F753" t="s">
        <v>968</v>
      </c>
      <c r="G753" t="s">
        <v>51</v>
      </c>
      <c r="I753" t="s">
        <v>53</v>
      </c>
      <c r="J753" t="s">
        <v>54</v>
      </c>
      <c r="K753">
        <v>856163</v>
      </c>
      <c r="L753" t="s">
        <v>120</v>
      </c>
      <c r="M753" t="s">
        <v>183</v>
      </c>
      <c r="N753" t="s">
        <v>86</v>
      </c>
      <c r="O753" s="1">
        <v>46060</v>
      </c>
      <c r="P753" s="1">
        <v>46125</v>
      </c>
      <c r="R753" s="2">
        <v>0</v>
      </c>
      <c r="AB753" s="2">
        <v>147.18</v>
      </c>
      <c r="AC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49.06</v>
      </c>
      <c r="AN753" s="2">
        <v>-98.12</v>
      </c>
      <c r="AO753" s="2">
        <v>-98.12</v>
      </c>
      <c r="AP753" s="2">
        <v>0</v>
      </c>
      <c r="AQ753" s="2">
        <v>0</v>
      </c>
    </row>
    <row r="754" spans="1:43" x14ac:dyDescent="0.3">
      <c r="A754" s="1">
        <v>46125</v>
      </c>
      <c r="B754" t="s">
        <v>950</v>
      </c>
      <c r="C754">
        <v>856163</v>
      </c>
      <c r="D754">
        <v>2033521991</v>
      </c>
      <c r="E754" t="s">
        <v>967</v>
      </c>
      <c r="F754" t="s">
        <v>968</v>
      </c>
      <c r="G754" t="s">
        <v>51</v>
      </c>
      <c r="I754" t="s">
        <v>499</v>
      </c>
      <c r="J754" t="s">
        <v>877</v>
      </c>
      <c r="K754">
        <v>856163</v>
      </c>
      <c r="L754" t="s">
        <v>120</v>
      </c>
      <c r="M754" t="s">
        <v>183</v>
      </c>
      <c r="N754" t="s">
        <v>86</v>
      </c>
      <c r="O754" s="1">
        <v>46060</v>
      </c>
      <c r="P754" s="1">
        <v>46125</v>
      </c>
      <c r="R754" s="2">
        <v>0</v>
      </c>
      <c r="AB754" s="2">
        <v>195.84</v>
      </c>
      <c r="AC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65.28</v>
      </c>
      <c r="AN754" s="2">
        <v>-130.56</v>
      </c>
      <c r="AO754" s="2">
        <v>-130.56</v>
      </c>
      <c r="AP754" s="2">
        <v>0</v>
      </c>
      <c r="AQ754" s="2">
        <v>0</v>
      </c>
    </row>
    <row r="755" spans="1:43" x14ac:dyDescent="0.3">
      <c r="A755" s="1">
        <v>46125</v>
      </c>
      <c r="B755" t="s">
        <v>950</v>
      </c>
      <c r="C755">
        <v>856163</v>
      </c>
      <c r="D755">
        <v>2033521992</v>
      </c>
      <c r="E755" t="s">
        <v>967</v>
      </c>
      <c r="F755" t="s">
        <v>968</v>
      </c>
      <c r="G755" t="s">
        <v>51</v>
      </c>
      <c r="I755" t="s">
        <v>475</v>
      </c>
      <c r="J755" t="s">
        <v>762</v>
      </c>
      <c r="K755">
        <v>856163</v>
      </c>
      <c r="L755" t="s">
        <v>120</v>
      </c>
      <c r="M755" t="s">
        <v>183</v>
      </c>
      <c r="N755" t="s">
        <v>86</v>
      </c>
      <c r="O755" s="1">
        <v>46060</v>
      </c>
      <c r="P755" s="1">
        <v>46125</v>
      </c>
      <c r="R755" s="2">
        <v>0</v>
      </c>
      <c r="AB755" s="2">
        <v>17.100000000000001</v>
      </c>
      <c r="AC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5.7</v>
      </c>
      <c r="AN755" s="2">
        <v>-11.4</v>
      </c>
      <c r="AO755" s="2">
        <v>-11.4</v>
      </c>
      <c r="AP755" s="2">
        <v>0</v>
      </c>
      <c r="AQ755" s="2">
        <v>0</v>
      </c>
    </row>
    <row r="756" spans="1:43" x14ac:dyDescent="0.3">
      <c r="A756" s="1">
        <v>46125</v>
      </c>
      <c r="B756" t="s">
        <v>950</v>
      </c>
      <c r="C756">
        <v>792847</v>
      </c>
      <c r="D756">
        <v>2033329865</v>
      </c>
      <c r="E756" t="s">
        <v>969</v>
      </c>
      <c r="F756" t="s">
        <v>970</v>
      </c>
      <c r="G756" t="s">
        <v>51</v>
      </c>
      <c r="I756" t="s">
        <v>483</v>
      </c>
      <c r="J756" t="s">
        <v>484</v>
      </c>
      <c r="K756">
        <v>792847</v>
      </c>
      <c r="L756" t="s">
        <v>597</v>
      </c>
      <c r="M756" t="s">
        <v>599</v>
      </c>
      <c r="N756" t="s">
        <v>86</v>
      </c>
      <c r="O756" s="1">
        <v>46065</v>
      </c>
      <c r="P756" s="1">
        <v>46125</v>
      </c>
      <c r="R756" s="2">
        <v>0</v>
      </c>
      <c r="AB756" s="2">
        <v>154.44</v>
      </c>
      <c r="AC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51.48</v>
      </c>
      <c r="AN756" s="2">
        <v>-102.96</v>
      </c>
      <c r="AO756" s="2">
        <v>-102.96</v>
      </c>
      <c r="AP756" s="2">
        <v>0</v>
      </c>
      <c r="AQ756" s="2">
        <v>0</v>
      </c>
    </row>
    <row r="757" spans="1:43" x14ac:dyDescent="0.3">
      <c r="A757" s="1">
        <v>46125</v>
      </c>
      <c r="B757" t="s">
        <v>950</v>
      </c>
      <c r="C757">
        <v>856163</v>
      </c>
      <c r="D757">
        <v>2033574216</v>
      </c>
      <c r="E757" t="s">
        <v>971</v>
      </c>
      <c r="F757" t="s">
        <v>972</v>
      </c>
      <c r="G757" t="s">
        <v>51</v>
      </c>
      <c r="I757" t="s">
        <v>483</v>
      </c>
      <c r="J757" t="s">
        <v>484</v>
      </c>
      <c r="K757">
        <v>856163</v>
      </c>
      <c r="L757" t="s">
        <v>120</v>
      </c>
      <c r="M757" t="s">
        <v>183</v>
      </c>
      <c r="N757" t="s">
        <v>86</v>
      </c>
      <c r="O757" s="1">
        <v>46066</v>
      </c>
      <c r="P757" s="1">
        <v>46125</v>
      </c>
      <c r="R757" s="2">
        <v>0</v>
      </c>
      <c r="AB757" s="2">
        <v>115.68</v>
      </c>
      <c r="AC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19.28</v>
      </c>
      <c r="AN757" s="2">
        <v>-96.4</v>
      </c>
      <c r="AO757" s="2">
        <v>-96.4</v>
      </c>
      <c r="AP757" s="2">
        <v>0</v>
      </c>
      <c r="AQ757" s="2">
        <v>0</v>
      </c>
    </row>
    <row r="758" spans="1:43" x14ac:dyDescent="0.3">
      <c r="A758" s="1">
        <v>46125</v>
      </c>
      <c r="B758" t="s">
        <v>950</v>
      </c>
      <c r="C758">
        <v>856163</v>
      </c>
      <c r="D758">
        <v>2033574217</v>
      </c>
      <c r="E758" t="s">
        <v>971</v>
      </c>
      <c r="F758" t="s">
        <v>972</v>
      </c>
      <c r="G758" t="s">
        <v>51</v>
      </c>
      <c r="I758" t="s">
        <v>53</v>
      </c>
      <c r="J758" t="s">
        <v>54</v>
      </c>
      <c r="K758">
        <v>856163</v>
      </c>
      <c r="L758" t="s">
        <v>120</v>
      </c>
      <c r="M758" t="s">
        <v>183</v>
      </c>
      <c r="N758" t="s">
        <v>86</v>
      </c>
      <c r="O758" s="1">
        <v>46066</v>
      </c>
      <c r="P758" s="1">
        <v>46125</v>
      </c>
      <c r="R758" s="2">
        <v>0</v>
      </c>
      <c r="AB758" s="2">
        <v>54.6</v>
      </c>
      <c r="AC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9.1</v>
      </c>
      <c r="AN758" s="2">
        <v>-45.5</v>
      </c>
      <c r="AO758" s="2">
        <v>-45.5</v>
      </c>
      <c r="AP758" s="2">
        <v>0</v>
      </c>
      <c r="AQ758" s="2">
        <v>0</v>
      </c>
    </row>
    <row r="759" spans="1:43" x14ac:dyDescent="0.3">
      <c r="A759" s="1">
        <v>46125</v>
      </c>
      <c r="B759" t="s">
        <v>950</v>
      </c>
      <c r="C759">
        <v>812656</v>
      </c>
      <c r="D759">
        <v>2033593650</v>
      </c>
      <c r="E759" t="s">
        <v>973</v>
      </c>
      <c r="F759" t="s">
        <v>599</v>
      </c>
      <c r="G759" t="s">
        <v>51</v>
      </c>
      <c r="I759" t="s">
        <v>53</v>
      </c>
      <c r="J759" t="s">
        <v>54</v>
      </c>
      <c r="K759">
        <v>812656</v>
      </c>
      <c r="L759" t="s">
        <v>171</v>
      </c>
      <c r="M759" t="s">
        <v>172</v>
      </c>
      <c r="N759" t="s">
        <v>86</v>
      </c>
      <c r="O759" s="1">
        <v>46067</v>
      </c>
      <c r="P759" s="1">
        <v>46125</v>
      </c>
      <c r="R759" s="2">
        <v>0</v>
      </c>
      <c r="AB759" s="2">
        <v>275.27999999999997</v>
      </c>
      <c r="AC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45.88</v>
      </c>
      <c r="AN759" s="2">
        <v>-229.4</v>
      </c>
      <c r="AO759" s="2">
        <v>-229.4</v>
      </c>
      <c r="AP759" s="2">
        <v>0</v>
      </c>
      <c r="AQ759" s="2">
        <v>0</v>
      </c>
    </row>
    <row r="760" spans="1:43" x14ac:dyDescent="0.3">
      <c r="A760" s="1">
        <v>46125</v>
      </c>
      <c r="B760" t="s">
        <v>950</v>
      </c>
      <c r="C760">
        <v>792847</v>
      </c>
      <c r="D760">
        <v>2033602145</v>
      </c>
      <c r="E760" t="s">
        <v>969</v>
      </c>
      <c r="F760" t="s">
        <v>970</v>
      </c>
      <c r="G760" t="s">
        <v>51</v>
      </c>
      <c r="I760" t="s">
        <v>53</v>
      </c>
      <c r="J760" t="s">
        <v>54</v>
      </c>
      <c r="K760">
        <v>792847</v>
      </c>
      <c r="L760" t="s">
        <v>597</v>
      </c>
      <c r="M760" t="s">
        <v>599</v>
      </c>
      <c r="N760" t="s">
        <v>86</v>
      </c>
      <c r="O760" s="1">
        <v>46065</v>
      </c>
      <c r="P760" s="1">
        <v>46125</v>
      </c>
      <c r="R760" s="2">
        <v>0</v>
      </c>
      <c r="AB760" s="2">
        <v>204.78</v>
      </c>
      <c r="AC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68.260000000000005</v>
      </c>
      <c r="AN760" s="2">
        <v>-136.52000000000001</v>
      </c>
      <c r="AO760" s="2">
        <v>-136.52000000000001</v>
      </c>
      <c r="AP760" s="2">
        <v>0</v>
      </c>
      <c r="AQ760" s="2">
        <v>0</v>
      </c>
    </row>
    <row r="761" spans="1:43" x14ac:dyDescent="0.3">
      <c r="A761" s="1">
        <v>46125</v>
      </c>
      <c r="B761" t="s">
        <v>950</v>
      </c>
      <c r="C761">
        <v>902625</v>
      </c>
      <c r="D761">
        <v>2033625613</v>
      </c>
      <c r="E761" t="s">
        <v>974</v>
      </c>
      <c r="F761" t="s">
        <v>163</v>
      </c>
      <c r="G761" t="s">
        <v>51</v>
      </c>
      <c r="I761" t="s">
        <v>53</v>
      </c>
      <c r="J761" t="s">
        <v>94</v>
      </c>
      <c r="K761">
        <v>902625</v>
      </c>
      <c r="L761" t="s">
        <v>281</v>
      </c>
      <c r="M761" t="s">
        <v>282</v>
      </c>
      <c r="N761" t="s">
        <v>86</v>
      </c>
      <c r="O761" s="1">
        <v>46066</v>
      </c>
      <c r="P761" s="1">
        <v>46125</v>
      </c>
      <c r="R761" s="2">
        <v>0</v>
      </c>
      <c r="AB761" s="2">
        <v>29.34</v>
      </c>
      <c r="AC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4.8899999999999997</v>
      </c>
      <c r="AN761" s="2">
        <v>-24.45</v>
      </c>
      <c r="AO761" s="2">
        <v>-24.45</v>
      </c>
      <c r="AP761" s="2">
        <v>0</v>
      </c>
      <c r="AQ761" s="2">
        <v>0</v>
      </c>
    </row>
    <row r="762" spans="1:43" x14ac:dyDescent="0.3">
      <c r="A762" s="1">
        <v>46125</v>
      </c>
      <c r="B762" t="s">
        <v>950</v>
      </c>
      <c r="C762">
        <v>902625</v>
      </c>
      <c r="D762">
        <v>2033625614</v>
      </c>
      <c r="E762" t="s">
        <v>974</v>
      </c>
      <c r="F762" t="s">
        <v>163</v>
      </c>
      <c r="G762" t="s">
        <v>51</v>
      </c>
      <c r="I762" t="s">
        <v>444</v>
      </c>
      <c r="J762" t="s">
        <v>567</v>
      </c>
      <c r="K762">
        <v>902625</v>
      </c>
      <c r="L762" t="s">
        <v>281</v>
      </c>
      <c r="M762" t="s">
        <v>282</v>
      </c>
      <c r="N762" t="s">
        <v>86</v>
      </c>
      <c r="O762" s="1">
        <v>46066</v>
      </c>
      <c r="P762" s="1">
        <v>46125</v>
      </c>
      <c r="R762" s="2">
        <v>0</v>
      </c>
      <c r="AB762" s="2">
        <v>186.48</v>
      </c>
      <c r="AC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31.08</v>
      </c>
      <c r="AN762" s="2">
        <v>-155.4</v>
      </c>
      <c r="AO762" s="2">
        <v>-155.4</v>
      </c>
      <c r="AP762" s="2">
        <v>0</v>
      </c>
      <c r="AQ762" s="2">
        <v>0</v>
      </c>
    </row>
    <row r="763" spans="1:43" x14ac:dyDescent="0.3">
      <c r="A763" s="1">
        <v>46125</v>
      </c>
      <c r="B763" t="s">
        <v>950</v>
      </c>
      <c r="C763">
        <v>649163</v>
      </c>
      <c r="D763">
        <v>2033650828</v>
      </c>
      <c r="E763" t="s">
        <v>666</v>
      </c>
      <c r="F763" t="s">
        <v>667</v>
      </c>
      <c r="G763" t="s">
        <v>51</v>
      </c>
      <c r="I763" t="s">
        <v>53</v>
      </c>
      <c r="J763" t="s">
        <v>54</v>
      </c>
      <c r="K763">
        <v>649163</v>
      </c>
      <c r="L763" t="s">
        <v>262</v>
      </c>
      <c r="M763" t="s">
        <v>263</v>
      </c>
      <c r="N763" t="s">
        <v>86</v>
      </c>
      <c r="O763" s="1">
        <v>46067</v>
      </c>
      <c r="P763" s="1">
        <v>46125</v>
      </c>
      <c r="R763" s="2">
        <v>0</v>
      </c>
      <c r="AB763" s="2">
        <v>610.74</v>
      </c>
      <c r="AC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203.58</v>
      </c>
      <c r="AN763" s="2">
        <v>-407.16</v>
      </c>
      <c r="AO763" s="2">
        <v>-407.16</v>
      </c>
      <c r="AP763" s="2">
        <v>0</v>
      </c>
      <c r="AQ763" s="2">
        <v>0</v>
      </c>
    </row>
    <row r="764" spans="1:43" x14ac:dyDescent="0.3">
      <c r="A764" s="1">
        <v>46125</v>
      </c>
      <c r="B764" t="s">
        <v>950</v>
      </c>
      <c r="C764">
        <v>649163</v>
      </c>
      <c r="D764">
        <v>2033717644</v>
      </c>
      <c r="E764" t="s">
        <v>775</v>
      </c>
      <c r="F764" t="s">
        <v>202</v>
      </c>
      <c r="G764" t="s">
        <v>51</v>
      </c>
      <c r="I764" t="s">
        <v>499</v>
      </c>
      <c r="J764" t="s">
        <v>877</v>
      </c>
      <c r="K764">
        <v>649163</v>
      </c>
      <c r="L764" t="s">
        <v>307</v>
      </c>
      <c r="M764" t="s">
        <v>308</v>
      </c>
      <c r="N764" t="s">
        <v>86</v>
      </c>
      <c r="O764" s="1">
        <v>46072</v>
      </c>
      <c r="P764" s="1">
        <v>46125</v>
      </c>
      <c r="R764" s="2">
        <v>0</v>
      </c>
      <c r="AB764" s="2">
        <v>81.72</v>
      </c>
      <c r="AC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27.24</v>
      </c>
      <c r="AN764" s="2">
        <v>-54.48</v>
      </c>
      <c r="AO764" s="2">
        <v>-54.48</v>
      </c>
      <c r="AP764" s="2">
        <v>0</v>
      </c>
      <c r="AQ764" s="2">
        <v>0</v>
      </c>
    </row>
    <row r="765" spans="1:43" x14ac:dyDescent="0.3">
      <c r="A765" s="1">
        <v>46125</v>
      </c>
      <c r="B765" t="s">
        <v>950</v>
      </c>
      <c r="C765">
        <v>649163</v>
      </c>
      <c r="D765">
        <v>2033717645</v>
      </c>
      <c r="E765" t="s">
        <v>775</v>
      </c>
      <c r="F765" t="s">
        <v>202</v>
      </c>
      <c r="G765" t="s">
        <v>51</v>
      </c>
      <c r="I765" t="s">
        <v>499</v>
      </c>
      <c r="J765" t="s">
        <v>501</v>
      </c>
      <c r="K765">
        <v>649163</v>
      </c>
      <c r="L765" t="s">
        <v>307</v>
      </c>
      <c r="M765" t="s">
        <v>308</v>
      </c>
      <c r="N765" t="s">
        <v>86</v>
      </c>
      <c r="O765" s="1">
        <v>46072</v>
      </c>
      <c r="P765" s="1">
        <v>46125</v>
      </c>
      <c r="R765" s="2">
        <v>0</v>
      </c>
      <c r="AB765" s="2">
        <v>16.14</v>
      </c>
      <c r="AC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5.38</v>
      </c>
      <c r="AN765" s="2">
        <v>-10.76</v>
      </c>
      <c r="AO765" s="2">
        <v>-10.76</v>
      </c>
      <c r="AP765" s="2">
        <v>0</v>
      </c>
      <c r="AQ765" s="2">
        <v>0</v>
      </c>
    </row>
    <row r="766" spans="1:43" x14ac:dyDescent="0.3">
      <c r="A766" s="1">
        <v>46125</v>
      </c>
      <c r="B766" t="s">
        <v>950</v>
      </c>
      <c r="C766">
        <v>649163</v>
      </c>
      <c r="D766">
        <v>2033717646</v>
      </c>
      <c r="E766" t="s">
        <v>775</v>
      </c>
      <c r="F766" t="s">
        <v>202</v>
      </c>
      <c r="G766" t="s">
        <v>51</v>
      </c>
      <c r="I766" t="s">
        <v>475</v>
      </c>
      <c r="J766" t="s">
        <v>762</v>
      </c>
      <c r="K766">
        <v>649163</v>
      </c>
      <c r="L766" t="s">
        <v>307</v>
      </c>
      <c r="M766" t="s">
        <v>308</v>
      </c>
      <c r="N766" t="s">
        <v>86</v>
      </c>
      <c r="O766" s="1">
        <v>46072</v>
      </c>
      <c r="P766" s="1">
        <v>46125</v>
      </c>
      <c r="R766" s="2">
        <v>0</v>
      </c>
      <c r="AB766" s="2">
        <v>17.100000000000001</v>
      </c>
      <c r="AC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5.7</v>
      </c>
      <c r="AN766" s="2">
        <v>-11.4</v>
      </c>
      <c r="AO766" s="2">
        <v>-11.4</v>
      </c>
      <c r="AP766" s="2">
        <v>0</v>
      </c>
      <c r="AQ766" s="2">
        <v>0</v>
      </c>
    </row>
    <row r="767" spans="1:43" x14ac:dyDescent="0.3">
      <c r="A767" s="1">
        <v>46125</v>
      </c>
      <c r="B767" t="s">
        <v>950</v>
      </c>
      <c r="C767">
        <v>649163</v>
      </c>
      <c r="D767">
        <v>2034430398</v>
      </c>
      <c r="E767" t="s">
        <v>646</v>
      </c>
      <c r="F767" t="s">
        <v>548</v>
      </c>
      <c r="G767" t="s">
        <v>51</v>
      </c>
      <c r="I767" t="s">
        <v>444</v>
      </c>
      <c r="J767" t="s">
        <v>451</v>
      </c>
      <c r="K767">
        <v>649163</v>
      </c>
      <c r="L767" t="s">
        <v>115</v>
      </c>
      <c r="M767" t="s">
        <v>116</v>
      </c>
      <c r="N767" t="s">
        <v>86</v>
      </c>
      <c r="O767" s="1">
        <v>46113</v>
      </c>
      <c r="P767" s="1">
        <v>46125</v>
      </c>
      <c r="R767" s="2">
        <v>0</v>
      </c>
      <c r="AB767" s="2">
        <v>459.9</v>
      </c>
      <c r="AC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76.650000000000006</v>
      </c>
      <c r="AN767" s="2">
        <v>-383.25</v>
      </c>
      <c r="AO767" s="2">
        <v>-383.25</v>
      </c>
      <c r="AP767" s="2">
        <v>0</v>
      </c>
      <c r="AQ767" s="2">
        <v>0</v>
      </c>
    </row>
    <row r="768" spans="1:43" x14ac:dyDescent="0.3">
      <c r="A768" s="1">
        <v>46125</v>
      </c>
      <c r="B768" t="s">
        <v>950</v>
      </c>
      <c r="C768">
        <v>649163</v>
      </c>
      <c r="D768">
        <v>2034430399</v>
      </c>
      <c r="E768" t="s">
        <v>646</v>
      </c>
      <c r="F768" t="s">
        <v>548</v>
      </c>
      <c r="G768" t="s">
        <v>51</v>
      </c>
      <c r="I768" t="s">
        <v>53</v>
      </c>
      <c r="J768" t="s">
        <v>54</v>
      </c>
      <c r="K768">
        <v>649163</v>
      </c>
      <c r="L768" t="s">
        <v>115</v>
      </c>
      <c r="M768" t="s">
        <v>116</v>
      </c>
      <c r="N768" t="s">
        <v>86</v>
      </c>
      <c r="O768" s="1">
        <v>46113</v>
      </c>
      <c r="P768" s="1">
        <v>46125</v>
      </c>
      <c r="R768" s="2">
        <v>0</v>
      </c>
      <c r="AB768" s="2">
        <v>395.46</v>
      </c>
      <c r="AC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65.91</v>
      </c>
      <c r="AN768" s="2">
        <v>-329.55</v>
      </c>
      <c r="AO768" s="2">
        <v>-329.55</v>
      </c>
      <c r="AP768" s="2">
        <v>0</v>
      </c>
      <c r="AQ768" s="2">
        <v>0</v>
      </c>
    </row>
    <row r="769" spans="1:43" x14ac:dyDescent="0.3">
      <c r="A769" s="1">
        <v>46125</v>
      </c>
      <c r="B769" t="s">
        <v>950</v>
      </c>
      <c r="C769">
        <v>649163</v>
      </c>
      <c r="D769">
        <v>2034430400</v>
      </c>
      <c r="E769" t="s">
        <v>646</v>
      </c>
      <c r="F769" t="s">
        <v>548</v>
      </c>
      <c r="G769" t="s">
        <v>51</v>
      </c>
      <c r="I769" t="s">
        <v>483</v>
      </c>
      <c r="J769" t="s">
        <v>484</v>
      </c>
      <c r="K769">
        <v>649163</v>
      </c>
      <c r="L769" t="s">
        <v>115</v>
      </c>
      <c r="M769" t="s">
        <v>116</v>
      </c>
      <c r="N769" t="s">
        <v>86</v>
      </c>
      <c r="O769" s="1">
        <v>46113</v>
      </c>
      <c r="P769" s="1">
        <v>46125</v>
      </c>
      <c r="R769" s="2">
        <v>0</v>
      </c>
      <c r="AB769" s="2">
        <v>58.26</v>
      </c>
      <c r="AC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9.7100000000000009</v>
      </c>
      <c r="AN769" s="2">
        <v>-48.55</v>
      </c>
      <c r="AO769" s="2">
        <v>-48.55</v>
      </c>
      <c r="AP769" s="2">
        <v>0</v>
      </c>
      <c r="AQ769" s="2">
        <v>0</v>
      </c>
    </row>
    <row r="770" spans="1:43" x14ac:dyDescent="0.3">
      <c r="A770" s="1">
        <v>46125</v>
      </c>
      <c r="B770" t="s">
        <v>950</v>
      </c>
      <c r="C770">
        <v>767312</v>
      </c>
      <c r="D770">
        <v>2034527196</v>
      </c>
      <c r="E770" t="s">
        <v>975</v>
      </c>
      <c r="F770" t="s">
        <v>863</v>
      </c>
      <c r="G770" t="s">
        <v>51</v>
      </c>
      <c r="I770" t="s">
        <v>53</v>
      </c>
      <c r="J770" t="s">
        <v>54</v>
      </c>
      <c r="K770">
        <v>767312</v>
      </c>
      <c r="L770" t="s">
        <v>134</v>
      </c>
      <c r="M770" t="s">
        <v>98</v>
      </c>
      <c r="N770" t="s">
        <v>86</v>
      </c>
      <c r="O770" s="1">
        <v>46113</v>
      </c>
      <c r="P770" s="1">
        <v>46125</v>
      </c>
      <c r="R770" s="2">
        <v>0</v>
      </c>
      <c r="AB770" s="2">
        <v>0</v>
      </c>
      <c r="AC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</row>
    <row r="771" spans="1:43" x14ac:dyDescent="0.3">
      <c r="A771" s="1">
        <v>46125</v>
      </c>
      <c r="B771" t="s">
        <v>950</v>
      </c>
      <c r="C771">
        <v>862109</v>
      </c>
      <c r="D771">
        <v>2034528725</v>
      </c>
      <c r="E771" t="s">
        <v>976</v>
      </c>
      <c r="F771" t="s">
        <v>977</v>
      </c>
      <c r="G771" t="s">
        <v>51</v>
      </c>
      <c r="I771" t="s">
        <v>524</v>
      </c>
      <c r="J771" t="s">
        <v>525</v>
      </c>
      <c r="K771">
        <v>862109</v>
      </c>
      <c r="L771" t="s">
        <v>497</v>
      </c>
      <c r="M771" t="s">
        <v>498</v>
      </c>
      <c r="N771" t="s">
        <v>86</v>
      </c>
      <c r="O771" s="1">
        <v>46101</v>
      </c>
      <c r="P771" s="1">
        <v>46125</v>
      </c>
      <c r="R771" s="2">
        <v>0</v>
      </c>
      <c r="AB771" s="2">
        <v>0</v>
      </c>
      <c r="AC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</row>
    <row r="772" spans="1:43" x14ac:dyDescent="0.3">
      <c r="A772" s="1">
        <v>46125</v>
      </c>
      <c r="B772" t="s">
        <v>950</v>
      </c>
      <c r="C772">
        <v>862109</v>
      </c>
      <c r="D772">
        <v>2034528726</v>
      </c>
      <c r="E772" t="s">
        <v>976</v>
      </c>
      <c r="F772" t="s">
        <v>977</v>
      </c>
      <c r="G772" t="s">
        <v>51</v>
      </c>
      <c r="I772" t="s">
        <v>524</v>
      </c>
      <c r="J772" t="s">
        <v>527</v>
      </c>
      <c r="K772">
        <v>862109</v>
      </c>
      <c r="L772" t="s">
        <v>497</v>
      </c>
      <c r="M772" t="s">
        <v>498</v>
      </c>
      <c r="N772" t="s">
        <v>86</v>
      </c>
      <c r="O772" s="1">
        <v>46101</v>
      </c>
      <c r="P772" s="1">
        <v>46125</v>
      </c>
      <c r="R772" s="2">
        <v>0</v>
      </c>
      <c r="AB772" s="2">
        <v>0</v>
      </c>
      <c r="AC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</row>
    <row r="773" spans="1:43" x14ac:dyDescent="0.3">
      <c r="A773" s="1">
        <v>46125</v>
      </c>
      <c r="B773" t="s">
        <v>950</v>
      </c>
      <c r="C773">
        <v>862109</v>
      </c>
      <c r="D773">
        <v>2034528727</v>
      </c>
      <c r="E773" t="s">
        <v>976</v>
      </c>
      <c r="F773" t="s">
        <v>977</v>
      </c>
      <c r="G773" t="s">
        <v>51</v>
      </c>
      <c r="I773" t="s">
        <v>483</v>
      </c>
      <c r="J773" t="s">
        <v>484</v>
      </c>
      <c r="K773">
        <v>862109</v>
      </c>
      <c r="L773" t="s">
        <v>497</v>
      </c>
      <c r="M773" t="s">
        <v>498</v>
      </c>
      <c r="N773" t="s">
        <v>86</v>
      </c>
      <c r="O773" s="1">
        <v>46101</v>
      </c>
      <c r="P773" s="1">
        <v>46125</v>
      </c>
      <c r="R773" s="2">
        <v>0</v>
      </c>
      <c r="AB773" s="2">
        <v>0</v>
      </c>
      <c r="AC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</row>
    <row r="774" spans="1:43" x14ac:dyDescent="0.3">
      <c r="A774" s="1">
        <v>46125</v>
      </c>
      <c r="B774" t="s">
        <v>950</v>
      </c>
      <c r="C774">
        <v>862109</v>
      </c>
      <c r="D774">
        <v>2034528728</v>
      </c>
      <c r="E774" t="s">
        <v>976</v>
      </c>
      <c r="F774" t="s">
        <v>977</v>
      </c>
      <c r="G774" t="s">
        <v>51</v>
      </c>
      <c r="I774" t="s">
        <v>53</v>
      </c>
      <c r="J774" t="s">
        <v>54</v>
      </c>
      <c r="K774">
        <v>862109</v>
      </c>
      <c r="L774" t="s">
        <v>497</v>
      </c>
      <c r="M774" t="s">
        <v>498</v>
      </c>
      <c r="N774" t="s">
        <v>86</v>
      </c>
      <c r="O774" s="1">
        <v>46101</v>
      </c>
      <c r="P774" s="1">
        <v>46125</v>
      </c>
      <c r="R774" s="2">
        <v>0</v>
      </c>
      <c r="AB774" s="2">
        <v>0</v>
      </c>
      <c r="AC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</row>
    <row r="775" spans="1:43" x14ac:dyDescent="0.3">
      <c r="A775" s="1">
        <v>46125</v>
      </c>
      <c r="B775" t="s">
        <v>950</v>
      </c>
      <c r="C775">
        <v>862109</v>
      </c>
      <c r="D775">
        <v>2034528729</v>
      </c>
      <c r="E775" t="s">
        <v>976</v>
      </c>
      <c r="F775" t="s">
        <v>977</v>
      </c>
      <c r="G775" t="s">
        <v>51</v>
      </c>
      <c r="I775" t="s">
        <v>53</v>
      </c>
      <c r="J775" t="s">
        <v>65</v>
      </c>
      <c r="K775">
        <v>862109</v>
      </c>
      <c r="L775" t="s">
        <v>497</v>
      </c>
      <c r="M775" t="s">
        <v>498</v>
      </c>
      <c r="N775" t="s">
        <v>86</v>
      </c>
      <c r="O775" s="1">
        <v>46101</v>
      </c>
      <c r="P775" s="1">
        <v>46125</v>
      </c>
      <c r="R775" s="2">
        <v>0</v>
      </c>
      <c r="AB775" s="2">
        <v>0</v>
      </c>
      <c r="AC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</row>
    <row r="776" spans="1:43" x14ac:dyDescent="0.3">
      <c r="A776" s="1">
        <v>46125</v>
      </c>
      <c r="B776" t="s">
        <v>950</v>
      </c>
      <c r="C776">
        <v>651818</v>
      </c>
      <c r="D776">
        <v>2034555344</v>
      </c>
      <c r="E776" t="s">
        <v>978</v>
      </c>
      <c r="F776" t="s">
        <v>979</v>
      </c>
      <c r="G776" t="s">
        <v>51</v>
      </c>
      <c r="I776" t="s">
        <v>483</v>
      </c>
      <c r="J776" t="s">
        <v>484</v>
      </c>
      <c r="K776">
        <v>651818</v>
      </c>
      <c r="L776" t="s">
        <v>55</v>
      </c>
      <c r="M776" t="s">
        <v>56</v>
      </c>
      <c r="N776" t="s">
        <v>86</v>
      </c>
      <c r="O776" s="1">
        <v>46107</v>
      </c>
      <c r="P776" s="1">
        <v>46125</v>
      </c>
      <c r="R776" s="2">
        <v>0</v>
      </c>
      <c r="AB776" s="2">
        <v>115.68</v>
      </c>
      <c r="AC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19.28</v>
      </c>
      <c r="AN776" s="2">
        <v>-96.4</v>
      </c>
      <c r="AO776" s="2">
        <v>-96.4</v>
      </c>
      <c r="AP776" s="2">
        <v>0</v>
      </c>
      <c r="AQ776" s="2">
        <v>0</v>
      </c>
    </row>
    <row r="777" spans="1:43" x14ac:dyDescent="0.3">
      <c r="A777" s="1">
        <v>46125</v>
      </c>
      <c r="B777" t="s">
        <v>950</v>
      </c>
      <c r="C777">
        <v>651818</v>
      </c>
      <c r="D777">
        <v>2034555345</v>
      </c>
      <c r="E777" t="s">
        <v>978</v>
      </c>
      <c r="F777" t="s">
        <v>979</v>
      </c>
      <c r="G777" t="s">
        <v>51</v>
      </c>
      <c r="I777" t="s">
        <v>444</v>
      </c>
      <c r="J777" t="s">
        <v>445</v>
      </c>
      <c r="K777">
        <v>651818</v>
      </c>
      <c r="L777" t="s">
        <v>55</v>
      </c>
      <c r="M777" t="s">
        <v>56</v>
      </c>
      <c r="N777" t="s">
        <v>86</v>
      </c>
      <c r="O777" s="1">
        <v>46107</v>
      </c>
      <c r="P777" s="1">
        <v>46125</v>
      </c>
      <c r="R777" s="2">
        <v>0</v>
      </c>
      <c r="AB777" s="2">
        <v>48.18</v>
      </c>
      <c r="AC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8.0299999999999994</v>
      </c>
      <c r="AN777" s="2">
        <v>-40.15</v>
      </c>
      <c r="AO777" s="2">
        <v>-40.15</v>
      </c>
      <c r="AP777" s="2">
        <v>0</v>
      </c>
      <c r="AQ777" s="2">
        <v>0</v>
      </c>
    </row>
    <row r="778" spans="1:43" x14ac:dyDescent="0.3">
      <c r="A778" s="1">
        <v>46125</v>
      </c>
      <c r="B778" t="s">
        <v>950</v>
      </c>
      <c r="C778">
        <v>649163</v>
      </c>
      <c r="D778">
        <v>2034588311</v>
      </c>
      <c r="E778" t="s">
        <v>647</v>
      </c>
      <c r="F778" t="s">
        <v>310</v>
      </c>
      <c r="G778" t="s">
        <v>51</v>
      </c>
      <c r="I778" t="s">
        <v>53</v>
      </c>
      <c r="J778" t="s">
        <v>97</v>
      </c>
      <c r="K778">
        <v>649163</v>
      </c>
      <c r="L778" t="s">
        <v>281</v>
      </c>
      <c r="M778" t="s">
        <v>282</v>
      </c>
      <c r="N778" t="s">
        <v>86</v>
      </c>
      <c r="O778" s="1">
        <v>46108</v>
      </c>
      <c r="P778" s="1">
        <v>46125</v>
      </c>
      <c r="R778" s="2">
        <v>0</v>
      </c>
      <c r="AB778" s="2">
        <v>103.38</v>
      </c>
      <c r="AC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17.23</v>
      </c>
      <c r="AN778" s="2">
        <v>-86.15</v>
      </c>
      <c r="AO778" s="2">
        <v>-86.15</v>
      </c>
      <c r="AP778" s="2">
        <v>0</v>
      </c>
      <c r="AQ778" s="2">
        <v>0</v>
      </c>
    </row>
    <row r="779" spans="1:43" x14ac:dyDescent="0.3">
      <c r="A779" s="1">
        <v>46125</v>
      </c>
      <c r="B779" t="s">
        <v>950</v>
      </c>
      <c r="C779">
        <v>649163</v>
      </c>
      <c r="D779">
        <v>2034588312</v>
      </c>
      <c r="E779" t="s">
        <v>647</v>
      </c>
      <c r="F779" t="s">
        <v>310</v>
      </c>
      <c r="G779" t="s">
        <v>51</v>
      </c>
      <c r="I779" t="s">
        <v>444</v>
      </c>
      <c r="J779" t="s">
        <v>567</v>
      </c>
      <c r="K779">
        <v>649163</v>
      </c>
      <c r="L779" t="s">
        <v>281</v>
      </c>
      <c r="M779" t="s">
        <v>282</v>
      </c>
      <c r="N779" t="s">
        <v>86</v>
      </c>
      <c r="O779" s="1">
        <v>46108</v>
      </c>
      <c r="P779" s="1">
        <v>46125</v>
      </c>
      <c r="R779" s="2">
        <v>0</v>
      </c>
      <c r="AB779" s="2">
        <v>500.88</v>
      </c>
      <c r="AC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83.48</v>
      </c>
      <c r="AN779" s="2">
        <v>-417.4</v>
      </c>
      <c r="AO779" s="2">
        <v>-417.4</v>
      </c>
      <c r="AP779" s="2">
        <v>0</v>
      </c>
      <c r="AQ779" s="2">
        <v>0</v>
      </c>
    </row>
    <row r="780" spans="1:43" x14ac:dyDescent="0.3">
      <c r="A780" s="1">
        <v>46125</v>
      </c>
      <c r="B780" t="s">
        <v>950</v>
      </c>
      <c r="C780">
        <v>649163</v>
      </c>
      <c r="D780">
        <v>2034615252</v>
      </c>
      <c r="E780" t="s">
        <v>648</v>
      </c>
      <c r="F780" t="s">
        <v>649</v>
      </c>
      <c r="G780" t="s">
        <v>51</v>
      </c>
      <c r="I780" t="s">
        <v>53</v>
      </c>
      <c r="J780" t="s">
        <v>54</v>
      </c>
      <c r="K780">
        <v>649163</v>
      </c>
      <c r="L780" t="s">
        <v>146</v>
      </c>
      <c r="M780" t="s">
        <v>147</v>
      </c>
      <c r="N780" t="s">
        <v>86</v>
      </c>
      <c r="O780" s="1">
        <v>46117</v>
      </c>
      <c r="P780" s="1">
        <v>46125</v>
      </c>
      <c r="R780" s="2">
        <v>0</v>
      </c>
      <c r="AB780" s="2">
        <v>142.80000000000001</v>
      </c>
      <c r="AC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23.8</v>
      </c>
      <c r="AN780" s="2">
        <v>-119</v>
      </c>
      <c r="AO780" s="2">
        <v>-119</v>
      </c>
      <c r="AP780" s="2">
        <v>0</v>
      </c>
      <c r="AQ780" s="2">
        <v>0</v>
      </c>
    </row>
    <row r="781" spans="1:43" x14ac:dyDescent="0.3">
      <c r="A781" s="1">
        <v>46125</v>
      </c>
      <c r="B781" t="s">
        <v>950</v>
      </c>
      <c r="C781">
        <v>649163</v>
      </c>
      <c r="D781">
        <v>2034615253</v>
      </c>
      <c r="E781" t="s">
        <v>648</v>
      </c>
      <c r="F781" t="s">
        <v>649</v>
      </c>
      <c r="G781" t="s">
        <v>51</v>
      </c>
      <c r="I781" t="s">
        <v>444</v>
      </c>
      <c r="J781" t="s">
        <v>567</v>
      </c>
      <c r="K781">
        <v>649163</v>
      </c>
      <c r="L781" t="s">
        <v>146</v>
      </c>
      <c r="M781" t="s">
        <v>147</v>
      </c>
      <c r="N781" t="s">
        <v>86</v>
      </c>
      <c r="O781" s="1">
        <v>46117</v>
      </c>
      <c r="P781" s="1">
        <v>46125</v>
      </c>
      <c r="R781" s="2">
        <v>0</v>
      </c>
      <c r="AB781" s="2">
        <v>456.36</v>
      </c>
      <c r="AC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76.06</v>
      </c>
      <c r="AN781" s="2">
        <v>-380.3</v>
      </c>
      <c r="AO781" s="2">
        <v>-380.3</v>
      </c>
      <c r="AP781" s="2">
        <v>0</v>
      </c>
      <c r="AQ781" s="2">
        <v>0</v>
      </c>
    </row>
    <row r="782" spans="1:43" x14ac:dyDescent="0.3">
      <c r="A782" s="1">
        <v>46125</v>
      </c>
      <c r="B782" t="s">
        <v>950</v>
      </c>
      <c r="C782">
        <v>649163</v>
      </c>
      <c r="D782">
        <v>2034686259</v>
      </c>
      <c r="E782" t="s">
        <v>718</v>
      </c>
      <c r="F782" t="s">
        <v>719</v>
      </c>
      <c r="G782" t="s">
        <v>51</v>
      </c>
      <c r="I782" t="s">
        <v>524</v>
      </c>
      <c r="J782" t="s">
        <v>720</v>
      </c>
      <c r="K782">
        <v>649163</v>
      </c>
      <c r="L782" t="s">
        <v>441</v>
      </c>
      <c r="M782" t="s">
        <v>442</v>
      </c>
      <c r="N782" t="s">
        <v>86</v>
      </c>
      <c r="O782" s="1">
        <v>46113</v>
      </c>
      <c r="P782" s="1">
        <v>46125</v>
      </c>
      <c r="R782" s="2">
        <v>0</v>
      </c>
      <c r="AB782" s="2">
        <v>0</v>
      </c>
      <c r="AC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</row>
    <row r="783" spans="1:43" x14ac:dyDescent="0.3">
      <c r="A783" s="1">
        <v>46125</v>
      </c>
      <c r="B783" t="s">
        <v>950</v>
      </c>
      <c r="C783">
        <v>649163</v>
      </c>
      <c r="D783">
        <v>2034686260</v>
      </c>
      <c r="E783" t="s">
        <v>718</v>
      </c>
      <c r="F783" t="s">
        <v>719</v>
      </c>
      <c r="G783" t="s">
        <v>51</v>
      </c>
      <c r="I783" t="s">
        <v>524</v>
      </c>
      <c r="J783" t="s">
        <v>722</v>
      </c>
      <c r="K783">
        <v>649163</v>
      </c>
      <c r="L783" t="s">
        <v>441</v>
      </c>
      <c r="M783" t="s">
        <v>442</v>
      </c>
      <c r="N783" t="s">
        <v>86</v>
      </c>
      <c r="O783" s="1">
        <v>46113</v>
      </c>
      <c r="P783" s="1">
        <v>46125</v>
      </c>
      <c r="R783" s="2">
        <v>0</v>
      </c>
      <c r="AB783" s="2">
        <v>0</v>
      </c>
      <c r="AC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</row>
    <row r="784" spans="1:43" x14ac:dyDescent="0.3">
      <c r="A784" s="1">
        <v>46125</v>
      </c>
      <c r="B784" t="s">
        <v>950</v>
      </c>
      <c r="C784">
        <v>649163</v>
      </c>
      <c r="D784">
        <v>2034686261</v>
      </c>
      <c r="E784" t="s">
        <v>718</v>
      </c>
      <c r="F784" t="s">
        <v>719</v>
      </c>
      <c r="G784" t="s">
        <v>51</v>
      </c>
      <c r="I784" t="s">
        <v>475</v>
      </c>
      <c r="J784" t="s">
        <v>482</v>
      </c>
      <c r="K784">
        <v>649163</v>
      </c>
      <c r="L784" t="s">
        <v>441</v>
      </c>
      <c r="M784" t="s">
        <v>442</v>
      </c>
      <c r="N784" t="s">
        <v>86</v>
      </c>
      <c r="O784" s="1">
        <v>46113</v>
      </c>
      <c r="P784" s="1">
        <v>46125</v>
      </c>
      <c r="R784" s="2">
        <v>0</v>
      </c>
      <c r="AB784" s="2">
        <v>0</v>
      </c>
      <c r="AC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F349-E27D-4A27-B969-058C2094C68B}">
  <dimension ref="A1:BC613"/>
  <sheetViews>
    <sheetView topLeftCell="G573" workbookViewId="0">
      <selection activeCell="Y2" sqref="Y2:Y613"/>
    </sheetView>
  </sheetViews>
  <sheetFormatPr defaultRowHeight="14.4" x14ac:dyDescent="0.3"/>
  <cols>
    <col min="1" max="1" width="11" bestFit="1" customWidth="1"/>
    <col min="2" max="2" width="12.6640625" customWidth="1"/>
    <col min="3" max="4" width="13" customWidth="1"/>
    <col min="5" max="5" width="5.5546875" bestFit="1" customWidth="1"/>
    <col min="6" max="6" width="12.5546875" customWidth="1"/>
    <col min="7" max="7" width="8.21875" customWidth="1"/>
    <col min="8" max="8" width="23.6640625" customWidth="1"/>
    <col min="9" max="9" width="21.44140625" customWidth="1"/>
    <col min="10" max="10" width="15.6640625" bestFit="1" customWidth="1"/>
    <col min="11" max="11" width="11.77734375" customWidth="1"/>
    <col min="12" max="13" width="10.77734375" customWidth="1"/>
    <col min="14" max="14" width="8.77734375" customWidth="1"/>
    <col min="15" max="15" width="13.21875" customWidth="1"/>
    <col min="16" max="16" width="9.77734375" customWidth="1"/>
    <col min="17" max="17" width="9.77734375" style="21" customWidth="1"/>
    <col min="18" max="19" width="9.77734375" customWidth="1"/>
    <col min="20" max="20" width="16" bestFit="1" customWidth="1"/>
    <col min="21" max="21" width="7.44140625" bestFit="1" customWidth="1"/>
    <col min="22" max="22" width="12.6640625" bestFit="1" customWidth="1"/>
    <col min="23" max="23" width="8.33203125" bestFit="1" customWidth="1"/>
    <col min="24" max="24" width="7.44140625" customWidth="1"/>
    <col min="25" max="25" width="10.88671875" customWidth="1"/>
  </cols>
  <sheetData>
    <row r="1" spans="1:55" x14ac:dyDescent="0.3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21</v>
      </c>
      <c r="H1" t="s">
        <v>9</v>
      </c>
      <c r="J1" t="s">
        <v>10</v>
      </c>
      <c r="K1" t="s">
        <v>11</v>
      </c>
      <c r="L1" t="s">
        <v>12</v>
      </c>
      <c r="N1" t="s">
        <v>13</v>
      </c>
      <c r="O1" t="s">
        <v>14</v>
      </c>
      <c r="P1" t="s">
        <v>16</v>
      </c>
      <c r="T1" t="s">
        <v>17</v>
      </c>
      <c r="U1" t="s">
        <v>18</v>
      </c>
      <c r="V1" t="s">
        <v>19</v>
      </c>
      <c r="W1" t="s">
        <v>24</v>
      </c>
      <c r="X1" t="s">
        <v>25</v>
      </c>
      <c r="Y1" t="s">
        <v>37</v>
      </c>
    </row>
    <row r="2" spans="1:55" x14ac:dyDescent="0.3">
      <c r="A2" s="5">
        <v>2034324485</v>
      </c>
      <c r="B2" s="5" t="s">
        <v>778</v>
      </c>
      <c r="C2" s="5" t="s">
        <v>779</v>
      </c>
      <c r="D2" s="5" t="str">
        <f>CONCATENATE(C2," ",B2)</f>
        <v>MAGDALENA GUTIERREZ</v>
      </c>
      <c r="E2" s="5" t="s">
        <v>80</v>
      </c>
      <c r="F2" s="5" t="s">
        <v>499</v>
      </c>
      <c r="G2" s="17">
        <v>0.38</v>
      </c>
      <c r="H2" s="5" t="s">
        <v>500</v>
      </c>
      <c r="I2" s="18" t="s">
        <v>500</v>
      </c>
      <c r="J2" s="19" t="s">
        <v>990</v>
      </c>
      <c r="K2" s="5" t="s">
        <v>441</v>
      </c>
      <c r="L2" s="5" t="s">
        <v>442</v>
      </c>
      <c r="M2" s="5" t="str">
        <f>CONCATENATE(L2," ",K2)</f>
        <v>Anthony Hunsberger</v>
      </c>
      <c r="N2" s="5" t="s">
        <v>57</v>
      </c>
      <c r="O2" s="6">
        <v>46097</v>
      </c>
      <c r="P2" s="6">
        <v>46158</v>
      </c>
      <c r="Q2" s="22">
        <f>DATEDIF(O2,P2,"M")</f>
        <v>2</v>
      </c>
      <c r="R2" s="6" t="s">
        <v>536</v>
      </c>
      <c r="S2" s="6" t="s">
        <v>1036</v>
      </c>
      <c r="T2" s="7">
        <v>486.8</v>
      </c>
      <c r="U2" s="5">
        <v>1</v>
      </c>
      <c r="V2" s="5" t="s">
        <v>58</v>
      </c>
      <c r="W2" s="5" t="s">
        <v>60</v>
      </c>
      <c r="X2" s="5" t="s">
        <v>61</v>
      </c>
      <c r="Y2" s="7">
        <v>184.98</v>
      </c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</row>
    <row r="3" spans="1:55" x14ac:dyDescent="0.3">
      <c r="A3" s="5">
        <v>2034324486</v>
      </c>
      <c r="B3" s="5" t="s">
        <v>778</v>
      </c>
      <c r="C3" s="5" t="s">
        <v>779</v>
      </c>
      <c r="D3" s="5" t="str">
        <f t="shared" ref="D3:D66" si="0">CONCATENATE(C3," ",B3)</f>
        <v>MAGDALENA GUTIERREZ</v>
      </c>
      <c r="E3" s="5" t="s">
        <v>80</v>
      </c>
      <c r="F3" s="5" t="s">
        <v>499</v>
      </c>
      <c r="G3" s="17">
        <v>0.38</v>
      </c>
      <c r="H3" s="5" t="s">
        <v>501</v>
      </c>
      <c r="I3" s="18" t="s">
        <v>500</v>
      </c>
      <c r="J3" s="19" t="s">
        <v>990</v>
      </c>
      <c r="K3" s="5" t="s">
        <v>441</v>
      </c>
      <c r="L3" s="5" t="s">
        <v>442</v>
      </c>
      <c r="M3" s="5" t="str">
        <f>CONCATENATE(L3," ",K3)</f>
        <v>Anthony Hunsberger</v>
      </c>
      <c r="N3" s="5" t="s">
        <v>57</v>
      </c>
      <c r="O3" s="6">
        <v>46097</v>
      </c>
      <c r="P3" s="6">
        <v>46158</v>
      </c>
      <c r="Q3" s="22">
        <f>DATEDIF(O3,P3,"M")</f>
        <v>2</v>
      </c>
      <c r="R3" s="6" t="s">
        <v>536</v>
      </c>
      <c r="S3" s="6" t="s">
        <v>1036</v>
      </c>
      <c r="T3" s="7">
        <v>7.09</v>
      </c>
      <c r="U3" s="5">
        <v>1</v>
      </c>
      <c r="V3" s="5" t="s">
        <v>58</v>
      </c>
      <c r="W3" s="5" t="s">
        <v>60</v>
      </c>
      <c r="X3" s="5" t="s">
        <v>61</v>
      </c>
      <c r="Y3" s="7">
        <v>2.69</v>
      </c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</row>
    <row r="4" spans="1:55" x14ac:dyDescent="0.3">
      <c r="A4" s="5">
        <v>2034324488</v>
      </c>
      <c r="B4" s="5" t="s">
        <v>778</v>
      </c>
      <c r="C4" s="5" t="s">
        <v>779</v>
      </c>
      <c r="D4" s="5" t="str">
        <f t="shared" si="0"/>
        <v>MAGDALENA GUTIERREZ</v>
      </c>
      <c r="E4" s="5" t="s">
        <v>80</v>
      </c>
      <c r="F4" s="5" t="s">
        <v>475</v>
      </c>
      <c r="G4" s="17">
        <v>0.38</v>
      </c>
      <c r="H4" s="5" t="s">
        <v>476</v>
      </c>
      <c r="I4" s="18" t="s">
        <v>476</v>
      </c>
      <c r="J4" s="19" t="s">
        <v>990</v>
      </c>
      <c r="K4" s="5" t="s">
        <v>441</v>
      </c>
      <c r="L4" s="5" t="s">
        <v>442</v>
      </c>
      <c r="M4" s="5" t="str">
        <f>CONCATENATE(L4," ",K4)</f>
        <v>Anthony Hunsberger</v>
      </c>
      <c r="N4" s="5" t="s">
        <v>57</v>
      </c>
      <c r="O4" s="6">
        <v>46097</v>
      </c>
      <c r="P4" s="6">
        <v>46158</v>
      </c>
      <c r="Q4" s="22">
        <f>DATEDIF(O4,P4,"M")</f>
        <v>2</v>
      </c>
      <c r="R4" s="6" t="s">
        <v>536</v>
      </c>
      <c r="S4" s="6" t="s">
        <v>1036</v>
      </c>
      <c r="T4" s="7">
        <v>15</v>
      </c>
      <c r="U4" s="5">
        <v>1</v>
      </c>
      <c r="V4" s="5" t="s">
        <v>58</v>
      </c>
      <c r="W4" s="5" t="s">
        <v>60</v>
      </c>
      <c r="X4" s="5" t="s">
        <v>61</v>
      </c>
      <c r="Y4" s="7">
        <v>5.7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</row>
    <row r="5" spans="1:55" x14ac:dyDescent="0.3">
      <c r="A5" s="5">
        <v>2034324487</v>
      </c>
      <c r="B5" s="5" t="s">
        <v>778</v>
      </c>
      <c r="C5" s="5" t="s">
        <v>779</v>
      </c>
      <c r="D5" s="5" t="str">
        <f t="shared" si="0"/>
        <v>MAGDALENA GUTIERREZ</v>
      </c>
      <c r="E5" s="5" t="s">
        <v>80</v>
      </c>
      <c r="F5" s="5" t="s">
        <v>475</v>
      </c>
      <c r="G5" s="17">
        <v>0.38</v>
      </c>
      <c r="H5" s="5" t="s">
        <v>780</v>
      </c>
      <c r="I5" s="18" t="s">
        <v>476</v>
      </c>
      <c r="J5" s="19" t="s">
        <v>990</v>
      </c>
      <c r="K5" s="5" t="s">
        <v>441</v>
      </c>
      <c r="L5" s="5" t="s">
        <v>442</v>
      </c>
      <c r="M5" s="5" t="str">
        <f>CONCATENATE(L5," ",K5)</f>
        <v>Anthony Hunsberger</v>
      </c>
      <c r="N5" s="5" t="s">
        <v>57</v>
      </c>
      <c r="O5" s="6">
        <v>46097</v>
      </c>
      <c r="P5" s="6">
        <v>46158</v>
      </c>
      <c r="Q5" s="22">
        <f>DATEDIF(O5,P5,"M")</f>
        <v>2</v>
      </c>
      <c r="R5" s="6" t="s">
        <v>536</v>
      </c>
      <c r="S5" s="6" t="s">
        <v>1036</v>
      </c>
      <c r="T5" s="7">
        <v>98.41</v>
      </c>
      <c r="U5" s="5">
        <v>1</v>
      </c>
      <c r="V5" s="5" t="s">
        <v>58</v>
      </c>
      <c r="W5" s="5" t="s">
        <v>60</v>
      </c>
      <c r="X5" s="5" t="s">
        <v>61</v>
      </c>
      <c r="Y5" s="7">
        <v>37.4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</row>
    <row r="6" spans="1:55" x14ac:dyDescent="0.3">
      <c r="A6" s="5">
        <v>2033916971</v>
      </c>
      <c r="B6" s="5" t="s">
        <v>250</v>
      </c>
      <c r="C6" s="5" t="s">
        <v>635</v>
      </c>
      <c r="D6" s="5" t="str">
        <f t="shared" si="0"/>
        <v>CARMYIA SCOTT</v>
      </c>
      <c r="E6" s="5" t="s">
        <v>93</v>
      </c>
      <c r="F6" s="5" t="s">
        <v>53</v>
      </c>
      <c r="G6" s="17">
        <v>0.7</v>
      </c>
      <c r="H6" s="5" t="s">
        <v>97</v>
      </c>
      <c r="I6" s="18" t="s">
        <v>117</v>
      </c>
      <c r="J6" s="19" t="s">
        <v>987</v>
      </c>
      <c r="K6" s="5" t="s">
        <v>281</v>
      </c>
      <c r="L6" s="5" t="s">
        <v>282</v>
      </c>
      <c r="M6" s="5" t="str">
        <f>CONCATENATE(L6," ",K6)</f>
        <v>Brittany Oliver</v>
      </c>
      <c r="N6" s="5" t="s">
        <v>57</v>
      </c>
      <c r="O6" s="6">
        <v>46079</v>
      </c>
      <c r="P6" s="6">
        <v>46138</v>
      </c>
      <c r="Q6" s="22">
        <f>DATEDIF(O6,P6,"M")</f>
        <v>2</v>
      </c>
      <c r="R6" s="6" t="s">
        <v>536</v>
      </c>
      <c r="S6" s="6" t="s">
        <v>1036</v>
      </c>
      <c r="T6" s="7">
        <v>24.61</v>
      </c>
      <c r="U6" s="5">
        <v>1</v>
      </c>
      <c r="V6" s="5" t="s">
        <v>58</v>
      </c>
      <c r="W6" s="5" t="s">
        <v>60</v>
      </c>
      <c r="X6" s="5" t="s">
        <v>61</v>
      </c>
      <c r="Y6" s="7">
        <v>17.23</v>
      </c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</row>
    <row r="7" spans="1:55" x14ac:dyDescent="0.3">
      <c r="A7" s="5">
        <v>2033916972</v>
      </c>
      <c r="B7" s="5" t="s">
        <v>250</v>
      </c>
      <c r="C7" s="5" t="s">
        <v>635</v>
      </c>
      <c r="D7" s="5" t="str">
        <f t="shared" si="0"/>
        <v>CARMYIA SCOTT</v>
      </c>
      <c r="E7" s="5" t="s">
        <v>93</v>
      </c>
      <c r="F7" s="5" t="s">
        <v>444</v>
      </c>
      <c r="G7" s="17">
        <v>0.9</v>
      </c>
      <c r="H7" s="5" t="s">
        <v>567</v>
      </c>
      <c r="I7" s="18" t="s">
        <v>981</v>
      </c>
      <c r="J7" s="19" t="s">
        <v>987</v>
      </c>
      <c r="K7" s="5" t="s">
        <v>281</v>
      </c>
      <c r="L7" s="5" t="s">
        <v>282</v>
      </c>
      <c r="M7" s="5" t="str">
        <f>CONCATENATE(L7," ",K7)</f>
        <v>Brittany Oliver</v>
      </c>
      <c r="N7" s="5" t="s">
        <v>57</v>
      </c>
      <c r="O7" s="6">
        <v>46079</v>
      </c>
      <c r="P7" s="6">
        <v>46138</v>
      </c>
      <c r="Q7" s="22">
        <f>DATEDIF(O7,P7,"M")</f>
        <v>2</v>
      </c>
      <c r="R7" s="6" t="s">
        <v>536</v>
      </c>
      <c r="S7" s="6" t="s">
        <v>1036</v>
      </c>
      <c r="T7" s="7">
        <v>17.8</v>
      </c>
      <c r="U7" s="5">
        <v>1</v>
      </c>
      <c r="V7" s="5" t="s">
        <v>58</v>
      </c>
      <c r="W7" s="5" t="s">
        <v>60</v>
      </c>
      <c r="X7" s="5" t="s">
        <v>61</v>
      </c>
      <c r="Y7" s="7">
        <v>16.02</v>
      </c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</row>
    <row r="8" spans="1:55" x14ac:dyDescent="0.3">
      <c r="A8" s="5">
        <v>2033720704</v>
      </c>
      <c r="B8" s="5" t="s">
        <v>631</v>
      </c>
      <c r="C8" s="5" t="s">
        <v>632</v>
      </c>
      <c r="D8" s="5" t="str">
        <f t="shared" si="0"/>
        <v>DESERREA DAWSON</v>
      </c>
      <c r="E8" s="5" t="s">
        <v>70</v>
      </c>
      <c r="F8" s="5" t="s">
        <v>444</v>
      </c>
      <c r="G8" s="17">
        <v>0.9</v>
      </c>
      <c r="H8" s="5" t="s">
        <v>567</v>
      </c>
      <c r="I8" s="18" t="s">
        <v>981</v>
      </c>
      <c r="J8" s="19" t="s">
        <v>987</v>
      </c>
      <c r="K8" s="5" t="s">
        <v>281</v>
      </c>
      <c r="L8" s="5" t="s">
        <v>282</v>
      </c>
      <c r="M8" s="5" t="str">
        <f>CONCATENATE(L8," ",K8)</f>
        <v>Brittany Oliver</v>
      </c>
      <c r="N8" s="5" t="s">
        <v>57</v>
      </c>
      <c r="O8" s="6">
        <v>46081</v>
      </c>
      <c r="P8" s="6">
        <v>46140</v>
      </c>
      <c r="Q8" s="22">
        <f>DATEDIF(O8,P8,"M")</f>
        <v>2</v>
      </c>
      <c r="R8" s="6" t="s">
        <v>536</v>
      </c>
      <c r="S8" s="6" t="s">
        <v>1036</v>
      </c>
      <c r="T8" s="7">
        <v>21.33</v>
      </c>
      <c r="U8" s="5">
        <v>1</v>
      </c>
      <c r="V8" s="5" t="s">
        <v>58</v>
      </c>
      <c r="W8" s="5" t="s">
        <v>60</v>
      </c>
      <c r="X8" s="5" t="s">
        <v>61</v>
      </c>
      <c r="Y8" s="7">
        <v>19.2</v>
      </c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</row>
    <row r="9" spans="1:55" x14ac:dyDescent="0.3">
      <c r="A9" s="5">
        <v>2033916973</v>
      </c>
      <c r="B9" s="5" t="s">
        <v>250</v>
      </c>
      <c r="C9" s="5" t="s">
        <v>635</v>
      </c>
      <c r="D9" s="5" t="str">
        <f t="shared" si="0"/>
        <v>CARMYIA SCOTT</v>
      </c>
      <c r="E9" s="5" t="s">
        <v>93</v>
      </c>
      <c r="F9" s="5" t="s">
        <v>53</v>
      </c>
      <c r="G9" s="17">
        <v>0.42</v>
      </c>
      <c r="H9" s="5" t="s">
        <v>94</v>
      </c>
      <c r="I9" s="18" t="s">
        <v>94</v>
      </c>
      <c r="J9" s="19" t="s">
        <v>987</v>
      </c>
      <c r="K9" s="5" t="s">
        <v>281</v>
      </c>
      <c r="L9" s="5" t="s">
        <v>282</v>
      </c>
      <c r="M9" s="5" t="str">
        <f>CONCATENATE(L9," ",K9)</f>
        <v>Brittany Oliver</v>
      </c>
      <c r="N9" s="5" t="s">
        <v>57</v>
      </c>
      <c r="O9" s="6">
        <v>46079</v>
      </c>
      <c r="P9" s="6">
        <v>46138</v>
      </c>
      <c r="Q9" s="22">
        <f>DATEDIF(O9,P9,"M")</f>
        <v>2</v>
      </c>
      <c r="R9" s="6" t="s">
        <v>536</v>
      </c>
      <c r="S9" s="6" t="s">
        <v>1036</v>
      </c>
      <c r="T9" s="7">
        <v>21.08</v>
      </c>
      <c r="U9" s="5">
        <v>1</v>
      </c>
      <c r="V9" s="5" t="s">
        <v>58</v>
      </c>
      <c r="W9" s="5" t="s">
        <v>60</v>
      </c>
      <c r="X9" s="5" t="s">
        <v>61</v>
      </c>
      <c r="Y9" s="7">
        <v>8.85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</row>
    <row r="10" spans="1:55" x14ac:dyDescent="0.3">
      <c r="A10" s="5">
        <v>2033720703</v>
      </c>
      <c r="B10" s="5" t="s">
        <v>631</v>
      </c>
      <c r="C10" s="5" t="s">
        <v>632</v>
      </c>
      <c r="D10" s="5" t="str">
        <f t="shared" si="0"/>
        <v>DESERREA DAWSON</v>
      </c>
      <c r="E10" s="5" t="s">
        <v>70</v>
      </c>
      <c r="F10" s="5" t="s">
        <v>53</v>
      </c>
      <c r="G10" s="17">
        <v>0.7</v>
      </c>
      <c r="H10" s="5" t="s">
        <v>54</v>
      </c>
      <c r="I10" s="18" t="s">
        <v>54</v>
      </c>
      <c r="J10" s="19" t="s">
        <v>987</v>
      </c>
      <c r="K10" s="5" t="s">
        <v>281</v>
      </c>
      <c r="L10" s="5" t="s">
        <v>282</v>
      </c>
      <c r="M10" s="5" t="str">
        <f>CONCATENATE(L10," ",K10)</f>
        <v>Brittany Oliver</v>
      </c>
      <c r="N10" s="5" t="s">
        <v>57</v>
      </c>
      <c r="O10" s="6">
        <v>46081</v>
      </c>
      <c r="P10" s="6">
        <v>46140</v>
      </c>
      <c r="Q10" s="22">
        <f>DATEDIF(O10,P10,"M")</f>
        <v>2</v>
      </c>
      <c r="R10" s="6" t="s">
        <v>536</v>
      </c>
      <c r="S10" s="6" t="s">
        <v>1036</v>
      </c>
      <c r="T10" s="7">
        <v>13</v>
      </c>
      <c r="U10" s="5">
        <v>1</v>
      </c>
      <c r="V10" s="5" t="s">
        <v>58</v>
      </c>
      <c r="W10" s="5" t="s">
        <v>60</v>
      </c>
      <c r="X10" s="5" t="s">
        <v>61</v>
      </c>
      <c r="Y10" s="7">
        <v>9.1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</row>
    <row r="11" spans="1:55" x14ac:dyDescent="0.3">
      <c r="A11" s="5">
        <v>2033720702</v>
      </c>
      <c r="B11" s="5" t="s">
        <v>631</v>
      </c>
      <c r="C11" s="5" t="s">
        <v>632</v>
      </c>
      <c r="D11" s="5" t="str">
        <f t="shared" si="0"/>
        <v>DESERREA DAWSON</v>
      </c>
      <c r="E11" s="5" t="s">
        <v>70</v>
      </c>
      <c r="F11" s="5" t="s">
        <v>483</v>
      </c>
      <c r="G11" s="20">
        <v>0.375</v>
      </c>
      <c r="H11" s="5" t="s">
        <v>484</v>
      </c>
      <c r="I11" s="18" t="s">
        <v>484</v>
      </c>
      <c r="J11" s="19" t="s">
        <v>987</v>
      </c>
      <c r="K11" s="5" t="s">
        <v>281</v>
      </c>
      <c r="L11" s="5" t="s">
        <v>282</v>
      </c>
      <c r="M11" s="5" t="str">
        <f>CONCATENATE(L11," ",K11)</f>
        <v>Brittany Oliver</v>
      </c>
      <c r="N11" s="5" t="s">
        <v>57</v>
      </c>
      <c r="O11" s="6">
        <v>46081</v>
      </c>
      <c r="P11" s="6">
        <v>46140</v>
      </c>
      <c r="Q11" s="22">
        <f>DATEDIF(O11,P11,"M")</f>
        <v>2</v>
      </c>
      <c r="R11" s="6" t="s">
        <v>536</v>
      </c>
      <c r="S11" s="6" t="s">
        <v>1036</v>
      </c>
      <c r="T11" s="7">
        <v>39.58</v>
      </c>
      <c r="U11" s="5">
        <v>1</v>
      </c>
      <c r="V11" s="5" t="s">
        <v>58</v>
      </c>
      <c r="W11" s="5" t="s">
        <v>60</v>
      </c>
      <c r="X11" s="5" t="s">
        <v>61</v>
      </c>
      <c r="Y11" s="7">
        <v>14.84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</row>
    <row r="12" spans="1:55" s="5" customFormat="1" x14ac:dyDescent="0.3">
      <c r="A12" s="5">
        <v>2034304901</v>
      </c>
      <c r="B12" s="5" t="s">
        <v>688</v>
      </c>
      <c r="C12" s="5" t="s">
        <v>147</v>
      </c>
      <c r="D12" s="5" t="str">
        <f t="shared" si="0"/>
        <v>MATTHEW ABEL</v>
      </c>
      <c r="E12" s="5" t="s">
        <v>70</v>
      </c>
      <c r="F12" s="5" t="s">
        <v>53</v>
      </c>
      <c r="G12" s="17">
        <v>0.7</v>
      </c>
      <c r="H12" s="5" t="s">
        <v>54</v>
      </c>
      <c r="I12" s="18" t="s">
        <v>54</v>
      </c>
      <c r="J12" s="19">
        <v>3333476</v>
      </c>
      <c r="K12" s="5" t="s">
        <v>195</v>
      </c>
      <c r="L12" s="5" t="s">
        <v>196</v>
      </c>
      <c r="M12" s="5" t="str">
        <f>CONCATENATE(L12," ",K12)</f>
        <v>Colleen Jerger</v>
      </c>
      <c r="N12" s="5" t="s">
        <v>57</v>
      </c>
      <c r="O12" s="6">
        <v>46094</v>
      </c>
      <c r="P12" s="6">
        <v>46155</v>
      </c>
      <c r="Q12" s="22">
        <f>DATEDIF(O12,P12,"M")</f>
        <v>2</v>
      </c>
      <c r="R12" s="6" t="s">
        <v>536</v>
      </c>
      <c r="S12" s="6" t="s">
        <v>1036</v>
      </c>
      <c r="T12" s="7">
        <v>32.200000000000003</v>
      </c>
      <c r="U12" s="5">
        <v>1</v>
      </c>
      <c r="V12" s="5" t="s">
        <v>58</v>
      </c>
      <c r="W12" s="5" t="s">
        <v>60</v>
      </c>
      <c r="X12" s="5" t="s">
        <v>61</v>
      </c>
      <c r="Y12" s="7">
        <v>22.54</v>
      </c>
    </row>
    <row r="13" spans="1:55" s="5" customFormat="1" x14ac:dyDescent="0.3">
      <c r="A13" s="5">
        <v>2034304900</v>
      </c>
      <c r="B13" s="5" t="s">
        <v>688</v>
      </c>
      <c r="C13" s="5" t="s">
        <v>147</v>
      </c>
      <c r="D13" s="5" t="str">
        <f t="shared" si="0"/>
        <v>MATTHEW ABEL</v>
      </c>
      <c r="E13" s="5" t="s">
        <v>70</v>
      </c>
      <c r="F13" s="5" t="s">
        <v>483</v>
      </c>
      <c r="G13" s="20">
        <v>0.375</v>
      </c>
      <c r="H13" s="5" t="s">
        <v>484</v>
      </c>
      <c r="I13" s="18" t="s">
        <v>484</v>
      </c>
      <c r="J13" s="19">
        <v>3333476</v>
      </c>
      <c r="K13" s="5" t="s">
        <v>195</v>
      </c>
      <c r="L13" s="5" t="s">
        <v>196</v>
      </c>
      <c r="M13" s="5" t="str">
        <f>CONCATENATE(L13," ",K13)</f>
        <v>Colleen Jerger</v>
      </c>
      <c r="N13" s="5" t="s">
        <v>57</v>
      </c>
      <c r="O13" s="6">
        <v>46094</v>
      </c>
      <c r="P13" s="6">
        <v>46155</v>
      </c>
      <c r="Q13" s="22">
        <f>DATEDIF(O13,P13,"M")</f>
        <v>2</v>
      </c>
      <c r="R13" s="6" t="s">
        <v>536</v>
      </c>
      <c r="S13" s="6" t="s">
        <v>1036</v>
      </c>
      <c r="T13" s="7">
        <v>83.15</v>
      </c>
      <c r="U13" s="5">
        <v>1</v>
      </c>
      <c r="V13" s="5" t="s">
        <v>58</v>
      </c>
      <c r="W13" s="5" t="s">
        <v>60</v>
      </c>
      <c r="X13" s="5" t="s">
        <v>61</v>
      </c>
      <c r="Y13" s="7">
        <v>31.18</v>
      </c>
    </row>
    <row r="14" spans="1:55" s="5" customFormat="1" x14ac:dyDescent="0.3">
      <c r="A14" s="5">
        <v>2033890180</v>
      </c>
      <c r="B14" s="5" t="s">
        <v>709</v>
      </c>
      <c r="C14" s="5" t="s">
        <v>710</v>
      </c>
      <c r="D14" s="5" t="str">
        <f t="shared" si="0"/>
        <v>TONYA GILLILAND</v>
      </c>
      <c r="E14" s="5" t="s">
        <v>114</v>
      </c>
      <c r="F14" s="5" t="s">
        <v>475</v>
      </c>
      <c r="G14" s="17">
        <v>0.19</v>
      </c>
      <c r="H14" s="5" t="s">
        <v>776</v>
      </c>
      <c r="I14" s="18" t="s">
        <v>776</v>
      </c>
      <c r="J14" s="19" t="s">
        <v>1028</v>
      </c>
      <c r="K14" s="5" t="s">
        <v>446</v>
      </c>
      <c r="L14" s="5" t="s">
        <v>447</v>
      </c>
      <c r="M14" s="5" t="str">
        <f>CONCATENATE(L14," ",K14)</f>
        <v>Danna Green</v>
      </c>
      <c r="N14" s="5" t="s">
        <v>57</v>
      </c>
      <c r="O14" s="6">
        <v>46092</v>
      </c>
      <c r="P14" s="6">
        <v>46153</v>
      </c>
      <c r="Q14" s="22">
        <f>DATEDIF(O14,P14,"M")</f>
        <v>2</v>
      </c>
      <c r="R14" s="6" t="s">
        <v>536</v>
      </c>
      <c r="S14" s="6" t="s">
        <v>1036</v>
      </c>
      <c r="T14" s="7">
        <v>15</v>
      </c>
      <c r="U14" s="5">
        <v>1</v>
      </c>
      <c r="V14" s="5" t="s">
        <v>58</v>
      </c>
      <c r="W14" s="5" t="s">
        <v>60</v>
      </c>
      <c r="X14" s="5" t="s">
        <v>61</v>
      </c>
      <c r="Y14" s="7">
        <v>2.85</v>
      </c>
    </row>
    <row r="15" spans="1:55" s="5" customFormat="1" x14ac:dyDescent="0.3">
      <c r="A15" s="5">
        <v>2033890178</v>
      </c>
      <c r="B15" s="5" t="s">
        <v>709</v>
      </c>
      <c r="C15" s="5" t="s">
        <v>710</v>
      </c>
      <c r="D15" s="5" t="str">
        <f t="shared" si="0"/>
        <v>TONYA GILLILAND</v>
      </c>
      <c r="E15" s="5" t="s">
        <v>114</v>
      </c>
      <c r="F15" s="5" t="s">
        <v>524</v>
      </c>
      <c r="G15" s="17">
        <v>0.19</v>
      </c>
      <c r="H15" s="5" t="s">
        <v>711</v>
      </c>
      <c r="I15" s="18" t="s">
        <v>711</v>
      </c>
      <c r="J15" s="19" t="s">
        <v>1032</v>
      </c>
      <c r="K15" s="5" t="s">
        <v>446</v>
      </c>
      <c r="L15" s="5" t="s">
        <v>447</v>
      </c>
      <c r="M15" s="5" t="str">
        <f>CONCATENATE(L15," ",K15)</f>
        <v>Danna Green</v>
      </c>
      <c r="N15" s="5" t="s">
        <v>57</v>
      </c>
      <c r="O15" s="6">
        <v>46092</v>
      </c>
      <c r="P15" s="6">
        <v>46153</v>
      </c>
      <c r="Q15" s="22">
        <f>DATEDIF(O15,P15,"M")</f>
        <v>2</v>
      </c>
      <c r="R15" s="6" t="s">
        <v>536</v>
      </c>
      <c r="S15" s="6" t="s">
        <v>1036</v>
      </c>
      <c r="T15" s="7">
        <v>197.29</v>
      </c>
      <c r="U15" s="5">
        <v>1</v>
      </c>
      <c r="V15" s="5" t="s">
        <v>58</v>
      </c>
      <c r="W15" s="5" t="s">
        <v>60</v>
      </c>
      <c r="X15" s="5" t="s">
        <v>61</v>
      </c>
      <c r="Y15" s="7">
        <v>37.49</v>
      </c>
    </row>
    <row r="16" spans="1:55" s="5" customFormat="1" x14ac:dyDescent="0.3">
      <c r="A16" s="5">
        <v>2033890179</v>
      </c>
      <c r="B16" s="5" t="s">
        <v>709</v>
      </c>
      <c r="C16" s="5" t="s">
        <v>710</v>
      </c>
      <c r="D16" s="5" t="str">
        <f t="shared" si="0"/>
        <v>TONYA GILLILAND</v>
      </c>
      <c r="E16" s="5" t="s">
        <v>114</v>
      </c>
      <c r="F16" s="5" t="s">
        <v>524</v>
      </c>
      <c r="G16" s="17">
        <v>0.19</v>
      </c>
      <c r="H16" s="5" t="s">
        <v>712</v>
      </c>
      <c r="I16" s="18" t="s">
        <v>711</v>
      </c>
      <c r="J16" s="19" t="s">
        <v>1032</v>
      </c>
      <c r="K16" s="5" t="s">
        <v>446</v>
      </c>
      <c r="L16" s="5" t="s">
        <v>447</v>
      </c>
      <c r="M16" s="5" t="str">
        <f>CONCATENATE(L16," ",K16)</f>
        <v>Danna Green</v>
      </c>
      <c r="N16" s="5" t="s">
        <v>57</v>
      </c>
      <c r="O16" s="6">
        <v>46092</v>
      </c>
      <c r="P16" s="6">
        <v>46153</v>
      </c>
      <c r="Q16" s="22">
        <f>DATEDIF(O16,P16,"M")</f>
        <v>2</v>
      </c>
      <c r="R16" s="6" t="s">
        <v>536</v>
      </c>
      <c r="S16" s="6" t="s">
        <v>1036</v>
      </c>
      <c r="T16" s="7">
        <v>9.9499999999999993</v>
      </c>
      <c r="U16" s="5">
        <v>1</v>
      </c>
      <c r="V16" s="5" t="s">
        <v>58</v>
      </c>
      <c r="W16" s="5" t="s">
        <v>60</v>
      </c>
      <c r="X16" s="5" t="s">
        <v>61</v>
      </c>
      <c r="Y16" s="7">
        <v>1.89</v>
      </c>
    </row>
    <row r="17" spans="1:55" s="5" customFormat="1" x14ac:dyDescent="0.3">
      <c r="A17" s="5">
        <v>2034253787</v>
      </c>
      <c r="B17" s="5" t="s">
        <v>638</v>
      </c>
      <c r="C17" s="5" t="s">
        <v>227</v>
      </c>
      <c r="D17" s="5" t="str">
        <f t="shared" si="0"/>
        <v>KIMBERLY RAPP</v>
      </c>
      <c r="E17" s="5" t="s">
        <v>103</v>
      </c>
      <c r="F17" s="5" t="s">
        <v>444</v>
      </c>
      <c r="G17" s="17">
        <v>0.75</v>
      </c>
      <c r="H17" s="5" t="s">
        <v>451</v>
      </c>
      <c r="I17" s="18" t="s">
        <v>980</v>
      </c>
      <c r="J17" s="19" t="s">
        <v>1001</v>
      </c>
      <c r="K17" s="5" t="s">
        <v>104</v>
      </c>
      <c r="L17" s="5" t="s">
        <v>105</v>
      </c>
      <c r="M17" s="5" t="str">
        <f>CONCATENATE(L17," ",K17)</f>
        <v>Heather Geske</v>
      </c>
      <c r="N17" s="5" t="s">
        <v>57</v>
      </c>
      <c r="O17" s="6">
        <v>46092</v>
      </c>
      <c r="P17" s="6">
        <v>46153</v>
      </c>
      <c r="Q17" s="22">
        <f>DATEDIF(O17,P17,"M")</f>
        <v>2</v>
      </c>
      <c r="R17" s="6" t="s">
        <v>536</v>
      </c>
      <c r="S17" s="6" t="s">
        <v>1036</v>
      </c>
      <c r="T17" s="7">
        <v>40.119999999999997</v>
      </c>
      <c r="U17" s="5">
        <v>1</v>
      </c>
      <c r="V17" s="5" t="s">
        <v>58</v>
      </c>
      <c r="W17" s="5" t="s">
        <v>60</v>
      </c>
      <c r="X17" s="5" t="s">
        <v>61</v>
      </c>
      <c r="Y17" s="7">
        <v>30.09</v>
      </c>
    </row>
    <row r="18" spans="1:55" s="5" customFormat="1" x14ac:dyDescent="0.3">
      <c r="A18" s="5">
        <v>2034234839</v>
      </c>
      <c r="B18" s="5" t="s">
        <v>636</v>
      </c>
      <c r="C18" s="5" t="s">
        <v>637</v>
      </c>
      <c r="D18" s="5" t="str">
        <f t="shared" si="0"/>
        <v>SUSAN MURLEY</v>
      </c>
      <c r="E18" s="5" t="s">
        <v>103</v>
      </c>
      <c r="F18" s="5" t="s">
        <v>444</v>
      </c>
      <c r="G18" s="17">
        <v>0.75</v>
      </c>
      <c r="H18" s="5" t="s">
        <v>451</v>
      </c>
      <c r="I18" s="18" t="s">
        <v>980</v>
      </c>
      <c r="J18" s="19" t="s">
        <v>1001</v>
      </c>
      <c r="K18" s="5" t="s">
        <v>104</v>
      </c>
      <c r="L18" s="5" t="s">
        <v>105</v>
      </c>
      <c r="M18" s="5" t="str">
        <f>CONCATENATE(L18," ",K18)</f>
        <v>Heather Geske</v>
      </c>
      <c r="N18" s="5" t="s">
        <v>57</v>
      </c>
      <c r="O18" s="6">
        <v>46096</v>
      </c>
      <c r="P18" s="6">
        <v>46157</v>
      </c>
      <c r="Q18" s="22">
        <f>DATEDIF(O18,P18,"M")</f>
        <v>2</v>
      </c>
      <c r="R18" s="6" t="s">
        <v>536</v>
      </c>
      <c r="S18" s="6" t="s">
        <v>1036</v>
      </c>
      <c r="T18" s="7">
        <v>44.17</v>
      </c>
      <c r="U18" s="5">
        <v>1</v>
      </c>
      <c r="V18" s="5" t="s">
        <v>58</v>
      </c>
      <c r="W18" s="5" t="s">
        <v>60</v>
      </c>
      <c r="X18" s="5" t="s">
        <v>61</v>
      </c>
      <c r="Y18" s="7">
        <v>33.130000000000003</v>
      </c>
    </row>
    <row r="19" spans="1:55" s="5" customFormat="1" x14ac:dyDescent="0.3">
      <c r="A19" s="5">
        <v>2034253789</v>
      </c>
      <c r="B19" s="5" t="s">
        <v>638</v>
      </c>
      <c r="C19" s="5" t="s">
        <v>227</v>
      </c>
      <c r="D19" s="5" t="str">
        <f t="shared" si="0"/>
        <v>KIMBERLY RAPP</v>
      </c>
      <c r="E19" s="5" t="s">
        <v>103</v>
      </c>
      <c r="F19" s="5" t="s">
        <v>53</v>
      </c>
      <c r="G19" s="17">
        <v>0.7</v>
      </c>
      <c r="H19" s="5" t="s">
        <v>54</v>
      </c>
      <c r="I19" s="18" t="s">
        <v>54</v>
      </c>
      <c r="J19" s="19" t="s">
        <v>1001</v>
      </c>
      <c r="K19" s="5" t="s">
        <v>104</v>
      </c>
      <c r="L19" s="5" t="s">
        <v>105</v>
      </c>
      <c r="M19" s="5" t="str">
        <f>CONCATENATE(L19," ",K19)</f>
        <v>Heather Geske</v>
      </c>
      <c r="N19" s="5" t="s">
        <v>57</v>
      </c>
      <c r="O19" s="6">
        <v>46092</v>
      </c>
      <c r="P19" s="6">
        <v>46153</v>
      </c>
      <c r="Q19" s="22">
        <f>DATEDIF(O19,P19,"M")</f>
        <v>2</v>
      </c>
      <c r="R19" s="6" t="s">
        <v>536</v>
      </c>
      <c r="S19" s="6" t="s">
        <v>1036</v>
      </c>
      <c r="T19" s="7">
        <v>9.1</v>
      </c>
      <c r="U19" s="5">
        <v>1</v>
      </c>
      <c r="V19" s="5" t="s">
        <v>58</v>
      </c>
      <c r="W19" s="5" t="s">
        <v>60</v>
      </c>
      <c r="X19" s="5" t="s">
        <v>61</v>
      </c>
      <c r="Y19" s="7">
        <v>6.37</v>
      </c>
    </row>
    <row r="20" spans="1:55" s="5" customFormat="1" x14ac:dyDescent="0.3">
      <c r="A20" s="5">
        <v>2034234841</v>
      </c>
      <c r="B20" s="5" t="s">
        <v>636</v>
      </c>
      <c r="C20" s="5" t="s">
        <v>637</v>
      </c>
      <c r="D20" s="5" t="str">
        <f t="shared" si="0"/>
        <v>SUSAN MURLEY</v>
      </c>
      <c r="E20" s="5" t="s">
        <v>103</v>
      </c>
      <c r="F20" s="5" t="s">
        <v>53</v>
      </c>
      <c r="G20" s="17">
        <v>0.7</v>
      </c>
      <c r="H20" s="5" t="s">
        <v>54</v>
      </c>
      <c r="I20" s="18" t="s">
        <v>54</v>
      </c>
      <c r="J20" s="19" t="s">
        <v>1001</v>
      </c>
      <c r="K20" s="5" t="s">
        <v>104</v>
      </c>
      <c r="L20" s="5" t="s">
        <v>105</v>
      </c>
      <c r="M20" s="5" t="str">
        <f>CONCATENATE(L20," ",K20)</f>
        <v>Heather Geske</v>
      </c>
      <c r="N20" s="5" t="s">
        <v>57</v>
      </c>
      <c r="O20" s="6">
        <v>46096</v>
      </c>
      <c r="P20" s="6">
        <v>46157</v>
      </c>
      <c r="Q20" s="22">
        <f>DATEDIF(O20,P20,"M")</f>
        <v>2</v>
      </c>
      <c r="R20" s="6" t="s">
        <v>536</v>
      </c>
      <c r="S20" s="6" t="s">
        <v>1036</v>
      </c>
      <c r="T20" s="7">
        <v>9.6999999999999993</v>
      </c>
      <c r="U20" s="5">
        <v>1</v>
      </c>
      <c r="V20" s="5" t="s">
        <v>58</v>
      </c>
      <c r="W20" s="5" t="s">
        <v>60</v>
      </c>
      <c r="X20" s="5" t="s">
        <v>61</v>
      </c>
      <c r="Y20" s="7">
        <v>6.79</v>
      </c>
    </row>
    <row r="21" spans="1:55" s="5" customFormat="1" x14ac:dyDescent="0.3">
      <c r="A21" s="5">
        <v>2034234840</v>
      </c>
      <c r="B21" s="5" t="s">
        <v>636</v>
      </c>
      <c r="C21" s="5" t="s">
        <v>637</v>
      </c>
      <c r="D21" s="5" t="str">
        <f t="shared" si="0"/>
        <v>SUSAN MURLEY</v>
      </c>
      <c r="E21" s="5" t="s">
        <v>103</v>
      </c>
      <c r="F21" s="5" t="s">
        <v>483</v>
      </c>
      <c r="G21" s="20">
        <v>0.375</v>
      </c>
      <c r="H21" s="5" t="s">
        <v>484</v>
      </c>
      <c r="I21" s="18" t="s">
        <v>484</v>
      </c>
      <c r="J21" s="19" t="s">
        <v>1001</v>
      </c>
      <c r="K21" s="5" t="s">
        <v>104</v>
      </c>
      <c r="L21" s="5" t="s">
        <v>105</v>
      </c>
      <c r="M21" s="5" t="str">
        <f>CONCATENATE(L21," ",K21)</f>
        <v>Heather Geske</v>
      </c>
      <c r="N21" s="5" t="s">
        <v>57</v>
      </c>
      <c r="O21" s="6">
        <v>46096</v>
      </c>
      <c r="P21" s="6">
        <v>46157</v>
      </c>
      <c r="Q21" s="22">
        <f>DATEDIF(O21,P21,"M")</f>
        <v>2</v>
      </c>
      <c r="R21" s="6" t="s">
        <v>536</v>
      </c>
      <c r="S21" s="6" t="s">
        <v>1036</v>
      </c>
      <c r="T21" s="7">
        <v>48.17</v>
      </c>
      <c r="U21" s="5">
        <v>1</v>
      </c>
      <c r="V21" s="5" t="s">
        <v>58</v>
      </c>
      <c r="W21" s="5" t="s">
        <v>60</v>
      </c>
      <c r="X21" s="5" t="s">
        <v>61</v>
      </c>
      <c r="Y21" s="7">
        <v>18.059999999999999</v>
      </c>
    </row>
    <row r="22" spans="1:55" s="5" customFormat="1" x14ac:dyDescent="0.3">
      <c r="A22" s="5">
        <v>2034253788</v>
      </c>
      <c r="B22" s="5" t="s">
        <v>638</v>
      </c>
      <c r="C22" s="5" t="s">
        <v>227</v>
      </c>
      <c r="D22" s="5" t="str">
        <f t="shared" si="0"/>
        <v>KIMBERLY RAPP</v>
      </c>
      <c r="E22" s="5" t="s">
        <v>103</v>
      </c>
      <c r="F22" s="5" t="s">
        <v>483</v>
      </c>
      <c r="G22" s="20">
        <v>0.375</v>
      </c>
      <c r="H22" s="5" t="s">
        <v>484</v>
      </c>
      <c r="I22" s="18" t="s">
        <v>484</v>
      </c>
      <c r="J22" s="19" t="s">
        <v>1001</v>
      </c>
      <c r="K22" s="5" t="s">
        <v>104</v>
      </c>
      <c r="L22" s="5" t="s">
        <v>105</v>
      </c>
      <c r="M22" s="5" t="str">
        <f>CONCATENATE(L22," ",K22)</f>
        <v>Heather Geske</v>
      </c>
      <c r="N22" s="5" t="s">
        <v>57</v>
      </c>
      <c r="O22" s="6">
        <v>46092</v>
      </c>
      <c r="P22" s="6">
        <v>46153</v>
      </c>
      <c r="Q22" s="22">
        <f>DATEDIF(O22,P22,"M")</f>
        <v>2</v>
      </c>
      <c r="R22" s="6" t="s">
        <v>536</v>
      </c>
      <c r="S22" s="6" t="s">
        <v>1036</v>
      </c>
      <c r="T22" s="7">
        <v>64.84</v>
      </c>
      <c r="U22" s="5">
        <v>1</v>
      </c>
      <c r="V22" s="5" t="s">
        <v>58</v>
      </c>
      <c r="W22" s="5" t="s">
        <v>60</v>
      </c>
      <c r="X22" s="5" t="s">
        <v>61</v>
      </c>
      <c r="Y22" s="7">
        <v>24.32</v>
      </c>
    </row>
    <row r="23" spans="1:55" s="5" customFormat="1" x14ac:dyDescent="0.3">
      <c r="A23" s="5">
        <v>2034302043</v>
      </c>
      <c r="B23" s="5" t="s">
        <v>687</v>
      </c>
      <c r="C23" s="5" t="s">
        <v>116</v>
      </c>
      <c r="D23" s="5" t="str">
        <f t="shared" si="0"/>
        <v>RYAN MORRELL</v>
      </c>
      <c r="E23" s="5" t="s">
        <v>52</v>
      </c>
      <c r="F23" s="5" t="s">
        <v>53</v>
      </c>
      <c r="G23" s="17">
        <v>0.7</v>
      </c>
      <c r="H23" s="5" t="s">
        <v>54</v>
      </c>
      <c r="I23" s="18" t="s">
        <v>54</v>
      </c>
      <c r="J23" s="19" t="s">
        <v>1006</v>
      </c>
      <c r="K23" s="5" t="s">
        <v>156</v>
      </c>
      <c r="L23" s="5" t="s">
        <v>157</v>
      </c>
      <c r="M23" s="5" t="str">
        <f>CONCATENATE(L23," ",K23)</f>
        <v>Ines Berg</v>
      </c>
      <c r="N23" s="5" t="s">
        <v>57</v>
      </c>
      <c r="O23" s="6">
        <v>46094</v>
      </c>
      <c r="P23" s="6">
        <v>46155</v>
      </c>
      <c r="Q23" s="22">
        <f>DATEDIF(O23,P23,"M")</f>
        <v>2</v>
      </c>
      <c r="R23" s="6" t="s">
        <v>536</v>
      </c>
      <c r="S23" s="6" t="s">
        <v>1036</v>
      </c>
      <c r="T23" s="7">
        <v>57.38</v>
      </c>
      <c r="U23" s="5">
        <v>1</v>
      </c>
      <c r="V23" s="5" t="s">
        <v>58</v>
      </c>
      <c r="W23" s="5" t="s">
        <v>60</v>
      </c>
      <c r="X23" s="5" t="s">
        <v>61</v>
      </c>
      <c r="Y23" s="7">
        <v>40.17</v>
      </c>
    </row>
    <row r="24" spans="1:55" s="5" customFormat="1" x14ac:dyDescent="0.3">
      <c r="A24" s="5">
        <v>2034260111</v>
      </c>
      <c r="B24" s="5" t="s">
        <v>640</v>
      </c>
      <c r="C24" s="5" t="s">
        <v>641</v>
      </c>
      <c r="D24" s="5" t="str">
        <f t="shared" si="0"/>
        <v>TYLER DOBELBOWER</v>
      </c>
      <c r="E24" s="5" t="s">
        <v>103</v>
      </c>
      <c r="F24" s="5" t="s">
        <v>444</v>
      </c>
      <c r="G24" s="17">
        <v>0.65</v>
      </c>
      <c r="H24" s="5" t="s">
        <v>466</v>
      </c>
      <c r="I24" s="18" t="s">
        <v>993</v>
      </c>
      <c r="J24" s="19" t="s">
        <v>1005</v>
      </c>
      <c r="K24" s="5" t="s">
        <v>150</v>
      </c>
      <c r="L24" s="5" t="s">
        <v>151</v>
      </c>
      <c r="M24" s="5" t="str">
        <f>CONCATENATE(L24," ",K24)</f>
        <v>Joel Lee</v>
      </c>
      <c r="N24" s="5" t="s">
        <v>57</v>
      </c>
      <c r="O24" s="6">
        <v>46096</v>
      </c>
      <c r="P24" s="6">
        <v>46157</v>
      </c>
      <c r="Q24" s="22">
        <f>DATEDIF(O24,P24,"M")</f>
        <v>2</v>
      </c>
      <c r="R24" s="6" t="s">
        <v>536</v>
      </c>
      <c r="S24" s="6" t="s">
        <v>1036</v>
      </c>
      <c r="T24" s="7">
        <v>37.18</v>
      </c>
      <c r="U24" s="5">
        <v>1</v>
      </c>
      <c r="V24" s="5" t="s">
        <v>58</v>
      </c>
      <c r="W24" s="5" t="s">
        <v>60</v>
      </c>
      <c r="X24" s="5" t="s">
        <v>61</v>
      </c>
      <c r="Y24" s="7">
        <v>24.17</v>
      </c>
    </row>
    <row r="25" spans="1:55" s="5" customFormat="1" x14ac:dyDescent="0.3">
      <c r="A25" s="5">
        <v>2034260109</v>
      </c>
      <c r="B25" s="5" t="s">
        <v>640</v>
      </c>
      <c r="C25" s="5" t="s">
        <v>641</v>
      </c>
      <c r="D25" s="5" t="str">
        <f t="shared" si="0"/>
        <v>TYLER DOBELBOWER</v>
      </c>
      <c r="E25" s="5" t="s">
        <v>103</v>
      </c>
      <c r="F25" s="5" t="s">
        <v>499</v>
      </c>
      <c r="G25" s="17">
        <v>0.38</v>
      </c>
      <c r="H25" s="5" t="s">
        <v>502</v>
      </c>
      <c r="I25" s="18" t="s">
        <v>502</v>
      </c>
      <c r="J25" s="19" t="s">
        <v>1005</v>
      </c>
      <c r="K25" s="5" t="s">
        <v>150</v>
      </c>
      <c r="L25" s="5" t="s">
        <v>151</v>
      </c>
      <c r="M25" s="5" t="str">
        <f>CONCATENATE(L25," ",K25)</f>
        <v>Joel Lee</v>
      </c>
      <c r="N25" s="5" t="s">
        <v>57</v>
      </c>
      <c r="O25" s="6">
        <v>46096</v>
      </c>
      <c r="P25" s="6">
        <v>46157</v>
      </c>
      <c r="Q25" s="22">
        <f>DATEDIF(O25,P25,"M")</f>
        <v>2</v>
      </c>
      <c r="R25" s="6" t="s">
        <v>536</v>
      </c>
      <c r="S25" s="6" t="s">
        <v>1036</v>
      </c>
      <c r="T25" s="7">
        <v>26.85</v>
      </c>
      <c r="U25" s="5">
        <v>1</v>
      </c>
      <c r="V25" s="5" t="s">
        <v>58</v>
      </c>
      <c r="W25" s="5" t="s">
        <v>60</v>
      </c>
      <c r="X25" s="5" t="s">
        <v>61</v>
      </c>
      <c r="Y25" s="7">
        <v>10.199999999999999</v>
      </c>
    </row>
    <row r="26" spans="1:55" s="5" customFormat="1" x14ac:dyDescent="0.3">
      <c r="A26" s="5">
        <v>2034260110</v>
      </c>
      <c r="B26" s="5" t="s">
        <v>640</v>
      </c>
      <c r="C26" s="5" t="s">
        <v>641</v>
      </c>
      <c r="D26" s="5" t="str">
        <f t="shared" si="0"/>
        <v>TYLER DOBELBOWER</v>
      </c>
      <c r="E26" s="5" t="s">
        <v>103</v>
      </c>
      <c r="F26" s="5" t="s">
        <v>53</v>
      </c>
      <c r="G26" s="17">
        <v>0.7</v>
      </c>
      <c r="H26" s="5" t="s">
        <v>54</v>
      </c>
      <c r="I26" s="18" t="s">
        <v>54</v>
      </c>
      <c r="J26" s="19" t="s">
        <v>1005</v>
      </c>
      <c r="K26" s="5" t="s">
        <v>150</v>
      </c>
      <c r="L26" s="5" t="s">
        <v>151</v>
      </c>
      <c r="M26" s="5" t="str">
        <f>CONCATENATE(L26," ",K26)</f>
        <v>Joel Lee</v>
      </c>
      <c r="N26" s="5" t="s">
        <v>57</v>
      </c>
      <c r="O26" s="6">
        <v>46096</v>
      </c>
      <c r="P26" s="6">
        <v>46157</v>
      </c>
      <c r="Q26" s="22">
        <f>DATEDIF(O26,P26,"M")</f>
        <v>2</v>
      </c>
      <c r="R26" s="6" t="s">
        <v>536</v>
      </c>
      <c r="S26" s="6" t="s">
        <v>1036</v>
      </c>
      <c r="T26" s="7">
        <v>9.6999999999999993</v>
      </c>
      <c r="U26" s="5">
        <v>1</v>
      </c>
      <c r="V26" s="5" t="s">
        <v>58</v>
      </c>
      <c r="W26" s="5" t="s">
        <v>60</v>
      </c>
      <c r="X26" s="5" t="s">
        <v>61</v>
      </c>
      <c r="Y26" s="7">
        <v>6.79</v>
      </c>
    </row>
    <row r="27" spans="1:55" s="5" customFormat="1" x14ac:dyDescent="0.3">
      <c r="A27" s="5">
        <v>2034260108</v>
      </c>
      <c r="B27" s="5" t="s">
        <v>640</v>
      </c>
      <c r="C27" s="5" t="s">
        <v>641</v>
      </c>
      <c r="D27" s="5" t="str">
        <f t="shared" si="0"/>
        <v>TYLER DOBELBOWER</v>
      </c>
      <c r="E27" s="5" t="s">
        <v>103</v>
      </c>
      <c r="F27" s="5" t="s">
        <v>483</v>
      </c>
      <c r="G27" s="20">
        <v>0.375</v>
      </c>
      <c r="H27" s="5" t="s">
        <v>484</v>
      </c>
      <c r="I27" s="18" t="s">
        <v>484</v>
      </c>
      <c r="J27" s="19" t="s">
        <v>1005</v>
      </c>
      <c r="K27" s="5" t="s">
        <v>150</v>
      </c>
      <c r="L27" s="5" t="s">
        <v>151</v>
      </c>
      <c r="M27" s="5" t="str">
        <f>CONCATENATE(L27," ",K27)</f>
        <v>Joel Lee</v>
      </c>
      <c r="N27" s="5" t="s">
        <v>57</v>
      </c>
      <c r="O27" s="6">
        <v>46096</v>
      </c>
      <c r="P27" s="6">
        <v>46157</v>
      </c>
      <c r="Q27" s="22">
        <f>DATEDIF(O27,P27,"M")</f>
        <v>2</v>
      </c>
      <c r="R27" s="6" t="s">
        <v>536</v>
      </c>
      <c r="S27" s="6" t="s">
        <v>1036</v>
      </c>
      <c r="T27" s="7">
        <v>64.84</v>
      </c>
      <c r="U27" s="5">
        <v>1</v>
      </c>
      <c r="V27" s="5" t="s">
        <v>58</v>
      </c>
      <c r="W27" s="5" t="s">
        <v>60</v>
      </c>
      <c r="X27" s="5" t="s">
        <v>61</v>
      </c>
      <c r="Y27" s="7">
        <v>24.32</v>
      </c>
    </row>
    <row r="28" spans="1:55" s="5" customFormat="1" x14ac:dyDescent="0.3">
      <c r="A28" s="5">
        <v>2034289263</v>
      </c>
      <c r="B28" s="5" t="s">
        <v>682</v>
      </c>
      <c r="C28" s="5" t="s">
        <v>683</v>
      </c>
      <c r="D28" s="5" t="str">
        <f t="shared" si="0"/>
        <v>MARICELA LARA</v>
      </c>
      <c r="E28" s="5" t="s">
        <v>80</v>
      </c>
      <c r="F28" s="5" t="s">
        <v>475</v>
      </c>
      <c r="G28" s="17">
        <v>0.38</v>
      </c>
      <c r="H28" s="5" t="s">
        <v>652</v>
      </c>
      <c r="I28" s="18" t="s">
        <v>652</v>
      </c>
      <c r="J28" s="19" t="s">
        <v>1008</v>
      </c>
      <c r="K28" s="5" t="s">
        <v>176</v>
      </c>
      <c r="L28" s="5" t="s">
        <v>177</v>
      </c>
      <c r="M28" s="5" t="str">
        <f>CONCATENATE(L28," ",K28)</f>
        <v>JOSE TORRES</v>
      </c>
      <c r="N28" s="5" t="s">
        <v>57</v>
      </c>
      <c r="O28" s="6">
        <v>46093</v>
      </c>
      <c r="P28" s="6">
        <v>46154</v>
      </c>
      <c r="Q28" s="22">
        <f>DATEDIF(O28,P28,"M")</f>
        <v>2</v>
      </c>
      <c r="R28" s="6" t="s">
        <v>536</v>
      </c>
      <c r="S28" s="6" t="s">
        <v>1036</v>
      </c>
      <c r="T28" s="7">
        <v>15</v>
      </c>
      <c r="U28" s="5">
        <v>1</v>
      </c>
      <c r="V28" s="5" t="s">
        <v>58</v>
      </c>
      <c r="W28" s="5" t="s">
        <v>60</v>
      </c>
      <c r="X28" s="5" t="s">
        <v>61</v>
      </c>
      <c r="Y28" s="7">
        <v>5.7</v>
      </c>
    </row>
    <row r="29" spans="1:55" x14ac:dyDescent="0.3">
      <c r="A29" s="5">
        <v>2034385371</v>
      </c>
      <c r="B29" s="5" t="s">
        <v>692</v>
      </c>
      <c r="C29" s="5" t="s">
        <v>693</v>
      </c>
      <c r="D29" s="5" t="str">
        <f t="shared" si="0"/>
        <v>AXEL CASTELLANOS</v>
      </c>
      <c r="E29" s="5" t="s">
        <v>80</v>
      </c>
      <c r="F29" s="5" t="s">
        <v>475</v>
      </c>
      <c r="G29" s="17">
        <v>0.38</v>
      </c>
      <c r="H29" s="5" t="s">
        <v>652</v>
      </c>
      <c r="I29" s="18" t="s">
        <v>652</v>
      </c>
      <c r="J29" s="19" t="s">
        <v>1008</v>
      </c>
      <c r="K29" s="5" t="s">
        <v>176</v>
      </c>
      <c r="L29" s="5" t="s">
        <v>177</v>
      </c>
      <c r="M29" s="5" t="str">
        <f>CONCATENATE(L29," ",K29)</f>
        <v>JOSE TORRES</v>
      </c>
      <c r="N29" s="5" t="s">
        <v>57</v>
      </c>
      <c r="O29" s="6">
        <v>46098</v>
      </c>
      <c r="P29" s="6">
        <v>46159</v>
      </c>
      <c r="Q29" s="22">
        <f>DATEDIF(O29,P29,"M")</f>
        <v>2</v>
      </c>
      <c r="R29" s="6" t="s">
        <v>536</v>
      </c>
      <c r="S29" s="6" t="s">
        <v>1036</v>
      </c>
      <c r="T29" s="7">
        <v>15</v>
      </c>
      <c r="U29" s="5">
        <v>1</v>
      </c>
      <c r="V29" s="5" t="s">
        <v>58</v>
      </c>
      <c r="W29" s="5" t="s">
        <v>60</v>
      </c>
      <c r="X29" s="5" t="s">
        <v>61</v>
      </c>
      <c r="Y29" s="7">
        <v>5.7</v>
      </c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</row>
    <row r="30" spans="1:55" x14ac:dyDescent="0.3">
      <c r="A30" s="5">
        <v>2034289261</v>
      </c>
      <c r="B30" s="5" t="s">
        <v>682</v>
      </c>
      <c r="C30" s="5" t="s">
        <v>683</v>
      </c>
      <c r="D30" s="5" t="str">
        <f t="shared" si="0"/>
        <v>MARICELA LARA</v>
      </c>
      <c r="E30" s="5" t="s">
        <v>80</v>
      </c>
      <c r="F30" s="5" t="s">
        <v>499</v>
      </c>
      <c r="G30" s="17">
        <v>0.38</v>
      </c>
      <c r="H30" s="5" t="s">
        <v>502</v>
      </c>
      <c r="I30" s="18" t="s">
        <v>502</v>
      </c>
      <c r="J30" s="19" t="s">
        <v>1008</v>
      </c>
      <c r="K30" s="5" t="s">
        <v>176</v>
      </c>
      <c r="L30" s="5" t="s">
        <v>177</v>
      </c>
      <c r="M30" s="5" t="str">
        <f>CONCATENATE(L30," ",K30)</f>
        <v>JOSE TORRES</v>
      </c>
      <c r="N30" s="5" t="s">
        <v>57</v>
      </c>
      <c r="O30" s="6">
        <v>46093</v>
      </c>
      <c r="P30" s="6">
        <v>46154</v>
      </c>
      <c r="Q30" s="22">
        <f>DATEDIF(O30,P30,"M")</f>
        <v>2</v>
      </c>
      <c r="R30" s="6" t="s">
        <v>536</v>
      </c>
      <c r="S30" s="6" t="s">
        <v>1036</v>
      </c>
      <c r="T30" s="7">
        <v>36.450000000000003</v>
      </c>
      <c r="U30" s="5">
        <v>1</v>
      </c>
      <c r="V30" s="5" t="s">
        <v>58</v>
      </c>
      <c r="W30" s="5" t="s">
        <v>60</v>
      </c>
      <c r="X30" s="5" t="s">
        <v>61</v>
      </c>
      <c r="Y30" s="7">
        <v>13.85</v>
      </c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</row>
    <row r="31" spans="1:55" x14ac:dyDescent="0.3">
      <c r="A31" s="5">
        <v>2034385370</v>
      </c>
      <c r="B31" s="5" t="s">
        <v>692</v>
      </c>
      <c r="C31" s="5" t="s">
        <v>693</v>
      </c>
      <c r="D31" s="5" t="str">
        <f t="shared" si="0"/>
        <v>AXEL CASTELLANOS</v>
      </c>
      <c r="E31" s="5" t="s">
        <v>80</v>
      </c>
      <c r="F31" s="5" t="s">
        <v>499</v>
      </c>
      <c r="G31" s="17">
        <v>0.38</v>
      </c>
      <c r="H31" s="5" t="s">
        <v>502</v>
      </c>
      <c r="I31" s="18" t="s">
        <v>502</v>
      </c>
      <c r="J31" s="19" t="s">
        <v>1008</v>
      </c>
      <c r="K31" s="5" t="s">
        <v>176</v>
      </c>
      <c r="L31" s="5" t="s">
        <v>177</v>
      </c>
      <c r="M31" s="5" t="str">
        <f>CONCATENATE(L31," ",K31)</f>
        <v>JOSE TORRES</v>
      </c>
      <c r="N31" s="5" t="s">
        <v>57</v>
      </c>
      <c r="O31" s="6">
        <v>46098</v>
      </c>
      <c r="P31" s="6">
        <v>46159</v>
      </c>
      <c r="Q31" s="22">
        <f>DATEDIF(O31,P31,"M")</f>
        <v>2</v>
      </c>
      <c r="R31" s="6" t="s">
        <v>536</v>
      </c>
      <c r="S31" s="6" t="s">
        <v>1036</v>
      </c>
      <c r="T31" s="7">
        <v>42.1</v>
      </c>
      <c r="U31" s="5">
        <v>1</v>
      </c>
      <c r="V31" s="5" t="s">
        <v>58</v>
      </c>
      <c r="W31" s="5" t="s">
        <v>60</v>
      </c>
      <c r="X31" s="5" t="s">
        <v>61</v>
      </c>
      <c r="Y31" s="7">
        <v>16</v>
      </c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</row>
    <row r="32" spans="1:55" x14ac:dyDescent="0.3">
      <c r="A32" s="5">
        <v>2034289262</v>
      </c>
      <c r="B32" s="5" t="s">
        <v>682</v>
      </c>
      <c r="C32" s="5" t="s">
        <v>683</v>
      </c>
      <c r="D32" s="5" t="str">
        <f t="shared" si="0"/>
        <v>MARICELA LARA</v>
      </c>
      <c r="E32" s="5" t="s">
        <v>80</v>
      </c>
      <c r="F32" s="5" t="s">
        <v>53</v>
      </c>
      <c r="G32" s="17">
        <v>0.7</v>
      </c>
      <c r="H32" s="5" t="s">
        <v>54</v>
      </c>
      <c r="I32" s="18" t="s">
        <v>54</v>
      </c>
      <c r="J32" s="19" t="s">
        <v>1008</v>
      </c>
      <c r="K32" s="5" t="s">
        <v>176</v>
      </c>
      <c r="L32" s="5" t="s">
        <v>177</v>
      </c>
      <c r="M32" s="5" t="str">
        <f>CONCATENATE(L32," ",K32)</f>
        <v>JOSE TORRES</v>
      </c>
      <c r="N32" s="5" t="s">
        <v>57</v>
      </c>
      <c r="O32" s="6">
        <v>46093</v>
      </c>
      <c r="P32" s="6">
        <v>46154</v>
      </c>
      <c r="Q32" s="22">
        <f>DATEDIF(O32,P32,"M")</f>
        <v>2</v>
      </c>
      <c r="R32" s="6" t="s">
        <v>536</v>
      </c>
      <c r="S32" s="6" t="s">
        <v>1036</v>
      </c>
      <c r="T32" s="7">
        <v>19</v>
      </c>
      <c r="U32" s="5">
        <v>1</v>
      </c>
      <c r="V32" s="5" t="s">
        <v>58</v>
      </c>
      <c r="W32" s="5" t="s">
        <v>60</v>
      </c>
      <c r="X32" s="5" t="s">
        <v>61</v>
      </c>
      <c r="Y32" s="7">
        <v>13.3</v>
      </c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</row>
    <row r="33" spans="1:55" s="5" customFormat="1" x14ac:dyDescent="0.3">
      <c r="A33" s="5">
        <v>2034385369</v>
      </c>
      <c r="B33" s="5" t="s">
        <v>692</v>
      </c>
      <c r="C33" s="5" t="s">
        <v>693</v>
      </c>
      <c r="D33" s="5" t="str">
        <f t="shared" si="0"/>
        <v>AXEL CASTELLANOS</v>
      </c>
      <c r="E33" s="5" t="s">
        <v>80</v>
      </c>
      <c r="F33" s="5" t="s">
        <v>53</v>
      </c>
      <c r="G33" s="17">
        <v>0.7</v>
      </c>
      <c r="H33" s="5" t="s">
        <v>54</v>
      </c>
      <c r="I33" s="18" t="s">
        <v>54</v>
      </c>
      <c r="J33" s="19" t="s">
        <v>1008</v>
      </c>
      <c r="K33" s="5" t="s">
        <v>176</v>
      </c>
      <c r="L33" s="5" t="s">
        <v>177</v>
      </c>
      <c r="M33" s="5" t="str">
        <f>CONCATENATE(L33," ",K33)</f>
        <v>JOSE TORRES</v>
      </c>
      <c r="N33" s="5" t="s">
        <v>57</v>
      </c>
      <c r="O33" s="6">
        <v>46098</v>
      </c>
      <c r="P33" s="6">
        <v>46159</v>
      </c>
      <c r="Q33" s="22">
        <f>DATEDIF(O33,P33,"M")</f>
        <v>2</v>
      </c>
      <c r="R33" s="6" t="s">
        <v>536</v>
      </c>
      <c r="S33" s="6" t="s">
        <v>1036</v>
      </c>
      <c r="T33" s="7">
        <v>19</v>
      </c>
      <c r="U33" s="5">
        <v>1</v>
      </c>
      <c r="V33" s="5" t="s">
        <v>58</v>
      </c>
      <c r="W33" s="5" t="s">
        <v>60</v>
      </c>
      <c r="X33" s="5" t="s">
        <v>61</v>
      </c>
      <c r="Y33" s="7">
        <v>13.3</v>
      </c>
    </row>
    <row r="34" spans="1:55" s="5" customFormat="1" x14ac:dyDescent="0.3">
      <c r="A34" s="5">
        <v>2034284252</v>
      </c>
      <c r="B34" s="5" t="s">
        <v>680</v>
      </c>
      <c r="C34" s="5" t="s">
        <v>681</v>
      </c>
      <c r="D34" s="5" t="str">
        <f t="shared" si="0"/>
        <v>DAIMAN BROUSSARD</v>
      </c>
      <c r="E34" s="5" t="s">
        <v>600</v>
      </c>
      <c r="F34" s="5" t="s">
        <v>53</v>
      </c>
      <c r="G34" s="17">
        <v>0.7</v>
      </c>
      <c r="H34" s="5" t="s">
        <v>54</v>
      </c>
      <c r="I34" s="18" t="s">
        <v>54</v>
      </c>
      <c r="J34" s="19" t="s">
        <v>985</v>
      </c>
      <c r="K34" s="5" t="s">
        <v>110</v>
      </c>
      <c r="L34" s="5" t="s">
        <v>111</v>
      </c>
      <c r="M34" s="5" t="str">
        <f>CONCATENATE(L34," ",K34)</f>
        <v>RICARDO SANTOS</v>
      </c>
      <c r="N34" s="5" t="s">
        <v>57</v>
      </c>
      <c r="O34" s="6">
        <v>46097</v>
      </c>
      <c r="P34" s="6">
        <v>46158</v>
      </c>
      <c r="Q34" s="22">
        <f>DATEDIF(O34,P34,"M")</f>
        <v>2</v>
      </c>
      <c r="R34" s="6" t="s">
        <v>536</v>
      </c>
      <c r="S34" s="6" t="s">
        <v>1036</v>
      </c>
      <c r="T34" s="7">
        <v>122.32</v>
      </c>
      <c r="U34" s="5">
        <v>1</v>
      </c>
      <c r="V34" s="5" t="s">
        <v>58</v>
      </c>
      <c r="W34" s="5" t="s">
        <v>60</v>
      </c>
      <c r="X34" s="5" t="s">
        <v>61</v>
      </c>
      <c r="Y34" s="7">
        <v>85.62</v>
      </c>
    </row>
    <row r="35" spans="1:55" s="5" customFormat="1" x14ac:dyDescent="0.3">
      <c r="A35" s="5">
        <v>2034310022</v>
      </c>
      <c r="B35" s="5" t="s">
        <v>689</v>
      </c>
      <c r="C35" s="5" t="s">
        <v>690</v>
      </c>
      <c r="D35" s="5" t="str">
        <f t="shared" si="0"/>
        <v>MONALISA RAMOS</v>
      </c>
      <c r="E35" s="5" t="s">
        <v>80</v>
      </c>
      <c r="F35" s="5" t="s">
        <v>53</v>
      </c>
      <c r="G35" s="17">
        <v>0.9</v>
      </c>
      <c r="H35" s="5" t="s">
        <v>65</v>
      </c>
      <c r="I35" s="18" t="s">
        <v>65</v>
      </c>
      <c r="J35" s="19" t="s">
        <v>985</v>
      </c>
      <c r="K35" s="5" t="s">
        <v>110</v>
      </c>
      <c r="L35" s="5" t="s">
        <v>111</v>
      </c>
      <c r="M35" s="5" t="str">
        <f>CONCATENATE(L35," ",K35)</f>
        <v>RICARDO SANTOS</v>
      </c>
      <c r="N35" s="5" t="s">
        <v>57</v>
      </c>
      <c r="O35" s="6">
        <v>46094</v>
      </c>
      <c r="P35" s="6">
        <v>46155</v>
      </c>
      <c r="Q35" s="22">
        <f>DATEDIF(O35,P35,"M")</f>
        <v>2</v>
      </c>
      <c r="R35" s="6" t="s">
        <v>536</v>
      </c>
      <c r="S35" s="6" t="s">
        <v>1036</v>
      </c>
      <c r="T35" s="7">
        <v>142.08000000000001</v>
      </c>
      <c r="U35" s="5">
        <v>1</v>
      </c>
      <c r="V35" s="5" t="s">
        <v>58</v>
      </c>
      <c r="W35" s="5" t="s">
        <v>60</v>
      </c>
      <c r="X35" s="5" t="s">
        <v>61</v>
      </c>
      <c r="Y35" s="7">
        <v>127.87</v>
      </c>
    </row>
    <row r="36" spans="1:55" s="5" customFormat="1" x14ac:dyDescent="0.3">
      <c r="A36" s="5">
        <v>2034343274</v>
      </c>
      <c r="B36" s="5" t="s">
        <v>872</v>
      </c>
      <c r="C36" s="5" t="s">
        <v>175</v>
      </c>
      <c r="D36" s="5" t="str">
        <f t="shared" si="0"/>
        <v>MICHAEL FUSCHETTO</v>
      </c>
      <c r="E36" s="5" t="s">
        <v>52</v>
      </c>
      <c r="F36" s="5" t="s">
        <v>483</v>
      </c>
      <c r="G36" s="20">
        <v>0.375</v>
      </c>
      <c r="H36" s="5" t="s">
        <v>484</v>
      </c>
      <c r="I36" s="18" t="s">
        <v>484</v>
      </c>
      <c r="J36" s="19" t="s">
        <v>1029</v>
      </c>
      <c r="K36" s="5" t="s">
        <v>134</v>
      </c>
      <c r="L36" s="5" t="s">
        <v>98</v>
      </c>
      <c r="M36" s="5" t="str">
        <f>CONCATENATE(L36," ",K36)</f>
        <v>THOMAS PARDUE</v>
      </c>
      <c r="N36" s="5" t="s">
        <v>57</v>
      </c>
      <c r="O36" s="6">
        <v>46095</v>
      </c>
      <c r="P36" s="6">
        <v>46156</v>
      </c>
      <c r="Q36" s="22">
        <f>DATEDIF(O36,P36,"M")</f>
        <v>2</v>
      </c>
      <c r="R36" s="6" t="s">
        <v>536</v>
      </c>
      <c r="S36" s="6" t="s">
        <v>1036</v>
      </c>
      <c r="T36" s="7">
        <v>28.87</v>
      </c>
      <c r="U36" s="5">
        <v>1</v>
      </c>
      <c r="V36" s="5" t="s">
        <v>58</v>
      </c>
      <c r="W36" s="5" t="s">
        <v>60</v>
      </c>
      <c r="X36" s="5" t="s">
        <v>61</v>
      </c>
      <c r="Y36" s="7">
        <v>10.83</v>
      </c>
    </row>
    <row r="37" spans="1:55" s="5" customFormat="1" x14ac:dyDescent="0.3">
      <c r="A37" s="5">
        <v>2034315973</v>
      </c>
      <c r="B37" s="5" t="s">
        <v>621</v>
      </c>
      <c r="C37" s="5" t="s">
        <v>691</v>
      </c>
      <c r="D37" s="5" t="str">
        <f t="shared" si="0"/>
        <v>DIANA SMITH</v>
      </c>
      <c r="E37" s="5" t="s">
        <v>295</v>
      </c>
      <c r="F37" s="5" t="s">
        <v>53</v>
      </c>
      <c r="G37" s="17">
        <v>0.9</v>
      </c>
      <c r="H37" s="5" t="s">
        <v>65</v>
      </c>
      <c r="I37" s="18" t="s">
        <v>65</v>
      </c>
      <c r="J37" s="19" t="s">
        <v>1029</v>
      </c>
      <c r="K37" s="5" t="s">
        <v>134</v>
      </c>
      <c r="L37" s="5" t="s">
        <v>98</v>
      </c>
      <c r="M37" s="5" t="str">
        <f>CONCATENATE(L37," ",K37)</f>
        <v>THOMAS PARDUE</v>
      </c>
      <c r="N37" s="5" t="s">
        <v>57</v>
      </c>
      <c r="O37" s="6">
        <v>46094</v>
      </c>
      <c r="P37" s="6">
        <v>46155</v>
      </c>
      <c r="Q37" s="22">
        <f>DATEDIF(O37,P37,"M")</f>
        <v>2</v>
      </c>
      <c r="R37" s="6" t="s">
        <v>536</v>
      </c>
      <c r="S37" s="6" t="s">
        <v>1036</v>
      </c>
      <c r="T37" s="7">
        <v>51.63</v>
      </c>
      <c r="U37" s="5">
        <v>1</v>
      </c>
      <c r="V37" s="5" t="s">
        <v>58</v>
      </c>
      <c r="W37" s="5" t="s">
        <v>60</v>
      </c>
      <c r="X37" s="5" t="s">
        <v>61</v>
      </c>
      <c r="Y37" s="7">
        <v>46.47</v>
      </c>
    </row>
    <row r="38" spans="1:55" s="5" customFormat="1" x14ac:dyDescent="0.3">
      <c r="A38" s="5">
        <v>2033585242</v>
      </c>
      <c r="B38" s="5" t="s">
        <v>439</v>
      </c>
      <c r="C38" s="5" t="s">
        <v>440</v>
      </c>
      <c r="D38" s="5" t="str">
        <f t="shared" si="0"/>
        <v>OSCAR KLIS</v>
      </c>
      <c r="E38" s="5" t="s">
        <v>80</v>
      </c>
      <c r="F38" s="5" t="s">
        <v>53</v>
      </c>
      <c r="G38" s="17">
        <v>0.7</v>
      </c>
      <c r="H38" s="5" t="s">
        <v>54</v>
      </c>
      <c r="I38" s="18" t="s">
        <v>54</v>
      </c>
      <c r="J38" s="19" t="s">
        <v>990</v>
      </c>
      <c r="K38" s="5" t="s">
        <v>441</v>
      </c>
      <c r="L38" s="5" t="s">
        <v>442</v>
      </c>
      <c r="M38" s="5" t="str">
        <f>CONCATENATE(L38," ",K38)</f>
        <v>Anthony Hunsberger</v>
      </c>
      <c r="N38" s="5" t="s">
        <v>57</v>
      </c>
      <c r="O38" s="6">
        <v>46064</v>
      </c>
      <c r="P38" s="6">
        <v>46153</v>
      </c>
      <c r="Q38" s="22">
        <f>DATEDIF(O38,P38,"M")</f>
        <v>3</v>
      </c>
      <c r="R38" s="6" t="s">
        <v>536</v>
      </c>
      <c r="S38" s="6" t="s">
        <v>1036</v>
      </c>
      <c r="T38" s="7">
        <v>56.5</v>
      </c>
      <c r="U38" s="5">
        <v>1</v>
      </c>
      <c r="V38" s="5" t="s">
        <v>58</v>
      </c>
      <c r="W38" s="5" t="s">
        <v>60</v>
      </c>
      <c r="X38" s="5" t="s">
        <v>61</v>
      </c>
      <c r="Y38" s="7">
        <v>39.549999999999997</v>
      </c>
    </row>
    <row r="39" spans="1:55" s="5" customFormat="1" x14ac:dyDescent="0.3">
      <c r="A39" s="5">
        <v>2033585243</v>
      </c>
      <c r="B39" s="5" t="s">
        <v>439</v>
      </c>
      <c r="C39" s="5" t="s">
        <v>440</v>
      </c>
      <c r="D39" s="5" t="str">
        <f t="shared" si="0"/>
        <v>OSCAR KLIS</v>
      </c>
      <c r="E39" s="5" t="s">
        <v>80</v>
      </c>
      <c r="F39" s="5" t="s">
        <v>483</v>
      </c>
      <c r="G39" s="20">
        <v>0.375</v>
      </c>
      <c r="H39" s="5" t="s">
        <v>484</v>
      </c>
      <c r="I39" s="18" t="s">
        <v>484</v>
      </c>
      <c r="J39" s="19" t="s">
        <v>990</v>
      </c>
      <c r="K39" s="5" t="s">
        <v>441</v>
      </c>
      <c r="L39" s="5" t="s">
        <v>442</v>
      </c>
      <c r="M39" s="5" t="str">
        <f>CONCATENATE(L39," ",K39)</f>
        <v>Anthony Hunsberger</v>
      </c>
      <c r="N39" s="5" t="s">
        <v>57</v>
      </c>
      <c r="O39" s="6">
        <v>46064</v>
      </c>
      <c r="P39" s="6">
        <v>46153</v>
      </c>
      <c r="Q39" s="22">
        <f>DATEDIF(O39,P39,"M")</f>
        <v>3</v>
      </c>
      <c r="R39" s="6" t="s">
        <v>536</v>
      </c>
      <c r="S39" s="6" t="s">
        <v>1036</v>
      </c>
      <c r="T39" s="7">
        <v>78.760000000000005</v>
      </c>
      <c r="U39" s="5">
        <v>1</v>
      </c>
      <c r="V39" s="5" t="s">
        <v>58</v>
      </c>
      <c r="W39" s="5" t="s">
        <v>60</v>
      </c>
      <c r="X39" s="5" t="s">
        <v>61</v>
      </c>
      <c r="Y39" s="7">
        <v>29.54</v>
      </c>
    </row>
    <row r="40" spans="1:55" s="5" customFormat="1" x14ac:dyDescent="0.3">
      <c r="A40" s="5">
        <v>2033585244</v>
      </c>
      <c r="B40" s="5" t="s">
        <v>439</v>
      </c>
      <c r="C40" s="5" t="s">
        <v>440</v>
      </c>
      <c r="D40" s="5" t="str">
        <f t="shared" si="0"/>
        <v>OSCAR KLIS</v>
      </c>
      <c r="E40" s="5" t="s">
        <v>80</v>
      </c>
      <c r="F40" s="5" t="s">
        <v>53</v>
      </c>
      <c r="G40" s="17">
        <v>0.9</v>
      </c>
      <c r="H40" s="5" t="s">
        <v>65</v>
      </c>
      <c r="I40" s="18" t="s">
        <v>65</v>
      </c>
      <c r="J40" s="19" t="s">
        <v>990</v>
      </c>
      <c r="K40" s="5" t="s">
        <v>441</v>
      </c>
      <c r="L40" s="5" t="s">
        <v>442</v>
      </c>
      <c r="M40" s="5" t="str">
        <f>CONCATENATE(L40," ",K40)</f>
        <v>Anthony Hunsberger</v>
      </c>
      <c r="N40" s="5" t="s">
        <v>57</v>
      </c>
      <c r="O40" s="6">
        <v>46064</v>
      </c>
      <c r="P40" s="6">
        <v>46153</v>
      </c>
      <c r="Q40" s="22">
        <f>DATEDIF(O40,P40,"M")</f>
        <v>3</v>
      </c>
      <c r="R40" s="6" t="s">
        <v>536</v>
      </c>
      <c r="S40" s="6" t="s">
        <v>1036</v>
      </c>
      <c r="T40" s="7">
        <v>10.31</v>
      </c>
      <c r="U40" s="5">
        <v>1</v>
      </c>
      <c r="V40" s="5" t="s">
        <v>58</v>
      </c>
      <c r="W40" s="5" t="s">
        <v>60</v>
      </c>
      <c r="X40" s="5" t="s">
        <v>61</v>
      </c>
      <c r="Y40" s="7">
        <v>9.2799999999999994</v>
      </c>
    </row>
    <row r="41" spans="1:55" x14ac:dyDescent="0.3">
      <c r="A41" s="5">
        <v>2033293237</v>
      </c>
      <c r="B41" s="5" t="s">
        <v>433</v>
      </c>
      <c r="C41" s="5" t="s">
        <v>434</v>
      </c>
      <c r="D41" s="5" t="str">
        <f t="shared" si="0"/>
        <v>MARYANN YOUNG</v>
      </c>
      <c r="E41" s="5" t="s">
        <v>80</v>
      </c>
      <c r="F41" s="5" t="s">
        <v>53</v>
      </c>
      <c r="G41" s="17">
        <v>0.9</v>
      </c>
      <c r="H41" s="5" t="s">
        <v>65</v>
      </c>
      <c r="I41" s="18" t="s">
        <v>65</v>
      </c>
      <c r="J41" s="19" t="s">
        <v>989</v>
      </c>
      <c r="K41" s="5" t="s">
        <v>307</v>
      </c>
      <c r="L41" s="5" t="s">
        <v>308</v>
      </c>
      <c r="M41" s="5" t="str">
        <f>CONCATENATE(L41," ",K41)</f>
        <v>Dale Walenga</v>
      </c>
      <c r="N41" s="5" t="s">
        <v>57</v>
      </c>
      <c r="O41" s="6">
        <v>46065</v>
      </c>
      <c r="P41" s="6">
        <v>46154</v>
      </c>
      <c r="Q41" s="22">
        <f>DATEDIF(O41,P41,"M")</f>
        <v>3</v>
      </c>
      <c r="R41" s="6" t="s">
        <v>536</v>
      </c>
      <c r="S41" s="6" t="s">
        <v>1036</v>
      </c>
      <c r="T41" s="7">
        <v>99.25</v>
      </c>
      <c r="U41" s="5">
        <v>1</v>
      </c>
      <c r="V41" s="5" t="s">
        <v>58</v>
      </c>
      <c r="W41" s="5" t="s">
        <v>60</v>
      </c>
      <c r="X41" s="5" t="s">
        <v>61</v>
      </c>
      <c r="Y41" s="7">
        <v>89.32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</row>
    <row r="42" spans="1:55" s="8" customFormat="1" x14ac:dyDescent="0.3">
      <c r="A42" s="5">
        <v>2033621992</v>
      </c>
      <c r="B42" s="5" t="s">
        <v>626</v>
      </c>
      <c r="C42" s="5" t="s">
        <v>627</v>
      </c>
      <c r="D42" s="5" t="str">
        <f t="shared" si="0"/>
        <v>SAVANNAH BERRY</v>
      </c>
      <c r="E42" s="5" t="s">
        <v>64</v>
      </c>
      <c r="F42" s="5" t="s">
        <v>444</v>
      </c>
      <c r="G42" s="17">
        <v>0.9</v>
      </c>
      <c r="H42" s="5" t="s">
        <v>567</v>
      </c>
      <c r="I42" s="18" t="s">
        <v>981</v>
      </c>
      <c r="J42" s="19" t="s">
        <v>1028</v>
      </c>
      <c r="K42" s="5" t="s">
        <v>446</v>
      </c>
      <c r="L42" s="5" t="s">
        <v>447</v>
      </c>
      <c r="M42" s="5" t="str">
        <f>CONCATENATE(L42," ",K42)</f>
        <v>Danna Green</v>
      </c>
      <c r="N42" s="5" t="s">
        <v>57</v>
      </c>
      <c r="O42" s="6">
        <v>46066</v>
      </c>
      <c r="P42" s="6">
        <v>46155</v>
      </c>
      <c r="Q42" s="22">
        <f>DATEDIF(O42,P42,"M")</f>
        <v>3</v>
      </c>
      <c r="R42" s="6" t="s">
        <v>536</v>
      </c>
      <c r="S42" s="6" t="s">
        <v>1036</v>
      </c>
      <c r="T42" s="7">
        <v>16.600000000000001</v>
      </c>
      <c r="U42" s="5">
        <v>1</v>
      </c>
      <c r="V42" s="5" t="s">
        <v>58</v>
      </c>
      <c r="W42" s="5" t="s">
        <v>60</v>
      </c>
      <c r="X42" s="5" t="s">
        <v>61</v>
      </c>
      <c r="Y42" s="7">
        <v>14.94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</row>
    <row r="43" spans="1:55" s="8" customFormat="1" x14ac:dyDescent="0.3">
      <c r="A43" s="5">
        <v>2033621993</v>
      </c>
      <c r="B43" s="5" t="s">
        <v>626</v>
      </c>
      <c r="C43" s="5" t="s">
        <v>627</v>
      </c>
      <c r="D43" s="5" t="str">
        <f t="shared" si="0"/>
        <v>SAVANNAH BERRY</v>
      </c>
      <c r="E43" s="5" t="s">
        <v>64</v>
      </c>
      <c r="F43" s="5" t="s">
        <v>475</v>
      </c>
      <c r="G43" s="17">
        <v>0.19</v>
      </c>
      <c r="H43" s="5" t="s">
        <v>765</v>
      </c>
      <c r="I43" s="18" t="s">
        <v>765</v>
      </c>
      <c r="J43" s="19" t="s">
        <v>1028</v>
      </c>
      <c r="K43" s="5" t="s">
        <v>446</v>
      </c>
      <c r="L43" s="5" t="s">
        <v>447</v>
      </c>
      <c r="M43" s="5" t="str">
        <f>CONCATENATE(L43," ",K43)</f>
        <v>Danna Green</v>
      </c>
      <c r="N43" s="5" t="s">
        <v>57</v>
      </c>
      <c r="O43" s="6">
        <v>46066</v>
      </c>
      <c r="P43" s="6">
        <v>46155</v>
      </c>
      <c r="Q43" s="22">
        <f>DATEDIF(O43,P43,"M")</f>
        <v>3</v>
      </c>
      <c r="R43" s="6" t="s">
        <v>536</v>
      </c>
      <c r="S43" s="6" t="s">
        <v>1036</v>
      </c>
      <c r="T43" s="7">
        <v>15</v>
      </c>
      <c r="U43" s="5">
        <v>1</v>
      </c>
      <c r="V43" s="5" t="s">
        <v>58</v>
      </c>
      <c r="W43" s="5" t="s">
        <v>60</v>
      </c>
      <c r="X43" s="5" t="s">
        <v>61</v>
      </c>
      <c r="Y43" s="7">
        <v>2.85</v>
      </c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</row>
    <row r="44" spans="1:55" s="8" customFormat="1" x14ac:dyDescent="0.3">
      <c r="A44" s="5">
        <v>2033621990</v>
      </c>
      <c r="B44" s="5" t="s">
        <v>626</v>
      </c>
      <c r="C44" s="5" t="s">
        <v>627</v>
      </c>
      <c r="D44" s="5" t="str">
        <f t="shared" si="0"/>
        <v>SAVANNAH BERRY</v>
      </c>
      <c r="E44" s="5" t="s">
        <v>64</v>
      </c>
      <c r="F44" s="5" t="s">
        <v>524</v>
      </c>
      <c r="G44" s="17">
        <v>0.19</v>
      </c>
      <c r="H44" s="5" t="s">
        <v>706</v>
      </c>
      <c r="I44" s="18" t="s">
        <v>982</v>
      </c>
      <c r="J44" s="19" t="s">
        <v>1032</v>
      </c>
      <c r="K44" s="5" t="s">
        <v>446</v>
      </c>
      <c r="L44" s="5" t="s">
        <v>447</v>
      </c>
      <c r="M44" s="5" t="str">
        <f>CONCATENATE(L44," ",K44)</f>
        <v>Danna Green</v>
      </c>
      <c r="N44" s="5" t="s">
        <v>57</v>
      </c>
      <c r="O44" s="6">
        <v>46066</v>
      </c>
      <c r="P44" s="6">
        <v>46155</v>
      </c>
      <c r="Q44" s="22">
        <f>DATEDIF(O44,P44,"M")</f>
        <v>3</v>
      </c>
      <c r="R44" s="6" t="s">
        <v>536</v>
      </c>
      <c r="S44" s="6" t="s">
        <v>1036</v>
      </c>
      <c r="T44" s="7">
        <v>153.04</v>
      </c>
      <c r="U44" s="5">
        <v>1</v>
      </c>
      <c r="V44" s="5" t="s">
        <v>58</v>
      </c>
      <c r="W44" s="5" t="s">
        <v>60</v>
      </c>
      <c r="X44" s="5" t="s">
        <v>61</v>
      </c>
      <c r="Y44" s="7">
        <v>29.08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</row>
    <row r="45" spans="1:55" s="8" customFormat="1" x14ac:dyDescent="0.3">
      <c r="A45" s="5">
        <v>2033621991</v>
      </c>
      <c r="B45" s="5" t="s">
        <v>626</v>
      </c>
      <c r="C45" s="5" t="s">
        <v>627</v>
      </c>
      <c r="D45" s="5" t="str">
        <f t="shared" si="0"/>
        <v>SAVANNAH BERRY</v>
      </c>
      <c r="E45" s="5" t="s">
        <v>64</v>
      </c>
      <c r="F45" s="5" t="s">
        <v>53</v>
      </c>
      <c r="G45" s="17">
        <v>0.7</v>
      </c>
      <c r="H45" s="5" t="s">
        <v>54</v>
      </c>
      <c r="I45" s="18" t="s">
        <v>54</v>
      </c>
      <c r="J45" s="19" t="s">
        <v>1028</v>
      </c>
      <c r="K45" s="5" t="s">
        <v>446</v>
      </c>
      <c r="L45" s="5" t="s">
        <v>447</v>
      </c>
      <c r="M45" s="5" t="str">
        <f>CONCATENATE(L45," ",K45)</f>
        <v>Danna Green</v>
      </c>
      <c r="N45" s="5" t="s">
        <v>57</v>
      </c>
      <c r="O45" s="6">
        <v>46066</v>
      </c>
      <c r="P45" s="6">
        <v>46155</v>
      </c>
      <c r="Q45" s="22">
        <f>DATEDIF(O45,P45,"M")</f>
        <v>3</v>
      </c>
      <c r="R45" s="6" t="s">
        <v>536</v>
      </c>
      <c r="S45" s="6" t="s">
        <v>1036</v>
      </c>
      <c r="T45" s="7">
        <v>15.18</v>
      </c>
      <c r="U45" s="5">
        <v>1</v>
      </c>
      <c r="V45" s="5" t="s">
        <v>58</v>
      </c>
      <c r="W45" s="5" t="s">
        <v>60</v>
      </c>
      <c r="X45" s="5" t="s">
        <v>61</v>
      </c>
      <c r="Y45" s="7">
        <v>10.63</v>
      </c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</row>
    <row r="46" spans="1:55" s="8" customFormat="1" x14ac:dyDescent="0.3">
      <c r="A46" s="5">
        <v>2033684744</v>
      </c>
      <c r="B46" s="5" t="s">
        <v>629</v>
      </c>
      <c r="C46" s="5" t="s">
        <v>630</v>
      </c>
      <c r="D46" s="5" t="str">
        <f t="shared" si="0"/>
        <v>DANIEL OLAGUE</v>
      </c>
      <c r="E46" s="5" t="s">
        <v>103</v>
      </c>
      <c r="F46" s="5" t="s">
        <v>499</v>
      </c>
      <c r="G46" s="17">
        <v>0.38</v>
      </c>
      <c r="H46" s="5" t="s">
        <v>500</v>
      </c>
      <c r="I46" s="18" t="s">
        <v>500</v>
      </c>
      <c r="J46" s="19" t="s">
        <v>1001</v>
      </c>
      <c r="K46" s="5" t="s">
        <v>104</v>
      </c>
      <c r="L46" s="5" t="s">
        <v>105</v>
      </c>
      <c r="M46" s="5" t="str">
        <f>CONCATENATE(L46," ",K46)</f>
        <v>Heather Geske</v>
      </c>
      <c r="N46" s="5" t="s">
        <v>57</v>
      </c>
      <c r="O46" s="6">
        <v>46070</v>
      </c>
      <c r="P46" s="6">
        <v>46159</v>
      </c>
      <c r="Q46" s="22">
        <f>DATEDIF(O46,P46,"M")</f>
        <v>3</v>
      </c>
      <c r="R46" s="6" t="s">
        <v>536</v>
      </c>
      <c r="S46" s="6" t="s">
        <v>1036</v>
      </c>
      <c r="T46" s="7">
        <v>215.34</v>
      </c>
      <c r="U46" s="5">
        <v>1</v>
      </c>
      <c r="V46" s="5" t="s">
        <v>58</v>
      </c>
      <c r="W46" s="5" t="s">
        <v>60</v>
      </c>
      <c r="X46" s="5" t="s">
        <v>61</v>
      </c>
      <c r="Y46" s="7">
        <v>81.83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</row>
    <row r="47" spans="1:55" x14ac:dyDescent="0.3">
      <c r="A47" s="5">
        <v>2033684747</v>
      </c>
      <c r="B47" s="5" t="s">
        <v>629</v>
      </c>
      <c r="C47" s="5" t="s">
        <v>630</v>
      </c>
      <c r="D47" s="5" t="str">
        <f t="shared" si="0"/>
        <v>DANIEL OLAGUE</v>
      </c>
      <c r="E47" s="5" t="s">
        <v>103</v>
      </c>
      <c r="F47" s="5" t="s">
        <v>499</v>
      </c>
      <c r="G47" s="17">
        <v>0.38</v>
      </c>
      <c r="H47" s="5" t="s">
        <v>501</v>
      </c>
      <c r="I47" s="18" t="s">
        <v>500</v>
      </c>
      <c r="J47" s="19" t="s">
        <v>1001</v>
      </c>
      <c r="K47" s="5" t="s">
        <v>104</v>
      </c>
      <c r="L47" s="5" t="s">
        <v>105</v>
      </c>
      <c r="M47" s="5" t="str">
        <f>CONCATENATE(L47," ",K47)</f>
        <v>Heather Geske</v>
      </c>
      <c r="N47" s="5" t="s">
        <v>57</v>
      </c>
      <c r="O47" s="6">
        <v>46070</v>
      </c>
      <c r="P47" s="6">
        <v>46159</v>
      </c>
      <c r="Q47" s="22">
        <f>DATEDIF(O47,P47,"M")</f>
        <v>3</v>
      </c>
      <c r="R47" s="6" t="s">
        <v>536</v>
      </c>
      <c r="S47" s="6" t="s">
        <v>1036</v>
      </c>
      <c r="T47" s="7">
        <v>7.09</v>
      </c>
      <c r="U47" s="5">
        <v>1</v>
      </c>
      <c r="V47" s="5" t="s">
        <v>58</v>
      </c>
      <c r="W47" s="5" t="s">
        <v>60</v>
      </c>
      <c r="X47" s="5" t="s">
        <v>61</v>
      </c>
      <c r="Y47" s="7">
        <v>2.69</v>
      </c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</row>
    <row r="48" spans="1:55" x14ac:dyDescent="0.3">
      <c r="A48" s="5">
        <v>2033684746</v>
      </c>
      <c r="B48" s="5" t="s">
        <v>629</v>
      </c>
      <c r="C48" s="5" t="s">
        <v>630</v>
      </c>
      <c r="D48" s="5" t="str">
        <f t="shared" si="0"/>
        <v>DANIEL OLAGUE</v>
      </c>
      <c r="E48" s="5" t="s">
        <v>103</v>
      </c>
      <c r="F48" s="5" t="s">
        <v>444</v>
      </c>
      <c r="G48" s="17">
        <v>0.9</v>
      </c>
      <c r="H48" s="5" t="s">
        <v>567</v>
      </c>
      <c r="I48" s="18" t="s">
        <v>981</v>
      </c>
      <c r="J48" s="19" t="s">
        <v>1001</v>
      </c>
      <c r="K48" s="5" t="s">
        <v>104</v>
      </c>
      <c r="L48" s="5" t="s">
        <v>105</v>
      </c>
      <c r="M48" s="5" t="str">
        <f>CONCATENATE(L48," ",K48)</f>
        <v>Heather Geske</v>
      </c>
      <c r="N48" s="5" t="s">
        <v>57</v>
      </c>
      <c r="O48" s="6">
        <v>46070</v>
      </c>
      <c r="P48" s="6">
        <v>46159</v>
      </c>
      <c r="Q48" s="22">
        <f>DATEDIF(O48,P48,"M")</f>
        <v>3</v>
      </c>
      <c r="R48" s="6" t="s">
        <v>536</v>
      </c>
      <c r="S48" s="6" t="s">
        <v>1036</v>
      </c>
      <c r="T48" s="7">
        <v>32.630000000000003</v>
      </c>
      <c r="U48" s="5">
        <v>1</v>
      </c>
      <c r="V48" s="5" t="s">
        <v>58</v>
      </c>
      <c r="W48" s="5" t="s">
        <v>60</v>
      </c>
      <c r="X48" s="5" t="s">
        <v>61</v>
      </c>
      <c r="Y48" s="7">
        <v>29.37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</row>
    <row r="49" spans="1:55" x14ac:dyDescent="0.3">
      <c r="A49" s="5">
        <v>2033684745</v>
      </c>
      <c r="B49" s="5" t="s">
        <v>629</v>
      </c>
      <c r="C49" s="5" t="s">
        <v>630</v>
      </c>
      <c r="D49" s="5" t="str">
        <f t="shared" si="0"/>
        <v>DANIEL OLAGUE</v>
      </c>
      <c r="E49" s="5" t="s">
        <v>103</v>
      </c>
      <c r="F49" s="5" t="s">
        <v>53</v>
      </c>
      <c r="G49" s="17">
        <v>0.7</v>
      </c>
      <c r="H49" s="5" t="s">
        <v>54</v>
      </c>
      <c r="I49" s="18" t="s">
        <v>54</v>
      </c>
      <c r="J49" s="19" t="s">
        <v>1001</v>
      </c>
      <c r="K49" s="5" t="s">
        <v>104</v>
      </c>
      <c r="L49" s="5" t="s">
        <v>105</v>
      </c>
      <c r="M49" s="5" t="str">
        <f>CONCATENATE(L49," ",K49)</f>
        <v>Heather Geske</v>
      </c>
      <c r="N49" s="5" t="s">
        <v>57</v>
      </c>
      <c r="O49" s="6">
        <v>46070</v>
      </c>
      <c r="P49" s="6">
        <v>46159</v>
      </c>
      <c r="Q49" s="22">
        <f>DATEDIF(O49,P49,"M")</f>
        <v>3</v>
      </c>
      <c r="R49" s="6" t="s">
        <v>536</v>
      </c>
      <c r="S49" s="6" t="s">
        <v>1036</v>
      </c>
      <c r="T49" s="7">
        <v>9.1</v>
      </c>
      <c r="U49" s="5">
        <v>1</v>
      </c>
      <c r="V49" s="5" t="s">
        <v>58</v>
      </c>
      <c r="W49" s="5" t="s">
        <v>60</v>
      </c>
      <c r="X49" s="5" t="s">
        <v>61</v>
      </c>
      <c r="Y49" s="7">
        <v>6.37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</row>
    <row r="50" spans="1:55" x14ac:dyDescent="0.3">
      <c r="A50" s="5">
        <v>2033671194</v>
      </c>
      <c r="B50" s="5" t="s">
        <v>628</v>
      </c>
      <c r="C50" s="5" t="s">
        <v>107</v>
      </c>
      <c r="D50" s="5" t="str">
        <f t="shared" si="0"/>
        <v>TIMOTHY RENGGLI</v>
      </c>
      <c r="E50" s="5" t="s">
        <v>612</v>
      </c>
      <c r="F50" s="5" t="s">
        <v>444</v>
      </c>
      <c r="G50" s="17">
        <v>0.75</v>
      </c>
      <c r="H50" s="5" t="s">
        <v>454</v>
      </c>
      <c r="I50" s="18" t="s">
        <v>980</v>
      </c>
      <c r="J50" s="19" t="s">
        <v>986</v>
      </c>
      <c r="K50" s="5" t="s">
        <v>71</v>
      </c>
      <c r="L50" s="5" t="s">
        <v>72</v>
      </c>
      <c r="M50" s="5" t="str">
        <f>CONCATENATE(L50," ",K50)</f>
        <v>Jake Shulman</v>
      </c>
      <c r="N50" s="5" t="s">
        <v>57</v>
      </c>
      <c r="O50" s="6">
        <v>46068</v>
      </c>
      <c r="P50" s="6">
        <v>46157</v>
      </c>
      <c r="Q50" s="22">
        <f>DATEDIF(O50,P50,"M")</f>
        <v>3</v>
      </c>
      <c r="R50" s="6" t="s">
        <v>536</v>
      </c>
      <c r="S50" s="6" t="s">
        <v>1036</v>
      </c>
      <c r="T50" s="7">
        <v>23.05</v>
      </c>
      <c r="U50" s="5">
        <v>1</v>
      </c>
      <c r="V50" s="5" t="s">
        <v>58</v>
      </c>
      <c r="W50" s="5" t="s">
        <v>60</v>
      </c>
      <c r="X50" s="5" t="s">
        <v>61</v>
      </c>
      <c r="Y50" s="7">
        <v>17.29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</row>
    <row r="51" spans="1:55" x14ac:dyDescent="0.3">
      <c r="A51" s="5">
        <v>2033607437</v>
      </c>
      <c r="B51" s="5" t="s">
        <v>662</v>
      </c>
      <c r="C51" s="5" t="s">
        <v>663</v>
      </c>
      <c r="D51" s="5" t="str">
        <f t="shared" si="0"/>
        <v>MUNKHJARGAL JARGALSAIKHAN</v>
      </c>
      <c r="E51" s="5" t="s">
        <v>80</v>
      </c>
      <c r="F51" s="5" t="s">
        <v>53</v>
      </c>
      <c r="G51" s="17">
        <v>0.7</v>
      </c>
      <c r="H51" s="5" t="s">
        <v>54</v>
      </c>
      <c r="I51" s="18" t="s">
        <v>54</v>
      </c>
      <c r="J51" s="19" t="s">
        <v>999</v>
      </c>
      <c r="K51" s="5" t="s">
        <v>89</v>
      </c>
      <c r="L51" s="5" t="s">
        <v>90</v>
      </c>
      <c r="M51" s="5" t="str">
        <f>CONCATENATE(L51," ",K51)</f>
        <v>NASANDELGER ZANA</v>
      </c>
      <c r="N51" s="5" t="s">
        <v>57</v>
      </c>
      <c r="O51" s="6">
        <v>46065</v>
      </c>
      <c r="P51" s="6">
        <v>46154</v>
      </c>
      <c r="Q51" s="22">
        <f>DATEDIF(O51,P51,"M")</f>
        <v>3</v>
      </c>
      <c r="R51" s="6" t="s">
        <v>536</v>
      </c>
      <c r="S51" s="6" t="s">
        <v>1036</v>
      </c>
      <c r="T51" s="7">
        <v>76.709999999999994</v>
      </c>
      <c r="U51" s="5">
        <v>1</v>
      </c>
      <c r="V51" s="5" t="s">
        <v>58</v>
      </c>
      <c r="W51" s="5" t="s">
        <v>60</v>
      </c>
      <c r="X51" s="5" t="s">
        <v>61</v>
      </c>
      <c r="Y51" s="7">
        <v>53.7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</row>
    <row r="52" spans="1:55" x14ac:dyDescent="0.3">
      <c r="A52" s="5">
        <v>2033612292</v>
      </c>
      <c r="B52" s="5" t="s">
        <v>689</v>
      </c>
      <c r="C52" s="5" t="s">
        <v>774</v>
      </c>
      <c r="D52" s="5" t="str">
        <f t="shared" si="0"/>
        <v>DULCE RAMOS</v>
      </c>
      <c r="E52" s="5" t="s">
        <v>80</v>
      </c>
      <c r="F52" s="5" t="s">
        <v>499</v>
      </c>
      <c r="G52" s="17">
        <v>0.38</v>
      </c>
      <c r="H52" s="5" t="s">
        <v>500</v>
      </c>
      <c r="I52" s="18" t="s">
        <v>500</v>
      </c>
      <c r="J52" s="19" t="s">
        <v>985</v>
      </c>
      <c r="K52" s="5" t="s">
        <v>110</v>
      </c>
      <c r="L52" s="5" t="s">
        <v>111</v>
      </c>
      <c r="M52" s="5" t="str">
        <f>CONCATENATE(L52," ",K52)</f>
        <v>RICARDO SANTOS</v>
      </c>
      <c r="N52" s="5" t="s">
        <v>57</v>
      </c>
      <c r="O52" s="6">
        <v>46065</v>
      </c>
      <c r="P52" s="6">
        <v>46154</v>
      </c>
      <c r="Q52" s="22">
        <f>DATEDIF(O52,P52,"M")</f>
        <v>3</v>
      </c>
      <c r="R52" s="6" t="s">
        <v>536</v>
      </c>
      <c r="S52" s="6" t="s">
        <v>1036</v>
      </c>
      <c r="T52" s="7">
        <v>96.42</v>
      </c>
      <c r="U52" s="5">
        <v>1</v>
      </c>
      <c r="V52" s="5" t="s">
        <v>58</v>
      </c>
      <c r="W52" s="5" t="s">
        <v>60</v>
      </c>
      <c r="X52" s="5" t="s">
        <v>61</v>
      </c>
      <c r="Y52" s="7">
        <v>36.64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</row>
    <row r="53" spans="1:55" x14ac:dyDescent="0.3">
      <c r="A53" s="5">
        <v>2033612293</v>
      </c>
      <c r="B53" s="5" t="s">
        <v>689</v>
      </c>
      <c r="C53" s="5" t="s">
        <v>774</v>
      </c>
      <c r="D53" s="5" t="str">
        <f t="shared" si="0"/>
        <v>DULCE RAMOS</v>
      </c>
      <c r="E53" s="5" t="s">
        <v>80</v>
      </c>
      <c r="F53" s="5" t="s">
        <v>475</v>
      </c>
      <c r="G53" s="17">
        <v>0.38</v>
      </c>
      <c r="H53" s="5" t="s">
        <v>476</v>
      </c>
      <c r="I53" s="18" t="s">
        <v>476</v>
      </c>
      <c r="J53" s="19" t="s">
        <v>985</v>
      </c>
      <c r="K53" s="5" t="s">
        <v>110</v>
      </c>
      <c r="L53" s="5" t="s">
        <v>111</v>
      </c>
      <c r="M53" s="5" t="str">
        <f>CONCATENATE(L53," ",K53)</f>
        <v>RICARDO SANTOS</v>
      </c>
      <c r="N53" s="5" t="s">
        <v>57</v>
      </c>
      <c r="O53" s="6">
        <v>46065</v>
      </c>
      <c r="P53" s="6">
        <v>46154</v>
      </c>
      <c r="Q53" s="22">
        <f>DATEDIF(O53,P53,"M")</f>
        <v>3</v>
      </c>
      <c r="R53" s="6" t="s">
        <v>536</v>
      </c>
      <c r="S53" s="6" t="s">
        <v>1036</v>
      </c>
      <c r="T53" s="7">
        <v>15</v>
      </c>
      <c r="U53" s="5">
        <v>1</v>
      </c>
      <c r="V53" s="5" t="s">
        <v>58</v>
      </c>
      <c r="W53" s="5" t="s">
        <v>60</v>
      </c>
      <c r="X53" s="5" t="s">
        <v>61</v>
      </c>
      <c r="Y53" s="7">
        <v>5.7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</row>
    <row r="54" spans="1:55" x14ac:dyDescent="0.3">
      <c r="A54" s="5">
        <v>2033592051</v>
      </c>
      <c r="B54" s="5" t="s">
        <v>659</v>
      </c>
      <c r="C54" s="5" t="s">
        <v>660</v>
      </c>
      <c r="D54" s="5" t="str">
        <f t="shared" si="0"/>
        <v>TORI ROBERTS</v>
      </c>
      <c r="E54" s="5" t="s">
        <v>661</v>
      </c>
      <c r="F54" s="5" t="s">
        <v>53</v>
      </c>
      <c r="G54" s="17">
        <v>0.7</v>
      </c>
      <c r="H54" s="5" t="s">
        <v>54</v>
      </c>
      <c r="I54" s="18" t="s">
        <v>54</v>
      </c>
      <c r="J54" s="19" t="s">
        <v>1029</v>
      </c>
      <c r="K54" s="5" t="s">
        <v>134</v>
      </c>
      <c r="L54" s="5" t="s">
        <v>98</v>
      </c>
      <c r="M54" s="5" t="str">
        <f>CONCATENATE(L54," ",K54)</f>
        <v>THOMAS PARDUE</v>
      </c>
      <c r="N54" s="5" t="s">
        <v>57</v>
      </c>
      <c r="O54" s="6">
        <v>46068</v>
      </c>
      <c r="P54" s="6">
        <v>46157</v>
      </c>
      <c r="Q54" s="22">
        <f>DATEDIF(O54,P54,"M")</f>
        <v>3</v>
      </c>
      <c r="R54" s="6" t="s">
        <v>536</v>
      </c>
      <c r="S54" s="6" t="s">
        <v>1036</v>
      </c>
      <c r="T54" s="7">
        <v>56.55</v>
      </c>
      <c r="U54" s="5">
        <v>1</v>
      </c>
      <c r="V54" s="5" t="s">
        <v>58</v>
      </c>
      <c r="W54" s="5" t="s">
        <v>60</v>
      </c>
      <c r="X54" s="5" t="s">
        <v>61</v>
      </c>
      <c r="Y54" s="7">
        <v>39.58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</row>
    <row r="55" spans="1:55" x14ac:dyDescent="0.3">
      <c r="A55" s="5">
        <v>2033598553</v>
      </c>
      <c r="B55" s="5" t="s">
        <v>869</v>
      </c>
      <c r="C55" s="5" t="s">
        <v>870</v>
      </c>
      <c r="D55" s="5" t="str">
        <f t="shared" si="0"/>
        <v>ORALIA PINA</v>
      </c>
      <c r="E55" s="5" t="s">
        <v>70</v>
      </c>
      <c r="F55" s="5" t="s">
        <v>483</v>
      </c>
      <c r="G55" s="20">
        <v>0.375</v>
      </c>
      <c r="H55" s="5" t="s">
        <v>484</v>
      </c>
      <c r="I55" s="18" t="s">
        <v>484</v>
      </c>
      <c r="J55" s="19" t="s">
        <v>1003</v>
      </c>
      <c r="K55" s="5" t="s">
        <v>134</v>
      </c>
      <c r="L55" s="5" t="s">
        <v>98</v>
      </c>
      <c r="M55" s="5" t="str">
        <f>CONCATENATE(L55," ",K55)</f>
        <v>THOMAS PARDUE</v>
      </c>
      <c r="N55" s="5" t="s">
        <v>57</v>
      </c>
      <c r="O55" s="6">
        <v>46068</v>
      </c>
      <c r="P55" s="6">
        <v>46157</v>
      </c>
      <c r="Q55" s="22">
        <f>DATEDIF(O55,P55,"M")</f>
        <v>3</v>
      </c>
      <c r="R55" s="6" t="s">
        <v>536</v>
      </c>
      <c r="S55" s="6" t="s">
        <v>1036</v>
      </c>
      <c r="T55" s="7">
        <v>84.23</v>
      </c>
      <c r="U55" s="5">
        <v>1</v>
      </c>
      <c r="V55" s="5" t="s">
        <v>58</v>
      </c>
      <c r="W55" s="5" t="s">
        <v>60</v>
      </c>
      <c r="X55" s="5" t="s">
        <v>61</v>
      </c>
      <c r="Y55" s="7">
        <v>31.59</v>
      </c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</row>
    <row r="56" spans="1:55" s="5" customFormat="1" x14ac:dyDescent="0.3">
      <c r="A56" s="5">
        <v>2033682254</v>
      </c>
      <c r="B56" s="5" t="s">
        <v>668</v>
      </c>
      <c r="C56" s="5" t="s">
        <v>669</v>
      </c>
      <c r="D56" s="5" t="str">
        <f t="shared" si="0"/>
        <v>DINA SHALABY</v>
      </c>
      <c r="E56" s="5" t="s">
        <v>52</v>
      </c>
      <c r="F56" s="5" t="s">
        <v>53</v>
      </c>
      <c r="G56" s="17">
        <v>0.7</v>
      </c>
      <c r="H56" s="5" t="s">
        <v>54</v>
      </c>
      <c r="I56" s="18" t="s">
        <v>54</v>
      </c>
      <c r="J56" s="19" t="s">
        <v>1030</v>
      </c>
      <c r="K56" s="5" t="s">
        <v>670</v>
      </c>
      <c r="L56" s="5" t="s">
        <v>671</v>
      </c>
      <c r="M56" s="5" t="str">
        <f>CONCATENATE(L56," ",K56)</f>
        <v>Wendy Sorrentino</v>
      </c>
      <c r="N56" s="5" t="s">
        <v>57</v>
      </c>
      <c r="O56" s="6">
        <v>46070</v>
      </c>
      <c r="P56" s="6">
        <v>46159</v>
      </c>
      <c r="Q56" s="22">
        <f>DATEDIF(O56,P56,"M")</f>
        <v>3</v>
      </c>
      <c r="R56" s="6" t="s">
        <v>536</v>
      </c>
      <c r="S56" s="6" t="s">
        <v>1036</v>
      </c>
      <c r="T56" s="7">
        <v>22.83</v>
      </c>
      <c r="U56" s="5">
        <v>1</v>
      </c>
      <c r="V56" s="5" t="s">
        <v>58</v>
      </c>
      <c r="W56" s="5" t="s">
        <v>60</v>
      </c>
      <c r="X56" s="5" t="s">
        <v>61</v>
      </c>
      <c r="Y56" s="7">
        <v>15.98</v>
      </c>
    </row>
    <row r="57" spans="1:55" s="5" customFormat="1" x14ac:dyDescent="0.3">
      <c r="A57" s="5">
        <v>2033177918</v>
      </c>
      <c r="B57" s="5" t="s">
        <v>423</v>
      </c>
      <c r="C57" s="5" t="s">
        <v>424</v>
      </c>
      <c r="D57" s="5" t="str">
        <f t="shared" si="0"/>
        <v>EMMALINE HINTON</v>
      </c>
      <c r="E57" s="5" t="s">
        <v>80</v>
      </c>
      <c r="F57" s="5" t="s">
        <v>444</v>
      </c>
      <c r="G57" s="17">
        <v>0.75</v>
      </c>
      <c r="H57" s="5" t="s">
        <v>454</v>
      </c>
      <c r="I57" s="18" t="s">
        <v>980</v>
      </c>
      <c r="J57" s="19" t="s">
        <v>1024</v>
      </c>
      <c r="K57" s="5" t="s">
        <v>425</v>
      </c>
      <c r="L57" s="5" t="s">
        <v>123</v>
      </c>
      <c r="M57" s="5" t="str">
        <f>CONCATENATE(L57," ",K57)</f>
        <v>ANDREA PETRUNGARO</v>
      </c>
      <c r="N57" s="5" t="s">
        <v>57</v>
      </c>
      <c r="O57" s="6">
        <v>46038</v>
      </c>
      <c r="P57" s="6">
        <v>46158</v>
      </c>
      <c r="Q57" s="22">
        <f>DATEDIF(O57,P57,"M")</f>
        <v>4</v>
      </c>
      <c r="R57" s="6" t="s">
        <v>536</v>
      </c>
      <c r="S57" s="6" t="s">
        <v>1036</v>
      </c>
      <c r="T57" s="7">
        <v>25.75</v>
      </c>
      <c r="U57" s="5">
        <v>1</v>
      </c>
      <c r="V57" s="5" t="s">
        <v>58</v>
      </c>
      <c r="W57" s="5" t="s">
        <v>60</v>
      </c>
      <c r="X57" s="5" t="s">
        <v>61</v>
      </c>
      <c r="Y57" s="7">
        <v>19.309999999999999</v>
      </c>
    </row>
    <row r="58" spans="1:55" s="5" customFormat="1" x14ac:dyDescent="0.3">
      <c r="A58" s="5">
        <v>2033177917</v>
      </c>
      <c r="B58" s="5" t="s">
        <v>423</v>
      </c>
      <c r="C58" s="5" t="s">
        <v>424</v>
      </c>
      <c r="D58" s="5" t="str">
        <f t="shared" si="0"/>
        <v>EMMALINE HINTON</v>
      </c>
      <c r="E58" s="5" t="s">
        <v>80</v>
      </c>
      <c r="F58" s="5" t="s">
        <v>53</v>
      </c>
      <c r="G58" s="17">
        <v>0.7</v>
      </c>
      <c r="H58" s="5" t="s">
        <v>54</v>
      </c>
      <c r="I58" s="18" t="s">
        <v>54</v>
      </c>
      <c r="J58" s="19" t="s">
        <v>1024</v>
      </c>
      <c r="K58" s="5" t="s">
        <v>425</v>
      </c>
      <c r="L58" s="5" t="s">
        <v>123</v>
      </c>
      <c r="M58" s="5" t="str">
        <f>CONCATENATE(L58," ",K58)</f>
        <v>ANDREA PETRUNGARO</v>
      </c>
      <c r="N58" s="5" t="s">
        <v>57</v>
      </c>
      <c r="O58" s="6">
        <v>46038</v>
      </c>
      <c r="P58" s="6">
        <v>46158</v>
      </c>
      <c r="Q58" s="22">
        <f>DATEDIF(O58,P58,"M")</f>
        <v>4</v>
      </c>
      <c r="R58" s="6" t="s">
        <v>536</v>
      </c>
      <c r="S58" s="6" t="s">
        <v>1036</v>
      </c>
      <c r="T58" s="7">
        <v>52.31</v>
      </c>
      <c r="U58" s="5">
        <v>1</v>
      </c>
      <c r="V58" s="5" t="s">
        <v>58</v>
      </c>
      <c r="W58" s="5" t="s">
        <v>60</v>
      </c>
      <c r="X58" s="5" t="s">
        <v>61</v>
      </c>
      <c r="Y58" s="7">
        <v>36.619999999999997</v>
      </c>
    </row>
    <row r="59" spans="1:55" s="5" customFormat="1" x14ac:dyDescent="0.3">
      <c r="A59" s="5">
        <v>2033155463</v>
      </c>
      <c r="B59" s="5" t="s">
        <v>407</v>
      </c>
      <c r="C59" s="5" t="s">
        <v>408</v>
      </c>
      <c r="D59" s="5" t="str">
        <f t="shared" si="0"/>
        <v>MAURICIO RUIZ-TOVAR</v>
      </c>
      <c r="E59" s="5" t="s">
        <v>80</v>
      </c>
      <c r="F59" s="5" t="s">
        <v>444</v>
      </c>
      <c r="G59" s="17">
        <v>0.75</v>
      </c>
      <c r="H59" s="5" t="s">
        <v>451</v>
      </c>
      <c r="I59" s="18" t="s">
        <v>980</v>
      </c>
      <c r="J59" s="19" t="s">
        <v>1012</v>
      </c>
      <c r="K59" s="5" t="s">
        <v>234</v>
      </c>
      <c r="L59" s="5" t="s">
        <v>235</v>
      </c>
      <c r="M59" s="5" t="str">
        <f>CONCATENATE(L59," ",K59)</f>
        <v>Barry Schumann</v>
      </c>
      <c r="N59" s="5" t="s">
        <v>57</v>
      </c>
      <c r="O59" s="6">
        <v>46037</v>
      </c>
      <c r="P59" s="6">
        <v>46157</v>
      </c>
      <c r="Q59" s="22">
        <f>DATEDIF(O59,P59,"M")</f>
        <v>4</v>
      </c>
      <c r="R59" s="6" t="s">
        <v>536</v>
      </c>
      <c r="S59" s="6" t="s">
        <v>1036</v>
      </c>
      <c r="T59" s="7">
        <v>29.17</v>
      </c>
      <c r="U59" s="5">
        <v>1</v>
      </c>
      <c r="V59" s="5" t="s">
        <v>58</v>
      </c>
      <c r="W59" s="5" t="s">
        <v>60</v>
      </c>
      <c r="X59" s="5" t="s">
        <v>61</v>
      </c>
      <c r="Y59" s="7">
        <v>21.88</v>
      </c>
    </row>
    <row r="60" spans="1:55" s="5" customFormat="1" x14ac:dyDescent="0.3">
      <c r="A60" s="5">
        <v>2033155462</v>
      </c>
      <c r="B60" s="5" t="s">
        <v>407</v>
      </c>
      <c r="C60" s="5" t="s">
        <v>408</v>
      </c>
      <c r="D60" s="5" t="str">
        <f t="shared" si="0"/>
        <v>MAURICIO RUIZ-TOVAR</v>
      </c>
      <c r="E60" s="5" t="s">
        <v>80</v>
      </c>
      <c r="F60" s="5" t="s">
        <v>53</v>
      </c>
      <c r="G60" s="17">
        <v>0.7</v>
      </c>
      <c r="H60" s="5" t="s">
        <v>54</v>
      </c>
      <c r="I60" s="18" t="s">
        <v>54</v>
      </c>
      <c r="J60" s="19" t="s">
        <v>1012</v>
      </c>
      <c r="K60" s="5" t="s">
        <v>234</v>
      </c>
      <c r="L60" s="5" t="s">
        <v>235</v>
      </c>
      <c r="M60" s="5" t="str">
        <f>CONCATENATE(L60," ",K60)</f>
        <v>Barry Schumann</v>
      </c>
      <c r="N60" s="5" t="s">
        <v>57</v>
      </c>
      <c r="O60" s="6">
        <v>46037</v>
      </c>
      <c r="P60" s="6">
        <v>46157</v>
      </c>
      <c r="Q60" s="22">
        <f>DATEDIF(O60,P60,"M")</f>
        <v>4</v>
      </c>
      <c r="R60" s="6" t="s">
        <v>536</v>
      </c>
      <c r="S60" s="6" t="s">
        <v>1036</v>
      </c>
      <c r="T60" s="7">
        <v>105.02</v>
      </c>
      <c r="U60" s="5">
        <v>1</v>
      </c>
      <c r="V60" s="5" t="s">
        <v>58</v>
      </c>
      <c r="W60" s="5" t="s">
        <v>60</v>
      </c>
      <c r="X60" s="5" t="s">
        <v>61</v>
      </c>
      <c r="Y60" s="7">
        <v>73.510000000000005</v>
      </c>
    </row>
    <row r="61" spans="1:55" s="5" customFormat="1" x14ac:dyDescent="0.3">
      <c r="A61" s="5">
        <v>2033172627</v>
      </c>
      <c r="B61" s="5" t="s">
        <v>417</v>
      </c>
      <c r="C61" s="5" t="s">
        <v>107</v>
      </c>
      <c r="D61" s="5" t="str">
        <f t="shared" si="0"/>
        <v>TIMOTHY BIRCH</v>
      </c>
      <c r="E61" s="5" t="s">
        <v>70</v>
      </c>
      <c r="F61" s="5" t="s">
        <v>499</v>
      </c>
      <c r="G61" s="17">
        <v>0.38</v>
      </c>
      <c r="H61" s="5" t="s">
        <v>500</v>
      </c>
      <c r="I61" s="18" t="s">
        <v>500</v>
      </c>
      <c r="J61" s="19" t="s">
        <v>987</v>
      </c>
      <c r="K61" s="5" t="s">
        <v>281</v>
      </c>
      <c r="L61" s="5" t="s">
        <v>282</v>
      </c>
      <c r="M61" s="5" t="str">
        <f>CONCATENATE(L61," ",K61)</f>
        <v>Brittany Oliver</v>
      </c>
      <c r="N61" s="5" t="s">
        <v>57</v>
      </c>
      <c r="O61" s="6">
        <v>46038</v>
      </c>
      <c r="P61" s="6">
        <v>46158</v>
      </c>
      <c r="Q61" s="22">
        <f>DATEDIF(O61,P61,"M")</f>
        <v>4</v>
      </c>
      <c r="R61" s="6" t="s">
        <v>536</v>
      </c>
      <c r="S61" s="6" t="s">
        <v>1036</v>
      </c>
      <c r="T61" s="7">
        <v>195.81</v>
      </c>
      <c r="U61" s="5">
        <v>1</v>
      </c>
      <c r="V61" s="5" t="s">
        <v>58</v>
      </c>
      <c r="W61" s="5" t="s">
        <v>60</v>
      </c>
      <c r="X61" s="5" t="s">
        <v>61</v>
      </c>
      <c r="Y61" s="7">
        <v>74.41</v>
      </c>
    </row>
    <row r="62" spans="1:55" s="5" customFormat="1" x14ac:dyDescent="0.3">
      <c r="A62" s="5">
        <v>2033172628</v>
      </c>
      <c r="B62" s="5" t="s">
        <v>417</v>
      </c>
      <c r="C62" s="5" t="s">
        <v>107</v>
      </c>
      <c r="D62" s="5" t="str">
        <f t="shared" si="0"/>
        <v>TIMOTHY BIRCH</v>
      </c>
      <c r="E62" s="5" t="s">
        <v>70</v>
      </c>
      <c r="F62" s="5" t="s">
        <v>499</v>
      </c>
      <c r="G62" s="17">
        <v>0.38</v>
      </c>
      <c r="H62" s="5" t="s">
        <v>501</v>
      </c>
      <c r="I62" s="18" t="s">
        <v>500</v>
      </c>
      <c r="J62" s="19" t="s">
        <v>987</v>
      </c>
      <c r="K62" s="5" t="s">
        <v>281</v>
      </c>
      <c r="L62" s="5" t="s">
        <v>282</v>
      </c>
      <c r="M62" s="5" t="str">
        <f>CONCATENATE(L62," ",K62)</f>
        <v>Brittany Oliver</v>
      </c>
      <c r="N62" s="5" t="s">
        <v>57</v>
      </c>
      <c r="O62" s="6">
        <v>46038</v>
      </c>
      <c r="P62" s="6">
        <v>46158</v>
      </c>
      <c r="Q62" s="22">
        <f>DATEDIF(O62,P62,"M")</f>
        <v>4</v>
      </c>
      <c r="R62" s="6" t="s">
        <v>536</v>
      </c>
      <c r="S62" s="6" t="s">
        <v>1036</v>
      </c>
      <c r="T62" s="7">
        <v>7.09</v>
      </c>
      <c r="U62" s="5">
        <v>1</v>
      </c>
      <c r="V62" s="5" t="s">
        <v>58</v>
      </c>
      <c r="W62" s="5" t="s">
        <v>60</v>
      </c>
      <c r="X62" s="5" t="s">
        <v>61</v>
      </c>
      <c r="Y62" s="7">
        <v>2.69</v>
      </c>
    </row>
    <row r="63" spans="1:55" s="5" customFormat="1" x14ac:dyDescent="0.3">
      <c r="A63" s="5">
        <v>2033172631</v>
      </c>
      <c r="B63" s="5" t="s">
        <v>417</v>
      </c>
      <c r="C63" s="5" t="s">
        <v>107</v>
      </c>
      <c r="D63" s="5" t="str">
        <f t="shared" si="0"/>
        <v>TIMOTHY BIRCH</v>
      </c>
      <c r="E63" s="5" t="s">
        <v>70</v>
      </c>
      <c r="F63" s="5" t="s">
        <v>475</v>
      </c>
      <c r="G63" s="17">
        <v>0.38</v>
      </c>
      <c r="H63" s="5" t="s">
        <v>476</v>
      </c>
      <c r="I63" s="18" t="s">
        <v>476</v>
      </c>
      <c r="J63" s="19" t="s">
        <v>987</v>
      </c>
      <c r="K63" s="5" t="s">
        <v>281</v>
      </c>
      <c r="L63" s="5" t="s">
        <v>282</v>
      </c>
      <c r="M63" s="5" t="str">
        <f>CONCATENATE(L63," ",K63)</f>
        <v>Brittany Oliver</v>
      </c>
      <c r="N63" s="5" t="s">
        <v>57</v>
      </c>
      <c r="O63" s="6">
        <v>46038</v>
      </c>
      <c r="P63" s="6">
        <v>46158</v>
      </c>
      <c r="Q63" s="22">
        <f>DATEDIF(O63,P63,"M")</f>
        <v>4</v>
      </c>
      <c r="R63" s="6" t="s">
        <v>536</v>
      </c>
      <c r="S63" s="6" t="s">
        <v>1036</v>
      </c>
      <c r="T63" s="7">
        <v>15</v>
      </c>
      <c r="U63" s="5">
        <v>1</v>
      </c>
      <c r="V63" s="5" t="s">
        <v>58</v>
      </c>
      <c r="W63" s="5" t="s">
        <v>60</v>
      </c>
      <c r="X63" s="5" t="s">
        <v>61</v>
      </c>
      <c r="Y63" s="7">
        <v>5.7</v>
      </c>
    </row>
    <row r="64" spans="1:55" s="5" customFormat="1" x14ac:dyDescent="0.3">
      <c r="A64" s="5">
        <v>2033172630</v>
      </c>
      <c r="B64" s="5" t="s">
        <v>417</v>
      </c>
      <c r="C64" s="5" t="s">
        <v>107</v>
      </c>
      <c r="D64" s="5" t="str">
        <f t="shared" si="0"/>
        <v>TIMOTHY BIRCH</v>
      </c>
      <c r="E64" s="5" t="s">
        <v>70</v>
      </c>
      <c r="F64" s="5" t="s">
        <v>499</v>
      </c>
      <c r="G64" s="17">
        <v>0.38</v>
      </c>
      <c r="H64" s="5" t="s">
        <v>502</v>
      </c>
      <c r="I64" s="18" t="s">
        <v>502</v>
      </c>
      <c r="J64" s="19" t="s">
        <v>987</v>
      </c>
      <c r="K64" s="5" t="s">
        <v>281</v>
      </c>
      <c r="L64" s="5" t="s">
        <v>282</v>
      </c>
      <c r="M64" s="5" t="str">
        <f>CONCATENATE(L64," ",K64)</f>
        <v>Brittany Oliver</v>
      </c>
      <c r="N64" s="5" t="s">
        <v>57</v>
      </c>
      <c r="O64" s="6">
        <v>46038</v>
      </c>
      <c r="P64" s="6">
        <v>46158</v>
      </c>
      <c r="Q64" s="22">
        <f>DATEDIF(O64,P64,"M")</f>
        <v>4</v>
      </c>
      <c r="R64" s="6" t="s">
        <v>536</v>
      </c>
      <c r="S64" s="6" t="s">
        <v>1036</v>
      </c>
      <c r="T64" s="7">
        <v>32.74</v>
      </c>
      <c r="U64" s="5">
        <v>1</v>
      </c>
      <c r="V64" s="5" t="s">
        <v>58</v>
      </c>
      <c r="W64" s="5" t="s">
        <v>60</v>
      </c>
      <c r="X64" s="5" t="s">
        <v>61</v>
      </c>
      <c r="Y64" s="7">
        <v>12.44</v>
      </c>
    </row>
    <row r="65" spans="1:55" s="5" customFormat="1" x14ac:dyDescent="0.3">
      <c r="A65" s="5">
        <v>2033175259</v>
      </c>
      <c r="B65" s="5" t="s">
        <v>707</v>
      </c>
      <c r="C65" s="5" t="s">
        <v>708</v>
      </c>
      <c r="D65" s="5" t="str">
        <f t="shared" si="0"/>
        <v>MUHAMMAD SAQLAIN</v>
      </c>
      <c r="E65" s="5" t="s">
        <v>93</v>
      </c>
      <c r="F65" s="5" t="s">
        <v>524</v>
      </c>
      <c r="G65" s="17">
        <v>0.27</v>
      </c>
      <c r="H65" s="5" t="s">
        <v>703</v>
      </c>
      <c r="I65" s="18" t="s">
        <v>995</v>
      </c>
      <c r="J65" s="19">
        <v>17554531</v>
      </c>
      <c r="K65" s="5" t="s">
        <v>281</v>
      </c>
      <c r="L65" s="5" t="s">
        <v>282</v>
      </c>
      <c r="M65" s="5" t="str">
        <f>CONCATENATE(L65," ",K65)</f>
        <v>Brittany Oliver</v>
      </c>
      <c r="N65" s="5" t="s">
        <v>57</v>
      </c>
      <c r="O65" s="6">
        <v>46038</v>
      </c>
      <c r="P65" s="6">
        <v>46158</v>
      </c>
      <c r="Q65" s="22">
        <f>DATEDIF(O65,P65,"M")</f>
        <v>4</v>
      </c>
      <c r="R65" s="6" t="s">
        <v>536</v>
      </c>
      <c r="S65" s="6" t="s">
        <v>1036</v>
      </c>
      <c r="T65" s="7">
        <v>9.9499999999999993</v>
      </c>
      <c r="U65" s="5">
        <v>1</v>
      </c>
      <c r="V65" s="5" t="s">
        <v>58</v>
      </c>
      <c r="W65" s="5" t="s">
        <v>60</v>
      </c>
      <c r="X65" s="5" t="s">
        <v>61</v>
      </c>
      <c r="Y65" s="7">
        <v>2.69</v>
      </c>
    </row>
    <row r="66" spans="1:55" s="5" customFormat="1" x14ac:dyDescent="0.3">
      <c r="A66" s="5">
        <v>2033175260</v>
      </c>
      <c r="B66" s="5" t="s">
        <v>707</v>
      </c>
      <c r="C66" s="5" t="s">
        <v>708</v>
      </c>
      <c r="D66" s="5" t="str">
        <f t="shared" si="0"/>
        <v>MUHAMMAD SAQLAIN</v>
      </c>
      <c r="E66" s="5" t="s">
        <v>93</v>
      </c>
      <c r="F66" s="5" t="s">
        <v>524</v>
      </c>
      <c r="G66" s="17">
        <v>0.27</v>
      </c>
      <c r="H66" s="5" t="s">
        <v>703</v>
      </c>
      <c r="I66" s="18" t="s">
        <v>995</v>
      </c>
      <c r="J66" s="19">
        <v>17554531</v>
      </c>
      <c r="K66" s="5" t="s">
        <v>281</v>
      </c>
      <c r="L66" s="5" t="s">
        <v>282</v>
      </c>
      <c r="M66" s="5" t="str">
        <f>CONCATENATE(L66," ",K66)</f>
        <v>Brittany Oliver</v>
      </c>
      <c r="N66" s="5" t="s">
        <v>57</v>
      </c>
      <c r="O66" s="6">
        <v>46038</v>
      </c>
      <c r="P66" s="6">
        <v>46158</v>
      </c>
      <c r="Q66" s="22">
        <f>DATEDIF(O66,P66,"M")</f>
        <v>4</v>
      </c>
      <c r="R66" s="6" t="s">
        <v>536</v>
      </c>
      <c r="S66" s="6" t="s">
        <v>1036</v>
      </c>
      <c r="T66" s="7">
        <v>5</v>
      </c>
      <c r="U66" s="5">
        <v>1</v>
      </c>
      <c r="V66" s="5" t="s">
        <v>58</v>
      </c>
      <c r="W66" s="5" t="s">
        <v>60</v>
      </c>
      <c r="X66" s="5" t="s">
        <v>61</v>
      </c>
      <c r="Y66" s="7">
        <v>1.35</v>
      </c>
    </row>
    <row r="67" spans="1:55" s="5" customFormat="1" x14ac:dyDescent="0.3">
      <c r="A67" s="5">
        <v>2033172629</v>
      </c>
      <c r="B67" s="5" t="s">
        <v>417</v>
      </c>
      <c r="C67" s="5" t="s">
        <v>107</v>
      </c>
      <c r="D67" s="5" t="str">
        <f t="shared" ref="D67:D130" si="1">CONCATENATE(C67," ",B67)</f>
        <v>TIMOTHY BIRCH</v>
      </c>
      <c r="E67" s="5" t="s">
        <v>70</v>
      </c>
      <c r="F67" s="5" t="s">
        <v>53</v>
      </c>
      <c r="G67" s="17">
        <v>0.7</v>
      </c>
      <c r="H67" s="5" t="s">
        <v>54</v>
      </c>
      <c r="I67" s="18" t="s">
        <v>54</v>
      </c>
      <c r="J67" s="19" t="s">
        <v>987</v>
      </c>
      <c r="K67" s="5" t="s">
        <v>281</v>
      </c>
      <c r="L67" s="5" t="s">
        <v>282</v>
      </c>
      <c r="M67" s="5" t="str">
        <f>CONCATENATE(L67," ",K67)</f>
        <v>Brittany Oliver</v>
      </c>
      <c r="N67" s="5" t="s">
        <v>57</v>
      </c>
      <c r="O67" s="6">
        <v>46038</v>
      </c>
      <c r="P67" s="6">
        <v>46158</v>
      </c>
      <c r="Q67" s="22">
        <f>DATEDIF(O67,P67,"M")</f>
        <v>4</v>
      </c>
      <c r="R67" s="6" t="s">
        <v>536</v>
      </c>
      <c r="S67" s="6" t="s">
        <v>1036</v>
      </c>
      <c r="T67" s="7">
        <v>22</v>
      </c>
      <c r="U67" s="5">
        <v>1</v>
      </c>
      <c r="V67" s="5" t="s">
        <v>58</v>
      </c>
      <c r="W67" s="5" t="s">
        <v>60</v>
      </c>
      <c r="X67" s="5" t="s">
        <v>61</v>
      </c>
      <c r="Y67" s="7">
        <v>15.4</v>
      </c>
    </row>
    <row r="68" spans="1:55" s="5" customFormat="1" x14ac:dyDescent="0.3">
      <c r="A68" s="5">
        <v>2033187706</v>
      </c>
      <c r="B68" s="5" t="s">
        <v>170</v>
      </c>
      <c r="C68" s="5" t="s">
        <v>426</v>
      </c>
      <c r="D68" s="5" t="str">
        <f t="shared" si="1"/>
        <v>TONIA GARRETT</v>
      </c>
      <c r="E68" s="5" t="s">
        <v>93</v>
      </c>
      <c r="F68" s="5" t="s">
        <v>53</v>
      </c>
      <c r="G68" s="17">
        <v>0.9</v>
      </c>
      <c r="H68" s="5" t="s">
        <v>65</v>
      </c>
      <c r="I68" s="18" t="s">
        <v>65</v>
      </c>
      <c r="J68" s="19" t="s">
        <v>987</v>
      </c>
      <c r="K68" s="5" t="s">
        <v>281</v>
      </c>
      <c r="L68" s="5" t="s">
        <v>282</v>
      </c>
      <c r="M68" s="5" t="str">
        <f>CONCATENATE(L68," ",K68)</f>
        <v>Brittany Oliver</v>
      </c>
      <c r="N68" s="5" t="s">
        <v>57</v>
      </c>
      <c r="O68" s="6">
        <v>46039</v>
      </c>
      <c r="P68" s="6">
        <v>46159</v>
      </c>
      <c r="Q68" s="22">
        <f>DATEDIF(O68,P68,"M")</f>
        <v>4</v>
      </c>
      <c r="R68" s="6" t="s">
        <v>536</v>
      </c>
      <c r="S68" s="6" t="s">
        <v>1036</v>
      </c>
      <c r="T68" s="7">
        <v>39</v>
      </c>
      <c r="U68" s="5">
        <v>1</v>
      </c>
      <c r="V68" s="5" t="s">
        <v>58</v>
      </c>
      <c r="W68" s="5" t="s">
        <v>60</v>
      </c>
      <c r="X68" s="5" t="s">
        <v>61</v>
      </c>
      <c r="Y68" s="7">
        <v>35.1</v>
      </c>
    </row>
    <row r="69" spans="1:55" s="5" customFormat="1" x14ac:dyDescent="0.3">
      <c r="A69" s="5">
        <v>2033195124</v>
      </c>
      <c r="B69" s="5" t="s">
        <v>429</v>
      </c>
      <c r="C69" s="5" t="s">
        <v>430</v>
      </c>
      <c r="D69" s="5" t="str">
        <f t="shared" si="1"/>
        <v>JOE KEENE</v>
      </c>
      <c r="E69" s="5" t="s">
        <v>80</v>
      </c>
      <c r="F69" s="5" t="s">
        <v>53</v>
      </c>
      <c r="G69" s="17">
        <v>0.7</v>
      </c>
      <c r="H69" s="5" t="s">
        <v>54</v>
      </c>
      <c r="I69" s="18" t="s">
        <v>54</v>
      </c>
      <c r="J69" s="19" t="s">
        <v>1002</v>
      </c>
      <c r="K69" s="5" t="s">
        <v>127</v>
      </c>
      <c r="L69" s="5" t="s">
        <v>128</v>
      </c>
      <c r="M69" s="5" t="str">
        <f>CONCATENATE(L69," ",K69)</f>
        <v>CHRISTIAN TAUGNER</v>
      </c>
      <c r="N69" s="5" t="s">
        <v>57</v>
      </c>
      <c r="O69" s="6">
        <v>46039</v>
      </c>
      <c r="P69" s="6">
        <v>46159</v>
      </c>
      <c r="Q69" s="22">
        <f>DATEDIF(O69,P69,"M")</f>
        <v>4</v>
      </c>
      <c r="R69" s="6" t="s">
        <v>536</v>
      </c>
      <c r="S69" s="6" t="s">
        <v>1036</v>
      </c>
      <c r="T69" s="7">
        <v>204.04</v>
      </c>
      <c r="U69" s="5">
        <v>1</v>
      </c>
      <c r="V69" s="5" t="s">
        <v>58</v>
      </c>
      <c r="W69" s="5" t="s">
        <v>60</v>
      </c>
      <c r="X69" s="5" t="s">
        <v>61</v>
      </c>
      <c r="Y69" s="7">
        <v>142.83000000000001</v>
      </c>
    </row>
    <row r="70" spans="1:55" s="5" customFormat="1" x14ac:dyDescent="0.3">
      <c r="A70" s="5">
        <v>2032333740</v>
      </c>
      <c r="B70" s="5" t="s">
        <v>289</v>
      </c>
      <c r="C70" s="5" t="s">
        <v>290</v>
      </c>
      <c r="D70" s="5" t="str">
        <f t="shared" si="1"/>
        <v>SHANNON DILLON</v>
      </c>
      <c r="E70" s="5" t="s">
        <v>80</v>
      </c>
      <c r="F70" s="5" t="s">
        <v>53</v>
      </c>
      <c r="G70" s="17">
        <v>0.7</v>
      </c>
      <c r="H70" s="5" t="s">
        <v>54</v>
      </c>
      <c r="I70" s="18" t="s">
        <v>54</v>
      </c>
      <c r="J70" s="19" t="s">
        <v>1018</v>
      </c>
      <c r="K70" s="5" t="s">
        <v>195</v>
      </c>
      <c r="L70" s="5" t="s">
        <v>196</v>
      </c>
      <c r="M70" s="5" t="str">
        <f>CONCATENATE(L70," ",K70)</f>
        <v>Colleen Jerger</v>
      </c>
      <c r="N70" s="5" t="s">
        <v>57</v>
      </c>
      <c r="O70" s="6">
        <v>46023</v>
      </c>
      <c r="P70" s="6">
        <v>46143</v>
      </c>
      <c r="Q70" s="22">
        <f>DATEDIF(O70,P70,"M")</f>
        <v>4</v>
      </c>
      <c r="R70" s="6" t="s">
        <v>536</v>
      </c>
      <c r="S70" s="6" t="s">
        <v>1036</v>
      </c>
      <c r="T70" s="7">
        <v>-76.709999999999994</v>
      </c>
      <c r="U70" s="5">
        <v>1</v>
      </c>
      <c r="V70" s="5" t="s">
        <v>58</v>
      </c>
      <c r="W70" s="5" t="s">
        <v>60</v>
      </c>
      <c r="X70" s="5" t="s">
        <v>61</v>
      </c>
      <c r="Y70" s="7">
        <v>-53.7</v>
      </c>
    </row>
    <row r="71" spans="1:55" s="5" customFormat="1" x14ac:dyDescent="0.3">
      <c r="A71" s="5">
        <v>2033107247</v>
      </c>
      <c r="B71" s="5" t="s">
        <v>382</v>
      </c>
      <c r="C71" s="5" t="s">
        <v>383</v>
      </c>
      <c r="D71" s="5" t="str">
        <f t="shared" si="1"/>
        <v>JOAN DELABAR</v>
      </c>
      <c r="E71" s="5" t="s">
        <v>70</v>
      </c>
      <c r="F71" s="5" t="s">
        <v>53</v>
      </c>
      <c r="G71" s="17">
        <v>0.7</v>
      </c>
      <c r="H71" s="5" t="s">
        <v>54</v>
      </c>
      <c r="I71" s="18" t="s">
        <v>54</v>
      </c>
      <c r="J71" s="19" t="s">
        <v>1018</v>
      </c>
      <c r="K71" s="5" t="s">
        <v>195</v>
      </c>
      <c r="L71" s="5" t="s">
        <v>196</v>
      </c>
      <c r="M71" s="5" t="str">
        <f>CONCATENATE(L71," ",K71)</f>
        <v>Colleen Jerger</v>
      </c>
      <c r="N71" s="5" t="s">
        <v>57</v>
      </c>
      <c r="O71" s="6">
        <v>46035</v>
      </c>
      <c r="P71" s="6">
        <v>46155</v>
      </c>
      <c r="Q71" s="22">
        <f>DATEDIF(O71,P71,"M")</f>
        <v>4</v>
      </c>
      <c r="R71" s="6" t="s">
        <v>536</v>
      </c>
      <c r="S71" s="6" t="s">
        <v>1036</v>
      </c>
      <c r="T71" s="7">
        <v>196.06</v>
      </c>
      <c r="U71" s="5">
        <v>1</v>
      </c>
      <c r="V71" s="5" t="s">
        <v>58</v>
      </c>
      <c r="W71" s="5" t="s">
        <v>60</v>
      </c>
      <c r="X71" s="5" t="s">
        <v>61</v>
      </c>
      <c r="Y71" s="7">
        <v>137.24</v>
      </c>
    </row>
    <row r="72" spans="1:55" s="5" customFormat="1" x14ac:dyDescent="0.3">
      <c r="A72" s="5">
        <v>2032333739</v>
      </c>
      <c r="B72" s="5" t="s">
        <v>289</v>
      </c>
      <c r="C72" s="5" t="s">
        <v>290</v>
      </c>
      <c r="D72" s="5" t="str">
        <f t="shared" si="1"/>
        <v>SHANNON DILLON</v>
      </c>
      <c r="E72" s="5" t="s">
        <v>80</v>
      </c>
      <c r="F72" s="5" t="s">
        <v>483</v>
      </c>
      <c r="G72" s="20">
        <v>0.375</v>
      </c>
      <c r="H72" s="5" t="s">
        <v>484</v>
      </c>
      <c r="I72" s="18" t="s">
        <v>484</v>
      </c>
      <c r="J72" s="19" t="s">
        <v>1018</v>
      </c>
      <c r="K72" s="5" t="s">
        <v>195</v>
      </c>
      <c r="L72" s="5" t="s">
        <v>196</v>
      </c>
      <c r="M72" s="5" t="str">
        <f>CONCATENATE(L72," ",K72)</f>
        <v>Colleen Jerger</v>
      </c>
      <c r="N72" s="5" t="s">
        <v>57</v>
      </c>
      <c r="O72" s="6">
        <v>46023</v>
      </c>
      <c r="P72" s="6">
        <v>46143</v>
      </c>
      <c r="Q72" s="22">
        <f>DATEDIF(O72,P72,"M")</f>
        <v>4</v>
      </c>
      <c r="R72" s="6" t="s">
        <v>536</v>
      </c>
      <c r="S72" s="6" t="s">
        <v>1036</v>
      </c>
      <c r="T72" s="7">
        <v>-152.33000000000001</v>
      </c>
      <c r="U72" s="5">
        <v>1</v>
      </c>
      <c r="V72" s="5" t="s">
        <v>58</v>
      </c>
      <c r="W72" s="5" t="s">
        <v>60</v>
      </c>
      <c r="X72" s="5" t="s">
        <v>61</v>
      </c>
      <c r="Y72" s="7">
        <v>-57.12</v>
      </c>
    </row>
    <row r="73" spans="1:55" s="5" customFormat="1" x14ac:dyDescent="0.3">
      <c r="A73" s="5">
        <v>2033124966</v>
      </c>
      <c r="B73" s="5" t="s">
        <v>388</v>
      </c>
      <c r="C73" s="5" t="s">
        <v>389</v>
      </c>
      <c r="D73" s="5" t="str">
        <f t="shared" si="1"/>
        <v>MICHELE LAZZARA</v>
      </c>
      <c r="E73" s="5" t="s">
        <v>80</v>
      </c>
      <c r="F73" s="5" t="s">
        <v>53</v>
      </c>
      <c r="G73" s="17">
        <v>0.42</v>
      </c>
      <c r="H73" s="5" t="s">
        <v>94</v>
      </c>
      <c r="I73" s="18" t="s">
        <v>94</v>
      </c>
      <c r="J73" s="19" t="s">
        <v>1000</v>
      </c>
      <c r="K73" s="5" t="s">
        <v>99</v>
      </c>
      <c r="L73" s="5" t="s">
        <v>100</v>
      </c>
      <c r="M73" s="5" t="str">
        <f>CONCATENATE(L73," ",K73)</f>
        <v>FRANK LISKOVEC</v>
      </c>
      <c r="N73" s="5" t="s">
        <v>57</v>
      </c>
      <c r="O73" s="6">
        <v>46036</v>
      </c>
      <c r="P73" s="6">
        <v>46156</v>
      </c>
      <c r="Q73" s="22">
        <f>DATEDIF(O73,P73,"M")</f>
        <v>4</v>
      </c>
      <c r="R73" s="6" t="s">
        <v>536</v>
      </c>
      <c r="S73" s="6" t="s">
        <v>1036</v>
      </c>
      <c r="T73" s="7">
        <v>25.08</v>
      </c>
      <c r="U73" s="5">
        <v>1</v>
      </c>
      <c r="V73" s="5" t="s">
        <v>58</v>
      </c>
      <c r="W73" s="5" t="s">
        <v>60</v>
      </c>
      <c r="X73" s="5" t="s">
        <v>61</v>
      </c>
      <c r="Y73" s="7">
        <v>10.53</v>
      </c>
    </row>
    <row r="74" spans="1:55" s="5" customFormat="1" x14ac:dyDescent="0.3">
      <c r="A74" s="5">
        <v>2033124967</v>
      </c>
      <c r="B74" s="5" t="s">
        <v>388</v>
      </c>
      <c r="C74" s="5" t="s">
        <v>389</v>
      </c>
      <c r="D74" s="5" t="str">
        <f t="shared" si="1"/>
        <v>MICHELE LAZZARA</v>
      </c>
      <c r="E74" s="5" t="s">
        <v>80</v>
      </c>
      <c r="F74" s="5" t="s">
        <v>53</v>
      </c>
      <c r="G74" s="17">
        <v>0.7</v>
      </c>
      <c r="H74" s="5" t="s">
        <v>54</v>
      </c>
      <c r="I74" s="18" t="s">
        <v>54</v>
      </c>
      <c r="J74" s="19" t="s">
        <v>1000</v>
      </c>
      <c r="K74" s="5" t="s">
        <v>99</v>
      </c>
      <c r="L74" s="5" t="s">
        <v>100</v>
      </c>
      <c r="M74" s="5" t="str">
        <f>CONCATENATE(L74," ",K74)</f>
        <v>FRANK LISKOVEC</v>
      </c>
      <c r="N74" s="5" t="s">
        <v>57</v>
      </c>
      <c r="O74" s="6">
        <v>46036</v>
      </c>
      <c r="P74" s="6">
        <v>46156</v>
      </c>
      <c r="Q74" s="22">
        <f>DATEDIF(O74,P74,"M")</f>
        <v>4</v>
      </c>
      <c r="R74" s="6" t="s">
        <v>536</v>
      </c>
      <c r="S74" s="6" t="s">
        <v>1036</v>
      </c>
      <c r="T74" s="7">
        <v>74</v>
      </c>
      <c r="U74" s="5">
        <v>1</v>
      </c>
      <c r="V74" s="5" t="s">
        <v>58</v>
      </c>
      <c r="W74" s="5" t="s">
        <v>60</v>
      </c>
      <c r="X74" s="5" t="s">
        <v>61</v>
      </c>
      <c r="Y74" s="7">
        <v>51.8</v>
      </c>
    </row>
    <row r="75" spans="1:55" s="5" customFormat="1" x14ac:dyDescent="0.3">
      <c r="A75" s="5">
        <v>2033089394</v>
      </c>
      <c r="B75" s="5" t="s">
        <v>380</v>
      </c>
      <c r="C75" s="5" t="s">
        <v>252</v>
      </c>
      <c r="D75" s="5" t="str">
        <f t="shared" si="1"/>
        <v>JOSEPH MOTZKIN</v>
      </c>
      <c r="E75" s="5" t="s">
        <v>103</v>
      </c>
      <c r="F75" s="5" t="s">
        <v>53</v>
      </c>
      <c r="G75" s="17">
        <v>0.7</v>
      </c>
      <c r="H75" s="5" t="s">
        <v>97</v>
      </c>
      <c r="I75" s="18" t="s">
        <v>117</v>
      </c>
      <c r="J75" s="19" t="s">
        <v>1001</v>
      </c>
      <c r="K75" s="5" t="s">
        <v>104</v>
      </c>
      <c r="L75" s="5" t="s">
        <v>105</v>
      </c>
      <c r="M75" s="5" t="str">
        <f>CONCATENATE(L75," ",K75)</f>
        <v>Heather Geske</v>
      </c>
      <c r="N75" s="5" t="s">
        <v>57</v>
      </c>
      <c r="O75" s="6">
        <v>46033</v>
      </c>
      <c r="P75" s="6">
        <v>46153</v>
      </c>
      <c r="Q75" s="22">
        <f>DATEDIF(O75,P75,"M")</f>
        <v>4</v>
      </c>
      <c r="R75" s="6" t="s">
        <v>536</v>
      </c>
      <c r="S75" s="6" t="s">
        <v>1036</v>
      </c>
      <c r="T75" s="7">
        <v>6.3</v>
      </c>
      <c r="U75" s="5">
        <v>1</v>
      </c>
      <c r="V75" s="5" t="s">
        <v>58</v>
      </c>
      <c r="W75" s="5" t="s">
        <v>60</v>
      </c>
      <c r="X75" s="5" t="s">
        <v>61</v>
      </c>
      <c r="Y75" s="7">
        <v>4.41</v>
      </c>
    </row>
    <row r="76" spans="1:55" s="5" customFormat="1" x14ac:dyDescent="0.3">
      <c r="A76" s="5">
        <v>2033089393</v>
      </c>
      <c r="B76" s="5" t="s">
        <v>380</v>
      </c>
      <c r="C76" s="5" t="s">
        <v>252</v>
      </c>
      <c r="D76" s="5" t="str">
        <f t="shared" si="1"/>
        <v>JOSEPH MOTZKIN</v>
      </c>
      <c r="E76" s="5" t="s">
        <v>103</v>
      </c>
      <c r="F76" s="5" t="s">
        <v>444</v>
      </c>
      <c r="G76" s="17">
        <v>0.75</v>
      </c>
      <c r="H76" s="5" t="s">
        <v>451</v>
      </c>
      <c r="I76" s="18" t="s">
        <v>980</v>
      </c>
      <c r="J76" s="19" t="s">
        <v>1001</v>
      </c>
      <c r="K76" s="5" t="s">
        <v>104</v>
      </c>
      <c r="L76" s="5" t="s">
        <v>105</v>
      </c>
      <c r="M76" s="5" t="str">
        <f>CONCATENATE(L76," ",K76)</f>
        <v>Heather Geske</v>
      </c>
      <c r="N76" s="5" t="s">
        <v>57</v>
      </c>
      <c r="O76" s="6">
        <v>46033</v>
      </c>
      <c r="P76" s="6">
        <v>46153</v>
      </c>
      <c r="Q76" s="22">
        <f>DATEDIF(O76,P76,"M")</f>
        <v>4</v>
      </c>
      <c r="R76" s="6" t="s">
        <v>536</v>
      </c>
      <c r="S76" s="6" t="s">
        <v>1036</v>
      </c>
      <c r="T76" s="7">
        <v>11.26</v>
      </c>
      <c r="U76" s="5">
        <v>1</v>
      </c>
      <c r="V76" s="5" t="s">
        <v>58</v>
      </c>
      <c r="W76" s="5" t="s">
        <v>60</v>
      </c>
      <c r="X76" s="5" t="s">
        <v>61</v>
      </c>
      <c r="Y76" s="7">
        <v>8.44</v>
      </c>
    </row>
    <row r="77" spans="1:55" s="5" customFormat="1" x14ac:dyDescent="0.3">
      <c r="A77" s="5">
        <v>2033174369</v>
      </c>
      <c r="B77" s="5" t="s">
        <v>418</v>
      </c>
      <c r="C77" s="5" t="s">
        <v>419</v>
      </c>
      <c r="D77" s="5" t="str">
        <f t="shared" si="1"/>
        <v>CHARLES LEUBBERS</v>
      </c>
      <c r="E77" s="5" t="s">
        <v>420</v>
      </c>
      <c r="F77" s="5" t="s">
        <v>444</v>
      </c>
      <c r="G77" s="17">
        <v>0.75</v>
      </c>
      <c r="H77" s="5" t="s">
        <v>451</v>
      </c>
      <c r="I77" s="18" t="s">
        <v>980</v>
      </c>
      <c r="J77" s="19" t="s">
        <v>1001</v>
      </c>
      <c r="K77" s="5" t="s">
        <v>104</v>
      </c>
      <c r="L77" s="5" t="s">
        <v>105</v>
      </c>
      <c r="M77" s="5" t="str">
        <f>CONCATENATE(L77," ",K77)</f>
        <v>Heather Geske</v>
      </c>
      <c r="N77" s="5" t="s">
        <v>57</v>
      </c>
      <c r="O77" s="6">
        <v>46038</v>
      </c>
      <c r="P77" s="6">
        <v>46158</v>
      </c>
      <c r="Q77" s="22">
        <f>DATEDIF(O77,P77,"M")</f>
        <v>4</v>
      </c>
      <c r="R77" s="6" t="s">
        <v>536</v>
      </c>
      <c r="S77" s="6" t="s">
        <v>1036</v>
      </c>
      <c r="T77" s="7">
        <v>115.18</v>
      </c>
      <c r="U77" s="5">
        <v>1</v>
      </c>
      <c r="V77" s="5" t="s">
        <v>58</v>
      </c>
      <c r="W77" s="5" t="s">
        <v>60</v>
      </c>
      <c r="X77" s="5" t="s">
        <v>61</v>
      </c>
      <c r="Y77" s="7">
        <v>86.38</v>
      </c>
    </row>
    <row r="78" spans="1:55" s="5" customFormat="1" x14ac:dyDescent="0.3">
      <c r="A78" s="5">
        <v>2033164609</v>
      </c>
      <c r="B78" s="5" t="s">
        <v>409</v>
      </c>
      <c r="C78" s="5" t="s">
        <v>410</v>
      </c>
      <c r="D78" s="5" t="str">
        <f t="shared" si="1"/>
        <v>ALEXANDRA RUFF</v>
      </c>
      <c r="E78" s="5" t="s">
        <v>103</v>
      </c>
      <c r="F78" s="5" t="s">
        <v>444</v>
      </c>
      <c r="G78" s="17">
        <v>0.65</v>
      </c>
      <c r="H78" s="5" t="s">
        <v>466</v>
      </c>
      <c r="I78" s="18" t="s">
        <v>993</v>
      </c>
      <c r="J78" s="19" t="s">
        <v>1001</v>
      </c>
      <c r="K78" s="5" t="s">
        <v>104</v>
      </c>
      <c r="L78" s="5" t="s">
        <v>105</v>
      </c>
      <c r="M78" s="5" t="str">
        <f>CONCATENATE(L78," ",K78)</f>
        <v>Heather Geske</v>
      </c>
      <c r="N78" s="5" t="s">
        <v>57</v>
      </c>
      <c r="O78" s="6">
        <v>46038</v>
      </c>
      <c r="P78" s="6">
        <v>46158</v>
      </c>
      <c r="Q78" s="22">
        <f>DATEDIF(O78,P78,"M")</f>
        <v>4</v>
      </c>
      <c r="R78" s="6" t="s">
        <v>536</v>
      </c>
      <c r="S78" s="6" t="s">
        <v>1036</v>
      </c>
      <c r="T78" s="7">
        <v>11.18</v>
      </c>
      <c r="U78" s="5">
        <v>1</v>
      </c>
      <c r="V78" s="5" t="s">
        <v>58</v>
      </c>
      <c r="W78" s="5" t="s">
        <v>60</v>
      </c>
      <c r="X78" s="5" t="s">
        <v>61</v>
      </c>
      <c r="Y78" s="7">
        <v>7.27</v>
      </c>
    </row>
    <row r="79" spans="1:55" x14ac:dyDescent="0.3">
      <c r="A79" s="5">
        <v>2033176986</v>
      </c>
      <c r="B79" s="5" t="s">
        <v>421</v>
      </c>
      <c r="C79" s="5" t="s">
        <v>422</v>
      </c>
      <c r="D79" s="5" t="str">
        <f t="shared" si="1"/>
        <v>TIRION TOMPKINS</v>
      </c>
      <c r="E79" s="5" t="s">
        <v>103</v>
      </c>
      <c r="F79" s="5" t="s">
        <v>444</v>
      </c>
      <c r="G79" s="17">
        <v>0.65</v>
      </c>
      <c r="H79" s="5" t="s">
        <v>466</v>
      </c>
      <c r="I79" s="18" t="s">
        <v>993</v>
      </c>
      <c r="J79" s="19" t="s">
        <v>1001</v>
      </c>
      <c r="K79" s="5" t="s">
        <v>104</v>
      </c>
      <c r="L79" s="5" t="s">
        <v>105</v>
      </c>
      <c r="M79" s="5" t="str">
        <f>CONCATENATE(L79," ",K79)</f>
        <v>Heather Geske</v>
      </c>
      <c r="N79" s="5" t="s">
        <v>57</v>
      </c>
      <c r="O79" s="6">
        <v>46038</v>
      </c>
      <c r="P79" s="6">
        <v>46158</v>
      </c>
      <c r="Q79" s="22">
        <f>DATEDIF(O79,P79,"M")</f>
        <v>4</v>
      </c>
      <c r="R79" s="6" t="s">
        <v>536</v>
      </c>
      <c r="S79" s="6" t="s">
        <v>1036</v>
      </c>
      <c r="T79" s="7">
        <v>33.33</v>
      </c>
      <c r="U79" s="5">
        <v>1</v>
      </c>
      <c r="V79" s="5" t="s">
        <v>58</v>
      </c>
      <c r="W79" s="5" t="s">
        <v>60</v>
      </c>
      <c r="X79" s="5" t="s">
        <v>61</v>
      </c>
      <c r="Y79" s="7">
        <v>21.66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</row>
    <row r="80" spans="1:55" x14ac:dyDescent="0.3">
      <c r="A80" s="5">
        <v>2033164610</v>
      </c>
      <c r="B80" s="5" t="s">
        <v>409</v>
      </c>
      <c r="C80" s="5" t="s">
        <v>410</v>
      </c>
      <c r="D80" s="5" t="str">
        <f t="shared" si="1"/>
        <v>ALEXANDRA RUFF</v>
      </c>
      <c r="E80" s="5" t="s">
        <v>103</v>
      </c>
      <c r="F80" s="5" t="s">
        <v>499</v>
      </c>
      <c r="G80" s="17">
        <v>0.38</v>
      </c>
      <c r="H80" s="5" t="s">
        <v>502</v>
      </c>
      <c r="I80" s="18" t="s">
        <v>502</v>
      </c>
      <c r="J80" s="19" t="s">
        <v>1001</v>
      </c>
      <c r="K80" s="5" t="s">
        <v>104</v>
      </c>
      <c r="L80" s="5" t="s">
        <v>105</v>
      </c>
      <c r="M80" s="5" t="str">
        <f>CONCATENATE(L80," ",K80)</f>
        <v>Heather Geske</v>
      </c>
      <c r="N80" s="5" t="s">
        <v>57</v>
      </c>
      <c r="O80" s="6">
        <v>46038</v>
      </c>
      <c r="P80" s="6">
        <v>46158</v>
      </c>
      <c r="Q80" s="22">
        <f>DATEDIF(O80,P80,"M")</f>
        <v>4</v>
      </c>
      <c r="R80" s="6" t="s">
        <v>536</v>
      </c>
      <c r="S80" s="6" t="s">
        <v>1036</v>
      </c>
      <c r="T80" s="7">
        <v>13.63</v>
      </c>
      <c r="U80" s="5">
        <v>1</v>
      </c>
      <c r="V80" s="5" t="s">
        <v>58</v>
      </c>
      <c r="W80" s="5" t="s">
        <v>60</v>
      </c>
      <c r="X80" s="5" t="s">
        <v>61</v>
      </c>
      <c r="Y80" s="7">
        <v>5.18</v>
      </c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</row>
    <row r="81" spans="1:55" x14ac:dyDescent="0.3">
      <c r="A81" s="5">
        <v>2033089392</v>
      </c>
      <c r="B81" s="5" t="s">
        <v>380</v>
      </c>
      <c r="C81" s="5" t="s">
        <v>252</v>
      </c>
      <c r="D81" s="5" t="str">
        <f t="shared" si="1"/>
        <v>JOSEPH MOTZKIN</v>
      </c>
      <c r="E81" s="5" t="s">
        <v>103</v>
      </c>
      <c r="F81" s="5" t="s">
        <v>53</v>
      </c>
      <c r="G81" s="17">
        <v>0.7</v>
      </c>
      <c r="H81" s="5" t="s">
        <v>54</v>
      </c>
      <c r="I81" s="18" t="s">
        <v>54</v>
      </c>
      <c r="J81" s="19" t="s">
        <v>1001</v>
      </c>
      <c r="K81" s="5" t="s">
        <v>104</v>
      </c>
      <c r="L81" s="5" t="s">
        <v>105</v>
      </c>
      <c r="M81" s="5" t="str">
        <f>CONCATENATE(L81," ",K81)</f>
        <v>Heather Geske</v>
      </c>
      <c r="N81" s="5" t="s">
        <v>57</v>
      </c>
      <c r="O81" s="6">
        <v>46033</v>
      </c>
      <c r="P81" s="6">
        <v>46153</v>
      </c>
      <c r="Q81" s="22">
        <f>DATEDIF(O81,P81,"M")</f>
        <v>4</v>
      </c>
      <c r="R81" s="6" t="s">
        <v>536</v>
      </c>
      <c r="S81" s="6" t="s">
        <v>1036</v>
      </c>
      <c r="T81" s="7">
        <v>9.1</v>
      </c>
      <c r="U81" s="5">
        <v>1</v>
      </c>
      <c r="V81" s="5" t="s">
        <v>58</v>
      </c>
      <c r="W81" s="5" t="s">
        <v>60</v>
      </c>
      <c r="X81" s="5" t="s">
        <v>61</v>
      </c>
      <c r="Y81" s="7">
        <v>6.37</v>
      </c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</row>
    <row r="82" spans="1:55" x14ac:dyDescent="0.3">
      <c r="A82" s="5">
        <v>2033164608</v>
      </c>
      <c r="B82" s="5" t="s">
        <v>409</v>
      </c>
      <c r="C82" s="5" t="s">
        <v>410</v>
      </c>
      <c r="D82" s="5" t="str">
        <f t="shared" si="1"/>
        <v>ALEXANDRA RUFF</v>
      </c>
      <c r="E82" s="5" t="s">
        <v>103</v>
      </c>
      <c r="F82" s="5" t="s">
        <v>53</v>
      </c>
      <c r="G82" s="17">
        <v>0.7</v>
      </c>
      <c r="H82" s="5" t="s">
        <v>54</v>
      </c>
      <c r="I82" s="18" t="s">
        <v>54</v>
      </c>
      <c r="J82" s="19" t="s">
        <v>1001</v>
      </c>
      <c r="K82" s="5" t="s">
        <v>104</v>
      </c>
      <c r="L82" s="5" t="s">
        <v>105</v>
      </c>
      <c r="M82" s="5" t="str">
        <f>CONCATENATE(L82," ",K82)</f>
        <v>Heather Geske</v>
      </c>
      <c r="N82" s="5" t="s">
        <v>57</v>
      </c>
      <c r="O82" s="6">
        <v>46038</v>
      </c>
      <c r="P82" s="6">
        <v>46158</v>
      </c>
      <c r="Q82" s="22">
        <f>DATEDIF(O82,P82,"M")</f>
        <v>4</v>
      </c>
      <c r="R82" s="6" t="s">
        <v>536</v>
      </c>
      <c r="S82" s="6" t="s">
        <v>1036</v>
      </c>
      <c r="T82" s="7">
        <v>9.1</v>
      </c>
      <c r="U82" s="5">
        <v>1</v>
      </c>
      <c r="V82" s="5" t="s">
        <v>58</v>
      </c>
      <c r="W82" s="5" t="s">
        <v>60</v>
      </c>
      <c r="X82" s="5" t="s">
        <v>61</v>
      </c>
      <c r="Y82" s="7">
        <v>6.37</v>
      </c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</row>
    <row r="83" spans="1:55" x14ac:dyDescent="0.3">
      <c r="A83" s="5">
        <v>2033176985</v>
      </c>
      <c r="B83" s="5" t="s">
        <v>421</v>
      </c>
      <c r="C83" s="5" t="s">
        <v>422</v>
      </c>
      <c r="D83" s="5" t="str">
        <f t="shared" si="1"/>
        <v>TIRION TOMPKINS</v>
      </c>
      <c r="E83" s="5" t="s">
        <v>103</v>
      </c>
      <c r="F83" s="5" t="s">
        <v>53</v>
      </c>
      <c r="G83" s="17">
        <v>0.7</v>
      </c>
      <c r="H83" s="5" t="s">
        <v>54</v>
      </c>
      <c r="I83" s="18" t="s">
        <v>54</v>
      </c>
      <c r="J83" s="19" t="s">
        <v>1001</v>
      </c>
      <c r="K83" s="5" t="s">
        <v>104</v>
      </c>
      <c r="L83" s="5" t="s">
        <v>105</v>
      </c>
      <c r="M83" s="5" t="str">
        <f>CONCATENATE(L83," ",K83)</f>
        <v>Heather Geske</v>
      </c>
      <c r="N83" s="5" t="s">
        <v>57</v>
      </c>
      <c r="O83" s="6">
        <v>46038</v>
      </c>
      <c r="P83" s="6">
        <v>46158</v>
      </c>
      <c r="Q83" s="22">
        <f>DATEDIF(O83,P83,"M")</f>
        <v>4</v>
      </c>
      <c r="R83" s="6" t="s">
        <v>536</v>
      </c>
      <c r="S83" s="6" t="s">
        <v>1036</v>
      </c>
      <c r="T83" s="7">
        <v>19.489999999999998</v>
      </c>
      <c r="U83" s="5">
        <v>1</v>
      </c>
      <c r="V83" s="5" t="s">
        <v>58</v>
      </c>
      <c r="W83" s="5" t="s">
        <v>60</v>
      </c>
      <c r="X83" s="5" t="s">
        <v>61</v>
      </c>
      <c r="Y83" s="7">
        <v>13.64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</row>
    <row r="84" spans="1:55" x14ac:dyDescent="0.3">
      <c r="A84" s="5">
        <v>2033174368</v>
      </c>
      <c r="B84" s="5" t="s">
        <v>418</v>
      </c>
      <c r="C84" s="5" t="s">
        <v>419</v>
      </c>
      <c r="D84" s="5" t="str">
        <f t="shared" si="1"/>
        <v>CHARLES LEUBBERS</v>
      </c>
      <c r="E84" s="5" t="s">
        <v>420</v>
      </c>
      <c r="F84" s="5" t="s">
        <v>53</v>
      </c>
      <c r="G84" s="17">
        <v>0.7</v>
      </c>
      <c r="H84" s="5" t="s">
        <v>54</v>
      </c>
      <c r="I84" s="18" t="s">
        <v>54</v>
      </c>
      <c r="J84" s="19" t="s">
        <v>1001</v>
      </c>
      <c r="K84" s="5" t="s">
        <v>104</v>
      </c>
      <c r="L84" s="5" t="s">
        <v>105</v>
      </c>
      <c r="M84" s="5" t="str">
        <f>CONCATENATE(L84," ",K84)</f>
        <v>Heather Geske</v>
      </c>
      <c r="N84" s="5" t="s">
        <v>57</v>
      </c>
      <c r="O84" s="6">
        <v>46038</v>
      </c>
      <c r="P84" s="6">
        <v>46158</v>
      </c>
      <c r="Q84" s="22">
        <f>DATEDIF(O84,P84,"M")</f>
        <v>4</v>
      </c>
      <c r="R84" s="6" t="s">
        <v>536</v>
      </c>
      <c r="S84" s="6" t="s">
        <v>1036</v>
      </c>
      <c r="T84" s="7">
        <v>20.21</v>
      </c>
      <c r="U84" s="5">
        <v>1</v>
      </c>
      <c r="V84" s="5" t="s">
        <v>58</v>
      </c>
      <c r="W84" s="5" t="s">
        <v>60</v>
      </c>
      <c r="X84" s="5" t="s">
        <v>61</v>
      </c>
      <c r="Y84" s="7">
        <v>14.15</v>
      </c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</row>
    <row r="85" spans="1:55" x14ac:dyDescent="0.3">
      <c r="A85" s="5">
        <v>2033164607</v>
      </c>
      <c r="B85" s="5" t="s">
        <v>409</v>
      </c>
      <c r="C85" s="5" t="s">
        <v>410</v>
      </c>
      <c r="D85" s="5" t="str">
        <f t="shared" si="1"/>
        <v>ALEXANDRA RUFF</v>
      </c>
      <c r="E85" s="5" t="s">
        <v>103</v>
      </c>
      <c r="F85" s="5" t="s">
        <v>483</v>
      </c>
      <c r="G85" s="20">
        <v>0.375</v>
      </c>
      <c r="H85" s="5" t="s">
        <v>484</v>
      </c>
      <c r="I85" s="18" t="s">
        <v>484</v>
      </c>
      <c r="J85" s="19" t="s">
        <v>1001</v>
      </c>
      <c r="K85" s="5" t="s">
        <v>104</v>
      </c>
      <c r="L85" s="5" t="s">
        <v>105</v>
      </c>
      <c r="M85" s="5" t="str">
        <f>CONCATENATE(L85," ",K85)</f>
        <v>Heather Geske</v>
      </c>
      <c r="N85" s="5" t="s">
        <v>57</v>
      </c>
      <c r="O85" s="6">
        <v>46038</v>
      </c>
      <c r="P85" s="6">
        <v>46158</v>
      </c>
      <c r="Q85" s="22">
        <f>DATEDIF(O85,P85,"M")</f>
        <v>4</v>
      </c>
      <c r="R85" s="6" t="s">
        <v>536</v>
      </c>
      <c r="S85" s="6" t="s">
        <v>1036</v>
      </c>
      <c r="T85" s="7">
        <v>30.49</v>
      </c>
      <c r="U85" s="5">
        <v>1</v>
      </c>
      <c r="V85" s="5" t="s">
        <v>58</v>
      </c>
      <c r="W85" s="5" t="s">
        <v>60</v>
      </c>
      <c r="X85" s="5" t="s">
        <v>61</v>
      </c>
      <c r="Y85" s="7">
        <v>11.43</v>
      </c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</row>
    <row r="86" spans="1:55" x14ac:dyDescent="0.3">
      <c r="A86" s="5">
        <v>2033174367</v>
      </c>
      <c r="B86" s="5" t="s">
        <v>418</v>
      </c>
      <c r="C86" s="5" t="s">
        <v>419</v>
      </c>
      <c r="D86" s="5" t="str">
        <f t="shared" si="1"/>
        <v>CHARLES LEUBBERS</v>
      </c>
      <c r="E86" s="5" t="s">
        <v>420</v>
      </c>
      <c r="F86" s="5" t="s">
        <v>483</v>
      </c>
      <c r="G86" s="20">
        <v>0.375</v>
      </c>
      <c r="H86" s="5" t="s">
        <v>484</v>
      </c>
      <c r="I86" s="18" t="s">
        <v>484</v>
      </c>
      <c r="J86" s="19" t="s">
        <v>1001</v>
      </c>
      <c r="K86" s="5" t="s">
        <v>104</v>
      </c>
      <c r="L86" s="5" t="s">
        <v>105</v>
      </c>
      <c r="M86" s="5" t="str">
        <f>CONCATENATE(L86," ",K86)</f>
        <v>Heather Geske</v>
      </c>
      <c r="N86" s="5" t="s">
        <v>57</v>
      </c>
      <c r="O86" s="6">
        <v>46038</v>
      </c>
      <c r="P86" s="6">
        <v>46158</v>
      </c>
      <c r="Q86" s="22">
        <f>DATEDIF(O86,P86,"M")</f>
        <v>4</v>
      </c>
      <c r="R86" s="6" t="s">
        <v>536</v>
      </c>
      <c r="S86" s="6" t="s">
        <v>1036</v>
      </c>
      <c r="T86" s="7">
        <v>50.81</v>
      </c>
      <c r="U86" s="5">
        <v>1</v>
      </c>
      <c r="V86" s="5" t="s">
        <v>58</v>
      </c>
      <c r="W86" s="5" t="s">
        <v>60</v>
      </c>
      <c r="X86" s="5" t="s">
        <v>61</v>
      </c>
      <c r="Y86" s="7">
        <v>19.05</v>
      </c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</row>
    <row r="87" spans="1:55" x14ac:dyDescent="0.3">
      <c r="A87" s="5">
        <v>2033089391</v>
      </c>
      <c r="B87" s="5" t="s">
        <v>380</v>
      </c>
      <c r="C87" s="5" t="s">
        <v>252</v>
      </c>
      <c r="D87" s="5" t="str">
        <f t="shared" si="1"/>
        <v>JOSEPH MOTZKIN</v>
      </c>
      <c r="E87" s="5" t="s">
        <v>103</v>
      </c>
      <c r="F87" s="5" t="s">
        <v>483</v>
      </c>
      <c r="G87" s="20">
        <v>0.375</v>
      </c>
      <c r="H87" s="5" t="s">
        <v>484</v>
      </c>
      <c r="I87" s="18" t="s">
        <v>484</v>
      </c>
      <c r="J87" s="19" t="s">
        <v>1001</v>
      </c>
      <c r="K87" s="5" t="s">
        <v>104</v>
      </c>
      <c r="L87" s="5" t="s">
        <v>105</v>
      </c>
      <c r="M87" s="5" t="str">
        <f>CONCATENATE(L87," ",K87)</f>
        <v>Heather Geske</v>
      </c>
      <c r="N87" s="5" t="s">
        <v>57</v>
      </c>
      <c r="O87" s="6">
        <v>46033</v>
      </c>
      <c r="P87" s="6">
        <v>46153</v>
      </c>
      <c r="Q87" s="22">
        <f>DATEDIF(O87,P87,"M")</f>
        <v>4</v>
      </c>
      <c r="R87" s="6" t="s">
        <v>536</v>
      </c>
      <c r="S87" s="6" t="s">
        <v>1036</v>
      </c>
      <c r="T87" s="7">
        <v>64.84</v>
      </c>
      <c r="U87" s="5">
        <v>1</v>
      </c>
      <c r="V87" s="5" t="s">
        <v>58</v>
      </c>
      <c r="W87" s="5" t="s">
        <v>60</v>
      </c>
      <c r="X87" s="5" t="s">
        <v>61</v>
      </c>
      <c r="Y87" s="7">
        <v>24.32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</row>
    <row r="88" spans="1:55" x14ac:dyDescent="0.3">
      <c r="A88" s="5">
        <v>2033176987</v>
      </c>
      <c r="B88" s="5" t="s">
        <v>421</v>
      </c>
      <c r="C88" s="5" t="s">
        <v>422</v>
      </c>
      <c r="D88" s="5" t="str">
        <f t="shared" si="1"/>
        <v>TIRION TOMPKINS</v>
      </c>
      <c r="E88" s="5" t="s">
        <v>103</v>
      </c>
      <c r="F88" s="5" t="s">
        <v>483</v>
      </c>
      <c r="G88" s="20">
        <v>0.375</v>
      </c>
      <c r="H88" s="5" t="s">
        <v>484</v>
      </c>
      <c r="I88" s="18" t="s">
        <v>484</v>
      </c>
      <c r="J88" s="19" t="s">
        <v>1001</v>
      </c>
      <c r="K88" s="5" t="s">
        <v>104</v>
      </c>
      <c r="L88" s="5" t="s">
        <v>105</v>
      </c>
      <c r="M88" s="5" t="str">
        <f>CONCATENATE(L88," ",K88)</f>
        <v>Heather Geske</v>
      </c>
      <c r="N88" s="5" t="s">
        <v>57</v>
      </c>
      <c r="O88" s="6">
        <v>46038</v>
      </c>
      <c r="P88" s="6">
        <v>46158</v>
      </c>
      <c r="Q88" s="22">
        <f>DATEDIF(O88,P88,"M")</f>
        <v>4</v>
      </c>
      <c r="R88" s="6" t="s">
        <v>536</v>
      </c>
      <c r="S88" s="6" t="s">
        <v>1036</v>
      </c>
      <c r="T88" s="7">
        <v>99.33</v>
      </c>
      <c r="U88" s="5">
        <v>1</v>
      </c>
      <c r="V88" s="5" t="s">
        <v>58</v>
      </c>
      <c r="W88" s="5" t="s">
        <v>60</v>
      </c>
      <c r="X88" s="5" t="s">
        <v>61</v>
      </c>
      <c r="Y88" s="7">
        <v>37.25</v>
      </c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</row>
    <row r="89" spans="1:55" x14ac:dyDescent="0.3">
      <c r="A89" s="5">
        <v>2033126149</v>
      </c>
      <c r="B89" s="5" t="s">
        <v>390</v>
      </c>
      <c r="C89" s="5" t="s">
        <v>391</v>
      </c>
      <c r="D89" s="5" t="str">
        <f t="shared" si="1"/>
        <v>DANE'T THIBEAU</v>
      </c>
      <c r="E89" s="5" t="s">
        <v>52</v>
      </c>
      <c r="F89" s="5" t="s">
        <v>444</v>
      </c>
      <c r="G89" s="17">
        <v>0.75</v>
      </c>
      <c r="H89" s="5" t="s">
        <v>451</v>
      </c>
      <c r="I89" s="18" t="s">
        <v>980</v>
      </c>
      <c r="J89" s="19" t="s">
        <v>1006</v>
      </c>
      <c r="K89" s="5" t="s">
        <v>156</v>
      </c>
      <c r="L89" s="5" t="s">
        <v>157</v>
      </c>
      <c r="M89" s="5" t="str">
        <f>CONCATENATE(L89," ",K89)</f>
        <v>Ines Berg</v>
      </c>
      <c r="N89" s="5" t="s">
        <v>57</v>
      </c>
      <c r="O89" s="6">
        <v>46036</v>
      </c>
      <c r="P89" s="6">
        <v>46156</v>
      </c>
      <c r="Q89" s="22">
        <f>DATEDIF(O89,P89,"M")</f>
        <v>4</v>
      </c>
      <c r="R89" s="6" t="s">
        <v>536</v>
      </c>
      <c r="S89" s="6" t="s">
        <v>1036</v>
      </c>
      <c r="T89" s="7">
        <v>48.55</v>
      </c>
      <c r="U89" s="5">
        <v>1</v>
      </c>
      <c r="V89" s="5" t="s">
        <v>58</v>
      </c>
      <c r="W89" s="5" t="s">
        <v>60</v>
      </c>
      <c r="X89" s="5" t="s">
        <v>61</v>
      </c>
      <c r="Y89" s="7">
        <v>36.409999999999997</v>
      </c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</row>
    <row r="90" spans="1:55" x14ac:dyDescent="0.3">
      <c r="A90" s="5">
        <v>2033190697</v>
      </c>
      <c r="B90" s="5" t="s">
        <v>427</v>
      </c>
      <c r="C90" s="5" t="s">
        <v>428</v>
      </c>
      <c r="D90" s="5" t="str">
        <f t="shared" si="1"/>
        <v>EDDIE MERRELL</v>
      </c>
      <c r="E90" s="5" t="s">
        <v>52</v>
      </c>
      <c r="F90" s="5" t="s">
        <v>53</v>
      </c>
      <c r="G90" s="17">
        <v>0.7</v>
      </c>
      <c r="H90" s="5" t="s">
        <v>54</v>
      </c>
      <c r="I90" s="18" t="s">
        <v>54</v>
      </c>
      <c r="J90" s="19" t="s">
        <v>1006</v>
      </c>
      <c r="K90" s="5" t="s">
        <v>156</v>
      </c>
      <c r="L90" s="5" t="s">
        <v>157</v>
      </c>
      <c r="M90" s="5" t="str">
        <f>CONCATENATE(L90," ",K90)</f>
        <v>Ines Berg</v>
      </c>
      <c r="N90" s="5" t="s">
        <v>57</v>
      </c>
      <c r="O90" s="6">
        <v>46039</v>
      </c>
      <c r="P90" s="6">
        <v>46159</v>
      </c>
      <c r="Q90" s="22">
        <f>DATEDIF(O90,P90,"M")</f>
        <v>4</v>
      </c>
      <c r="R90" s="6" t="s">
        <v>536</v>
      </c>
      <c r="S90" s="6" t="s">
        <v>1036</v>
      </c>
      <c r="T90" s="7">
        <v>49.46</v>
      </c>
      <c r="U90" s="5">
        <v>1</v>
      </c>
      <c r="V90" s="5" t="s">
        <v>58</v>
      </c>
      <c r="W90" s="5" t="s">
        <v>60</v>
      </c>
      <c r="X90" s="5" t="s">
        <v>61</v>
      </c>
      <c r="Y90" s="7">
        <v>34.619999999999997</v>
      </c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</row>
    <row r="91" spans="1:55" x14ac:dyDescent="0.3">
      <c r="A91" s="5">
        <v>2033126148</v>
      </c>
      <c r="B91" s="5" t="s">
        <v>390</v>
      </c>
      <c r="C91" s="5" t="s">
        <v>391</v>
      </c>
      <c r="D91" s="5" t="str">
        <f t="shared" si="1"/>
        <v>DANE'T THIBEAU</v>
      </c>
      <c r="E91" s="5" t="s">
        <v>52</v>
      </c>
      <c r="F91" s="5" t="s">
        <v>53</v>
      </c>
      <c r="G91" s="17">
        <v>0.7</v>
      </c>
      <c r="H91" s="5" t="s">
        <v>54</v>
      </c>
      <c r="I91" s="18" t="s">
        <v>54</v>
      </c>
      <c r="J91" s="19" t="s">
        <v>1006</v>
      </c>
      <c r="K91" s="5" t="s">
        <v>156</v>
      </c>
      <c r="L91" s="5" t="s">
        <v>157</v>
      </c>
      <c r="M91" s="5" t="str">
        <f>CONCATENATE(L91," ",K91)</f>
        <v>Ines Berg</v>
      </c>
      <c r="N91" s="5" t="s">
        <v>57</v>
      </c>
      <c r="O91" s="6">
        <v>46036</v>
      </c>
      <c r="P91" s="6">
        <v>46156</v>
      </c>
      <c r="Q91" s="22">
        <f>DATEDIF(O91,P91,"M")</f>
        <v>4</v>
      </c>
      <c r="R91" s="6" t="s">
        <v>536</v>
      </c>
      <c r="S91" s="6" t="s">
        <v>1036</v>
      </c>
      <c r="T91" s="7">
        <v>57.27</v>
      </c>
      <c r="U91" s="5">
        <v>1</v>
      </c>
      <c r="V91" s="5" t="s">
        <v>58</v>
      </c>
      <c r="W91" s="5" t="s">
        <v>60</v>
      </c>
      <c r="X91" s="5" t="s">
        <v>61</v>
      </c>
      <c r="Y91" s="7">
        <v>40.090000000000003</v>
      </c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</row>
    <row r="92" spans="1:55" x14ac:dyDescent="0.3">
      <c r="A92" s="5">
        <v>2033190698</v>
      </c>
      <c r="B92" s="5" t="s">
        <v>427</v>
      </c>
      <c r="C92" s="5" t="s">
        <v>428</v>
      </c>
      <c r="D92" s="5" t="str">
        <f t="shared" si="1"/>
        <v>EDDIE MERRELL</v>
      </c>
      <c r="E92" s="5" t="s">
        <v>52</v>
      </c>
      <c r="F92" s="5" t="s">
        <v>483</v>
      </c>
      <c r="G92" s="20">
        <v>0.375</v>
      </c>
      <c r="H92" s="5" t="s">
        <v>484</v>
      </c>
      <c r="I92" s="18" t="s">
        <v>484</v>
      </c>
      <c r="J92" s="19" t="s">
        <v>1006</v>
      </c>
      <c r="K92" s="5" t="s">
        <v>156</v>
      </c>
      <c r="L92" s="5" t="s">
        <v>157</v>
      </c>
      <c r="M92" s="5" t="str">
        <f>CONCATENATE(L92," ",K92)</f>
        <v>Ines Berg</v>
      </c>
      <c r="N92" s="5" t="s">
        <v>57</v>
      </c>
      <c r="O92" s="6">
        <v>46039</v>
      </c>
      <c r="P92" s="6">
        <v>46159</v>
      </c>
      <c r="Q92" s="22">
        <f>DATEDIF(O92,P92,"M")</f>
        <v>4</v>
      </c>
      <c r="R92" s="6" t="s">
        <v>536</v>
      </c>
      <c r="S92" s="6" t="s">
        <v>1036</v>
      </c>
      <c r="T92" s="7">
        <v>54.95</v>
      </c>
      <c r="U92" s="5">
        <v>1</v>
      </c>
      <c r="V92" s="5" t="s">
        <v>58</v>
      </c>
      <c r="W92" s="5" t="s">
        <v>60</v>
      </c>
      <c r="X92" s="5" t="s">
        <v>61</v>
      </c>
      <c r="Y92" s="7">
        <v>20.61</v>
      </c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</row>
    <row r="93" spans="1:55" x14ac:dyDescent="0.3">
      <c r="A93" s="5">
        <v>2033137245</v>
      </c>
      <c r="B93" s="5" t="s">
        <v>397</v>
      </c>
      <c r="C93" s="5" t="s">
        <v>398</v>
      </c>
      <c r="D93" s="5" t="str">
        <f t="shared" si="1"/>
        <v>HAILEY CROWLEY</v>
      </c>
      <c r="E93" s="5" t="s">
        <v>399</v>
      </c>
      <c r="F93" s="5" t="s">
        <v>499</v>
      </c>
      <c r="G93" s="17">
        <v>0.38</v>
      </c>
      <c r="H93" s="5" t="s">
        <v>502</v>
      </c>
      <c r="I93" s="18" t="s">
        <v>502</v>
      </c>
      <c r="J93" s="19" t="s">
        <v>1022</v>
      </c>
      <c r="K93" s="5" t="s">
        <v>400</v>
      </c>
      <c r="L93" s="5" t="s">
        <v>401</v>
      </c>
      <c r="M93" s="5" t="str">
        <f>CONCATENATE(L93," ",K93)</f>
        <v>JARED KINYUA</v>
      </c>
      <c r="N93" s="5" t="s">
        <v>57</v>
      </c>
      <c r="O93" s="6">
        <v>46036</v>
      </c>
      <c r="P93" s="6">
        <v>46156</v>
      </c>
      <c r="Q93" s="22">
        <f>DATEDIF(O93,P93,"M")</f>
        <v>4</v>
      </c>
      <c r="R93" s="6" t="s">
        <v>536</v>
      </c>
      <c r="S93" s="6" t="s">
        <v>1036</v>
      </c>
      <c r="T93" s="7">
        <v>17.940000000000001</v>
      </c>
      <c r="U93" s="5">
        <v>1</v>
      </c>
      <c r="V93" s="5" t="s">
        <v>58</v>
      </c>
      <c r="W93" s="5" t="s">
        <v>60</v>
      </c>
      <c r="X93" s="5" t="s">
        <v>61</v>
      </c>
      <c r="Y93" s="7">
        <v>6.82</v>
      </c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</row>
    <row r="94" spans="1:55" x14ac:dyDescent="0.3">
      <c r="A94" s="5">
        <v>2033137246</v>
      </c>
      <c r="B94" s="5" t="s">
        <v>397</v>
      </c>
      <c r="C94" s="5" t="s">
        <v>398</v>
      </c>
      <c r="D94" s="5" t="str">
        <f t="shared" si="1"/>
        <v>HAILEY CROWLEY</v>
      </c>
      <c r="E94" s="5" t="s">
        <v>399</v>
      </c>
      <c r="F94" s="5" t="s">
        <v>53</v>
      </c>
      <c r="G94" s="17">
        <v>0.7</v>
      </c>
      <c r="H94" s="5" t="s">
        <v>54</v>
      </c>
      <c r="I94" s="18" t="s">
        <v>54</v>
      </c>
      <c r="J94" s="19" t="s">
        <v>1022</v>
      </c>
      <c r="K94" s="5" t="s">
        <v>400</v>
      </c>
      <c r="L94" s="5" t="s">
        <v>401</v>
      </c>
      <c r="M94" s="5" t="str">
        <f>CONCATENATE(L94," ",K94)</f>
        <v>JARED KINYUA</v>
      </c>
      <c r="N94" s="5" t="s">
        <v>57</v>
      </c>
      <c r="O94" s="6">
        <v>46036</v>
      </c>
      <c r="P94" s="6">
        <v>46156</v>
      </c>
      <c r="Q94" s="22">
        <f>DATEDIF(O94,P94,"M")</f>
        <v>4</v>
      </c>
      <c r="R94" s="6" t="s">
        <v>536</v>
      </c>
      <c r="S94" s="6" t="s">
        <v>1036</v>
      </c>
      <c r="T94" s="7">
        <v>67.62</v>
      </c>
      <c r="U94" s="5">
        <v>1</v>
      </c>
      <c r="V94" s="5" t="s">
        <v>58</v>
      </c>
      <c r="W94" s="5" t="s">
        <v>60</v>
      </c>
      <c r="X94" s="5" t="s">
        <v>61</v>
      </c>
      <c r="Y94" s="7">
        <v>47.33</v>
      </c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</row>
    <row r="95" spans="1:55" x14ac:dyDescent="0.3">
      <c r="A95" s="5">
        <v>2033167656</v>
      </c>
      <c r="B95" s="5" t="s">
        <v>411</v>
      </c>
      <c r="C95" s="5" t="s">
        <v>412</v>
      </c>
      <c r="D95" s="5" t="str">
        <f t="shared" si="1"/>
        <v>AUDERA GUZMAN</v>
      </c>
      <c r="E95" s="5" t="s">
        <v>70</v>
      </c>
      <c r="F95" s="5" t="s">
        <v>53</v>
      </c>
      <c r="G95" s="17">
        <v>0.7</v>
      </c>
      <c r="H95" s="5" t="s">
        <v>54</v>
      </c>
      <c r="I95" s="18" t="s">
        <v>54</v>
      </c>
      <c r="J95" s="19" t="s">
        <v>1023</v>
      </c>
      <c r="K95" s="5" t="s">
        <v>413</v>
      </c>
      <c r="L95" s="5" t="s">
        <v>414</v>
      </c>
      <c r="M95" s="5" t="str">
        <f>CONCATENATE(L95," ",K95)</f>
        <v>Latesha Rose</v>
      </c>
      <c r="N95" s="5" t="s">
        <v>57</v>
      </c>
      <c r="O95" s="6">
        <v>46038</v>
      </c>
      <c r="P95" s="6">
        <v>46158</v>
      </c>
      <c r="Q95" s="22">
        <f>DATEDIF(O95,P95,"M")</f>
        <v>4</v>
      </c>
      <c r="R95" s="6" t="s">
        <v>536</v>
      </c>
      <c r="S95" s="6" t="s">
        <v>1036</v>
      </c>
      <c r="T95" s="7">
        <v>89.52</v>
      </c>
      <c r="U95" s="5">
        <v>1</v>
      </c>
      <c r="V95" s="5" t="s">
        <v>58</v>
      </c>
      <c r="W95" s="5" t="s">
        <v>60</v>
      </c>
      <c r="X95" s="5" t="s">
        <v>61</v>
      </c>
      <c r="Y95" s="7">
        <v>62.66</v>
      </c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</row>
    <row r="96" spans="1:55" x14ac:dyDescent="0.3">
      <c r="A96" s="5">
        <v>2033086829</v>
      </c>
      <c r="B96" s="5" t="s">
        <v>376</v>
      </c>
      <c r="C96" s="5" t="s">
        <v>377</v>
      </c>
      <c r="D96" s="5" t="str">
        <f t="shared" si="1"/>
        <v>MUNKHTUUL DASHNYAM</v>
      </c>
      <c r="E96" s="5" t="s">
        <v>80</v>
      </c>
      <c r="F96" s="5" t="s">
        <v>53</v>
      </c>
      <c r="G96" s="17">
        <v>0.9</v>
      </c>
      <c r="H96" s="5" t="s">
        <v>65</v>
      </c>
      <c r="I96" s="18" t="s">
        <v>65</v>
      </c>
      <c r="J96" s="19" t="s">
        <v>999</v>
      </c>
      <c r="K96" s="5" t="s">
        <v>89</v>
      </c>
      <c r="L96" s="5" t="s">
        <v>90</v>
      </c>
      <c r="M96" s="5" t="str">
        <f>CONCATENATE(L96," ",K96)</f>
        <v>NASANDELGER ZANA</v>
      </c>
      <c r="N96" s="5" t="s">
        <v>57</v>
      </c>
      <c r="O96" s="6">
        <v>46033</v>
      </c>
      <c r="P96" s="6">
        <v>46153</v>
      </c>
      <c r="Q96" s="22">
        <f>DATEDIF(O96,P96,"M")</f>
        <v>4</v>
      </c>
      <c r="R96" s="6" t="s">
        <v>536</v>
      </c>
      <c r="S96" s="6" t="s">
        <v>1036</v>
      </c>
      <c r="T96" s="7">
        <v>16.73</v>
      </c>
      <c r="U96" s="5">
        <v>1</v>
      </c>
      <c r="V96" s="5" t="s">
        <v>58</v>
      </c>
      <c r="W96" s="5" t="s">
        <v>60</v>
      </c>
      <c r="X96" s="5" t="s">
        <v>61</v>
      </c>
      <c r="Y96" s="7">
        <v>15.06</v>
      </c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</row>
    <row r="97" spans="1:55" x14ac:dyDescent="0.3">
      <c r="A97" s="5">
        <v>2032924844</v>
      </c>
      <c r="B97" s="5" t="s">
        <v>359</v>
      </c>
      <c r="C97" s="5" t="s">
        <v>360</v>
      </c>
      <c r="D97" s="5" t="str">
        <f t="shared" si="1"/>
        <v>STEVE CERRICK</v>
      </c>
      <c r="E97" s="5" t="s">
        <v>114</v>
      </c>
      <c r="F97" s="5" t="s">
        <v>53</v>
      </c>
      <c r="G97" s="17">
        <v>0.7</v>
      </c>
      <c r="H97" s="5" t="s">
        <v>54</v>
      </c>
      <c r="I97" s="18" t="s">
        <v>54</v>
      </c>
      <c r="J97" s="19" t="s">
        <v>1021</v>
      </c>
      <c r="K97" s="5" t="s">
        <v>361</v>
      </c>
      <c r="L97" s="5" t="s">
        <v>362</v>
      </c>
      <c r="M97" s="5" t="str">
        <f>CONCATENATE(L97," ",K97)</f>
        <v>Nathan Weller</v>
      </c>
      <c r="N97" s="5" t="s">
        <v>57</v>
      </c>
      <c r="O97" s="6">
        <v>46037</v>
      </c>
      <c r="P97" s="6">
        <v>46157</v>
      </c>
      <c r="Q97" s="22">
        <f>DATEDIF(O97,P97,"M")</f>
        <v>4</v>
      </c>
      <c r="R97" s="6" t="s">
        <v>536</v>
      </c>
      <c r="S97" s="6" t="s">
        <v>1036</v>
      </c>
      <c r="T97" s="7">
        <v>44</v>
      </c>
      <c r="U97" s="5">
        <v>1</v>
      </c>
      <c r="V97" s="5" t="s">
        <v>58</v>
      </c>
      <c r="W97" s="5" t="s">
        <v>60</v>
      </c>
      <c r="X97" s="5" t="s">
        <v>61</v>
      </c>
      <c r="Y97" s="7">
        <v>30.8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</row>
    <row r="98" spans="1:55" x14ac:dyDescent="0.3">
      <c r="A98" s="5">
        <v>2033127250</v>
      </c>
      <c r="B98" s="5" t="s">
        <v>392</v>
      </c>
      <c r="C98" s="5" t="s">
        <v>393</v>
      </c>
      <c r="D98" s="5" t="str">
        <f t="shared" si="1"/>
        <v>ALEC FERRELL</v>
      </c>
      <c r="E98" s="5" t="s">
        <v>70</v>
      </c>
      <c r="F98" s="5" t="s">
        <v>53</v>
      </c>
      <c r="G98" s="17">
        <v>0.7</v>
      </c>
      <c r="H98" s="5" t="s">
        <v>54</v>
      </c>
      <c r="I98" s="18" t="s">
        <v>54</v>
      </c>
      <c r="J98" s="19" t="s">
        <v>985</v>
      </c>
      <c r="K98" s="5" t="s">
        <v>110</v>
      </c>
      <c r="L98" s="5" t="s">
        <v>111</v>
      </c>
      <c r="M98" s="5" t="str">
        <f>CONCATENATE(L98," ",K98)</f>
        <v>RICARDO SANTOS</v>
      </c>
      <c r="N98" s="5" t="s">
        <v>57</v>
      </c>
      <c r="O98" s="6">
        <v>46036</v>
      </c>
      <c r="P98" s="6">
        <v>46156</v>
      </c>
      <c r="Q98" s="22">
        <f>DATEDIF(O98,P98,"M")</f>
        <v>4</v>
      </c>
      <c r="R98" s="6" t="s">
        <v>536</v>
      </c>
      <c r="S98" s="6" t="s">
        <v>1036</v>
      </c>
      <c r="T98" s="7">
        <v>40</v>
      </c>
      <c r="U98" s="5">
        <v>1</v>
      </c>
      <c r="V98" s="5" t="s">
        <v>58</v>
      </c>
      <c r="W98" s="5" t="s">
        <v>60</v>
      </c>
      <c r="X98" s="5" t="s">
        <v>61</v>
      </c>
      <c r="Y98" s="7">
        <v>28</v>
      </c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</row>
    <row r="99" spans="1:55" x14ac:dyDescent="0.3">
      <c r="A99" s="5">
        <v>2033118932</v>
      </c>
      <c r="B99" s="5" t="s">
        <v>384</v>
      </c>
      <c r="C99" s="5" t="s">
        <v>385</v>
      </c>
      <c r="D99" s="5" t="str">
        <f t="shared" si="1"/>
        <v>BRAYDEN HARTIGAN</v>
      </c>
      <c r="E99" s="5" t="s">
        <v>270</v>
      </c>
      <c r="F99" s="5" t="s">
        <v>53</v>
      </c>
      <c r="G99" s="17">
        <v>0.7</v>
      </c>
      <c r="H99" s="5" t="s">
        <v>54</v>
      </c>
      <c r="I99" s="18" t="s">
        <v>54</v>
      </c>
      <c r="J99" s="19" t="s">
        <v>985</v>
      </c>
      <c r="K99" s="5" t="s">
        <v>110</v>
      </c>
      <c r="L99" s="5" t="s">
        <v>111</v>
      </c>
      <c r="M99" s="5" t="str">
        <f>CONCATENATE(L99," ",K99)</f>
        <v>RICARDO SANTOS</v>
      </c>
      <c r="N99" s="5" t="s">
        <v>57</v>
      </c>
      <c r="O99" s="6">
        <v>46035</v>
      </c>
      <c r="P99" s="6">
        <v>46155</v>
      </c>
      <c r="Q99" s="22">
        <f>DATEDIF(O99,P99,"M")</f>
        <v>4</v>
      </c>
      <c r="R99" s="6" t="s">
        <v>536</v>
      </c>
      <c r="S99" s="6" t="s">
        <v>1036</v>
      </c>
      <c r="T99" s="7">
        <v>45.46</v>
      </c>
      <c r="U99" s="5">
        <v>1</v>
      </c>
      <c r="V99" s="5" t="s">
        <v>58</v>
      </c>
      <c r="W99" s="5" t="s">
        <v>60</v>
      </c>
      <c r="X99" s="5" t="s">
        <v>61</v>
      </c>
      <c r="Y99" s="7">
        <v>31.82</v>
      </c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</row>
    <row r="100" spans="1:55" x14ac:dyDescent="0.3">
      <c r="A100" s="5">
        <v>2033118931</v>
      </c>
      <c r="B100" s="5" t="s">
        <v>384</v>
      </c>
      <c r="C100" s="5" t="s">
        <v>385</v>
      </c>
      <c r="D100" s="5" t="str">
        <f t="shared" si="1"/>
        <v>BRAYDEN HARTIGAN</v>
      </c>
      <c r="E100" s="5" t="s">
        <v>270</v>
      </c>
      <c r="F100" s="5" t="s">
        <v>483</v>
      </c>
      <c r="G100" s="20">
        <v>0.375</v>
      </c>
      <c r="H100" s="5" t="s">
        <v>484</v>
      </c>
      <c r="I100" s="18" t="s">
        <v>484</v>
      </c>
      <c r="J100" s="19" t="s">
        <v>985</v>
      </c>
      <c r="K100" s="5" t="s">
        <v>110</v>
      </c>
      <c r="L100" s="5" t="s">
        <v>111</v>
      </c>
      <c r="M100" s="5" t="str">
        <f>CONCATENATE(L100," ",K100)</f>
        <v>RICARDO SANTOS</v>
      </c>
      <c r="N100" s="5" t="s">
        <v>57</v>
      </c>
      <c r="O100" s="6">
        <v>46035</v>
      </c>
      <c r="P100" s="6">
        <v>46155</v>
      </c>
      <c r="Q100" s="22">
        <f>DATEDIF(O100,P100,"M")</f>
        <v>4</v>
      </c>
      <c r="R100" s="6" t="s">
        <v>536</v>
      </c>
      <c r="S100" s="6" t="s">
        <v>1036</v>
      </c>
      <c r="T100" s="7">
        <v>81.22</v>
      </c>
      <c r="U100" s="5">
        <v>1</v>
      </c>
      <c r="V100" s="5" t="s">
        <v>58</v>
      </c>
      <c r="W100" s="5" t="s">
        <v>60</v>
      </c>
      <c r="X100" s="5" t="s">
        <v>61</v>
      </c>
      <c r="Y100" s="7">
        <v>30.46</v>
      </c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</row>
    <row r="101" spans="1:55" x14ac:dyDescent="0.3">
      <c r="A101" s="5">
        <v>2033128048</v>
      </c>
      <c r="B101" s="5" t="s">
        <v>394</v>
      </c>
      <c r="C101" s="5" t="s">
        <v>395</v>
      </c>
      <c r="D101" s="5" t="str">
        <f t="shared" si="1"/>
        <v>TANYA LINTOW</v>
      </c>
      <c r="E101" s="5" t="s">
        <v>270</v>
      </c>
      <c r="F101" s="5" t="s">
        <v>444</v>
      </c>
      <c r="G101" s="17">
        <v>0.75</v>
      </c>
      <c r="H101" s="5" t="s">
        <v>451</v>
      </c>
      <c r="I101" s="18" t="s">
        <v>980</v>
      </c>
      <c r="J101" s="19" t="s">
        <v>984</v>
      </c>
      <c r="K101" s="5" t="s">
        <v>120</v>
      </c>
      <c r="L101" s="5" t="s">
        <v>121</v>
      </c>
      <c r="M101" s="5" t="str">
        <f>CONCATENATE(L101," ",K101)</f>
        <v>Richard Yale</v>
      </c>
      <c r="N101" s="5" t="s">
        <v>57</v>
      </c>
      <c r="O101" s="6">
        <v>46038</v>
      </c>
      <c r="P101" s="6">
        <v>46158</v>
      </c>
      <c r="Q101" s="22">
        <f>DATEDIF(O101,P101,"M")</f>
        <v>4</v>
      </c>
      <c r="R101" s="6" t="s">
        <v>536</v>
      </c>
      <c r="S101" s="6" t="s">
        <v>1036</v>
      </c>
      <c r="T101" s="7">
        <v>122.44</v>
      </c>
      <c r="U101" s="5">
        <v>1</v>
      </c>
      <c r="V101" s="5" t="s">
        <v>58</v>
      </c>
      <c r="W101" s="5" t="s">
        <v>60</v>
      </c>
      <c r="X101" s="5" t="s">
        <v>61</v>
      </c>
      <c r="Y101" s="7">
        <v>91.83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</row>
    <row r="102" spans="1:55" x14ac:dyDescent="0.3">
      <c r="A102" s="5">
        <v>2033128047</v>
      </c>
      <c r="B102" s="5" t="s">
        <v>394</v>
      </c>
      <c r="C102" s="5" t="s">
        <v>395</v>
      </c>
      <c r="D102" s="5" t="str">
        <f t="shared" si="1"/>
        <v>TANYA LINTOW</v>
      </c>
      <c r="E102" s="5" t="s">
        <v>270</v>
      </c>
      <c r="F102" s="5" t="s">
        <v>53</v>
      </c>
      <c r="G102" s="17">
        <v>0.7</v>
      </c>
      <c r="H102" s="5" t="s">
        <v>54</v>
      </c>
      <c r="I102" s="18" t="s">
        <v>54</v>
      </c>
      <c r="J102" s="19" t="s">
        <v>984</v>
      </c>
      <c r="K102" s="5" t="s">
        <v>120</v>
      </c>
      <c r="L102" s="5" t="s">
        <v>121</v>
      </c>
      <c r="M102" s="5" t="str">
        <f>CONCATENATE(L102," ",K102)</f>
        <v>Richard Yale</v>
      </c>
      <c r="N102" s="5" t="s">
        <v>57</v>
      </c>
      <c r="O102" s="6">
        <v>46038</v>
      </c>
      <c r="P102" s="6">
        <v>46158</v>
      </c>
      <c r="Q102" s="22">
        <f>DATEDIF(O102,P102,"M")</f>
        <v>4</v>
      </c>
      <c r="R102" s="6" t="s">
        <v>536</v>
      </c>
      <c r="S102" s="6" t="s">
        <v>1036</v>
      </c>
      <c r="T102" s="7">
        <v>299.38</v>
      </c>
      <c r="U102" s="5">
        <v>1</v>
      </c>
      <c r="V102" s="5" t="s">
        <v>58</v>
      </c>
      <c r="W102" s="5" t="s">
        <v>60</v>
      </c>
      <c r="X102" s="5" t="s">
        <v>61</v>
      </c>
      <c r="Y102" s="7">
        <v>209.57</v>
      </c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</row>
    <row r="103" spans="1:55" x14ac:dyDescent="0.3">
      <c r="A103" s="5">
        <v>2033128046</v>
      </c>
      <c r="B103" s="5" t="s">
        <v>394</v>
      </c>
      <c r="C103" s="5" t="s">
        <v>395</v>
      </c>
      <c r="D103" s="5" t="str">
        <f t="shared" si="1"/>
        <v>TANYA LINTOW</v>
      </c>
      <c r="E103" s="5" t="s">
        <v>270</v>
      </c>
      <c r="F103" s="5" t="s">
        <v>483</v>
      </c>
      <c r="G103" s="20">
        <v>0.375</v>
      </c>
      <c r="H103" s="5" t="s">
        <v>484</v>
      </c>
      <c r="I103" s="18" t="s">
        <v>484</v>
      </c>
      <c r="J103" s="19" t="s">
        <v>984</v>
      </c>
      <c r="K103" s="5" t="s">
        <v>120</v>
      </c>
      <c r="L103" s="5" t="s">
        <v>121</v>
      </c>
      <c r="M103" s="5" t="str">
        <f>CONCATENATE(L103," ",K103)</f>
        <v>Richard Yale</v>
      </c>
      <c r="N103" s="5" t="s">
        <v>57</v>
      </c>
      <c r="O103" s="6">
        <v>46038</v>
      </c>
      <c r="P103" s="6">
        <v>46158</v>
      </c>
      <c r="Q103" s="22">
        <f>DATEDIF(O103,P103,"M")</f>
        <v>4</v>
      </c>
      <c r="R103" s="6" t="s">
        <v>536</v>
      </c>
      <c r="S103" s="6" t="s">
        <v>1036</v>
      </c>
      <c r="T103" s="7">
        <v>174.25</v>
      </c>
      <c r="U103" s="5">
        <v>1</v>
      </c>
      <c r="V103" s="5" t="s">
        <v>58</v>
      </c>
      <c r="W103" s="5" t="s">
        <v>60</v>
      </c>
      <c r="X103" s="5" t="s">
        <v>61</v>
      </c>
      <c r="Y103" s="7">
        <v>65.34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</row>
    <row r="104" spans="1:55" s="5" customFormat="1" x14ac:dyDescent="0.3">
      <c r="A104" s="5">
        <v>2033170282</v>
      </c>
      <c r="B104" s="5" t="s">
        <v>866</v>
      </c>
      <c r="C104" s="5" t="s">
        <v>867</v>
      </c>
      <c r="D104" s="5" t="str">
        <f t="shared" si="1"/>
        <v>MARGARET NGUM</v>
      </c>
      <c r="E104" s="5" t="s">
        <v>295</v>
      </c>
      <c r="F104" s="5" t="s">
        <v>483</v>
      </c>
      <c r="G104" s="20">
        <v>0.375</v>
      </c>
      <c r="H104" s="5" t="s">
        <v>484</v>
      </c>
      <c r="I104" s="18" t="s">
        <v>484</v>
      </c>
      <c r="J104" s="19" t="s">
        <v>1003</v>
      </c>
      <c r="K104" s="5" t="s">
        <v>134</v>
      </c>
      <c r="L104" s="5" t="s">
        <v>98</v>
      </c>
      <c r="M104" s="5" t="str">
        <f>CONCATENATE(L104," ",K104)</f>
        <v>THOMAS PARDUE</v>
      </c>
      <c r="N104" s="5" t="s">
        <v>57</v>
      </c>
      <c r="O104" s="6">
        <v>46038</v>
      </c>
      <c r="P104" s="6">
        <v>46158</v>
      </c>
      <c r="Q104" s="22">
        <f>DATEDIF(O104,P104,"M")</f>
        <v>4</v>
      </c>
      <c r="R104" s="6" t="s">
        <v>536</v>
      </c>
      <c r="S104" s="6" t="s">
        <v>1036</v>
      </c>
      <c r="T104" s="7">
        <v>33.89</v>
      </c>
      <c r="U104" s="5">
        <v>1</v>
      </c>
      <c r="V104" s="5" t="s">
        <v>58</v>
      </c>
      <c r="W104" s="5" t="s">
        <v>60</v>
      </c>
      <c r="X104" s="5" t="s">
        <v>61</v>
      </c>
      <c r="Y104" s="7">
        <v>12.71</v>
      </c>
    </row>
    <row r="105" spans="1:55" s="5" customFormat="1" x14ac:dyDescent="0.3">
      <c r="A105" s="5">
        <v>2033150197</v>
      </c>
      <c r="B105" s="5" t="s">
        <v>405</v>
      </c>
      <c r="C105" s="5" t="s">
        <v>406</v>
      </c>
      <c r="D105" s="5" t="str">
        <f t="shared" si="1"/>
        <v>BRIAN BASS</v>
      </c>
      <c r="E105" s="5" t="s">
        <v>103</v>
      </c>
      <c r="F105" s="5" t="s">
        <v>53</v>
      </c>
      <c r="G105" s="17">
        <v>0.7</v>
      </c>
      <c r="H105" s="5" t="s">
        <v>54</v>
      </c>
      <c r="I105" s="18" t="s">
        <v>54</v>
      </c>
      <c r="J105" s="19" t="s">
        <v>1010</v>
      </c>
      <c r="K105" s="5" t="s">
        <v>199</v>
      </c>
      <c r="L105" s="5" t="s">
        <v>200</v>
      </c>
      <c r="M105" s="5" t="str">
        <f>CONCATENATE(L105," ",K105)</f>
        <v>WILLIAM GESKE</v>
      </c>
      <c r="N105" s="5" t="s">
        <v>57</v>
      </c>
      <c r="O105" s="6">
        <v>46038</v>
      </c>
      <c r="P105" s="6">
        <v>46158</v>
      </c>
      <c r="Q105" s="22">
        <f>DATEDIF(O105,P105,"M")</f>
        <v>4</v>
      </c>
      <c r="R105" s="6" t="s">
        <v>536</v>
      </c>
      <c r="S105" s="6" t="s">
        <v>1036</v>
      </c>
      <c r="T105" s="7">
        <v>9.1</v>
      </c>
      <c r="U105" s="5">
        <v>1</v>
      </c>
      <c r="V105" s="5" t="s">
        <v>58</v>
      </c>
      <c r="W105" s="5" t="s">
        <v>60</v>
      </c>
      <c r="X105" s="5" t="s">
        <v>61</v>
      </c>
      <c r="Y105" s="7">
        <v>6.37</v>
      </c>
    </row>
    <row r="106" spans="1:55" s="5" customFormat="1" x14ac:dyDescent="0.3">
      <c r="A106" s="5">
        <v>2033150196</v>
      </c>
      <c r="B106" s="5" t="s">
        <v>405</v>
      </c>
      <c r="C106" s="5" t="s">
        <v>406</v>
      </c>
      <c r="D106" s="5" t="str">
        <f t="shared" si="1"/>
        <v>BRIAN BASS</v>
      </c>
      <c r="E106" s="5" t="s">
        <v>103</v>
      </c>
      <c r="F106" s="5" t="s">
        <v>483</v>
      </c>
      <c r="G106" s="20">
        <v>0.375</v>
      </c>
      <c r="H106" s="5" t="s">
        <v>484</v>
      </c>
      <c r="I106" s="18" t="s">
        <v>484</v>
      </c>
      <c r="J106" s="19" t="s">
        <v>1010</v>
      </c>
      <c r="K106" s="5" t="s">
        <v>199</v>
      </c>
      <c r="L106" s="5" t="s">
        <v>200</v>
      </c>
      <c r="M106" s="5" t="str">
        <f>CONCATENATE(L106," ",K106)</f>
        <v>WILLIAM GESKE</v>
      </c>
      <c r="N106" s="5" t="s">
        <v>57</v>
      </c>
      <c r="O106" s="6">
        <v>46038</v>
      </c>
      <c r="P106" s="6">
        <v>46158</v>
      </c>
      <c r="Q106" s="22">
        <f>DATEDIF(O106,P106,"M")</f>
        <v>4</v>
      </c>
      <c r="R106" s="6" t="s">
        <v>536</v>
      </c>
      <c r="S106" s="6" t="s">
        <v>1036</v>
      </c>
      <c r="T106" s="7">
        <v>48.17</v>
      </c>
      <c r="U106" s="5">
        <v>1</v>
      </c>
      <c r="V106" s="5" t="s">
        <v>58</v>
      </c>
      <c r="W106" s="5" t="s">
        <v>60</v>
      </c>
      <c r="X106" s="5" t="s">
        <v>61</v>
      </c>
      <c r="Y106" s="7">
        <v>18.059999999999999</v>
      </c>
    </row>
    <row r="107" spans="1:55" s="5" customFormat="1" x14ac:dyDescent="0.3">
      <c r="A107" s="5">
        <v>2033174415</v>
      </c>
      <c r="B107" s="5" t="s">
        <v>594</v>
      </c>
      <c r="C107" s="5" t="s">
        <v>868</v>
      </c>
      <c r="D107" s="5" t="str">
        <f t="shared" si="1"/>
        <v>GARETH WILLIAMS</v>
      </c>
      <c r="E107" s="5" t="s">
        <v>103</v>
      </c>
      <c r="F107" s="5" t="s">
        <v>483</v>
      </c>
      <c r="G107" s="20">
        <v>0.375</v>
      </c>
      <c r="H107" s="5" t="s">
        <v>484</v>
      </c>
      <c r="I107" s="18" t="s">
        <v>484</v>
      </c>
      <c r="J107" s="19" t="s">
        <v>1010</v>
      </c>
      <c r="K107" s="5" t="s">
        <v>199</v>
      </c>
      <c r="L107" s="5" t="s">
        <v>200</v>
      </c>
      <c r="M107" s="5" t="str">
        <f>CONCATENATE(L107," ",K107)</f>
        <v>WILLIAM GESKE</v>
      </c>
      <c r="N107" s="5" t="s">
        <v>57</v>
      </c>
      <c r="O107" s="6">
        <v>46039</v>
      </c>
      <c r="P107" s="6">
        <v>46159</v>
      </c>
      <c r="Q107" s="22">
        <f>DATEDIF(O107,P107,"M")</f>
        <v>4</v>
      </c>
      <c r="R107" s="6" t="s">
        <v>536</v>
      </c>
      <c r="S107" s="6" t="s">
        <v>1036</v>
      </c>
      <c r="T107" s="7">
        <v>192.66</v>
      </c>
      <c r="U107" s="5">
        <v>1</v>
      </c>
      <c r="V107" s="5" t="s">
        <v>58</v>
      </c>
      <c r="W107" s="5" t="s">
        <v>60</v>
      </c>
      <c r="X107" s="5" t="s">
        <v>61</v>
      </c>
      <c r="Y107" s="7">
        <v>72.25</v>
      </c>
    </row>
    <row r="108" spans="1:55" s="5" customFormat="1" x14ac:dyDescent="0.3">
      <c r="A108" s="5">
        <v>2032669854</v>
      </c>
      <c r="B108" s="5" t="s">
        <v>592</v>
      </c>
      <c r="C108" s="5" t="s">
        <v>863</v>
      </c>
      <c r="D108" s="5" t="str">
        <f t="shared" si="1"/>
        <v>TREVOR SINGH</v>
      </c>
      <c r="E108" s="5" t="s">
        <v>52</v>
      </c>
      <c r="F108" s="5" t="s">
        <v>483</v>
      </c>
      <c r="G108" s="20">
        <v>0.375</v>
      </c>
      <c r="H108" s="5" t="s">
        <v>484</v>
      </c>
      <c r="I108" s="18" t="s">
        <v>484</v>
      </c>
      <c r="J108" s="19" t="s">
        <v>1024</v>
      </c>
      <c r="K108" s="5" t="s">
        <v>425</v>
      </c>
      <c r="L108" s="5" t="s">
        <v>123</v>
      </c>
      <c r="M108" s="5" t="str">
        <f>CONCATENATE(L108," ",K108)</f>
        <v>ANDREA PETRUNGARO</v>
      </c>
      <c r="N108" s="5" t="s">
        <v>57</v>
      </c>
      <c r="O108" s="6">
        <v>46006</v>
      </c>
      <c r="P108" s="6">
        <v>46157</v>
      </c>
      <c r="Q108" s="22">
        <f>DATEDIF(O108,P108,"M")</f>
        <v>5</v>
      </c>
      <c r="R108" s="6" t="s">
        <v>536</v>
      </c>
      <c r="S108" s="6" t="s">
        <v>1036</v>
      </c>
      <c r="T108" s="7">
        <v>54.95</v>
      </c>
      <c r="U108" s="5">
        <v>1</v>
      </c>
      <c r="V108" s="5" t="s">
        <v>58</v>
      </c>
      <c r="W108" s="5" t="s">
        <v>60</v>
      </c>
      <c r="X108" s="5" t="s">
        <v>61</v>
      </c>
      <c r="Y108" s="7">
        <v>20.61</v>
      </c>
    </row>
    <row r="109" spans="1:55" s="5" customFormat="1" x14ac:dyDescent="0.3">
      <c r="A109" s="5">
        <v>2032445031</v>
      </c>
      <c r="B109" s="5" t="s">
        <v>291</v>
      </c>
      <c r="C109" s="5" t="s">
        <v>200</v>
      </c>
      <c r="D109" s="5" t="str">
        <f t="shared" si="1"/>
        <v>WILLIAM RESURRECCION</v>
      </c>
      <c r="E109" s="5" t="s">
        <v>80</v>
      </c>
      <c r="F109" s="5" t="s">
        <v>499</v>
      </c>
      <c r="G109" s="17">
        <v>0.38</v>
      </c>
      <c r="H109" s="5" t="s">
        <v>500</v>
      </c>
      <c r="I109" s="18" t="s">
        <v>500</v>
      </c>
      <c r="J109" s="19" t="s">
        <v>1007</v>
      </c>
      <c r="K109" s="5" t="s">
        <v>167</v>
      </c>
      <c r="L109" s="5" t="s">
        <v>168</v>
      </c>
      <c r="M109" s="5" t="str">
        <f>CONCATENATE(L109," ",K109)</f>
        <v>Andrew Choi</v>
      </c>
      <c r="N109" s="5" t="s">
        <v>57</v>
      </c>
      <c r="O109" s="6">
        <v>46006</v>
      </c>
      <c r="P109" s="6">
        <v>46157</v>
      </c>
      <c r="Q109" s="22">
        <f>DATEDIF(O109,P109,"M")</f>
        <v>5</v>
      </c>
      <c r="R109" s="6" t="s">
        <v>536</v>
      </c>
      <c r="S109" s="6" t="s">
        <v>1036</v>
      </c>
      <c r="T109" s="7">
        <v>118.19</v>
      </c>
      <c r="U109" s="5">
        <v>1</v>
      </c>
      <c r="V109" s="5" t="s">
        <v>58</v>
      </c>
      <c r="W109" s="5" t="s">
        <v>60</v>
      </c>
      <c r="X109" s="5" t="s">
        <v>61</v>
      </c>
      <c r="Y109" s="7">
        <v>44.91</v>
      </c>
    </row>
    <row r="110" spans="1:55" s="5" customFormat="1" x14ac:dyDescent="0.3">
      <c r="A110" s="5">
        <v>2032445032</v>
      </c>
      <c r="B110" s="5" t="s">
        <v>291</v>
      </c>
      <c r="C110" s="5" t="s">
        <v>200</v>
      </c>
      <c r="D110" s="5" t="str">
        <f t="shared" si="1"/>
        <v>WILLIAM RESURRECCION</v>
      </c>
      <c r="E110" s="5" t="s">
        <v>80</v>
      </c>
      <c r="F110" s="5" t="s">
        <v>499</v>
      </c>
      <c r="G110" s="17">
        <v>0.38</v>
      </c>
      <c r="H110" s="5" t="s">
        <v>501</v>
      </c>
      <c r="I110" s="18" t="s">
        <v>500</v>
      </c>
      <c r="J110" s="19" t="s">
        <v>1007</v>
      </c>
      <c r="K110" s="5" t="s">
        <v>167</v>
      </c>
      <c r="L110" s="5" t="s">
        <v>168</v>
      </c>
      <c r="M110" s="5" t="str">
        <f>CONCATENATE(L110," ",K110)</f>
        <v>Andrew Choi</v>
      </c>
      <c r="N110" s="5" t="s">
        <v>57</v>
      </c>
      <c r="O110" s="6">
        <v>46006</v>
      </c>
      <c r="P110" s="6">
        <v>46157</v>
      </c>
      <c r="Q110" s="22">
        <f>DATEDIF(O110,P110,"M")</f>
        <v>5</v>
      </c>
      <c r="R110" s="6" t="s">
        <v>536</v>
      </c>
      <c r="S110" s="6" t="s">
        <v>1036</v>
      </c>
      <c r="T110" s="7">
        <v>7.09</v>
      </c>
      <c r="U110" s="5">
        <v>1</v>
      </c>
      <c r="V110" s="5" t="s">
        <v>58</v>
      </c>
      <c r="W110" s="5" t="s">
        <v>60</v>
      </c>
      <c r="X110" s="5" t="s">
        <v>61</v>
      </c>
      <c r="Y110" s="7">
        <v>2.69</v>
      </c>
    </row>
    <row r="111" spans="1:55" s="5" customFormat="1" x14ac:dyDescent="0.3">
      <c r="A111" s="5">
        <v>2032445034</v>
      </c>
      <c r="B111" s="5" t="s">
        <v>291</v>
      </c>
      <c r="C111" s="5" t="s">
        <v>200</v>
      </c>
      <c r="D111" s="5" t="str">
        <f t="shared" si="1"/>
        <v>WILLIAM RESURRECCION</v>
      </c>
      <c r="E111" s="5" t="s">
        <v>80</v>
      </c>
      <c r="F111" s="5" t="s">
        <v>444</v>
      </c>
      <c r="G111" s="17">
        <v>0.9</v>
      </c>
      <c r="H111" s="5" t="s">
        <v>567</v>
      </c>
      <c r="I111" s="18" t="s">
        <v>981</v>
      </c>
      <c r="J111" s="19" t="s">
        <v>1007</v>
      </c>
      <c r="K111" s="5" t="s">
        <v>167</v>
      </c>
      <c r="L111" s="5" t="s">
        <v>168</v>
      </c>
      <c r="M111" s="5" t="str">
        <f>CONCATENATE(L111," ",K111)</f>
        <v>Andrew Choi</v>
      </c>
      <c r="N111" s="5" t="s">
        <v>57</v>
      </c>
      <c r="O111" s="6">
        <v>46006</v>
      </c>
      <c r="P111" s="6">
        <v>46157</v>
      </c>
      <c r="Q111" s="22">
        <f>DATEDIF(O111,P111,"M")</f>
        <v>5</v>
      </c>
      <c r="R111" s="6" t="s">
        <v>536</v>
      </c>
      <c r="S111" s="6" t="s">
        <v>1036</v>
      </c>
      <c r="T111" s="7">
        <v>29.67</v>
      </c>
      <c r="U111" s="5">
        <v>1</v>
      </c>
      <c r="V111" s="5" t="s">
        <v>58</v>
      </c>
      <c r="W111" s="5" t="s">
        <v>60</v>
      </c>
      <c r="X111" s="5" t="s">
        <v>61</v>
      </c>
      <c r="Y111" s="7">
        <v>26.7</v>
      </c>
    </row>
    <row r="112" spans="1:55" s="5" customFormat="1" x14ac:dyDescent="0.3">
      <c r="A112" s="5">
        <v>2032445035</v>
      </c>
      <c r="B112" s="5" t="s">
        <v>291</v>
      </c>
      <c r="C112" s="5" t="s">
        <v>200</v>
      </c>
      <c r="D112" s="5" t="str">
        <f t="shared" si="1"/>
        <v>WILLIAM RESURRECCION</v>
      </c>
      <c r="E112" s="5" t="s">
        <v>80</v>
      </c>
      <c r="F112" s="5" t="s">
        <v>475</v>
      </c>
      <c r="G112" s="17">
        <v>0.38</v>
      </c>
      <c r="H112" s="5" t="s">
        <v>476</v>
      </c>
      <c r="I112" s="18" t="s">
        <v>476</v>
      </c>
      <c r="J112" s="19" t="s">
        <v>1007</v>
      </c>
      <c r="K112" s="5" t="s">
        <v>167</v>
      </c>
      <c r="L112" s="5" t="s">
        <v>168</v>
      </c>
      <c r="M112" s="5" t="str">
        <f>CONCATENATE(L112," ",K112)</f>
        <v>Andrew Choi</v>
      </c>
      <c r="N112" s="5" t="s">
        <v>57</v>
      </c>
      <c r="O112" s="6">
        <v>46006</v>
      </c>
      <c r="P112" s="6">
        <v>46157</v>
      </c>
      <c r="Q112" s="22">
        <f>DATEDIF(O112,P112,"M")</f>
        <v>5</v>
      </c>
      <c r="R112" s="6" t="s">
        <v>536</v>
      </c>
      <c r="S112" s="6" t="s">
        <v>1036</v>
      </c>
      <c r="T112" s="7">
        <v>15</v>
      </c>
      <c r="U112" s="5">
        <v>1</v>
      </c>
      <c r="V112" s="5" t="s">
        <v>58</v>
      </c>
      <c r="W112" s="5" t="s">
        <v>60</v>
      </c>
      <c r="X112" s="5" t="s">
        <v>61</v>
      </c>
      <c r="Y112" s="7">
        <v>5.7</v>
      </c>
    </row>
    <row r="113" spans="1:55" s="5" customFormat="1" x14ac:dyDescent="0.3">
      <c r="A113" s="5">
        <v>2032445033</v>
      </c>
      <c r="B113" s="5" t="s">
        <v>291</v>
      </c>
      <c r="C113" s="5" t="s">
        <v>200</v>
      </c>
      <c r="D113" s="5" t="str">
        <f t="shared" si="1"/>
        <v>WILLIAM RESURRECCION</v>
      </c>
      <c r="E113" s="5" t="s">
        <v>80</v>
      </c>
      <c r="F113" s="5" t="s">
        <v>53</v>
      </c>
      <c r="G113" s="17">
        <v>0.7</v>
      </c>
      <c r="H113" s="5" t="s">
        <v>54</v>
      </c>
      <c r="I113" s="18" t="s">
        <v>54</v>
      </c>
      <c r="J113" s="19" t="s">
        <v>1007</v>
      </c>
      <c r="K113" s="5" t="s">
        <v>167</v>
      </c>
      <c r="L113" s="5" t="s">
        <v>168</v>
      </c>
      <c r="M113" s="5" t="str">
        <f>CONCATENATE(L113," ",K113)</f>
        <v>Andrew Choi</v>
      </c>
      <c r="N113" s="5" t="s">
        <v>57</v>
      </c>
      <c r="O113" s="6">
        <v>46006</v>
      </c>
      <c r="P113" s="6">
        <v>46157</v>
      </c>
      <c r="Q113" s="22">
        <f>DATEDIF(O113,P113,"M")</f>
        <v>5</v>
      </c>
      <c r="R113" s="6" t="s">
        <v>536</v>
      </c>
      <c r="S113" s="6" t="s">
        <v>1036</v>
      </c>
      <c r="T113" s="7">
        <v>22</v>
      </c>
      <c r="U113" s="5">
        <v>1</v>
      </c>
      <c r="V113" s="5" t="s">
        <v>58</v>
      </c>
      <c r="W113" s="5" t="s">
        <v>60</v>
      </c>
      <c r="X113" s="5" t="s">
        <v>61</v>
      </c>
      <c r="Y113" s="7">
        <v>15.4</v>
      </c>
    </row>
    <row r="114" spans="1:55" s="5" customFormat="1" x14ac:dyDescent="0.3">
      <c r="A114" s="5">
        <v>2032652630</v>
      </c>
      <c r="B114" s="5" t="s">
        <v>333</v>
      </c>
      <c r="C114" s="5" t="s">
        <v>237</v>
      </c>
      <c r="D114" s="5" t="str">
        <f t="shared" si="1"/>
        <v>NICOLE KUCHAR</v>
      </c>
      <c r="E114" s="5" t="s">
        <v>126</v>
      </c>
      <c r="F114" s="5" t="s">
        <v>444</v>
      </c>
      <c r="G114" s="17">
        <v>0.75</v>
      </c>
      <c r="H114" s="5" t="s">
        <v>451</v>
      </c>
      <c r="I114" s="18" t="s">
        <v>980</v>
      </c>
      <c r="J114" s="19" t="s">
        <v>1002</v>
      </c>
      <c r="K114" s="5" t="s">
        <v>127</v>
      </c>
      <c r="L114" s="5" t="s">
        <v>128</v>
      </c>
      <c r="M114" s="5" t="str">
        <f>CONCATENATE(L114," ",K114)</f>
        <v>CHRISTIAN TAUGNER</v>
      </c>
      <c r="N114" s="5" t="s">
        <v>57</v>
      </c>
      <c r="O114" s="6">
        <v>46004</v>
      </c>
      <c r="P114" s="6">
        <v>46155</v>
      </c>
      <c r="Q114" s="22">
        <f>DATEDIF(O114,P114,"M")</f>
        <v>5</v>
      </c>
      <c r="R114" s="6" t="s">
        <v>536</v>
      </c>
      <c r="S114" s="6" t="s">
        <v>1036</v>
      </c>
      <c r="T114" s="7">
        <v>46.28</v>
      </c>
      <c r="U114" s="5">
        <v>1</v>
      </c>
      <c r="V114" s="5" t="s">
        <v>58</v>
      </c>
      <c r="W114" s="5" t="s">
        <v>60</v>
      </c>
      <c r="X114" s="5" t="s">
        <v>61</v>
      </c>
      <c r="Y114" s="7">
        <v>34.71</v>
      </c>
    </row>
    <row r="115" spans="1:55" s="5" customFormat="1" x14ac:dyDescent="0.3">
      <c r="A115" s="5">
        <v>2032669964</v>
      </c>
      <c r="B115" s="5" t="s">
        <v>340</v>
      </c>
      <c r="C115" s="5" t="s">
        <v>341</v>
      </c>
      <c r="D115" s="5" t="str">
        <f t="shared" si="1"/>
        <v>IVY TOPEL</v>
      </c>
      <c r="E115" s="5" t="s">
        <v>80</v>
      </c>
      <c r="F115" s="5" t="s">
        <v>53</v>
      </c>
      <c r="G115" s="17">
        <v>0.7</v>
      </c>
      <c r="H115" s="5" t="s">
        <v>54</v>
      </c>
      <c r="I115" s="18" t="s">
        <v>54</v>
      </c>
      <c r="J115" s="19" t="s">
        <v>1002</v>
      </c>
      <c r="K115" s="5" t="s">
        <v>127</v>
      </c>
      <c r="L115" s="5" t="s">
        <v>128</v>
      </c>
      <c r="M115" s="5" t="str">
        <f>CONCATENATE(L115," ",K115)</f>
        <v>CHRISTIAN TAUGNER</v>
      </c>
      <c r="N115" s="5" t="s">
        <v>57</v>
      </c>
      <c r="O115" s="6">
        <v>46005</v>
      </c>
      <c r="P115" s="6">
        <v>46156</v>
      </c>
      <c r="Q115" s="22">
        <f>DATEDIF(O115,P115,"M")</f>
        <v>5</v>
      </c>
      <c r="R115" s="6" t="s">
        <v>536</v>
      </c>
      <c r="S115" s="6" t="s">
        <v>1036</v>
      </c>
      <c r="T115" s="7">
        <v>18.45</v>
      </c>
      <c r="U115" s="5">
        <v>1</v>
      </c>
      <c r="V115" s="5" t="s">
        <v>58</v>
      </c>
      <c r="W115" s="5" t="s">
        <v>60</v>
      </c>
      <c r="X115" s="5" t="s">
        <v>61</v>
      </c>
      <c r="Y115" s="7">
        <v>12.92</v>
      </c>
    </row>
    <row r="116" spans="1:55" s="5" customFormat="1" x14ac:dyDescent="0.3">
      <c r="A116" s="5">
        <v>2032645668</v>
      </c>
      <c r="B116" s="5" t="s">
        <v>327</v>
      </c>
      <c r="C116" s="5" t="s">
        <v>328</v>
      </c>
      <c r="D116" s="5" t="str">
        <f t="shared" si="1"/>
        <v>MARICEL GUERRA</v>
      </c>
      <c r="E116" s="5" t="s">
        <v>126</v>
      </c>
      <c r="F116" s="5" t="s">
        <v>53</v>
      </c>
      <c r="G116" s="17">
        <v>0.7</v>
      </c>
      <c r="H116" s="5" t="s">
        <v>54</v>
      </c>
      <c r="I116" s="18" t="s">
        <v>54</v>
      </c>
      <c r="J116" s="19" t="s">
        <v>1002</v>
      </c>
      <c r="K116" s="5" t="s">
        <v>127</v>
      </c>
      <c r="L116" s="5" t="s">
        <v>128</v>
      </c>
      <c r="M116" s="5" t="str">
        <f>CONCATENATE(L116," ",K116)</f>
        <v>CHRISTIAN TAUGNER</v>
      </c>
      <c r="N116" s="5" t="s">
        <v>57</v>
      </c>
      <c r="O116" s="6">
        <v>46004</v>
      </c>
      <c r="P116" s="6">
        <v>46155</v>
      </c>
      <c r="Q116" s="22">
        <f>DATEDIF(O116,P116,"M")</f>
        <v>5</v>
      </c>
      <c r="R116" s="6" t="s">
        <v>536</v>
      </c>
      <c r="S116" s="6" t="s">
        <v>1036</v>
      </c>
      <c r="T116" s="7">
        <v>27.18</v>
      </c>
      <c r="U116" s="5">
        <v>1</v>
      </c>
      <c r="V116" s="5" t="s">
        <v>58</v>
      </c>
      <c r="W116" s="5" t="s">
        <v>60</v>
      </c>
      <c r="X116" s="5" t="s">
        <v>61</v>
      </c>
      <c r="Y116" s="7">
        <v>19.03</v>
      </c>
    </row>
    <row r="117" spans="1:55" s="5" customFormat="1" x14ac:dyDescent="0.3">
      <c r="A117" s="5">
        <v>2032652629</v>
      </c>
      <c r="B117" s="5" t="s">
        <v>333</v>
      </c>
      <c r="C117" s="5" t="s">
        <v>237</v>
      </c>
      <c r="D117" s="5" t="str">
        <f t="shared" si="1"/>
        <v>NICOLE KUCHAR</v>
      </c>
      <c r="E117" s="5" t="s">
        <v>126</v>
      </c>
      <c r="F117" s="5" t="s">
        <v>53</v>
      </c>
      <c r="G117" s="17">
        <v>0.7</v>
      </c>
      <c r="H117" s="5" t="s">
        <v>54</v>
      </c>
      <c r="I117" s="18" t="s">
        <v>54</v>
      </c>
      <c r="J117" s="19" t="s">
        <v>1002</v>
      </c>
      <c r="K117" s="5" t="s">
        <v>127</v>
      </c>
      <c r="L117" s="5" t="s">
        <v>128</v>
      </c>
      <c r="M117" s="5" t="str">
        <f>CONCATENATE(L117," ",K117)</f>
        <v>CHRISTIAN TAUGNER</v>
      </c>
      <c r="N117" s="5" t="s">
        <v>57</v>
      </c>
      <c r="O117" s="6">
        <v>46004</v>
      </c>
      <c r="P117" s="6">
        <v>46155</v>
      </c>
      <c r="Q117" s="22">
        <f>DATEDIF(O117,P117,"M")</f>
        <v>5</v>
      </c>
      <c r="R117" s="6" t="s">
        <v>536</v>
      </c>
      <c r="S117" s="6" t="s">
        <v>1036</v>
      </c>
      <c r="T117" s="7">
        <v>89.8</v>
      </c>
      <c r="U117" s="5">
        <v>1</v>
      </c>
      <c r="V117" s="5" t="s">
        <v>58</v>
      </c>
      <c r="W117" s="5" t="s">
        <v>60</v>
      </c>
      <c r="X117" s="5" t="s">
        <v>61</v>
      </c>
      <c r="Y117" s="7">
        <v>62.86</v>
      </c>
    </row>
    <row r="118" spans="1:55" x14ac:dyDescent="0.3">
      <c r="A118" s="5">
        <v>2032669963</v>
      </c>
      <c r="B118" s="5" t="s">
        <v>340</v>
      </c>
      <c r="C118" s="5" t="s">
        <v>341</v>
      </c>
      <c r="D118" s="5" t="str">
        <f t="shared" si="1"/>
        <v>IVY TOPEL</v>
      </c>
      <c r="E118" s="5" t="s">
        <v>80</v>
      </c>
      <c r="F118" s="5" t="s">
        <v>483</v>
      </c>
      <c r="G118" s="20">
        <v>0.375</v>
      </c>
      <c r="H118" s="5" t="s">
        <v>484</v>
      </c>
      <c r="I118" s="18" t="s">
        <v>484</v>
      </c>
      <c r="J118" s="19" t="s">
        <v>1002</v>
      </c>
      <c r="K118" s="5" t="s">
        <v>127</v>
      </c>
      <c r="L118" s="5" t="s">
        <v>128</v>
      </c>
      <c r="M118" s="5" t="str">
        <f>CONCATENATE(L118," ",K118)</f>
        <v>CHRISTIAN TAUGNER</v>
      </c>
      <c r="N118" s="5" t="s">
        <v>57</v>
      </c>
      <c r="O118" s="6">
        <v>46005</v>
      </c>
      <c r="P118" s="6">
        <v>46156</v>
      </c>
      <c r="Q118" s="22">
        <f>DATEDIF(O118,P118,"M")</f>
        <v>5</v>
      </c>
      <c r="R118" s="6" t="s">
        <v>536</v>
      </c>
      <c r="S118" s="6" t="s">
        <v>1036</v>
      </c>
      <c r="T118" s="7">
        <v>53.87</v>
      </c>
      <c r="U118" s="5">
        <v>1</v>
      </c>
      <c r="V118" s="5" t="s">
        <v>58</v>
      </c>
      <c r="W118" s="5" t="s">
        <v>60</v>
      </c>
      <c r="X118" s="5" t="s">
        <v>61</v>
      </c>
      <c r="Y118" s="7">
        <v>20.2</v>
      </c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</row>
    <row r="119" spans="1:55" x14ac:dyDescent="0.3">
      <c r="A119" s="5">
        <v>2032607590</v>
      </c>
      <c r="B119" s="5" t="s">
        <v>305</v>
      </c>
      <c r="C119" s="5" t="s">
        <v>306</v>
      </c>
      <c r="D119" s="5" t="str">
        <f t="shared" si="1"/>
        <v>DALE WALENGA</v>
      </c>
      <c r="E119" s="5" t="s">
        <v>80</v>
      </c>
      <c r="F119" s="5" t="s">
        <v>53</v>
      </c>
      <c r="G119" s="17">
        <v>0.9</v>
      </c>
      <c r="H119" s="5" t="s">
        <v>65</v>
      </c>
      <c r="I119" s="18" t="s">
        <v>65</v>
      </c>
      <c r="J119" s="19" t="s">
        <v>989</v>
      </c>
      <c r="K119" s="5" t="s">
        <v>307</v>
      </c>
      <c r="L119" s="5" t="s">
        <v>308</v>
      </c>
      <c r="M119" s="5" t="str">
        <f>CONCATENATE(L119," ",K119)</f>
        <v>Dale Walenga</v>
      </c>
      <c r="N119" s="5" t="s">
        <v>57</v>
      </c>
      <c r="O119" s="6">
        <v>46002</v>
      </c>
      <c r="P119" s="6">
        <v>46153</v>
      </c>
      <c r="Q119" s="22">
        <f>DATEDIF(O119,P119,"M")</f>
        <v>5</v>
      </c>
      <c r="R119" s="6" t="s">
        <v>536</v>
      </c>
      <c r="S119" s="6" t="s">
        <v>1036</v>
      </c>
      <c r="T119" s="7">
        <v>44.88</v>
      </c>
      <c r="U119" s="5">
        <v>1</v>
      </c>
      <c r="V119" s="5" t="s">
        <v>58</v>
      </c>
      <c r="W119" s="5" t="s">
        <v>60</v>
      </c>
      <c r="X119" s="5" t="s">
        <v>61</v>
      </c>
      <c r="Y119" s="7">
        <v>40.39</v>
      </c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</row>
    <row r="120" spans="1:55" x14ac:dyDescent="0.3">
      <c r="A120" s="5">
        <v>2032634717</v>
      </c>
      <c r="B120" s="5" t="s">
        <v>321</v>
      </c>
      <c r="C120" s="5" t="s">
        <v>322</v>
      </c>
      <c r="D120" s="5" t="str">
        <f t="shared" si="1"/>
        <v>LENA PLAYER</v>
      </c>
      <c r="E120" s="5" t="s">
        <v>103</v>
      </c>
      <c r="F120" s="5" t="s">
        <v>444</v>
      </c>
      <c r="G120" s="17">
        <v>0.75</v>
      </c>
      <c r="H120" s="5" t="s">
        <v>451</v>
      </c>
      <c r="I120" s="18" t="s">
        <v>980</v>
      </c>
      <c r="J120" s="19" t="s">
        <v>1001</v>
      </c>
      <c r="K120" s="5" t="s">
        <v>104</v>
      </c>
      <c r="L120" s="5" t="s">
        <v>105</v>
      </c>
      <c r="M120" s="5" t="str">
        <f>CONCATENATE(L120," ",K120)</f>
        <v>Heather Geske</v>
      </c>
      <c r="N120" s="5" t="s">
        <v>57</v>
      </c>
      <c r="O120" s="6">
        <v>46006</v>
      </c>
      <c r="P120" s="6">
        <v>46157</v>
      </c>
      <c r="Q120" s="22">
        <f>DATEDIF(O120,P120,"M")</f>
        <v>5</v>
      </c>
      <c r="R120" s="6" t="s">
        <v>536</v>
      </c>
      <c r="S120" s="6" t="s">
        <v>1036</v>
      </c>
      <c r="T120" s="7">
        <v>64.27</v>
      </c>
      <c r="U120" s="5">
        <v>1</v>
      </c>
      <c r="V120" s="5" t="s">
        <v>58</v>
      </c>
      <c r="W120" s="5" t="s">
        <v>60</v>
      </c>
      <c r="X120" s="5" t="s">
        <v>61</v>
      </c>
      <c r="Y120" s="7">
        <v>48.2</v>
      </c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</row>
    <row r="121" spans="1:55" x14ac:dyDescent="0.3">
      <c r="A121" s="5">
        <v>2032627614</v>
      </c>
      <c r="B121" s="5" t="s">
        <v>317</v>
      </c>
      <c r="C121" s="5" t="s">
        <v>318</v>
      </c>
      <c r="D121" s="5" t="str">
        <f t="shared" si="1"/>
        <v>CHAD MCGOVERN</v>
      </c>
      <c r="E121" s="5" t="s">
        <v>103</v>
      </c>
      <c r="F121" s="5" t="s">
        <v>444</v>
      </c>
      <c r="G121" s="17">
        <v>0.75</v>
      </c>
      <c r="H121" s="5" t="s">
        <v>451</v>
      </c>
      <c r="I121" s="18" t="s">
        <v>980</v>
      </c>
      <c r="J121" s="19" t="s">
        <v>1001</v>
      </c>
      <c r="K121" s="5" t="s">
        <v>104</v>
      </c>
      <c r="L121" s="5" t="s">
        <v>105</v>
      </c>
      <c r="M121" s="5" t="str">
        <f>CONCATENATE(L121," ",K121)</f>
        <v>Heather Geske</v>
      </c>
      <c r="N121" s="5" t="s">
        <v>57</v>
      </c>
      <c r="O121" s="6">
        <v>46003</v>
      </c>
      <c r="P121" s="6">
        <v>46154</v>
      </c>
      <c r="Q121" s="22">
        <f>DATEDIF(O121,P121,"M")</f>
        <v>5</v>
      </c>
      <c r="R121" s="6" t="s">
        <v>536</v>
      </c>
      <c r="S121" s="6" t="s">
        <v>1036</v>
      </c>
      <c r="T121" s="7">
        <v>69.11</v>
      </c>
      <c r="U121" s="5">
        <v>1</v>
      </c>
      <c r="V121" s="5" t="s">
        <v>58</v>
      </c>
      <c r="W121" s="5" t="s">
        <v>60</v>
      </c>
      <c r="X121" s="5" t="s">
        <v>61</v>
      </c>
      <c r="Y121" s="7">
        <v>51.83</v>
      </c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</row>
    <row r="122" spans="1:55" x14ac:dyDescent="0.3">
      <c r="A122" s="5">
        <v>2032774964</v>
      </c>
      <c r="B122" s="5" t="s">
        <v>355</v>
      </c>
      <c r="C122" s="5" t="s">
        <v>356</v>
      </c>
      <c r="D122" s="5" t="str">
        <f t="shared" si="1"/>
        <v>NIKKI SANDOVAL</v>
      </c>
      <c r="E122" s="5" t="s">
        <v>103</v>
      </c>
      <c r="F122" s="5" t="s">
        <v>444</v>
      </c>
      <c r="G122" s="17">
        <v>0.65</v>
      </c>
      <c r="H122" s="5" t="s">
        <v>466</v>
      </c>
      <c r="I122" s="18" t="s">
        <v>993</v>
      </c>
      <c r="J122" s="19" t="s">
        <v>1001</v>
      </c>
      <c r="K122" s="5" t="s">
        <v>104</v>
      </c>
      <c r="L122" s="5" t="s">
        <v>105</v>
      </c>
      <c r="M122" s="5" t="str">
        <f>CONCATENATE(L122," ",K122)</f>
        <v>Heather Geske</v>
      </c>
      <c r="N122" s="5" t="s">
        <v>57</v>
      </c>
      <c r="O122" s="6">
        <v>46006</v>
      </c>
      <c r="P122" s="6">
        <v>46157</v>
      </c>
      <c r="Q122" s="22">
        <f>DATEDIF(O122,P122,"M")</f>
        <v>5</v>
      </c>
      <c r="R122" s="6" t="s">
        <v>536</v>
      </c>
      <c r="S122" s="6" t="s">
        <v>1036</v>
      </c>
      <c r="T122" s="7">
        <v>28.03</v>
      </c>
      <c r="U122" s="5">
        <v>1</v>
      </c>
      <c r="V122" s="5" t="s">
        <v>58</v>
      </c>
      <c r="W122" s="5" t="s">
        <v>60</v>
      </c>
      <c r="X122" s="5" t="s">
        <v>61</v>
      </c>
      <c r="Y122" s="7">
        <v>18.22</v>
      </c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</row>
    <row r="123" spans="1:55" x14ac:dyDescent="0.3">
      <c r="A123" s="5">
        <v>2032693410</v>
      </c>
      <c r="B123" s="5" t="s">
        <v>352</v>
      </c>
      <c r="C123" s="5" t="s">
        <v>353</v>
      </c>
      <c r="D123" s="5" t="str">
        <f t="shared" si="1"/>
        <v>ANGELA TILLEY</v>
      </c>
      <c r="E123" s="5" t="s">
        <v>103</v>
      </c>
      <c r="F123" s="5" t="s">
        <v>444</v>
      </c>
      <c r="G123" s="17">
        <v>0.65</v>
      </c>
      <c r="H123" s="5" t="s">
        <v>466</v>
      </c>
      <c r="I123" s="18" t="s">
        <v>993</v>
      </c>
      <c r="J123" s="19" t="s">
        <v>1001</v>
      </c>
      <c r="K123" s="5" t="s">
        <v>104</v>
      </c>
      <c r="L123" s="5" t="s">
        <v>105</v>
      </c>
      <c r="M123" s="5" t="str">
        <f>CONCATENATE(L123," ",K123)</f>
        <v>Heather Geske</v>
      </c>
      <c r="N123" s="5" t="s">
        <v>57</v>
      </c>
      <c r="O123" s="6">
        <v>46007</v>
      </c>
      <c r="P123" s="6">
        <v>46158</v>
      </c>
      <c r="Q123" s="22">
        <f>DATEDIF(O123,P123,"M")</f>
        <v>5</v>
      </c>
      <c r="R123" s="6" t="s">
        <v>536</v>
      </c>
      <c r="S123" s="6" t="s">
        <v>1036</v>
      </c>
      <c r="T123" s="7">
        <v>50.78</v>
      </c>
      <c r="U123" s="5">
        <v>1</v>
      </c>
      <c r="V123" s="5" t="s">
        <v>58</v>
      </c>
      <c r="W123" s="5" t="s">
        <v>60</v>
      </c>
      <c r="X123" s="5" t="s">
        <v>61</v>
      </c>
      <c r="Y123" s="7">
        <v>33.01</v>
      </c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</row>
    <row r="124" spans="1:55" x14ac:dyDescent="0.3">
      <c r="A124" s="5">
        <v>2032774966</v>
      </c>
      <c r="B124" s="5" t="s">
        <v>355</v>
      </c>
      <c r="C124" s="5" t="s">
        <v>356</v>
      </c>
      <c r="D124" s="5" t="str">
        <f t="shared" si="1"/>
        <v>NIKKI SANDOVAL</v>
      </c>
      <c r="E124" s="5" t="s">
        <v>103</v>
      </c>
      <c r="F124" s="5" t="s">
        <v>499</v>
      </c>
      <c r="G124" s="17">
        <v>0.38</v>
      </c>
      <c r="H124" s="5" t="s">
        <v>502</v>
      </c>
      <c r="I124" s="18" t="s">
        <v>502</v>
      </c>
      <c r="J124" s="19" t="s">
        <v>1001</v>
      </c>
      <c r="K124" s="5" t="s">
        <v>104</v>
      </c>
      <c r="L124" s="5" t="s">
        <v>105</v>
      </c>
      <c r="M124" s="5" t="str">
        <f>CONCATENATE(L124," ",K124)</f>
        <v>Heather Geske</v>
      </c>
      <c r="N124" s="5" t="s">
        <v>57</v>
      </c>
      <c r="O124" s="6">
        <v>46006</v>
      </c>
      <c r="P124" s="6">
        <v>46157</v>
      </c>
      <c r="Q124" s="22">
        <f>DATEDIF(O124,P124,"M")</f>
        <v>5</v>
      </c>
      <c r="R124" s="6" t="s">
        <v>536</v>
      </c>
      <c r="S124" s="6" t="s">
        <v>1036</v>
      </c>
      <c r="T124" s="7">
        <v>19.100000000000001</v>
      </c>
      <c r="U124" s="5">
        <v>1</v>
      </c>
      <c r="V124" s="5" t="s">
        <v>58</v>
      </c>
      <c r="W124" s="5" t="s">
        <v>60</v>
      </c>
      <c r="X124" s="5" t="s">
        <v>61</v>
      </c>
      <c r="Y124" s="7">
        <v>7.26</v>
      </c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</row>
    <row r="125" spans="1:55" x14ac:dyDescent="0.3">
      <c r="A125" s="5">
        <v>2032627615</v>
      </c>
      <c r="B125" s="5" t="s">
        <v>317</v>
      </c>
      <c r="C125" s="5" t="s">
        <v>318</v>
      </c>
      <c r="D125" s="5" t="str">
        <f t="shared" si="1"/>
        <v>CHAD MCGOVERN</v>
      </c>
      <c r="E125" s="5" t="s">
        <v>103</v>
      </c>
      <c r="F125" s="5" t="s">
        <v>499</v>
      </c>
      <c r="G125" s="17">
        <v>0.38</v>
      </c>
      <c r="H125" s="5" t="s">
        <v>502</v>
      </c>
      <c r="I125" s="18" t="s">
        <v>502</v>
      </c>
      <c r="J125" s="19" t="s">
        <v>1001</v>
      </c>
      <c r="K125" s="5" t="s">
        <v>104</v>
      </c>
      <c r="L125" s="5" t="s">
        <v>105</v>
      </c>
      <c r="M125" s="5" t="str">
        <f>CONCATENATE(L125," ",K125)</f>
        <v>Heather Geske</v>
      </c>
      <c r="N125" s="5" t="s">
        <v>57</v>
      </c>
      <c r="O125" s="6">
        <v>46003</v>
      </c>
      <c r="P125" s="6">
        <v>46154</v>
      </c>
      <c r="Q125" s="22">
        <f>DATEDIF(O125,P125,"M")</f>
        <v>5</v>
      </c>
      <c r="R125" s="6" t="s">
        <v>536</v>
      </c>
      <c r="S125" s="6" t="s">
        <v>1036</v>
      </c>
      <c r="T125" s="7">
        <v>32.79</v>
      </c>
      <c r="U125" s="5">
        <v>1</v>
      </c>
      <c r="V125" s="5" t="s">
        <v>58</v>
      </c>
      <c r="W125" s="5" t="s">
        <v>60</v>
      </c>
      <c r="X125" s="5" t="s">
        <v>61</v>
      </c>
      <c r="Y125" s="7">
        <v>12.46</v>
      </c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</row>
    <row r="126" spans="1:55" x14ac:dyDescent="0.3">
      <c r="A126" s="5">
        <v>2032627613</v>
      </c>
      <c r="B126" s="5" t="s">
        <v>317</v>
      </c>
      <c r="C126" s="5" t="s">
        <v>318</v>
      </c>
      <c r="D126" s="5" t="str">
        <f t="shared" si="1"/>
        <v>CHAD MCGOVERN</v>
      </c>
      <c r="E126" s="5" t="s">
        <v>103</v>
      </c>
      <c r="F126" s="5" t="s">
        <v>53</v>
      </c>
      <c r="G126" s="17">
        <v>0.7</v>
      </c>
      <c r="H126" s="5" t="s">
        <v>54</v>
      </c>
      <c r="I126" s="18" t="s">
        <v>54</v>
      </c>
      <c r="J126" s="19" t="s">
        <v>1001</v>
      </c>
      <c r="K126" s="5" t="s">
        <v>104</v>
      </c>
      <c r="L126" s="5" t="s">
        <v>105</v>
      </c>
      <c r="M126" s="5" t="str">
        <f>CONCATENATE(L126," ",K126)</f>
        <v>Heather Geske</v>
      </c>
      <c r="N126" s="5" t="s">
        <v>57</v>
      </c>
      <c r="O126" s="6">
        <v>46003</v>
      </c>
      <c r="P126" s="6">
        <v>46154</v>
      </c>
      <c r="Q126" s="22">
        <f>DATEDIF(O126,P126,"M")</f>
        <v>5</v>
      </c>
      <c r="R126" s="6" t="s">
        <v>536</v>
      </c>
      <c r="S126" s="6" t="s">
        <v>1036</v>
      </c>
      <c r="T126" s="7">
        <v>9.1</v>
      </c>
      <c r="U126" s="5">
        <v>1</v>
      </c>
      <c r="V126" s="5" t="s">
        <v>58</v>
      </c>
      <c r="W126" s="5" t="s">
        <v>60</v>
      </c>
      <c r="X126" s="5" t="s">
        <v>61</v>
      </c>
      <c r="Y126" s="7">
        <v>6.37</v>
      </c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</row>
    <row r="127" spans="1:55" x14ac:dyDescent="0.3">
      <c r="A127" s="5">
        <v>2032693409</v>
      </c>
      <c r="B127" s="5" t="s">
        <v>352</v>
      </c>
      <c r="C127" s="5" t="s">
        <v>353</v>
      </c>
      <c r="D127" s="5" t="str">
        <f t="shared" si="1"/>
        <v>ANGELA TILLEY</v>
      </c>
      <c r="E127" s="5" t="s">
        <v>103</v>
      </c>
      <c r="F127" s="5" t="s">
        <v>53</v>
      </c>
      <c r="G127" s="17">
        <v>0.7</v>
      </c>
      <c r="H127" s="5" t="s">
        <v>54</v>
      </c>
      <c r="I127" s="18" t="s">
        <v>54</v>
      </c>
      <c r="J127" s="19" t="s">
        <v>1001</v>
      </c>
      <c r="K127" s="5" t="s">
        <v>104</v>
      </c>
      <c r="L127" s="5" t="s">
        <v>105</v>
      </c>
      <c r="M127" s="5" t="str">
        <f>CONCATENATE(L127," ",K127)</f>
        <v>Heather Geske</v>
      </c>
      <c r="N127" s="5" t="s">
        <v>57</v>
      </c>
      <c r="O127" s="6">
        <v>46007</v>
      </c>
      <c r="P127" s="6">
        <v>46158</v>
      </c>
      <c r="Q127" s="22">
        <f>DATEDIF(O127,P127,"M")</f>
        <v>5</v>
      </c>
      <c r="R127" s="6" t="s">
        <v>536</v>
      </c>
      <c r="S127" s="6" t="s">
        <v>1036</v>
      </c>
      <c r="T127" s="7">
        <v>9.1</v>
      </c>
      <c r="U127" s="5">
        <v>1</v>
      </c>
      <c r="V127" s="5" t="s">
        <v>58</v>
      </c>
      <c r="W127" s="5" t="s">
        <v>60</v>
      </c>
      <c r="X127" s="5" t="s">
        <v>61</v>
      </c>
      <c r="Y127" s="7">
        <v>6.37</v>
      </c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</row>
    <row r="128" spans="1:55" x14ac:dyDescent="0.3">
      <c r="A128" s="5">
        <v>2032774965</v>
      </c>
      <c r="B128" s="5" t="s">
        <v>355</v>
      </c>
      <c r="C128" s="5" t="s">
        <v>356</v>
      </c>
      <c r="D128" s="5" t="str">
        <f t="shared" si="1"/>
        <v>NIKKI SANDOVAL</v>
      </c>
      <c r="E128" s="5" t="s">
        <v>103</v>
      </c>
      <c r="F128" s="5" t="s">
        <v>53</v>
      </c>
      <c r="G128" s="17">
        <v>0.7</v>
      </c>
      <c r="H128" s="5" t="s">
        <v>54</v>
      </c>
      <c r="I128" s="18" t="s">
        <v>54</v>
      </c>
      <c r="J128" s="19" t="s">
        <v>1001</v>
      </c>
      <c r="K128" s="5" t="s">
        <v>104</v>
      </c>
      <c r="L128" s="5" t="s">
        <v>105</v>
      </c>
      <c r="M128" s="5" t="str">
        <f>CONCATENATE(L128," ",K128)</f>
        <v>Heather Geske</v>
      </c>
      <c r="N128" s="5" t="s">
        <v>57</v>
      </c>
      <c r="O128" s="6">
        <v>46006</v>
      </c>
      <c r="P128" s="6">
        <v>46157</v>
      </c>
      <c r="Q128" s="22">
        <f>DATEDIF(O128,P128,"M")</f>
        <v>5</v>
      </c>
      <c r="R128" s="6" t="s">
        <v>536</v>
      </c>
      <c r="S128" s="6" t="s">
        <v>1036</v>
      </c>
      <c r="T128" s="7">
        <v>9.1</v>
      </c>
      <c r="U128" s="5">
        <v>1</v>
      </c>
      <c r="V128" s="5" t="s">
        <v>58</v>
      </c>
      <c r="W128" s="5" t="s">
        <v>60</v>
      </c>
      <c r="X128" s="5" t="s">
        <v>61</v>
      </c>
      <c r="Y128" s="7">
        <v>6.37</v>
      </c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</row>
    <row r="129" spans="1:55" x14ac:dyDescent="0.3">
      <c r="A129" s="5">
        <v>2032634716</v>
      </c>
      <c r="B129" s="5" t="s">
        <v>321</v>
      </c>
      <c r="C129" s="5" t="s">
        <v>322</v>
      </c>
      <c r="D129" s="5" t="str">
        <f t="shared" si="1"/>
        <v>LENA PLAYER</v>
      </c>
      <c r="E129" s="5" t="s">
        <v>103</v>
      </c>
      <c r="F129" s="5" t="s">
        <v>53</v>
      </c>
      <c r="G129" s="17">
        <v>0.7</v>
      </c>
      <c r="H129" s="5" t="s">
        <v>54</v>
      </c>
      <c r="I129" s="18" t="s">
        <v>54</v>
      </c>
      <c r="J129" s="19" t="s">
        <v>1001</v>
      </c>
      <c r="K129" s="5" t="s">
        <v>104</v>
      </c>
      <c r="L129" s="5" t="s">
        <v>105</v>
      </c>
      <c r="M129" s="5" t="str">
        <f>CONCATENATE(L129," ",K129)</f>
        <v>Heather Geske</v>
      </c>
      <c r="N129" s="5" t="s">
        <v>57</v>
      </c>
      <c r="O129" s="6">
        <v>46006</v>
      </c>
      <c r="P129" s="6">
        <v>46157</v>
      </c>
      <c r="Q129" s="22">
        <f>DATEDIF(O129,P129,"M")</f>
        <v>5</v>
      </c>
      <c r="R129" s="6" t="s">
        <v>536</v>
      </c>
      <c r="S129" s="6" t="s">
        <v>1036</v>
      </c>
      <c r="T129" s="7">
        <v>18.2</v>
      </c>
      <c r="U129" s="5">
        <v>1</v>
      </c>
      <c r="V129" s="5" t="s">
        <v>58</v>
      </c>
      <c r="W129" s="5" t="s">
        <v>60</v>
      </c>
      <c r="X129" s="5" t="s">
        <v>61</v>
      </c>
      <c r="Y129" s="7">
        <v>12.74</v>
      </c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</row>
    <row r="130" spans="1:55" x14ac:dyDescent="0.3">
      <c r="A130" s="5">
        <v>2032693408</v>
      </c>
      <c r="B130" s="5" t="s">
        <v>352</v>
      </c>
      <c r="C130" s="5" t="s">
        <v>353</v>
      </c>
      <c r="D130" s="5" t="str">
        <f t="shared" si="1"/>
        <v>ANGELA TILLEY</v>
      </c>
      <c r="E130" s="5" t="s">
        <v>103</v>
      </c>
      <c r="F130" s="5" t="s">
        <v>483</v>
      </c>
      <c r="G130" s="20">
        <v>0.375</v>
      </c>
      <c r="H130" s="5" t="s">
        <v>484</v>
      </c>
      <c r="I130" s="18" t="s">
        <v>484</v>
      </c>
      <c r="J130" s="19" t="s">
        <v>1001</v>
      </c>
      <c r="K130" s="5" t="s">
        <v>104</v>
      </c>
      <c r="L130" s="5" t="s">
        <v>105</v>
      </c>
      <c r="M130" s="5" t="str">
        <f>CONCATENATE(L130," ",K130)</f>
        <v>Heather Geske</v>
      </c>
      <c r="N130" s="5" t="s">
        <v>57</v>
      </c>
      <c r="O130" s="6">
        <v>46007</v>
      </c>
      <c r="P130" s="6">
        <v>46158</v>
      </c>
      <c r="Q130" s="22">
        <f>DATEDIF(O130,P130,"M")</f>
        <v>5</v>
      </c>
      <c r="R130" s="6" t="s">
        <v>536</v>
      </c>
      <c r="S130" s="6" t="s">
        <v>1036</v>
      </c>
      <c r="T130" s="7">
        <v>47.28</v>
      </c>
      <c r="U130" s="5">
        <v>1</v>
      </c>
      <c r="V130" s="5" t="s">
        <v>58</v>
      </c>
      <c r="W130" s="5" t="s">
        <v>60</v>
      </c>
      <c r="X130" s="5" t="s">
        <v>61</v>
      </c>
      <c r="Y130" s="7">
        <v>17.73</v>
      </c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</row>
    <row r="131" spans="1:55" x14ac:dyDescent="0.3">
      <c r="A131" s="5">
        <v>2032634715</v>
      </c>
      <c r="B131" s="5" t="s">
        <v>321</v>
      </c>
      <c r="C131" s="5" t="s">
        <v>322</v>
      </c>
      <c r="D131" s="5" t="str">
        <f t="shared" ref="D131:D194" si="2">CONCATENATE(C131," ",B131)</f>
        <v>LENA PLAYER</v>
      </c>
      <c r="E131" s="5" t="s">
        <v>103</v>
      </c>
      <c r="F131" s="5" t="s">
        <v>483</v>
      </c>
      <c r="G131" s="20">
        <v>0.375</v>
      </c>
      <c r="H131" s="5" t="s">
        <v>484</v>
      </c>
      <c r="I131" s="18" t="s">
        <v>484</v>
      </c>
      <c r="J131" s="19" t="s">
        <v>1001</v>
      </c>
      <c r="K131" s="5" t="s">
        <v>104</v>
      </c>
      <c r="L131" s="5" t="s">
        <v>105</v>
      </c>
      <c r="M131" s="5" t="str">
        <f>CONCATENATE(L131," ",K131)</f>
        <v>Heather Geske</v>
      </c>
      <c r="N131" s="5" t="s">
        <v>57</v>
      </c>
      <c r="O131" s="6">
        <v>46006</v>
      </c>
      <c r="P131" s="6">
        <v>46157</v>
      </c>
      <c r="Q131" s="22">
        <f>DATEDIF(O131,P131,"M")</f>
        <v>5</v>
      </c>
      <c r="R131" s="6" t="s">
        <v>536</v>
      </c>
      <c r="S131" s="6" t="s">
        <v>1036</v>
      </c>
      <c r="T131" s="7">
        <v>138.78</v>
      </c>
      <c r="U131" s="5">
        <v>1</v>
      </c>
      <c r="V131" s="5" t="s">
        <v>58</v>
      </c>
      <c r="W131" s="5" t="s">
        <v>60</v>
      </c>
      <c r="X131" s="5" t="s">
        <v>61</v>
      </c>
      <c r="Y131" s="7">
        <v>52.04</v>
      </c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</row>
    <row r="132" spans="1:55" x14ac:dyDescent="0.3">
      <c r="A132" s="5">
        <v>2032693407</v>
      </c>
      <c r="B132" s="5" t="s">
        <v>352</v>
      </c>
      <c r="C132" s="5" t="s">
        <v>353</v>
      </c>
      <c r="D132" s="5" t="str">
        <f t="shared" si="2"/>
        <v>ANGELA TILLEY</v>
      </c>
      <c r="E132" s="5" t="s">
        <v>103</v>
      </c>
      <c r="F132" s="5" t="s">
        <v>53</v>
      </c>
      <c r="G132" s="17">
        <v>0.9</v>
      </c>
      <c r="H132" s="5" t="s">
        <v>65</v>
      </c>
      <c r="I132" s="18" t="s">
        <v>65</v>
      </c>
      <c r="J132" s="19" t="s">
        <v>1001</v>
      </c>
      <c r="K132" s="5" t="s">
        <v>104</v>
      </c>
      <c r="L132" s="5" t="s">
        <v>105</v>
      </c>
      <c r="M132" s="5" t="str">
        <f>CONCATENATE(L132," ",K132)</f>
        <v>Heather Geske</v>
      </c>
      <c r="N132" s="5" t="s">
        <v>57</v>
      </c>
      <c r="O132" s="6">
        <v>46007</v>
      </c>
      <c r="P132" s="6">
        <v>46158</v>
      </c>
      <c r="Q132" s="22">
        <f>DATEDIF(O132,P132,"M")</f>
        <v>5</v>
      </c>
      <c r="R132" s="6" t="s">
        <v>536</v>
      </c>
      <c r="S132" s="6" t="s">
        <v>1036</v>
      </c>
      <c r="T132" s="7">
        <v>41.75</v>
      </c>
      <c r="U132" s="5">
        <v>1</v>
      </c>
      <c r="V132" s="5" t="s">
        <v>58</v>
      </c>
      <c r="W132" s="5" t="s">
        <v>60</v>
      </c>
      <c r="X132" s="5" t="s">
        <v>61</v>
      </c>
      <c r="Y132" s="7">
        <v>37.58</v>
      </c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</row>
    <row r="133" spans="1:55" x14ac:dyDescent="0.3">
      <c r="A133" s="5">
        <v>2032689734</v>
      </c>
      <c r="B133" s="5" t="s">
        <v>349</v>
      </c>
      <c r="C133" s="5" t="s">
        <v>147</v>
      </c>
      <c r="D133" s="5" t="str">
        <f t="shared" si="2"/>
        <v>MATTHEW MONAGHAN</v>
      </c>
      <c r="E133" s="5" t="s">
        <v>52</v>
      </c>
      <c r="F133" s="5" t="s">
        <v>53</v>
      </c>
      <c r="G133" s="17">
        <v>0.7</v>
      </c>
      <c r="H133" s="5" t="s">
        <v>54</v>
      </c>
      <c r="I133" s="18" t="s">
        <v>54</v>
      </c>
      <c r="J133" s="19" t="s">
        <v>1006</v>
      </c>
      <c r="K133" s="5" t="s">
        <v>156</v>
      </c>
      <c r="L133" s="5" t="s">
        <v>157</v>
      </c>
      <c r="M133" s="5" t="str">
        <f>CONCATENATE(L133," ",K133)</f>
        <v>Ines Berg</v>
      </c>
      <c r="N133" s="5" t="s">
        <v>57</v>
      </c>
      <c r="O133" s="6">
        <v>46007</v>
      </c>
      <c r="P133" s="6">
        <v>46158</v>
      </c>
      <c r="Q133" s="22">
        <f>DATEDIF(O133,P133,"M")</f>
        <v>5</v>
      </c>
      <c r="R133" s="6" t="s">
        <v>536</v>
      </c>
      <c r="S133" s="6" t="s">
        <v>1036</v>
      </c>
      <c r="T133" s="7">
        <v>22.83</v>
      </c>
      <c r="U133" s="5">
        <v>1</v>
      </c>
      <c r="V133" s="5" t="s">
        <v>58</v>
      </c>
      <c r="W133" s="5" t="s">
        <v>60</v>
      </c>
      <c r="X133" s="5" t="s">
        <v>61</v>
      </c>
      <c r="Y133" s="7">
        <v>15.98</v>
      </c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</row>
    <row r="134" spans="1:55" x14ac:dyDescent="0.3">
      <c r="A134" s="5">
        <v>2032667004</v>
      </c>
      <c r="B134" s="5" t="s">
        <v>338</v>
      </c>
      <c r="C134" s="5" t="s">
        <v>339</v>
      </c>
      <c r="D134" s="5" t="str">
        <f t="shared" si="2"/>
        <v>KOREY CASTILLO</v>
      </c>
      <c r="E134" s="5" t="s">
        <v>270</v>
      </c>
      <c r="F134" s="5" t="s">
        <v>444</v>
      </c>
      <c r="G134" s="17">
        <v>0.75</v>
      </c>
      <c r="H134" s="5" t="s">
        <v>451</v>
      </c>
      <c r="I134" s="18" t="s">
        <v>980</v>
      </c>
      <c r="J134" s="19" t="s">
        <v>1020</v>
      </c>
      <c r="K134" s="5" t="s">
        <v>71</v>
      </c>
      <c r="L134" s="5" t="s">
        <v>72</v>
      </c>
      <c r="M134" s="5" t="str">
        <f>CONCATENATE(L134," ",K134)</f>
        <v>Jake Shulman</v>
      </c>
      <c r="N134" s="5" t="s">
        <v>57</v>
      </c>
      <c r="O134" s="6">
        <v>46004</v>
      </c>
      <c r="P134" s="6">
        <v>46155</v>
      </c>
      <c r="Q134" s="22">
        <f>DATEDIF(O134,P134,"M")</f>
        <v>5</v>
      </c>
      <c r="R134" s="6" t="s">
        <v>536</v>
      </c>
      <c r="S134" s="6" t="s">
        <v>1036</v>
      </c>
      <c r="T134" s="7">
        <v>66.52</v>
      </c>
      <c r="U134" s="5">
        <v>1</v>
      </c>
      <c r="V134" s="5" t="s">
        <v>58</v>
      </c>
      <c r="W134" s="5" t="s">
        <v>60</v>
      </c>
      <c r="X134" s="5" t="s">
        <v>61</v>
      </c>
      <c r="Y134" s="7">
        <v>49.89</v>
      </c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</row>
    <row r="135" spans="1:55" x14ac:dyDescent="0.3">
      <c r="A135" s="5">
        <v>2032667003</v>
      </c>
      <c r="B135" s="5" t="s">
        <v>338</v>
      </c>
      <c r="C135" s="5" t="s">
        <v>339</v>
      </c>
      <c r="D135" s="5" t="str">
        <f t="shared" si="2"/>
        <v>KOREY CASTILLO</v>
      </c>
      <c r="E135" s="5" t="s">
        <v>270</v>
      </c>
      <c r="F135" s="5" t="s">
        <v>53</v>
      </c>
      <c r="G135" s="17">
        <v>0.7</v>
      </c>
      <c r="H135" s="5" t="s">
        <v>54</v>
      </c>
      <c r="I135" s="18" t="s">
        <v>54</v>
      </c>
      <c r="J135" s="19" t="s">
        <v>1020</v>
      </c>
      <c r="K135" s="5" t="s">
        <v>71</v>
      </c>
      <c r="L135" s="5" t="s">
        <v>72</v>
      </c>
      <c r="M135" s="5" t="str">
        <f>CONCATENATE(L135," ",K135)</f>
        <v>Jake Shulman</v>
      </c>
      <c r="N135" s="5" t="s">
        <v>57</v>
      </c>
      <c r="O135" s="6">
        <v>46004</v>
      </c>
      <c r="P135" s="6">
        <v>46155</v>
      </c>
      <c r="Q135" s="22">
        <f>DATEDIF(O135,P135,"M")</f>
        <v>5</v>
      </c>
      <c r="R135" s="6" t="s">
        <v>536</v>
      </c>
      <c r="S135" s="6" t="s">
        <v>1036</v>
      </c>
      <c r="T135" s="7">
        <v>143.38</v>
      </c>
      <c r="U135" s="5">
        <v>1</v>
      </c>
      <c r="V135" s="5" t="s">
        <v>58</v>
      </c>
      <c r="W135" s="5" t="s">
        <v>60</v>
      </c>
      <c r="X135" s="5" t="s">
        <v>61</v>
      </c>
      <c r="Y135" s="7">
        <v>100.37</v>
      </c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</row>
    <row r="136" spans="1:55" s="5" customFormat="1" x14ac:dyDescent="0.3">
      <c r="A136" s="5">
        <v>2032688675</v>
      </c>
      <c r="B136" s="5" t="s">
        <v>347</v>
      </c>
      <c r="C136" s="5" t="s">
        <v>348</v>
      </c>
      <c r="D136" s="5" t="str">
        <f t="shared" si="2"/>
        <v>BATTUYA BAVUUDORJ</v>
      </c>
      <c r="E136" s="5" t="s">
        <v>80</v>
      </c>
      <c r="F136" s="5" t="s">
        <v>53</v>
      </c>
      <c r="G136" s="17">
        <v>0.7</v>
      </c>
      <c r="H136" s="5" t="s">
        <v>54</v>
      </c>
      <c r="I136" s="18" t="s">
        <v>54</v>
      </c>
      <c r="J136" s="19" t="s">
        <v>999</v>
      </c>
      <c r="K136" s="5" t="s">
        <v>89</v>
      </c>
      <c r="L136" s="5" t="s">
        <v>90</v>
      </c>
      <c r="M136" s="5" t="str">
        <f>CONCATENATE(L136," ",K136)</f>
        <v>NASANDELGER ZANA</v>
      </c>
      <c r="N136" s="5" t="s">
        <v>57</v>
      </c>
      <c r="O136" s="6">
        <v>46007</v>
      </c>
      <c r="P136" s="6">
        <v>46158</v>
      </c>
      <c r="Q136" s="22">
        <f>DATEDIF(O136,P136,"M")</f>
        <v>5</v>
      </c>
      <c r="R136" s="6" t="s">
        <v>536</v>
      </c>
      <c r="S136" s="6" t="s">
        <v>1036</v>
      </c>
      <c r="T136" s="7">
        <v>24.65</v>
      </c>
      <c r="U136" s="5">
        <v>1</v>
      </c>
      <c r="V136" s="5" t="s">
        <v>58</v>
      </c>
      <c r="W136" s="5" t="s">
        <v>60</v>
      </c>
      <c r="X136" s="5" t="s">
        <v>61</v>
      </c>
      <c r="Y136" s="7">
        <v>17.260000000000002</v>
      </c>
    </row>
    <row r="137" spans="1:55" s="5" customFormat="1" x14ac:dyDescent="0.3">
      <c r="A137" s="5">
        <v>2032677762</v>
      </c>
      <c r="B137" s="5" t="s">
        <v>344</v>
      </c>
      <c r="C137" s="5" t="s">
        <v>345</v>
      </c>
      <c r="D137" s="5" t="str">
        <f t="shared" si="2"/>
        <v>BOLD BADARCH</v>
      </c>
      <c r="E137" s="5" t="s">
        <v>80</v>
      </c>
      <c r="F137" s="5" t="s">
        <v>53</v>
      </c>
      <c r="G137" s="17">
        <v>0.7</v>
      </c>
      <c r="H137" s="5" t="s">
        <v>54</v>
      </c>
      <c r="I137" s="18" t="s">
        <v>54</v>
      </c>
      <c r="J137" s="19" t="s">
        <v>999</v>
      </c>
      <c r="K137" s="5" t="s">
        <v>89</v>
      </c>
      <c r="L137" s="5" t="s">
        <v>90</v>
      </c>
      <c r="M137" s="5" t="str">
        <f>CONCATENATE(L137," ",K137)</f>
        <v>NASANDELGER ZANA</v>
      </c>
      <c r="N137" s="5" t="s">
        <v>57</v>
      </c>
      <c r="O137" s="6">
        <v>46005</v>
      </c>
      <c r="P137" s="6">
        <v>46156</v>
      </c>
      <c r="Q137" s="22">
        <f>DATEDIF(O137,P137,"M")</f>
        <v>5</v>
      </c>
      <c r="R137" s="6" t="s">
        <v>536</v>
      </c>
      <c r="S137" s="6" t="s">
        <v>1036</v>
      </c>
      <c r="T137" s="7">
        <v>51</v>
      </c>
      <c r="U137" s="5">
        <v>1</v>
      </c>
      <c r="V137" s="5" t="s">
        <v>58</v>
      </c>
      <c r="W137" s="5" t="s">
        <v>60</v>
      </c>
      <c r="X137" s="5" t="s">
        <v>61</v>
      </c>
      <c r="Y137" s="7">
        <v>35.700000000000003</v>
      </c>
    </row>
    <row r="138" spans="1:55" s="5" customFormat="1" x14ac:dyDescent="0.3">
      <c r="A138" s="5">
        <v>2032604914</v>
      </c>
      <c r="B138" s="5" t="s">
        <v>296</v>
      </c>
      <c r="C138" s="5" t="s">
        <v>297</v>
      </c>
      <c r="D138" s="5" t="str">
        <f t="shared" si="2"/>
        <v>GJON GJIDODA</v>
      </c>
      <c r="E138" s="5" t="s">
        <v>298</v>
      </c>
      <c r="F138" s="5" t="s">
        <v>475</v>
      </c>
      <c r="G138" s="17">
        <v>0.38</v>
      </c>
      <c r="H138" s="5" t="s">
        <v>652</v>
      </c>
      <c r="I138" s="18" t="s">
        <v>652</v>
      </c>
      <c r="J138" s="19" t="s">
        <v>1019</v>
      </c>
      <c r="K138" s="5" t="s">
        <v>299</v>
      </c>
      <c r="L138" s="5" t="s">
        <v>300</v>
      </c>
      <c r="M138" s="5" t="str">
        <f>CONCATENATE(L138," ",K138)</f>
        <v>Raluca Cheregi</v>
      </c>
      <c r="N138" s="5" t="s">
        <v>57</v>
      </c>
      <c r="O138" s="6">
        <v>46002</v>
      </c>
      <c r="P138" s="6">
        <v>46153</v>
      </c>
      <c r="Q138" s="22">
        <f>DATEDIF(O138,P138,"M")</f>
        <v>5</v>
      </c>
      <c r="R138" s="6" t="s">
        <v>536</v>
      </c>
      <c r="S138" s="6" t="s">
        <v>1036</v>
      </c>
      <c r="T138" s="7">
        <v>15</v>
      </c>
      <c r="U138" s="5">
        <v>1</v>
      </c>
      <c r="V138" s="5" t="s">
        <v>58</v>
      </c>
      <c r="W138" s="5" t="s">
        <v>60</v>
      </c>
      <c r="X138" s="5" t="s">
        <v>61</v>
      </c>
      <c r="Y138" s="7">
        <v>5.7</v>
      </c>
    </row>
    <row r="139" spans="1:55" s="5" customFormat="1" x14ac:dyDescent="0.3">
      <c r="A139" s="5">
        <v>2032695214</v>
      </c>
      <c r="B139" s="5" t="s">
        <v>769</v>
      </c>
      <c r="C139" s="5" t="s">
        <v>770</v>
      </c>
      <c r="D139" s="5" t="str">
        <f t="shared" si="2"/>
        <v>HUNTER BEVERIDGE</v>
      </c>
      <c r="E139" s="5" t="s">
        <v>298</v>
      </c>
      <c r="F139" s="5" t="s">
        <v>475</v>
      </c>
      <c r="G139" s="17">
        <v>0.38</v>
      </c>
      <c r="H139" s="5" t="s">
        <v>652</v>
      </c>
      <c r="I139" s="18" t="s">
        <v>652</v>
      </c>
      <c r="J139" s="19" t="s">
        <v>1019</v>
      </c>
      <c r="K139" s="5" t="s">
        <v>299</v>
      </c>
      <c r="L139" s="5" t="s">
        <v>300</v>
      </c>
      <c r="M139" s="5" t="str">
        <f>CONCATENATE(L139," ",K139)</f>
        <v>Raluca Cheregi</v>
      </c>
      <c r="N139" s="5" t="s">
        <v>57</v>
      </c>
      <c r="O139" s="6">
        <v>46007</v>
      </c>
      <c r="P139" s="6">
        <v>46158</v>
      </c>
      <c r="Q139" s="22">
        <f>DATEDIF(O139,P139,"M")</f>
        <v>5</v>
      </c>
      <c r="R139" s="6" t="s">
        <v>536</v>
      </c>
      <c r="S139" s="6" t="s">
        <v>1036</v>
      </c>
      <c r="T139" s="7">
        <v>15</v>
      </c>
      <c r="U139" s="5">
        <v>1</v>
      </c>
      <c r="V139" s="5" t="s">
        <v>58</v>
      </c>
      <c r="W139" s="5" t="s">
        <v>60</v>
      </c>
      <c r="X139" s="5" t="s">
        <v>61</v>
      </c>
      <c r="Y139" s="7">
        <v>5.7</v>
      </c>
    </row>
    <row r="140" spans="1:55" s="5" customFormat="1" x14ac:dyDescent="0.3">
      <c r="A140" s="5">
        <v>2032695213</v>
      </c>
      <c r="B140" s="5" t="s">
        <v>769</v>
      </c>
      <c r="C140" s="5" t="s">
        <v>770</v>
      </c>
      <c r="D140" s="5" t="str">
        <f t="shared" si="2"/>
        <v>HUNTER BEVERIDGE</v>
      </c>
      <c r="E140" s="5" t="s">
        <v>298</v>
      </c>
      <c r="F140" s="5" t="s">
        <v>499</v>
      </c>
      <c r="G140" s="17">
        <v>0.38</v>
      </c>
      <c r="H140" s="5" t="s">
        <v>502</v>
      </c>
      <c r="I140" s="18" t="s">
        <v>502</v>
      </c>
      <c r="J140" s="19" t="s">
        <v>1019</v>
      </c>
      <c r="K140" s="5" t="s">
        <v>299</v>
      </c>
      <c r="L140" s="5" t="s">
        <v>300</v>
      </c>
      <c r="M140" s="5" t="str">
        <f>CONCATENATE(L140," ",K140)</f>
        <v>Raluca Cheregi</v>
      </c>
      <c r="N140" s="5" t="s">
        <v>57</v>
      </c>
      <c r="O140" s="6">
        <v>46007</v>
      </c>
      <c r="P140" s="6">
        <v>46158</v>
      </c>
      <c r="Q140" s="22">
        <f>DATEDIF(O140,P140,"M")</f>
        <v>5</v>
      </c>
      <c r="R140" s="6" t="s">
        <v>536</v>
      </c>
      <c r="S140" s="6" t="s">
        <v>1036</v>
      </c>
      <c r="T140" s="7">
        <v>20.68</v>
      </c>
      <c r="U140" s="5">
        <v>1</v>
      </c>
      <c r="V140" s="5" t="s">
        <v>58</v>
      </c>
      <c r="W140" s="5" t="s">
        <v>60</v>
      </c>
      <c r="X140" s="5" t="s">
        <v>61</v>
      </c>
      <c r="Y140" s="7">
        <v>7.86</v>
      </c>
    </row>
    <row r="141" spans="1:55" s="5" customFormat="1" x14ac:dyDescent="0.3">
      <c r="A141" s="5">
        <v>2032604913</v>
      </c>
      <c r="B141" s="5" t="s">
        <v>296</v>
      </c>
      <c r="C141" s="5" t="s">
        <v>297</v>
      </c>
      <c r="D141" s="5" t="str">
        <f t="shared" si="2"/>
        <v>GJON GJIDODA</v>
      </c>
      <c r="E141" s="5" t="s">
        <v>298</v>
      </c>
      <c r="F141" s="5" t="s">
        <v>499</v>
      </c>
      <c r="G141" s="17">
        <v>0.38</v>
      </c>
      <c r="H141" s="5" t="s">
        <v>502</v>
      </c>
      <c r="I141" s="18" t="s">
        <v>502</v>
      </c>
      <c r="J141" s="19" t="s">
        <v>1019</v>
      </c>
      <c r="K141" s="5" t="s">
        <v>299</v>
      </c>
      <c r="L141" s="5" t="s">
        <v>300</v>
      </c>
      <c r="M141" s="5" t="str">
        <f>CONCATENATE(L141," ",K141)</f>
        <v>Raluca Cheregi</v>
      </c>
      <c r="N141" s="5" t="s">
        <v>57</v>
      </c>
      <c r="O141" s="6">
        <v>46002</v>
      </c>
      <c r="P141" s="6">
        <v>46153</v>
      </c>
      <c r="Q141" s="22">
        <f>DATEDIF(O141,P141,"M")</f>
        <v>5</v>
      </c>
      <c r="R141" s="6" t="s">
        <v>536</v>
      </c>
      <c r="S141" s="6" t="s">
        <v>1036</v>
      </c>
      <c r="T141" s="7">
        <v>47.51</v>
      </c>
      <c r="U141" s="5">
        <v>1</v>
      </c>
      <c r="V141" s="5" t="s">
        <v>58</v>
      </c>
      <c r="W141" s="5" t="s">
        <v>60</v>
      </c>
      <c r="X141" s="5" t="s">
        <v>61</v>
      </c>
      <c r="Y141" s="7">
        <v>18.05</v>
      </c>
    </row>
    <row r="142" spans="1:55" s="5" customFormat="1" x14ac:dyDescent="0.3">
      <c r="A142" s="5">
        <v>2032665457</v>
      </c>
      <c r="B142" s="5" t="s">
        <v>336</v>
      </c>
      <c r="C142" s="5" t="s">
        <v>337</v>
      </c>
      <c r="D142" s="5" t="str">
        <f t="shared" si="2"/>
        <v>JEREMY BRYAN</v>
      </c>
      <c r="E142" s="5" t="s">
        <v>70</v>
      </c>
      <c r="F142" s="5" t="s">
        <v>53</v>
      </c>
      <c r="G142" s="17">
        <v>0.7</v>
      </c>
      <c r="H142" s="5" t="s">
        <v>54</v>
      </c>
      <c r="I142" s="18" t="s">
        <v>54</v>
      </c>
      <c r="J142" s="19" t="s">
        <v>1019</v>
      </c>
      <c r="K142" s="5" t="s">
        <v>299</v>
      </c>
      <c r="L142" s="5" t="s">
        <v>300</v>
      </c>
      <c r="M142" s="5" t="str">
        <f>CONCATENATE(L142," ",K142)</f>
        <v>Raluca Cheregi</v>
      </c>
      <c r="N142" s="5" t="s">
        <v>57</v>
      </c>
      <c r="O142" s="6">
        <v>46004</v>
      </c>
      <c r="P142" s="6">
        <v>46155</v>
      </c>
      <c r="Q142" s="22">
        <f>DATEDIF(O142,P142,"M")</f>
        <v>5</v>
      </c>
      <c r="R142" s="6" t="s">
        <v>536</v>
      </c>
      <c r="S142" s="6" t="s">
        <v>1036</v>
      </c>
      <c r="T142" s="7">
        <v>48.76</v>
      </c>
      <c r="U142" s="5">
        <v>1</v>
      </c>
      <c r="V142" s="5" t="s">
        <v>58</v>
      </c>
      <c r="W142" s="5" t="s">
        <v>60</v>
      </c>
      <c r="X142" s="5" t="s">
        <v>61</v>
      </c>
      <c r="Y142" s="7">
        <v>34.130000000000003</v>
      </c>
    </row>
    <row r="143" spans="1:55" s="5" customFormat="1" x14ac:dyDescent="0.3">
      <c r="A143" s="5">
        <v>2032647790</v>
      </c>
      <c r="B143" s="5" t="s">
        <v>329</v>
      </c>
      <c r="C143" s="5" t="s">
        <v>330</v>
      </c>
      <c r="D143" s="5" t="str">
        <f t="shared" si="2"/>
        <v>WADE BAUNE</v>
      </c>
      <c r="E143" s="5" t="s">
        <v>270</v>
      </c>
      <c r="F143" s="5" t="s">
        <v>53</v>
      </c>
      <c r="G143" s="17">
        <v>0.7</v>
      </c>
      <c r="H143" s="5" t="s">
        <v>54</v>
      </c>
      <c r="I143" s="18" t="s">
        <v>54</v>
      </c>
      <c r="J143" s="19" t="s">
        <v>1019</v>
      </c>
      <c r="K143" s="5" t="s">
        <v>299</v>
      </c>
      <c r="L143" s="5" t="s">
        <v>300</v>
      </c>
      <c r="M143" s="5" t="str">
        <f>CONCATENATE(L143," ",K143)</f>
        <v>Raluca Cheregi</v>
      </c>
      <c r="N143" s="5" t="s">
        <v>57</v>
      </c>
      <c r="O143" s="6">
        <v>46004</v>
      </c>
      <c r="P143" s="6">
        <v>46155</v>
      </c>
      <c r="Q143" s="22">
        <f>DATEDIF(O143,P143,"M")</f>
        <v>5</v>
      </c>
      <c r="R143" s="6" t="s">
        <v>536</v>
      </c>
      <c r="S143" s="6" t="s">
        <v>1036</v>
      </c>
      <c r="T143" s="7">
        <v>79.17</v>
      </c>
      <c r="U143" s="5">
        <v>1</v>
      </c>
      <c r="V143" s="5" t="s">
        <v>58</v>
      </c>
      <c r="W143" s="5" t="s">
        <v>60</v>
      </c>
      <c r="X143" s="5" t="s">
        <v>61</v>
      </c>
      <c r="Y143" s="7">
        <v>55.42</v>
      </c>
    </row>
    <row r="144" spans="1:55" s="5" customFormat="1" x14ac:dyDescent="0.3">
      <c r="A144" s="5">
        <v>2032604912</v>
      </c>
      <c r="B144" s="5" t="s">
        <v>296</v>
      </c>
      <c r="C144" s="5" t="s">
        <v>297</v>
      </c>
      <c r="D144" s="5" t="str">
        <f t="shared" si="2"/>
        <v>GJON GJIDODA</v>
      </c>
      <c r="E144" s="5" t="s">
        <v>298</v>
      </c>
      <c r="F144" s="5" t="s">
        <v>53</v>
      </c>
      <c r="G144" s="17">
        <v>0.9</v>
      </c>
      <c r="H144" s="5" t="s">
        <v>65</v>
      </c>
      <c r="I144" s="18" t="s">
        <v>65</v>
      </c>
      <c r="J144" s="19" t="s">
        <v>1019</v>
      </c>
      <c r="K144" s="5" t="s">
        <v>299</v>
      </c>
      <c r="L144" s="5" t="s">
        <v>300</v>
      </c>
      <c r="M144" s="5" t="str">
        <f>CONCATENATE(L144," ",K144)</f>
        <v>Raluca Cheregi</v>
      </c>
      <c r="N144" s="5" t="s">
        <v>57</v>
      </c>
      <c r="O144" s="6">
        <v>46002</v>
      </c>
      <c r="P144" s="6">
        <v>46153</v>
      </c>
      <c r="Q144" s="22">
        <f>DATEDIF(O144,P144,"M")</f>
        <v>5</v>
      </c>
      <c r="R144" s="6" t="s">
        <v>536</v>
      </c>
      <c r="S144" s="6" t="s">
        <v>1036</v>
      </c>
      <c r="T144" s="7">
        <v>38.69</v>
      </c>
      <c r="U144" s="5">
        <v>1</v>
      </c>
      <c r="V144" s="5" t="s">
        <v>58</v>
      </c>
      <c r="W144" s="5" t="s">
        <v>60</v>
      </c>
      <c r="X144" s="5" t="s">
        <v>61</v>
      </c>
      <c r="Y144" s="7">
        <v>34.82</v>
      </c>
    </row>
    <row r="145" spans="1:55" s="5" customFormat="1" x14ac:dyDescent="0.3">
      <c r="A145" s="5">
        <v>2032616562</v>
      </c>
      <c r="B145" s="5" t="s">
        <v>313</v>
      </c>
      <c r="C145" s="5" t="s">
        <v>314</v>
      </c>
      <c r="D145" s="5" t="str">
        <f t="shared" si="2"/>
        <v>SYDNEY BOHNE</v>
      </c>
      <c r="E145" s="5" t="s">
        <v>80</v>
      </c>
      <c r="F145" s="5" t="s">
        <v>444</v>
      </c>
      <c r="G145" s="17">
        <v>0.75</v>
      </c>
      <c r="H145" s="5" t="s">
        <v>451</v>
      </c>
      <c r="I145" s="18" t="s">
        <v>980</v>
      </c>
      <c r="J145" s="19" t="s">
        <v>984</v>
      </c>
      <c r="K145" s="5" t="s">
        <v>120</v>
      </c>
      <c r="L145" s="5" t="s">
        <v>121</v>
      </c>
      <c r="M145" s="5" t="str">
        <f>CONCATENATE(L145," ",K145)</f>
        <v>Richard Yale</v>
      </c>
      <c r="N145" s="5" t="s">
        <v>57</v>
      </c>
      <c r="O145" s="6">
        <v>46005</v>
      </c>
      <c r="P145" s="6">
        <v>46156</v>
      </c>
      <c r="Q145" s="22">
        <f>DATEDIF(O145,P145,"M")</f>
        <v>5</v>
      </c>
      <c r="R145" s="6" t="s">
        <v>536</v>
      </c>
      <c r="S145" s="6" t="s">
        <v>1036</v>
      </c>
      <c r="T145" s="7">
        <v>13.24</v>
      </c>
      <c r="U145" s="5">
        <v>1</v>
      </c>
      <c r="V145" s="5" t="s">
        <v>58</v>
      </c>
      <c r="W145" s="5" t="s">
        <v>60</v>
      </c>
      <c r="X145" s="5" t="s">
        <v>61</v>
      </c>
      <c r="Y145" s="7">
        <v>9.93</v>
      </c>
    </row>
    <row r="146" spans="1:55" s="5" customFormat="1" x14ac:dyDescent="0.3">
      <c r="A146" s="5">
        <v>2032675774</v>
      </c>
      <c r="B146" s="5" t="s">
        <v>342</v>
      </c>
      <c r="C146" s="5" t="s">
        <v>343</v>
      </c>
      <c r="D146" s="5" t="str">
        <f t="shared" si="2"/>
        <v>NEIL STAUP</v>
      </c>
      <c r="E146" s="5" t="s">
        <v>270</v>
      </c>
      <c r="F146" s="5" t="s">
        <v>444</v>
      </c>
      <c r="G146" s="17">
        <v>0.75</v>
      </c>
      <c r="H146" s="5" t="s">
        <v>451</v>
      </c>
      <c r="I146" s="18" t="s">
        <v>980</v>
      </c>
      <c r="J146" s="19" t="s">
        <v>984</v>
      </c>
      <c r="K146" s="5" t="s">
        <v>120</v>
      </c>
      <c r="L146" s="5" t="s">
        <v>121</v>
      </c>
      <c r="M146" s="5" t="str">
        <f>CONCATENATE(L146," ",K146)</f>
        <v>Richard Yale</v>
      </c>
      <c r="N146" s="5" t="s">
        <v>57</v>
      </c>
      <c r="O146" s="6">
        <v>46008</v>
      </c>
      <c r="P146" s="6">
        <v>46159</v>
      </c>
      <c r="Q146" s="22">
        <f>DATEDIF(O146,P146,"M")</f>
        <v>5</v>
      </c>
      <c r="R146" s="6" t="s">
        <v>536</v>
      </c>
      <c r="S146" s="6" t="s">
        <v>1036</v>
      </c>
      <c r="T146" s="7">
        <v>55</v>
      </c>
      <c r="U146" s="5">
        <v>1</v>
      </c>
      <c r="V146" s="5" t="s">
        <v>58</v>
      </c>
      <c r="W146" s="5" t="s">
        <v>60</v>
      </c>
      <c r="X146" s="5" t="s">
        <v>61</v>
      </c>
      <c r="Y146" s="7">
        <v>41.25</v>
      </c>
    </row>
    <row r="147" spans="1:55" s="5" customFormat="1" x14ac:dyDescent="0.3">
      <c r="A147" s="5">
        <v>2032715766</v>
      </c>
      <c r="B147" s="5" t="s">
        <v>354</v>
      </c>
      <c r="C147" s="5" t="s">
        <v>237</v>
      </c>
      <c r="D147" s="5" t="str">
        <f t="shared" si="2"/>
        <v>NICOLE MOURILLON</v>
      </c>
      <c r="E147" s="5" t="s">
        <v>80</v>
      </c>
      <c r="F147" s="5" t="s">
        <v>53</v>
      </c>
      <c r="G147" s="17">
        <v>0.7</v>
      </c>
      <c r="H147" s="5" t="s">
        <v>54</v>
      </c>
      <c r="I147" s="18" t="s">
        <v>54</v>
      </c>
      <c r="J147" s="19" t="s">
        <v>984</v>
      </c>
      <c r="K147" s="5" t="s">
        <v>120</v>
      </c>
      <c r="L147" s="5" t="s">
        <v>121</v>
      </c>
      <c r="M147" s="5" t="str">
        <f>CONCATENATE(L147," ",K147)</f>
        <v>Richard Yale</v>
      </c>
      <c r="N147" s="5" t="s">
        <v>57</v>
      </c>
      <c r="O147" s="6">
        <v>46008</v>
      </c>
      <c r="P147" s="6">
        <v>46159</v>
      </c>
      <c r="Q147" s="22">
        <f>DATEDIF(O147,P147,"M")</f>
        <v>5</v>
      </c>
      <c r="R147" s="6" t="s">
        <v>536</v>
      </c>
      <c r="S147" s="6" t="s">
        <v>1036</v>
      </c>
      <c r="T147" s="7">
        <v>11.5</v>
      </c>
      <c r="U147" s="5">
        <v>1</v>
      </c>
      <c r="V147" s="5" t="s">
        <v>58</v>
      </c>
      <c r="W147" s="5" t="s">
        <v>60</v>
      </c>
      <c r="X147" s="5" t="s">
        <v>61</v>
      </c>
      <c r="Y147" s="7">
        <v>8.0500000000000007</v>
      </c>
    </row>
    <row r="148" spans="1:55" s="5" customFormat="1" x14ac:dyDescent="0.3">
      <c r="A148" s="5">
        <v>2032616561</v>
      </c>
      <c r="B148" s="5" t="s">
        <v>313</v>
      </c>
      <c r="C148" s="5" t="s">
        <v>314</v>
      </c>
      <c r="D148" s="5" t="str">
        <f t="shared" si="2"/>
        <v>SYDNEY BOHNE</v>
      </c>
      <c r="E148" s="5" t="s">
        <v>80</v>
      </c>
      <c r="F148" s="5" t="s">
        <v>53</v>
      </c>
      <c r="G148" s="17">
        <v>0.7</v>
      </c>
      <c r="H148" s="5" t="s">
        <v>54</v>
      </c>
      <c r="I148" s="18" t="s">
        <v>54</v>
      </c>
      <c r="J148" s="19" t="s">
        <v>984</v>
      </c>
      <c r="K148" s="5" t="s">
        <v>120</v>
      </c>
      <c r="L148" s="5" t="s">
        <v>121</v>
      </c>
      <c r="M148" s="5" t="str">
        <f>CONCATENATE(L148," ",K148)</f>
        <v>Richard Yale</v>
      </c>
      <c r="N148" s="5" t="s">
        <v>57</v>
      </c>
      <c r="O148" s="6">
        <v>46005</v>
      </c>
      <c r="P148" s="6">
        <v>46156</v>
      </c>
      <c r="Q148" s="22">
        <f>DATEDIF(O148,P148,"M")</f>
        <v>5</v>
      </c>
      <c r="R148" s="6" t="s">
        <v>536</v>
      </c>
      <c r="S148" s="6" t="s">
        <v>1036</v>
      </c>
      <c r="T148" s="7">
        <v>56.07</v>
      </c>
      <c r="U148" s="5">
        <v>1</v>
      </c>
      <c r="V148" s="5" t="s">
        <v>58</v>
      </c>
      <c r="W148" s="5" t="s">
        <v>60</v>
      </c>
      <c r="X148" s="5" t="s">
        <v>61</v>
      </c>
      <c r="Y148" s="7">
        <v>39.25</v>
      </c>
    </row>
    <row r="149" spans="1:55" s="5" customFormat="1" x14ac:dyDescent="0.3">
      <c r="A149" s="5">
        <v>2032675773</v>
      </c>
      <c r="B149" s="5" t="s">
        <v>342</v>
      </c>
      <c r="C149" s="5" t="s">
        <v>343</v>
      </c>
      <c r="D149" s="5" t="str">
        <f t="shared" si="2"/>
        <v>NEIL STAUP</v>
      </c>
      <c r="E149" s="5" t="s">
        <v>270</v>
      </c>
      <c r="F149" s="5" t="s">
        <v>53</v>
      </c>
      <c r="G149" s="17">
        <v>0.7</v>
      </c>
      <c r="H149" s="5" t="s">
        <v>54</v>
      </c>
      <c r="I149" s="18" t="s">
        <v>54</v>
      </c>
      <c r="J149" s="19" t="s">
        <v>984</v>
      </c>
      <c r="K149" s="5" t="s">
        <v>120</v>
      </c>
      <c r="L149" s="5" t="s">
        <v>121</v>
      </c>
      <c r="M149" s="5" t="str">
        <f>CONCATENATE(L149," ",K149)</f>
        <v>Richard Yale</v>
      </c>
      <c r="N149" s="5" t="s">
        <v>57</v>
      </c>
      <c r="O149" s="6">
        <v>46008</v>
      </c>
      <c r="P149" s="6">
        <v>46159</v>
      </c>
      <c r="Q149" s="22">
        <f>DATEDIF(O149,P149,"M")</f>
        <v>5</v>
      </c>
      <c r="R149" s="6" t="s">
        <v>536</v>
      </c>
      <c r="S149" s="6" t="s">
        <v>1036</v>
      </c>
      <c r="T149" s="7">
        <v>85.36</v>
      </c>
      <c r="U149" s="5">
        <v>1</v>
      </c>
      <c r="V149" s="5" t="s">
        <v>58</v>
      </c>
      <c r="W149" s="5" t="s">
        <v>60</v>
      </c>
      <c r="X149" s="5" t="s">
        <v>61</v>
      </c>
      <c r="Y149" s="7">
        <v>59.75</v>
      </c>
    </row>
    <row r="150" spans="1:55" s="5" customFormat="1" x14ac:dyDescent="0.3">
      <c r="A150" s="5">
        <v>2032715765</v>
      </c>
      <c r="B150" s="5" t="s">
        <v>354</v>
      </c>
      <c r="C150" s="5" t="s">
        <v>237</v>
      </c>
      <c r="D150" s="5" t="str">
        <f t="shared" si="2"/>
        <v>NICOLE MOURILLON</v>
      </c>
      <c r="E150" s="5" t="s">
        <v>80</v>
      </c>
      <c r="F150" s="5" t="s">
        <v>483</v>
      </c>
      <c r="G150" s="20">
        <v>0.375</v>
      </c>
      <c r="H150" s="5" t="s">
        <v>484</v>
      </c>
      <c r="I150" s="18" t="s">
        <v>484</v>
      </c>
      <c r="J150" s="19" t="s">
        <v>984</v>
      </c>
      <c r="K150" s="5" t="s">
        <v>120</v>
      </c>
      <c r="L150" s="5" t="s">
        <v>121</v>
      </c>
      <c r="M150" s="5" t="str">
        <f>CONCATENATE(L150," ",K150)</f>
        <v>Richard Yale</v>
      </c>
      <c r="N150" s="5" t="s">
        <v>57</v>
      </c>
      <c r="O150" s="6">
        <v>46008</v>
      </c>
      <c r="P150" s="6">
        <v>46159</v>
      </c>
      <c r="Q150" s="22">
        <f>DATEDIF(O150,P150,"M")</f>
        <v>5</v>
      </c>
      <c r="R150" s="6" t="s">
        <v>536</v>
      </c>
      <c r="S150" s="6" t="s">
        <v>1036</v>
      </c>
      <c r="T150" s="7">
        <v>77.48</v>
      </c>
      <c r="U150" s="5">
        <v>1</v>
      </c>
      <c r="V150" s="5" t="s">
        <v>58</v>
      </c>
      <c r="W150" s="5" t="s">
        <v>60</v>
      </c>
      <c r="X150" s="5" t="s">
        <v>61</v>
      </c>
      <c r="Y150" s="7">
        <v>29.06</v>
      </c>
    </row>
    <row r="151" spans="1:55" x14ac:dyDescent="0.3">
      <c r="A151" s="5">
        <v>2032569048</v>
      </c>
      <c r="B151" s="5" t="s">
        <v>293</v>
      </c>
      <c r="C151" s="5" t="s">
        <v>294</v>
      </c>
      <c r="D151" s="5" t="str">
        <f t="shared" si="2"/>
        <v>BRIDGET GORMAN</v>
      </c>
      <c r="E151" s="5" t="s">
        <v>295</v>
      </c>
      <c r="F151" s="5" t="s">
        <v>53</v>
      </c>
      <c r="G151" s="17">
        <v>0.7</v>
      </c>
      <c r="H151" s="5" t="s">
        <v>54</v>
      </c>
      <c r="I151" s="18" t="s">
        <v>54</v>
      </c>
      <c r="J151" s="19" t="s">
        <v>1003</v>
      </c>
      <c r="K151" s="5" t="s">
        <v>134</v>
      </c>
      <c r="L151" s="5" t="s">
        <v>98</v>
      </c>
      <c r="M151" s="5" t="str">
        <f>CONCATENATE(L151," ",K151)</f>
        <v>THOMAS PARDUE</v>
      </c>
      <c r="N151" s="5" t="s">
        <v>57</v>
      </c>
      <c r="O151" s="6">
        <v>46004</v>
      </c>
      <c r="P151" s="6">
        <v>46155</v>
      </c>
      <c r="Q151" s="22">
        <f>DATEDIF(O151,P151,"M")</f>
        <v>5</v>
      </c>
      <c r="R151" s="6" t="s">
        <v>536</v>
      </c>
      <c r="S151" s="6" t="s">
        <v>1036</v>
      </c>
      <c r="T151" s="7">
        <v>167.54</v>
      </c>
      <c r="U151" s="5">
        <v>1</v>
      </c>
      <c r="V151" s="5" t="s">
        <v>58</v>
      </c>
      <c r="W151" s="5" t="s">
        <v>60</v>
      </c>
      <c r="X151" s="5" t="s">
        <v>61</v>
      </c>
      <c r="Y151" s="7">
        <v>117.28</v>
      </c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</row>
    <row r="152" spans="1:55" x14ac:dyDescent="0.3">
      <c r="A152" s="5">
        <v>2032605023</v>
      </c>
      <c r="B152" s="5" t="s">
        <v>203</v>
      </c>
      <c r="C152" s="5" t="s">
        <v>860</v>
      </c>
      <c r="D152" s="5" t="str">
        <f t="shared" si="2"/>
        <v>THEODORE STROUP</v>
      </c>
      <c r="E152" s="5" t="s">
        <v>70</v>
      </c>
      <c r="F152" s="5" t="s">
        <v>483</v>
      </c>
      <c r="G152" s="20">
        <v>0.375</v>
      </c>
      <c r="H152" s="5" t="s">
        <v>484</v>
      </c>
      <c r="I152" s="18" t="s">
        <v>484</v>
      </c>
      <c r="J152" s="19" t="s">
        <v>1003</v>
      </c>
      <c r="K152" s="5" t="s">
        <v>134</v>
      </c>
      <c r="L152" s="5" t="s">
        <v>98</v>
      </c>
      <c r="M152" s="5" t="str">
        <f>CONCATENATE(L152," ",K152)</f>
        <v>THOMAS PARDUE</v>
      </c>
      <c r="N152" s="5" t="s">
        <v>57</v>
      </c>
      <c r="O152" s="6">
        <v>46002</v>
      </c>
      <c r="P152" s="6">
        <v>46153</v>
      </c>
      <c r="Q152" s="22">
        <f>DATEDIF(O152,P152,"M")</f>
        <v>5</v>
      </c>
      <c r="R152" s="6" t="s">
        <v>536</v>
      </c>
      <c r="S152" s="6" t="s">
        <v>1036</v>
      </c>
      <c r="T152" s="7">
        <v>23.39</v>
      </c>
      <c r="U152" s="5">
        <v>1</v>
      </c>
      <c r="V152" s="5" t="s">
        <v>58</v>
      </c>
      <c r="W152" s="5" t="s">
        <v>60</v>
      </c>
      <c r="X152" s="5" t="s">
        <v>61</v>
      </c>
      <c r="Y152" s="7">
        <v>8.77</v>
      </c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</row>
    <row r="153" spans="1:55" x14ac:dyDescent="0.3">
      <c r="A153" s="5">
        <v>2032658994</v>
      </c>
      <c r="B153" s="5" t="s">
        <v>861</v>
      </c>
      <c r="C153" s="5" t="s">
        <v>862</v>
      </c>
      <c r="D153" s="5" t="str">
        <f t="shared" si="2"/>
        <v>ANDRES HERRERA</v>
      </c>
      <c r="E153" s="5" t="s">
        <v>295</v>
      </c>
      <c r="F153" s="5" t="s">
        <v>483</v>
      </c>
      <c r="G153" s="20">
        <v>0.375</v>
      </c>
      <c r="H153" s="5" t="s">
        <v>484</v>
      </c>
      <c r="I153" s="18" t="s">
        <v>484</v>
      </c>
      <c r="J153" s="19" t="s">
        <v>1003</v>
      </c>
      <c r="K153" s="5" t="s">
        <v>134</v>
      </c>
      <c r="L153" s="5" t="s">
        <v>98</v>
      </c>
      <c r="M153" s="5" t="str">
        <f>CONCATENATE(L153," ",K153)</f>
        <v>THOMAS PARDUE</v>
      </c>
      <c r="N153" s="5" t="s">
        <v>57</v>
      </c>
      <c r="O153" s="6">
        <v>46004</v>
      </c>
      <c r="P153" s="6">
        <v>46155</v>
      </c>
      <c r="Q153" s="22">
        <f>DATEDIF(O153,P153,"M")</f>
        <v>5</v>
      </c>
      <c r="R153" s="6" t="s">
        <v>536</v>
      </c>
      <c r="S153" s="6" t="s">
        <v>1036</v>
      </c>
      <c r="T153" s="7">
        <v>29.5</v>
      </c>
      <c r="U153" s="5">
        <v>1</v>
      </c>
      <c r="V153" s="5" t="s">
        <v>58</v>
      </c>
      <c r="W153" s="5" t="s">
        <v>60</v>
      </c>
      <c r="X153" s="5" t="s">
        <v>61</v>
      </c>
      <c r="Y153" s="7">
        <v>11.06</v>
      </c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</row>
    <row r="154" spans="1:55" x14ac:dyDescent="0.3">
      <c r="A154" s="5">
        <v>2032569049</v>
      </c>
      <c r="B154" s="5" t="s">
        <v>293</v>
      </c>
      <c r="C154" s="5" t="s">
        <v>294</v>
      </c>
      <c r="D154" s="5" t="str">
        <f t="shared" si="2"/>
        <v>BRIDGET GORMAN</v>
      </c>
      <c r="E154" s="5" t="s">
        <v>295</v>
      </c>
      <c r="F154" s="5" t="s">
        <v>53</v>
      </c>
      <c r="G154" s="17">
        <v>0.9</v>
      </c>
      <c r="H154" s="5" t="s">
        <v>65</v>
      </c>
      <c r="I154" s="18" t="s">
        <v>65</v>
      </c>
      <c r="J154" s="19" t="s">
        <v>1003</v>
      </c>
      <c r="K154" s="5" t="s">
        <v>134</v>
      </c>
      <c r="L154" s="5" t="s">
        <v>98</v>
      </c>
      <c r="M154" s="5" t="str">
        <f>CONCATENATE(L154," ",K154)</f>
        <v>THOMAS PARDUE</v>
      </c>
      <c r="N154" s="5" t="s">
        <v>57</v>
      </c>
      <c r="O154" s="6">
        <v>46004</v>
      </c>
      <c r="P154" s="6">
        <v>46155</v>
      </c>
      <c r="Q154" s="22">
        <f>DATEDIF(O154,P154,"M")</f>
        <v>5</v>
      </c>
      <c r="R154" s="6" t="s">
        <v>536</v>
      </c>
      <c r="S154" s="6" t="s">
        <v>1036</v>
      </c>
      <c r="T154" s="7">
        <v>57.35</v>
      </c>
      <c r="U154" s="5">
        <v>1</v>
      </c>
      <c r="V154" s="5" t="s">
        <v>58</v>
      </c>
      <c r="W154" s="5" t="s">
        <v>60</v>
      </c>
      <c r="X154" s="5" t="s">
        <v>61</v>
      </c>
      <c r="Y154" s="7">
        <v>51.62</v>
      </c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</row>
    <row r="155" spans="1:55" x14ac:dyDescent="0.3">
      <c r="A155" s="5">
        <v>2032084100</v>
      </c>
      <c r="B155" s="5" t="s">
        <v>232</v>
      </c>
      <c r="C155" s="5" t="s">
        <v>233</v>
      </c>
      <c r="D155" s="5" t="str">
        <f t="shared" si="2"/>
        <v>LAURA VURA</v>
      </c>
      <c r="E155" s="5" t="s">
        <v>52</v>
      </c>
      <c r="F155" s="5" t="s">
        <v>53</v>
      </c>
      <c r="G155" s="17">
        <v>0.7</v>
      </c>
      <c r="H155" s="5" t="s">
        <v>54</v>
      </c>
      <c r="I155" s="18" t="s">
        <v>54</v>
      </c>
      <c r="J155" s="19" t="s">
        <v>1012</v>
      </c>
      <c r="K155" s="5" t="s">
        <v>234</v>
      </c>
      <c r="L155" s="5" t="s">
        <v>235</v>
      </c>
      <c r="M155" s="5" t="str">
        <f>CONCATENATE(L155," ",K155)</f>
        <v>Barry Schumann</v>
      </c>
      <c r="N155" s="5" t="s">
        <v>57</v>
      </c>
      <c r="O155" s="6">
        <v>45976</v>
      </c>
      <c r="P155" s="6">
        <v>46157</v>
      </c>
      <c r="Q155" s="22">
        <f>DATEDIF(O155,P155,"M")</f>
        <v>6</v>
      </c>
      <c r="R155" s="6" t="s">
        <v>536</v>
      </c>
      <c r="S155" s="6" t="s">
        <v>1036</v>
      </c>
      <c r="T155" s="7">
        <v>38.64</v>
      </c>
      <c r="U155" s="5">
        <v>1</v>
      </c>
      <c r="V155" s="5" t="s">
        <v>58</v>
      </c>
      <c r="W155" s="5" t="s">
        <v>60</v>
      </c>
      <c r="X155" s="5" t="s">
        <v>61</v>
      </c>
      <c r="Y155" s="7">
        <v>27.05</v>
      </c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</row>
    <row r="156" spans="1:55" x14ac:dyDescent="0.3">
      <c r="A156" s="5">
        <v>2032192507</v>
      </c>
      <c r="B156" s="5" t="s">
        <v>279</v>
      </c>
      <c r="C156" s="5" t="s">
        <v>280</v>
      </c>
      <c r="D156" s="5" t="str">
        <f t="shared" si="2"/>
        <v>FRANKLINE KENAH</v>
      </c>
      <c r="E156" s="5" t="s">
        <v>93</v>
      </c>
      <c r="F156" s="5" t="s">
        <v>53</v>
      </c>
      <c r="G156" s="17">
        <v>0.7</v>
      </c>
      <c r="H156" s="5" t="s">
        <v>97</v>
      </c>
      <c r="I156" s="18" t="s">
        <v>117</v>
      </c>
      <c r="J156" s="19" t="s">
        <v>987</v>
      </c>
      <c r="K156" s="5" t="s">
        <v>281</v>
      </c>
      <c r="L156" s="5" t="s">
        <v>282</v>
      </c>
      <c r="M156" s="5" t="str">
        <f>CONCATENATE(L156," ",K156)</f>
        <v>Brittany Oliver</v>
      </c>
      <c r="N156" s="5" t="s">
        <v>57</v>
      </c>
      <c r="O156" s="6">
        <v>45977</v>
      </c>
      <c r="P156" s="6">
        <v>46158</v>
      </c>
      <c r="Q156" s="22">
        <f>DATEDIF(O156,P156,"M")</f>
        <v>6</v>
      </c>
      <c r="R156" s="6" t="s">
        <v>536</v>
      </c>
      <c r="S156" s="6" t="s">
        <v>1036</v>
      </c>
      <c r="T156" s="7">
        <v>24.61</v>
      </c>
      <c r="U156" s="5">
        <v>1</v>
      </c>
      <c r="V156" s="5" t="s">
        <v>58</v>
      </c>
      <c r="W156" s="5" t="s">
        <v>60</v>
      </c>
      <c r="X156" s="5" t="s">
        <v>61</v>
      </c>
      <c r="Y156" s="7">
        <v>17.23</v>
      </c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</row>
    <row r="157" spans="1:55" x14ac:dyDescent="0.3">
      <c r="A157" s="5">
        <v>2032192506</v>
      </c>
      <c r="B157" s="5" t="s">
        <v>279</v>
      </c>
      <c r="C157" s="5" t="s">
        <v>280</v>
      </c>
      <c r="D157" s="5" t="str">
        <f t="shared" si="2"/>
        <v>FRANKLINE KENAH</v>
      </c>
      <c r="E157" s="5" t="s">
        <v>93</v>
      </c>
      <c r="F157" s="5" t="s">
        <v>53</v>
      </c>
      <c r="G157" s="17">
        <v>0.42</v>
      </c>
      <c r="H157" s="5" t="s">
        <v>94</v>
      </c>
      <c r="I157" s="18" t="s">
        <v>94</v>
      </c>
      <c r="J157" s="19" t="s">
        <v>987</v>
      </c>
      <c r="K157" s="5" t="s">
        <v>281</v>
      </c>
      <c r="L157" s="5" t="s">
        <v>282</v>
      </c>
      <c r="M157" s="5" t="str">
        <f>CONCATENATE(L157," ",K157)</f>
        <v>Brittany Oliver</v>
      </c>
      <c r="N157" s="5" t="s">
        <v>57</v>
      </c>
      <c r="O157" s="6">
        <v>45977</v>
      </c>
      <c r="P157" s="6">
        <v>46158</v>
      </c>
      <c r="Q157" s="22">
        <f>DATEDIF(O157,P157,"M")</f>
        <v>6</v>
      </c>
      <c r="R157" s="6" t="s">
        <v>536</v>
      </c>
      <c r="S157" s="6" t="s">
        <v>1036</v>
      </c>
      <c r="T157" s="7">
        <v>21.08</v>
      </c>
      <c r="U157" s="5">
        <v>1</v>
      </c>
      <c r="V157" s="5" t="s">
        <v>58</v>
      </c>
      <c r="W157" s="5" t="s">
        <v>60</v>
      </c>
      <c r="X157" s="5" t="s">
        <v>61</v>
      </c>
      <c r="Y157" s="7">
        <v>8.85</v>
      </c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</row>
    <row r="158" spans="1:55" s="5" customFormat="1" x14ac:dyDescent="0.3">
      <c r="A158" s="5">
        <v>2032192508</v>
      </c>
      <c r="B158" s="5" t="s">
        <v>279</v>
      </c>
      <c r="C158" s="5" t="s">
        <v>280</v>
      </c>
      <c r="D158" s="5" t="str">
        <f t="shared" si="2"/>
        <v>FRANKLINE KENAH</v>
      </c>
      <c r="E158" s="5" t="s">
        <v>93</v>
      </c>
      <c r="F158" s="5" t="s">
        <v>524</v>
      </c>
      <c r="G158" s="17">
        <v>0.27</v>
      </c>
      <c r="H158" s="5" t="s">
        <v>703</v>
      </c>
      <c r="I158" s="18" t="s">
        <v>995</v>
      </c>
      <c r="J158" s="19" t="s">
        <v>987</v>
      </c>
      <c r="K158" s="5" t="s">
        <v>281</v>
      </c>
      <c r="L158" s="5" t="s">
        <v>282</v>
      </c>
      <c r="M158" s="5" t="str">
        <f>CONCATENATE(L158," ",K158)</f>
        <v>Brittany Oliver</v>
      </c>
      <c r="N158" s="5" t="s">
        <v>57</v>
      </c>
      <c r="O158" s="6">
        <v>45977</v>
      </c>
      <c r="P158" s="6">
        <v>46158</v>
      </c>
      <c r="Q158" s="22">
        <f>DATEDIF(O158,P158,"M")</f>
        <v>6</v>
      </c>
      <c r="R158" s="6" t="s">
        <v>536</v>
      </c>
      <c r="S158" s="6" t="s">
        <v>1036</v>
      </c>
      <c r="T158" s="7">
        <v>9.9499999999999993</v>
      </c>
      <c r="U158" s="5">
        <v>1</v>
      </c>
      <c r="V158" s="5" t="s">
        <v>58</v>
      </c>
      <c r="W158" s="5" t="s">
        <v>60</v>
      </c>
      <c r="X158" s="5" t="s">
        <v>61</v>
      </c>
      <c r="Y158" s="7">
        <v>2.69</v>
      </c>
    </row>
    <row r="159" spans="1:55" s="5" customFormat="1" x14ac:dyDescent="0.3">
      <c r="A159" s="5">
        <v>2032192509</v>
      </c>
      <c r="B159" s="5" t="s">
        <v>279</v>
      </c>
      <c r="C159" s="5" t="s">
        <v>280</v>
      </c>
      <c r="D159" s="5" t="str">
        <f t="shared" si="2"/>
        <v>FRANKLINE KENAH</v>
      </c>
      <c r="E159" s="5" t="s">
        <v>93</v>
      </c>
      <c r="F159" s="5" t="s">
        <v>524</v>
      </c>
      <c r="G159" s="17">
        <v>0.27</v>
      </c>
      <c r="H159" s="5" t="s">
        <v>703</v>
      </c>
      <c r="I159" s="18" t="s">
        <v>995</v>
      </c>
      <c r="J159" s="19" t="s">
        <v>987</v>
      </c>
      <c r="K159" s="5" t="s">
        <v>281</v>
      </c>
      <c r="L159" s="5" t="s">
        <v>282</v>
      </c>
      <c r="M159" s="5" t="str">
        <f>CONCATENATE(L159," ",K159)</f>
        <v>Brittany Oliver</v>
      </c>
      <c r="N159" s="5" t="s">
        <v>57</v>
      </c>
      <c r="O159" s="6">
        <v>45977</v>
      </c>
      <c r="P159" s="6">
        <v>46158</v>
      </c>
      <c r="Q159" s="22">
        <f>DATEDIF(O159,P159,"M")</f>
        <v>6</v>
      </c>
      <c r="R159" s="6" t="s">
        <v>536</v>
      </c>
      <c r="S159" s="6" t="s">
        <v>1036</v>
      </c>
      <c r="T159" s="7">
        <v>5</v>
      </c>
      <c r="U159" s="5">
        <v>1</v>
      </c>
      <c r="V159" s="5" t="s">
        <v>58</v>
      </c>
      <c r="W159" s="5" t="s">
        <v>60</v>
      </c>
      <c r="X159" s="5" t="s">
        <v>61</v>
      </c>
      <c r="Y159" s="7">
        <v>1.35</v>
      </c>
    </row>
    <row r="160" spans="1:55" s="5" customFormat="1" x14ac:dyDescent="0.3">
      <c r="A160" s="5">
        <v>2032178545</v>
      </c>
      <c r="B160" s="5" t="s">
        <v>277</v>
      </c>
      <c r="C160" s="5" t="s">
        <v>278</v>
      </c>
      <c r="D160" s="5" t="str">
        <f t="shared" si="2"/>
        <v>JOANNA STOZEK</v>
      </c>
      <c r="E160" s="5" t="s">
        <v>126</v>
      </c>
      <c r="F160" s="5" t="s">
        <v>53</v>
      </c>
      <c r="G160" s="17">
        <v>0.7</v>
      </c>
      <c r="H160" s="5" t="s">
        <v>54</v>
      </c>
      <c r="I160" s="18" t="s">
        <v>54</v>
      </c>
      <c r="J160" s="19" t="s">
        <v>1002</v>
      </c>
      <c r="K160" s="5" t="s">
        <v>127</v>
      </c>
      <c r="L160" s="5" t="s">
        <v>128</v>
      </c>
      <c r="M160" s="5" t="str">
        <f>CONCATENATE(L160," ",K160)</f>
        <v>CHRISTIAN TAUGNER</v>
      </c>
      <c r="N160" s="5" t="s">
        <v>57</v>
      </c>
      <c r="O160" s="6">
        <v>45976</v>
      </c>
      <c r="P160" s="6">
        <v>46157</v>
      </c>
      <c r="Q160" s="22">
        <f>DATEDIF(O160,P160,"M")</f>
        <v>6</v>
      </c>
      <c r="R160" s="6" t="s">
        <v>536</v>
      </c>
      <c r="S160" s="6" t="s">
        <v>1036</v>
      </c>
      <c r="T160" s="7">
        <v>54.3</v>
      </c>
      <c r="U160" s="5">
        <v>1</v>
      </c>
      <c r="V160" s="5" t="s">
        <v>58</v>
      </c>
      <c r="W160" s="5" t="s">
        <v>60</v>
      </c>
      <c r="X160" s="5" t="s">
        <v>61</v>
      </c>
      <c r="Y160" s="7">
        <v>38.01</v>
      </c>
    </row>
    <row r="161" spans="1:55" s="5" customFormat="1" x14ac:dyDescent="0.3">
      <c r="A161" s="5">
        <v>2032099302</v>
      </c>
      <c r="B161" s="5" t="s">
        <v>610</v>
      </c>
      <c r="C161" s="5" t="s">
        <v>611</v>
      </c>
      <c r="D161" s="5" t="str">
        <f t="shared" si="2"/>
        <v>DEANNA LAFROMBOIS</v>
      </c>
      <c r="E161" s="5" t="s">
        <v>612</v>
      </c>
      <c r="F161" s="5" t="s">
        <v>444</v>
      </c>
      <c r="G161" s="17">
        <v>0.75</v>
      </c>
      <c r="H161" s="5" t="s">
        <v>451</v>
      </c>
      <c r="I161" s="18" t="s">
        <v>980</v>
      </c>
      <c r="J161" s="19" t="s">
        <v>1020</v>
      </c>
      <c r="K161" s="5" t="s">
        <v>71</v>
      </c>
      <c r="L161" s="5" t="s">
        <v>72</v>
      </c>
      <c r="M161" s="5" t="str">
        <f>CONCATENATE(L161," ",K161)</f>
        <v>Jake Shulman</v>
      </c>
      <c r="N161" s="5" t="s">
        <v>57</v>
      </c>
      <c r="O161" s="6">
        <v>45972</v>
      </c>
      <c r="P161" s="6">
        <v>46153</v>
      </c>
      <c r="Q161" s="22">
        <f>DATEDIF(O161,P161,"M")</f>
        <v>6</v>
      </c>
      <c r="R161" s="6" t="s">
        <v>536</v>
      </c>
      <c r="S161" s="6" t="s">
        <v>1036</v>
      </c>
      <c r="T161" s="7">
        <v>47.86</v>
      </c>
      <c r="U161" s="5">
        <v>1</v>
      </c>
      <c r="V161" s="5" t="s">
        <v>58</v>
      </c>
      <c r="W161" s="5" t="s">
        <v>60</v>
      </c>
      <c r="X161" s="5" t="s">
        <v>61</v>
      </c>
      <c r="Y161" s="7">
        <v>35.9</v>
      </c>
    </row>
    <row r="162" spans="1:55" s="5" customFormat="1" x14ac:dyDescent="0.3">
      <c r="A162" s="5">
        <v>2032135721</v>
      </c>
      <c r="B162" s="5" t="s">
        <v>613</v>
      </c>
      <c r="C162" s="5" t="s">
        <v>614</v>
      </c>
      <c r="D162" s="5" t="str">
        <f t="shared" si="2"/>
        <v>FREDRIC PASHE</v>
      </c>
      <c r="E162" s="5" t="s">
        <v>612</v>
      </c>
      <c r="F162" s="5" t="s">
        <v>444</v>
      </c>
      <c r="G162" s="17">
        <v>0.75</v>
      </c>
      <c r="H162" s="5" t="s">
        <v>451</v>
      </c>
      <c r="I162" s="18" t="s">
        <v>980</v>
      </c>
      <c r="J162" s="19" t="s">
        <v>1020</v>
      </c>
      <c r="K162" s="5" t="s">
        <v>71</v>
      </c>
      <c r="L162" s="5" t="s">
        <v>72</v>
      </c>
      <c r="M162" s="5" t="str">
        <f>CONCATENATE(L162," ",K162)</f>
        <v>Jake Shulman</v>
      </c>
      <c r="N162" s="5" t="s">
        <v>57</v>
      </c>
      <c r="O162" s="6">
        <v>45974</v>
      </c>
      <c r="P162" s="6">
        <v>46155</v>
      </c>
      <c r="Q162" s="22">
        <f>DATEDIF(O162,P162,"M")</f>
        <v>6</v>
      </c>
      <c r="R162" s="6" t="s">
        <v>536</v>
      </c>
      <c r="S162" s="6" t="s">
        <v>1036</v>
      </c>
      <c r="T162" s="7">
        <v>65.56</v>
      </c>
      <c r="U162" s="5">
        <v>1</v>
      </c>
      <c r="V162" s="5" t="s">
        <v>58</v>
      </c>
      <c r="W162" s="5" t="s">
        <v>60</v>
      </c>
      <c r="X162" s="5" t="s">
        <v>61</v>
      </c>
      <c r="Y162" s="7">
        <v>49.17</v>
      </c>
    </row>
    <row r="163" spans="1:55" s="5" customFormat="1" x14ac:dyDescent="0.3">
      <c r="A163" s="5">
        <v>2032038860</v>
      </c>
      <c r="B163" s="5" t="s">
        <v>226</v>
      </c>
      <c r="C163" s="5" t="s">
        <v>227</v>
      </c>
      <c r="D163" s="5" t="str">
        <f t="shared" si="2"/>
        <v>KIMBERLY RUSSOW</v>
      </c>
      <c r="E163" s="5" t="s">
        <v>80</v>
      </c>
      <c r="F163" s="5" t="s">
        <v>53</v>
      </c>
      <c r="G163" s="17">
        <v>0.7</v>
      </c>
      <c r="H163" s="5" t="s">
        <v>54</v>
      </c>
      <c r="I163" s="18" t="s">
        <v>54</v>
      </c>
      <c r="J163" s="19" t="s">
        <v>1011</v>
      </c>
      <c r="K163" s="5" t="s">
        <v>228</v>
      </c>
      <c r="L163" s="5" t="s">
        <v>229</v>
      </c>
      <c r="M163" s="5" t="str">
        <f>CONCATENATE(L163," ",K163)</f>
        <v>James Allen</v>
      </c>
      <c r="N163" s="5" t="s">
        <v>57</v>
      </c>
      <c r="O163" s="6">
        <v>45972</v>
      </c>
      <c r="P163" s="6">
        <v>46153</v>
      </c>
      <c r="Q163" s="22">
        <f>DATEDIF(O163,P163,"M")</f>
        <v>6</v>
      </c>
      <c r="R163" s="6" t="s">
        <v>536</v>
      </c>
      <c r="S163" s="6" t="s">
        <v>1036</v>
      </c>
      <c r="T163" s="7">
        <v>27.5</v>
      </c>
      <c r="U163" s="5">
        <v>1</v>
      </c>
      <c r="V163" s="5" t="s">
        <v>58</v>
      </c>
      <c r="W163" s="5" t="s">
        <v>60</v>
      </c>
      <c r="X163" s="5" t="s">
        <v>61</v>
      </c>
      <c r="Y163" s="7">
        <v>19.25</v>
      </c>
    </row>
    <row r="164" spans="1:55" s="5" customFormat="1" x14ac:dyDescent="0.3">
      <c r="A164" s="5">
        <v>2032038861</v>
      </c>
      <c r="B164" s="5" t="s">
        <v>226</v>
      </c>
      <c r="C164" s="5" t="s">
        <v>227</v>
      </c>
      <c r="D164" s="5" t="str">
        <f t="shared" si="2"/>
        <v>KIMBERLY RUSSOW</v>
      </c>
      <c r="E164" s="5" t="s">
        <v>80</v>
      </c>
      <c r="F164" s="5" t="s">
        <v>483</v>
      </c>
      <c r="G164" s="20">
        <v>0.375</v>
      </c>
      <c r="H164" s="5" t="s">
        <v>484</v>
      </c>
      <c r="I164" s="18" t="s">
        <v>484</v>
      </c>
      <c r="J164" s="19" t="s">
        <v>1011</v>
      </c>
      <c r="K164" s="5" t="s">
        <v>228</v>
      </c>
      <c r="L164" s="5" t="s">
        <v>229</v>
      </c>
      <c r="M164" s="5" t="str">
        <f>CONCATENATE(L164," ",K164)</f>
        <v>James Allen</v>
      </c>
      <c r="N164" s="5" t="s">
        <v>57</v>
      </c>
      <c r="O164" s="6">
        <v>45972</v>
      </c>
      <c r="P164" s="6">
        <v>46153</v>
      </c>
      <c r="Q164" s="22">
        <f>DATEDIF(O164,P164,"M")</f>
        <v>6</v>
      </c>
      <c r="R164" s="6" t="s">
        <v>536</v>
      </c>
      <c r="S164" s="6" t="s">
        <v>1036</v>
      </c>
      <c r="T164" s="7">
        <v>109.28</v>
      </c>
      <c r="U164" s="5">
        <v>1</v>
      </c>
      <c r="V164" s="5" t="s">
        <v>58</v>
      </c>
      <c r="W164" s="5" t="s">
        <v>60</v>
      </c>
      <c r="X164" s="5" t="s">
        <v>61</v>
      </c>
      <c r="Y164" s="7">
        <v>40.98</v>
      </c>
    </row>
    <row r="165" spans="1:55" s="5" customFormat="1" x14ac:dyDescent="0.3">
      <c r="A165" s="5">
        <v>2032111467</v>
      </c>
      <c r="B165" s="5" t="s">
        <v>242</v>
      </c>
      <c r="C165" s="5" t="s">
        <v>243</v>
      </c>
      <c r="D165" s="5" t="str">
        <f t="shared" si="2"/>
        <v>JOHNNA THOMPKINS</v>
      </c>
      <c r="E165" s="5" t="s">
        <v>52</v>
      </c>
      <c r="F165" s="5" t="s">
        <v>53</v>
      </c>
      <c r="G165" s="17">
        <v>0.7</v>
      </c>
      <c r="H165" s="5" t="s">
        <v>54</v>
      </c>
      <c r="I165" s="18" t="s">
        <v>54</v>
      </c>
      <c r="J165" s="19" t="s">
        <v>1013</v>
      </c>
      <c r="K165" s="5" t="s">
        <v>244</v>
      </c>
      <c r="L165" s="5" t="s">
        <v>245</v>
      </c>
      <c r="M165" s="5" t="str">
        <f>CONCATENATE(L165," ",K165)</f>
        <v>Jennifer Hess</v>
      </c>
      <c r="N165" s="5" t="s">
        <v>57</v>
      </c>
      <c r="O165" s="6">
        <v>45973</v>
      </c>
      <c r="P165" s="6">
        <v>46154</v>
      </c>
      <c r="Q165" s="22">
        <f>DATEDIF(O165,P165,"M")</f>
        <v>6</v>
      </c>
      <c r="R165" s="6" t="s">
        <v>536</v>
      </c>
      <c r="S165" s="6" t="s">
        <v>1036</v>
      </c>
      <c r="T165" s="7">
        <v>29.79</v>
      </c>
      <c r="U165" s="5">
        <v>1</v>
      </c>
      <c r="V165" s="5" t="s">
        <v>58</v>
      </c>
      <c r="W165" s="5" t="s">
        <v>60</v>
      </c>
      <c r="X165" s="5" t="s">
        <v>61</v>
      </c>
      <c r="Y165" s="7">
        <v>20.85</v>
      </c>
    </row>
    <row r="166" spans="1:55" s="5" customFormat="1" x14ac:dyDescent="0.3">
      <c r="A166" s="5">
        <v>2032111468</v>
      </c>
      <c r="B166" s="5" t="s">
        <v>242</v>
      </c>
      <c r="C166" s="5" t="s">
        <v>243</v>
      </c>
      <c r="D166" s="5" t="str">
        <f t="shared" si="2"/>
        <v>JOHNNA THOMPKINS</v>
      </c>
      <c r="E166" s="5" t="s">
        <v>52</v>
      </c>
      <c r="F166" s="5" t="s">
        <v>483</v>
      </c>
      <c r="G166" s="20">
        <v>0.375</v>
      </c>
      <c r="H166" s="5" t="s">
        <v>484</v>
      </c>
      <c r="I166" s="18" t="s">
        <v>484</v>
      </c>
      <c r="J166" s="19" t="s">
        <v>1013</v>
      </c>
      <c r="K166" s="5" t="s">
        <v>244</v>
      </c>
      <c r="L166" s="5" t="s">
        <v>245</v>
      </c>
      <c r="M166" s="5" t="str">
        <f>CONCATENATE(L166," ",K166)</f>
        <v>Jennifer Hess</v>
      </c>
      <c r="N166" s="5" t="s">
        <v>57</v>
      </c>
      <c r="O166" s="6">
        <v>45973</v>
      </c>
      <c r="P166" s="6">
        <v>46154</v>
      </c>
      <c r="Q166" s="22">
        <f>DATEDIF(O166,P166,"M")</f>
        <v>6</v>
      </c>
      <c r="R166" s="6" t="s">
        <v>536</v>
      </c>
      <c r="S166" s="6" t="s">
        <v>1036</v>
      </c>
      <c r="T166" s="7">
        <v>54.95</v>
      </c>
      <c r="U166" s="5">
        <v>1</v>
      </c>
      <c r="V166" s="5" t="s">
        <v>58</v>
      </c>
      <c r="W166" s="5" t="s">
        <v>60</v>
      </c>
      <c r="X166" s="5" t="s">
        <v>61</v>
      </c>
      <c r="Y166" s="7">
        <v>20.61</v>
      </c>
    </row>
    <row r="167" spans="1:55" s="5" customFormat="1" x14ac:dyDescent="0.3">
      <c r="A167" s="5">
        <v>2032176854</v>
      </c>
      <c r="B167" s="5" t="s">
        <v>556</v>
      </c>
      <c r="C167" s="5" t="s">
        <v>557</v>
      </c>
      <c r="D167" s="5" t="str">
        <f t="shared" si="2"/>
        <v>JESSE PONTA</v>
      </c>
      <c r="E167" s="5" t="s">
        <v>298</v>
      </c>
      <c r="F167" s="5" t="s">
        <v>533</v>
      </c>
      <c r="G167" s="17">
        <v>0.6</v>
      </c>
      <c r="H167" s="5" t="s">
        <v>534</v>
      </c>
      <c r="I167" s="18" t="s">
        <v>534</v>
      </c>
      <c r="J167" s="19" t="s">
        <v>1013</v>
      </c>
      <c r="K167" s="5" t="s">
        <v>244</v>
      </c>
      <c r="L167" s="5" t="s">
        <v>245</v>
      </c>
      <c r="M167" s="5" t="str">
        <f>CONCATENATE(L167," ",K167)</f>
        <v>Jennifer Hess</v>
      </c>
      <c r="N167" s="5" t="s">
        <v>57</v>
      </c>
      <c r="O167" s="6">
        <v>45976</v>
      </c>
      <c r="P167" s="6">
        <v>46157</v>
      </c>
      <c r="Q167" s="22">
        <f>DATEDIF(O167,P167,"M")</f>
        <v>6</v>
      </c>
      <c r="R167" s="6" t="s">
        <v>536</v>
      </c>
      <c r="S167" s="6" t="s">
        <v>1036</v>
      </c>
      <c r="T167" s="7">
        <v>52.69</v>
      </c>
      <c r="U167" s="5">
        <v>1</v>
      </c>
      <c r="V167" s="5" t="s">
        <v>58</v>
      </c>
      <c r="W167" s="5" t="s">
        <v>60</v>
      </c>
      <c r="X167" s="5" t="s">
        <v>61</v>
      </c>
      <c r="Y167" s="7">
        <v>31.61</v>
      </c>
    </row>
    <row r="168" spans="1:55" s="5" customFormat="1" x14ac:dyDescent="0.3">
      <c r="A168" s="5">
        <v>2032114433</v>
      </c>
      <c r="B168" s="5" t="s">
        <v>246</v>
      </c>
      <c r="C168" s="5" t="s">
        <v>247</v>
      </c>
      <c r="D168" s="5" t="str">
        <f t="shared" si="2"/>
        <v>KRISTY WILLSTEAD</v>
      </c>
      <c r="E168" s="5" t="s">
        <v>80</v>
      </c>
      <c r="F168" s="5" t="s">
        <v>53</v>
      </c>
      <c r="G168" s="17">
        <v>0.9</v>
      </c>
      <c r="H168" s="5" t="s">
        <v>65</v>
      </c>
      <c r="I168" s="18" t="s">
        <v>65</v>
      </c>
      <c r="J168" s="19" t="s">
        <v>1014</v>
      </c>
      <c r="K168" s="5" t="s">
        <v>248</v>
      </c>
      <c r="L168" s="5" t="s">
        <v>249</v>
      </c>
      <c r="M168" s="5" t="str">
        <f>CONCATENATE(L168," ",K168)</f>
        <v>Matthew Sherman</v>
      </c>
      <c r="N168" s="5" t="s">
        <v>57</v>
      </c>
      <c r="O168" s="6">
        <v>45973</v>
      </c>
      <c r="P168" s="6">
        <v>46154</v>
      </c>
      <c r="Q168" s="22">
        <f>DATEDIF(O168,P168,"M")</f>
        <v>6</v>
      </c>
      <c r="R168" s="6" t="s">
        <v>536</v>
      </c>
      <c r="S168" s="6" t="s">
        <v>1036</v>
      </c>
      <c r="T168" s="7">
        <v>41.75</v>
      </c>
      <c r="U168" s="5">
        <v>1</v>
      </c>
      <c r="V168" s="5" t="s">
        <v>58</v>
      </c>
      <c r="W168" s="5" t="s">
        <v>60</v>
      </c>
      <c r="X168" s="5" t="s">
        <v>61</v>
      </c>
      <c r="Y168" s="7">
        <v>37.58</v>
      </c>
    </row>
    <row r="169" spans="1:55" x14ac:dyDescent="0.3">
      <c r="A169" s="5">
        <v>2032114519</v>
      </c>
      <c r="B169" s="5" t="s">
        <v>246</v>
      </c>
      <c r="C169" s="5" t="s">
        <v>250</v>
      </c>
      <c r="D169" s="5" t="str">
        <f t="shared" si="2"/>
        <v>SCOTT WILLSTEAD</v>
      </c>
      <c r="E169" s="5" t="s">
        <v>80</v>
      </c>
      <c r="F169" s="5" t="s">
        <v>53</v>
      </c>
      <c r="G169" s="17">
        <v>0.9</v>
      </c>
      <c r="H169" s="5" t="s">
        <v>65</v>
      </c>
      <c r="I169" s="18" t="s">
        <v>65</v>
      </c>
      <c r="J169" s="19" t="s">
        <v>1014</v>
      </c>
      <c r="K169" s="5" t="s">
        <v>248</v>
      </c>
      <c r="L169" s="5" t="s">
        <v>249</v>
      </c>
      <c r="M169" s="5" t="str">
        <f>CONCATENATE(L169," ",K169)</f>
        <v>Matthew Sherman</v>
      </c>
      <c r="N169" s="5" t="s">
        <v>57</v>
      </c>
      <c r="O169" s="6">
        <v>45973</v>
      </c>
      <c r="P169" s="6">
        <v>46154</v>
      </c>
      <c r="Q169" s="22">
        <f>DATEDIF(O169,P169,"M")</f>
        <v>6</v>
      </c>
      <c r="R169" s="6" t="s">
        <v>536</v>
      </c>
      <c r="S169" s="6" t="s">
        <v>1036</v>
      </c>
      <c r="T169" s="7">
        <v>56.75</v>
      </c>
      <c r="U169" s="5">
        <v>1</v>
      </c>
      <c r="V169" s="5" t="s">
        <v>58</v>
      </c>
      <c r="W169" s="5" t="s">
        <v>60</v>
      </c>
      <c r="X169" s="5" t="s">
        <v>61</v>
      </c>
      <c r="Y169" s="7">
        <v>51.08</v>
      </c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</row>
    <row r="170" spans="1:55" x14ac:dyDescent="0.3">
      <c r="A170" s="5">
        <v>2032136156</v>
      </c>
      <c r="B170" s="5" t="s">
        <v>554</v>
      </c>
      <c r="C170" s="5" t="s">
        <v>555</v>
      </c>
      <c r="D170" s="5" t="str">
        <f t="shared" si="2"/>
        <v>PATRICIA BUCKLEY</v>
      </c>
      <c r="E170" s="5" t="s">
        <v>80</v>
      </c>
      <c r="F170" s="5" t="s">
        <v>533</v>
      </c>
      <c r="G170" s="17">
        <v>0.6</v>
      </c>
      <c r="H170" s="5" t="s">
        <v>534</v>
      </c>
      <c r="I170" s="18" t="s">
        <v>534</v>
      </c>
      <c r="J170" s="19" t="s">
        <v>1014</v>
      </c>
      <c r="K170" s="5" t="s">
        <v>248</v>
      </c>
      <c r="L170" s="5" t="s">
        <v>249</v>
      </c>
      <c r="M170" s="5" t="str">
        <f>CONCATENATE(L170," ",K170)</f>
        <v>Matthew Sherman</v>
      </c>
      <c r="N170" s="5" t="s">
        <v>57</v>
      </c>
      <c r="O170" s="6">
        <v>45976</v>
      </c>
      <c r="P170" s="6">
        <v>46157</v>
      </c>
      <c r="Q170" s="22">
        <f>DATEDIF(O170,P170,"M")</f>
        <v>6</v>
      </c>
      <c r="R170" s="6" t="s">
        <v>536</v>
      </c>
      <c r="S170" s="6" t="s">
        <v>1036</v>
      </c>
      <c r="T170" s="7">
        <v>75.67</v>
      </c>
      <c r="U170" s="5">
        <v>1</v>
      </c>
      <c r="V170" s="5" t="s">
        <v>58</v>
      </c>
      <c r="W170" s="5" t="s">
        <v>60</v>
      </c>
      <c r="X170" s="5" t="s">
        <v>61</v>
      </c>
      <c r="Y170" s="7">
        <v>45.4</v>
      </c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</row>
    <row r="171" spans="1:55" x14ac:dyDescent="0.3">
      <c r="A171" s="5">
        <v>2032172865</v>
      </c>
      <c r="B171" s="5" t="s">
        <v>271</v>
      </c>
      <c r="C171" s="5" t="s">
        <v>272</v>
      </c>
      <c r="D171" s="5" t="str">
        <f t="shared" si="2"/>
        <v>BOLORMAA TSERENGOMBO</v>
      </c>
      <c r="E171" s="5" t="s">
        <v>80</v>
      </c>
      <c r="F171" s="5" t="s">
        <v>53</v>
      </c>
      <c r="G171" s="17">
        <v>0.7</v>
      </c>
      <c r="H171" s="5" t="s">
        <v>54</v>
      </c>
      <c r="I171" s="18" t="s">
        <v>54</v>
      </c>
      <c r="J171" s="19" t="s">
        <v>999</v>
      </c>
      <c r="K171" s="5" t="s">
        <v>89</v>
      </c>
      <c r="L171" s="5" t="s">
        <v>90</v>
      </c>
      <c r="M171" s="5" t="str">
        <f>CONCATENATE(L171," ",K171)</f>
        <v>NASANDELGER ZANA</v>
      </c>
      <c r="N171" s="5" t="s">
        <v>57</v>
      </c>
      <c r="O171" s="6">
        <v>45976</v>
      </c>
      <c r="P171" s="6">
        <v>46157</v>
      </c>
      <c r="Q171" s="22">
        <f>DATEDIF(O171,P171,"M")</f>
        <v>6</v>
      </c>
      <c r="R171" s="6" t="s">
        <v>536</v>
      </c>
      <c r="S171" s="6" t="s">
        <v>1036</v>
      </c>
      <c r="T171" s="7">
        <v>32.200000000000003</v>
      </c>
      <c r="U171" s="5">
        <v>1</v>
      </c>
      <c r="V171" s="5" t="s">
        <v>58</v>
      </c>
      <c r="W171" s="5" t="s">
        <v>60</v>
      </c>
      <c r="X171" s="5" t="s">
        <v>61</v>
      </c>
      <c r="Y171" s="7">
        <v>22.54</v>
      </c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</row>
    <row r="172" spans="1:55" x14ac:dyDescent="0.3">
      <c r="A172" s="5">
        <v>2032173640</v>
      </c>
      <c r="B172" s="5" t="s">
        <v>273</v>
      </c>
      <c r="C172" s="5" t="s">
        <v>274</v>
      </c>
      <c r="D172" s="5" t="str">
        <f t="shared" si="2"/>
        <v>SELENGE MYAGMARSUREN</v>
      </c>
      <c r="E172" s="5" t="s">
        <v>80</v>
      </c>
      <c r="F172" s="5" t="s">
        <v>53</v>
      </c>
      <c r="G172" s="17">
        <v>0.7</v>
      </c>
      <c r="H172" s="5" t="s">
        <v>54</v>
      </c>
      <c r="I172" s="18" t="s">
        <v>54</v>
      </c>
      <c r="J172" s="19" t="s">
        <v>999</v>
      </c>
      <c r="K172" s="5" t="s">
        <v>89</v>
      </c>
      <c r="L172" s="5" t="s">
        <v>90</v>
      </c>
      <c r="M172" s="5" t="str">
        <f>CONCATENATE(L172," ",K172)</f>
        <v>NASANDELGER ZANA</v>
      </c>
      <c r="N172" s="5" t="s">
        <v>57</v>
      </c>
      <c r="O172" s="6">
        <v>45976</v>
      </c>
      <c r="P172" s="6">
        <v>46157</v>
      </c>
      <c r="Q172" s="22">
        <f>DATEDIF(O172,P172,"M")</f>
        <v>6</v>
      </c>
      <c r="R172" s="6" t="s">
        <v>536</v>
      </c>
      <c r="S172" s="6" t="s">
        <v>1036</v>
      </c>
      <c r="T172" s="7">
        <v>48.19</v>
      </c>
      <c r="U172" s="5">
        <v>1</v>
      </c>
      <c r="V172" s="5" t="s">
        <v>58</v>
      </c>
      <c r="W172" s="5" t="s">
        <v>60</v>
      </c>
      <c r="X172" s="5" t="s">
        <v>61</v>
      </c>
      <c r="Y172" s="7">
        <v>33.729999999999997</v>
      </c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</row>
    <row r="173" spans="1:55" x14ac:dyDescent="0.3">
      <c r="A173" s="5">
        <v>2031947513</v>
      </c>
      <c r="B173" s="5" t="s">
        <v>215</v>
      </c>
      <c r="C173" s="5" t="s">
        <v>216</v>
      </c>
      <c r="D173" s="5" t="str">
        <f t="shared" si="2"/>
        <v>ALTANTUYA SODNOMPIL</v>
      </c>
      <c r="E173" s="5" t="s">
        <v>80</v>
      </c>
      <c r="F173" s="5" t="s">
        <v>53</v>
      </c>
      <c r="G173" s="17">
        <v>0.7</v>
      </c>
      <c r="H173" s="5" t="s">
        <v>54</v>
      </c>
      <c r="I173" s="18" t="s">
        <v>54</v>
      </c>
      <c r="J173" s="19" t="s">
        <v>999</v>
      </c>
      <c r="K173" s="5" t="s">
        <v>89</v>
      </c>
      <c r="L173" s="5" t="s">
        <v>90</v>
      </c>
      <c r="M173" s="5" t="str">
        <f>CONCATENATE(L173," ",K173)</f>
        <v>NASANDELGER ZANA</v>
      </c>
      <c r="N173" s="5" t="s">
        <v>57</v>
      </c>
      <c r="O173" s="6">
        <v>45963</v>
      </c>
      <c r="P173" s="6">
        <v>46144</v>
      </c>
      <c r="Q173" s="22">
        <f>DATEDIF(O173,P173,"M")</f>
        <v>6</v>
      </c>
      <c r="R173" s="6" t="s">
        <v>536</v>
      </c>
      <c r="S173" s="6" t="s">
        <v>1036</v>
      </c>
      <c r="T173" s="7">
        <v>66.36</v>
      </c>
      <c r="U173" s="5">
        <v>1</v>
      </c>
      <c r="V173" s="5" t="s">
        <v>58</v>
      </c>
      <c r="W173" s="5" t="s">
        <v>60</v>
      </c>
      <c r="X173" s="5" t="s">
        <v>61</v>
      </c>
      <c r="Y173" s="7">
        <v>46.45</v>
      </c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</row>
    <row r="174" spans="1:55" x14ac:dyDescent="0.3">
      <c r="A174" s="5">
        <v>2032105228</v>
      </c>
      <c r="B174" s="5" t="s">
        <v>240</v>
      </c>
      <c r="C174" s="5" t="s">
        <v>241</v>
      </c>
      <c r="D174" s="5" t="str">
        <f t="shared" si="2"/>
        <v>RACHEL ROSENBERG</v>
      </c>
      <c r="E174" s="5" t="s">
        <v>80</v>
      </c>
      <c r="F174" s="5" t="s">
        <v>444</v>
      </c>
      <c r="G174" s="17">
        <v>0.75</v>
      </c>
      <c r="H174" s="5" t="s">
        <v>454</v>
      </c>
      <c r="I174" s="18" t="s">
        <v>980</v>
      </c>
      <c r="J174" s="19" t="s">
        <v>984</v>
      </c>
      <c r="K174" s="5" t="s">
        <v>120</v>
      </c>
      <c r="L174" s="5" t="s">
        <v>121</v>
      </c>
      <c r="M174" s="5" t="str">
        <f>CONCATENATE(L174," ",K174)</f>
        <v>Richard Yale</v>
      </c>
      <c r="N174" s="5" t="s">
        <v>57</v>
      </c>
      <c r="O174" s="6">
        <v>45975</v>
      </c>
      <c r="P174" s="6">
        <v>46156</v>
      </c>
      <c r="Q174" s="22">
        <f>DATEDIF(O174,P174,"M")</f>
        <v>6</v>
      </c>
      <c r="R174" s="6" t="s">
        <v>536</v>
      </c>
      <c r="S174" s="6" t="s">
        <v>1036</v>
      </c>
      <c r="T174" s="7">
        <v>31.2</v>
      </c>
      <c r="U174" s="5">
        <v>1</v>
      </c>
      <c r="V174" s="5" t="s">
        <v>58</v>
      </c>
      <c r="W174" s="5" t="s">
        <v>60</v>
      </c>
      <c r="X174" s="5" t="s">
        <v>61</v>
      </c>
      <c r="Y174" s="7">
        <v>23.4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</row>
    <row r="175" spans="1:55" x14ac:dyDescent="0.3">
      <c r="A175" s="5">
        <v>2032116643</v>
      </c>
      <c r="B175" s="5" t="s">
        <v>253</v>
      </c>
      <c r="C175" s="5" t="s">
        <v>165</v>
      </c>
      <c r="D175" s="5" t="str">
        <f t="shared" si="2"/>
        <v>ADAM BOSSOV</v>
      </c>
      <c r="E175" s="5" t="s">
        <v>80</v>
      </c>
      <c r="F175" s="5" t="s">
        <v>444</v>
      </c>
      <c r="G175" s="17">
        <v>0.75</v>
      </c>
      <c r="H175" s="5" t="s">
        <v>451</v>
      </c>
      <c r="I175" s="18" t="s">
        <v>980</v>
      </c>
      <c r="J175" s="19" t="s">
        <v>1015</v>
      </c>
      <c r="K175" s="5" t="s">
        <v>120</v>
      </c>
      <c r="L175" s="5" t="s">
        <v>121</v>
      </c>
      <c r="M175" s="5" t="str">
        <f>CONCATENATE(L175," ",K175)</f>
        <v>Richard Yale</v>
      </c>
      <c r="N175" s="5" t="s">
        <v>57</v>
      </c>
      <c r="O175" s="6">
        <v>45976</v>
      </c>
      <c r="P175" s="6">
        <v>46157</v>
      </c>
      <c r="Q175" s="22">
        <f>DATEDIF(O175,P175,"M")</f>
        <v>6</v>
      </c>
      <c r="R175" s="6" t="s">
        <v>536</v>
      </c>
      <c r="S175" s="6" t="s">
        <v>1036</v>
      </c>
      <c r="T175" s="7">
        <v>96.34</v>
      </c>
      <c r="U175" s="5">
        <v>1</v>
      </c>
      <c r="V175" s="5" t="s">
        <v>58</v>
      </c>
      <c r="W175" s="5" t="s">
        <v>60</v>
      </c>
      <c r="X175" s="5" t="s">
        <v>61</v>
      </c>
      <c r="Y175" s="7">
        <v>72.260000000000005</v>
      </c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</row>
    <row r="176" spans="1:55" x14ac:dyDescent="0.3">
      <c r="A176" s="5">
        <v>2032105227</v>
      </c>
      <c r="B176" s="5" t="s">
        <v>240</v>
      </c>
      <c r="C176" s="5" t="s">
        <v>241</v>
      </c>
      <c r="D176" s="5" t="str">
        <f t="shared" si="2"/>
        <v>RACHEL ROSENBERG</v>
      </c>
      <c r="E176" s="5" t="s">
        <v>80</v>
      </c>
      <c r="F176" s="5" t="s">
        <v>53</v>
      </c>
      <c r="G176" s="17">
        <v>0.7</v>
      </c>
      <c r="H176" s="5" t="s">
        <v>54</v>
      </c>
      <c r="I176" s="18" t="s">
        <v>54</v>
      </c>
      <c r="J176" s="19" t="s">
        <v>984</v>
      </c>
      <c r="K176" s="5" t="s">
        <v>120</v>
      </c>
      <c r="L176" s="5" t="s">
        <v>121</v>
      </c>
      <c r="M176" s="5" t="str">
        <f>CONCATENATE(L176," ",K176)</f>
        <v>Richard Yale</v>
      </c>
      <c r="N176" s="5" t="s">
        <v>57</v>
      </c>
      <c r="O176" s="6">
        <v>45975</v>
      </c>
      <c r="P176" s="6">
        <v>46156</v>
      </c>
      <c r="Q176" s="22">
        <f>DATEDIF(O176,P176,"M")</f>
        <v>6</v>
      </c>
      <c r="R176" s="6" t="s">
        <v>536</v>
      </c>
      <c r="S176" s="6" t="s">
        <v>1036</v>
      </c>
      <c r="T176" s="7">
        <v>95.92</v>
      </c>
      <c r="U176" s="5">
        <v>1</v>
      </c>
      <c r="V176" s="5" t="s">
        <v>58</v>
      </c>
      <c r="W176" s="5" t="s">
        <v>60</v>
      </c>
      <c r="X176" s="5" t="s">
        <v>61</v>
      </c>
      <c r="Y176" s="7">
        <v>67.14</v>
      </c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</row>
    <row r="177" spans="1:55" s="5" customFormat="1" x14ac:dyDescent="0.3">
      <c r="A177" s="5">
        <v>2032116642</v>
      </c>
      <c r="B177" s="5" t="s">
        <v>253</v>
      </c>
      <c r="C177" s="5" t="s">
        <v>165</v>
      </c>
      <c r="D177" s="5" t="str">
        <f t="shared" si="2"/>
        <v>ADAM BOSSOV</v>
      </c>
      <c r="E177" s="5" t="s">
        <v>80</v>
      </c>
      <c r="F177" s="5" t="s">
        <v>53</v>
      </c>
      <c r="G177" s="17">
        <v>0.7</v>
      </c>
      <c r="H177" s="5" t="s">
        <v>54</v>
      </c>
      <c r="I177" s="18" t="s">
        <v>54</v>
      </c>
      <c r="J177" s="19" t="s">
        <v>1015</v>
      </c>
      <c r="K177" s="5" t="s">
        <v>120</v>
      </c>
      <c r="L177" s="5" t="s">
        <v>121</v>
      </c>
      <c r="M177" s="5" t="str">
        <f>CONCATENATE(L177," ",K177)</f>
        <v>Richard Yale</v>
      </c>
      <c r="N177" s="5" t="s">
        <v>57</v>
      </c>
      <c r="O177" s="6">
        <v>45976</v>
      </c>
      <c r="P177" s="6">
        <v>46157</v>
      </c>
      <c r="Q177" s="22">
        <f>DATEDIF(O177,P177,"M")</f>
        <v>6</v>
      </c>
      <c r="R177" s="6" t="s">
        <v>536</v>
      </c>
      <c r="S177" s="6" t="s">
        <v>1036</v>
      </c>
      <c r="T177" s="7">
        <v>109.2</v>
      </c>
      <c r="U177" s="5">
        <v>1</v>
      </c>
      <c r="V177" s="5" t="s">
        <v>58</v>
      </c>
      <c r="W177" s="5" t="s">
        <v>60</v>
      </c>
      <c r="X177" s="5" t="s">
        <v>61</v>
      </c>
      <c r="Y177" s="7">
        <v>76.44</v>
      </c>
    </row>
    <row r="178" spans="1:55" x14ac:dyDescent="0.3">
      <c r="A178" s="5">
        <v>2032116644</v>
      </c>
      <c r="B178" s="5" t="s">
        <v>253</v>
      </c>
      <c r="C178" s="5" t="s">
        <v>165</v>
      </c>
      <c r="D178" s="5" t="str">
        <f t="shared" si="2"/>
        <v>ADAM BOSSOV</v>
      </c>
      <c r="E178" s="5" t="s">
        <v>80</v>
      </c>
      <c r="F178" s="5" t="s">
        <v>483</v>
      </c>
      <c r="G178" s="20">
        <v>0.375</v>
      </c>
      <c r="H178" s="5" t="s">
        <v>484</v>
      </c>
      <c r="I178" s="18" t="s">
        <v>484</v>
      </c>
      <c r="J178" s="19" t="s">
        <v>1015</v>
      </c>
      <c r="K178" s="5" t="s">
        <v>120</v>
      </c>
      <c r="L178" s="5" t="s">
        <v>121</v>
      </c>
      <c r="M178" s="5" t="str">
        <f>CONCATENATE(L178," ",K178)</f>
        <v>Richard Yale</v>
      </c>
      <c r="N178" s="5" t="s">
        <v>57</v>
      </c>
      <c r="O178" s="6">
        <v>45976</v>
      </c>
      <c r="P178" s="6">
        <v>46157</v>
      </c>
      <c r="Q178" s="22">
        <f>DATEDIF(O178,P178,"M")</f>
        <v>6</v>
      </c>
      <c r="R178" s="6" t="s">
        <v>536</v>
      </c>
      <c r="S178" s="6" t="s">
        <v>1036</v>
      </c>
      <c r="T178" s="7">
        <v>77.48</v>
      </c>
      <c r="U178" s="5">
        <v>1</v>
      </c>
      <c r="V178" s="5" t="s">
        <v>58</v>
      </c>
      <c r="W178" s="5" t="s">
        <v>60</v>
      </c>
      <c r="X178" s="5" t="s">
        <v>61</v>
      </c>
      <c r="Y178" s="7">
        <v>29.06</v>
      </c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</row>
    <row r="179" spans="1:55" x14ac:dyDescent="0.3">
      <c r="A179" s="5">
        <v>2032134523</v>
      </c>
      <c r="B179" s="5" t="s">
        <v>254</v>
      </c>
      <c r="C179" s="5" t="s">
        <v>255</v>
      </c>
      <c r="D179" s="5" t="str">
        <f t="shared" si="2"/>
        <v>DOROTHY BERTUCCI</v>
      </c>
      <c r="E179" s="5" t="s">
        <v>256</v>
      </c>
      <c r="F179" s="5" t="s">
        <v>53</v>
      </c>
      <c r="G179" s="17">
        <v>0.9</v>
      </c>
      <c r="H179" s="5" t="s">
        <v>65</v>
      </c>
      <c r="I179" s="18" t="s">
        <v>65</v>
      </c>
      <c r="J179" s="19" t="s">
        <v>1016</v>
      </c>
      <c r="K179" s="5" t="s">
        <v>257</v>
      </c>
      <c r="L179" s="5" t="s">
        <v>250</v>
      </c>
      <c r="M179" s="5" t="str">
        <f>CONCATENATE(L179," ",K179)</f>
        <v>SCOTT AGUGLIA</v>
      </c>
      <c r="N179" s="5" t="s">
        <v>57</v>
      </c>
      <c r="O179" s="6">
        <v>45974</v>
      </c>
      <c r="P179" s="6">
        <v>46155</v>
      </c>
      <c r="Q179" s="22">
        <f>DATEDIF(O179,P179,"M")</f>
        <v>6</v>
      </c>
      <c r="R179" s="6" t="s">
        <v>536</v>
      </c>
      <c r="S179" s="6" t="s">
        <v>1036</v>
      </c>
      <c r="T179" s="7">
        <v>65.25</v>
      </c>
      <c r="U179" s="5">
        <v>1</v>
      </c>
      <c r="V179" s="5" t="s">
        <v>58</v>
      </c>
      <c r="W179" s="5" t="s">
        <v>60</v>
      </c>
      <c r="X179" s="5" t="s">
        <v>61</v>
      </c>
      <c r="Y179" s="7">
        <v>58.72</v>
      </c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</row>
    <row r="180" spans="1:55" s="31" customFormat="1" x14ac:dyDescent="0.3">
      <c r="A180" s="24">
        <v>2031595994</v>
      </c>
      <c r="B180" s="24" t="s">
        <v>194</v>
      </c>
      <c r="C180" s="24" t="s">
        <v>62</v>
      </c>
      <c r="D180" s="5" t="str">
        <f t="shared" si="2"/>
        <v>JULIE LILIENTHAL</v>
      </c>
      <c r="E180" s="24" t="s">
        <v>80</v>
      </c>
      <c r="F180" s="24" t="s">
        <v>53</v>
      </c>
      <c r="G180" s="25">
        <v>0.9</v>
      </c>
      <c r="H180" s="24" t="s">
        <v>65</v>
      </c>
      <c r="I180" s="26" t="s">
        <v>65</v>
      </c>
      <c r="J180" s="27">
        <v>3333476</v>
      </c>
      <c r="K180" s="24" t="s">
        <v>195</v>
      </c>
      <c r="L180" s="24" t="s">
        <v>196</v>
      </c>
      <c r="M180" s="24" t="str">
        <f>CONCATENATE(L180," ",K180)</f>
        <v>Colleen Jerger</v>
      </c>
      <c r="N180" s="24" t="s">
        <v>57</v>
      </c>
      <c r="O180" s="28">
        <v>45944</v>
      </c>
      <c r="P180" s="28">
        <v>46156</v>
      </c>
      <c r="Q180" s="29">
        <f>DATEDIF(O180,P180,"M")</f>
        <v>7</v>
      </c>
      <c r="R180" s="28" t="s">
        <v>536</v>
      </c>
      <c r="S180" s="28" t="s">
        <v>1037</v>
      </c>
      <c r="T180" s="30">
        <v>23.05</v>
      </c>
      <c r="U180" s="24">
        <v>1</v>
      </c>
      <c r="V180" s="24" t="s">
        <v>58</v>
      </c>
      <c r="W180" s="24" t="s">
        <v>60</v>
      </c>
      <c r="X180" s="24" t="s">
        <v>61</v>
      </c>
      <c r="Y180" s="30">
        <v>20.74</v>
      </c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</row>
    <row r="181" spans="1:55" s="31" customFormat="1" x14ac:dyDescent="0.3">
      <c r="A181" s="24">
        <v>2031617146</v>
      </c>
      <c r="B181" s="24" t="s">
        <v>201</v>
      </c>
      <c r="C181" s="24" t="s">
        <v>202</v>
      </c>
      <c r="D181" s="5" t="str">
        <f t="shared" si="2"/>
        <v>DAVID WHITE</v>
      </c>
      <c r="E181" s="24" t="s">
        <v>80</v>
      </c>
      <c r="F181" s="24" t="s">
        <v>499</v>
      </c>
      <c r="G181" s="25">
        <v>0.38</v>
      </c>
      <c r="H181" s="24" t="s">
        <v>500</v>
      </c>
      <c r="I181" s="26" t="s">
        <v>500</v>
      </c>
      <c r="J181" s="27" t="s">
        <v>1000</v>
      </c>
      <c r="K181" s="24" t="s">
        <v>99</v>
      </c>
      <c r="L181" s="24" t="s">
        <v>100</v>
      </c>
      <c r="M181" s="24" t="str">
        <f>CONCATENATE(L181," ",K181)</f>
        <v>FRANK LISKOVEC</v>
      </c>
      <c r="N181" s="24" t="s">
        <v>57</v>
      </c>
      <c r="O181" s="28">
        <v>45945</v>
      </c>
      <c r="P181" s="28">
        <v>46157</v>
      </c>
      <c r="Q181" s="29">
        <f>DATEDIF(O181,P181,"M")</f>
        <v>7</v>
      </c>
      <c r="R181" s="28" t="s">
        <v>536</v>
      </c>
      <c r="S181" s="28" t="s">
        <v>1037</v>
      </c>
      <c r="T181" s="30">
        <v>371.07</v>
      </c>
      <c r="U181" s="24">
        <v>1</v>
      </c>
      <c r="V181" s="24" t="s">
        <v>58</v>
      </c>
      <c r="W181" s="24" t="s">
        <v>60</v>
      </c>
      <c r="X181" s="24" t="s">
        <v>61</v>
      </c>
      <c r="Y181" s="30">
        <v>141.01</v>
      </c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</row>
    <row r="182" spans="1:55" s="31" customFormat="1" x14ac:dyDescent="0.3">
      <c r="A182" s="24">
        <v>2031617147</v>
      </c>
      <c r="B182" s="24" t="s">
        <v>201</v>
      </c>
      <c r="C182" s="24" t="s">
        <v>202</v>
      </c>
      <c r="D182" s="5" t="str">
        <f t="shared" si="2"/>
        <v>DAVID WHITE</v>
      </c>
      <c r="E182" s="24" t="s">
        <v>80</v>
      </c>
      <c r="F182" s="24" t="s">
        <v>499</v>
      </c>
      <c r="G182" s="25">
        <v>0.38</v>
      </c>
      <c r="H182" s="24" t="s">
        <v>501</v>
      </c>
      <c r="I182" s="26" t="s">
        <v>500</v>
      </c>
      <c r="J182" s="27" t="s">
        <v>1000</v>
      </c>
      <c r="K182" s="24" t="s">
        <v>99</v>
      </c>
      <c r="L182" s="24" t="s">
        <v>100</v>
      </c>
      <c r="M182" s="24" t="str">
        <f>CONCATENATE(L182," ",K182)</f>
        <v>FRANK LISKOVEC</v>
      </c>
      <c r="N182" s="24" t="s">
        <v>57</v>
      </c>
      <c r="O182" s="28">
        <v>45945</v>
      </c>
      <c r="P182" s="28">
        <v>46157</v>
      </c>
      <c r="Q182" s="29">
        <f>DATEDIF(O182,P182,"M")</f>
        <v>7</v>
      </c>
      <c r="R182" s="28" t="s">
        <v>536</v>
      </c>
      <c r="S182" s="28" t="s">
        <v>1037</v>
      </c>
      <c r="T182" s="30">
        <v>7.09</v>
      </c>
      <c r="U182" s="24">
        <v>1</v>
      </c>
      <c r="V182" s="24" t="s">
        <v>58</v>
      </c>
      <c r="W182" s="24" t="s">
        <v>60</v>
      </c>
      <c r="X182" s="24" t="s">
        <v>61</v>
      </c>
      <c r="Y182" s="30">
        <v>2.69</v>
      </c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</row>
    <row r="183" spans="1:55" s="31" customFormat="1" x14ac:dyDescent="0.3">
      <c r="A183" s="24">
        <v>2031617149</v>
      </c>
      <c r="B183" s="24" t="s">
        <v>201</v>
      </c>
      <c r="C183" s="24" t="s">
        <v>202</v>
      </c>
      <c r="D183" s="5" t="str">
        <f t="shared" si="2"/>
        <v>DAVID WHITE</v>
      </c>
      <c r="E183" s="24" t="s">
        <v>80</v>
      </c>
      <c r="F183" s="24" t="s">
        <v>475</v>
      </c>
      <c r="G183" s="25">
        <v>0.38</v>
      </c>
      <c r="H183" s="24" t="s">
        <v>476</v>
      </c>
      <c r="I183" s="26" t="s">
        <v>476</v>
      </c>
      <c r="J183" s="27" t="s">
        <v>1000</v>
      </c>
      <c r="K183" s="24" t="s">
        <v>99</v>
      </c>
      <c r="L183" s="24" t="s">
        <v>100</v>
      </c>
      <c r="M183" s="24" t="str">
        <f>CONCATENATE(L183," ",K183)</f>
        <v>FRANK LISKOVEC</v>
      </c>
      <c r="N183" s="24" t="s">
        <v>57</v>
      </c>
      <c r="O183" s="28">
        <v>45945</v>
      </c>
      <c r="P183" s="28">
        <v>46157</v>
      </c>
      <c r="Q183" s="29">
        <f>DATEDIF(O183,P183,"M")</f>
        <v>7</v>
      </c>
      <c r="R183" s="28" t="s">
        <v>536</v>
      </c>
      <c r="S183" s="28" t="s">
        <v>1037</v>
      </c>
      <c r="T183" s="30">
        <v>15</v>
      </c>
      <c r="U183" s="24">
        <v>1</v>
      </c>
      <c r="V183" s="24" t="s">
        <v>58</v>
      </c>
      <c r="W183" s="24" t="s">
        <v>60</v>
      </c>
      <c r="X183" s="24" t="s">
        <v>61</v>
      </c>
      <c r="Y183" s="30">
        <v>5.7</v>
      </c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</row>
    <row r="184" spans="1:55" s="31" customFormat="1" x14ac:dyDescent="0.3">
      <c r="A184" s="24">
        <v>2031617148</v>
      </c>
      <c r="B184" s="24" t="s">
        <v>201</v>
      </c>
      <c r="C184" s="24" t="s">
        <v>202</v>
      </c>
      <c r="D184" s="5" t="str">
        <f t="shared" si="2"/>
        <v>DAVID WHITE</v>
      </c>
      <c r="E184" s="24" t="s">
        <v>80</v>
      </c>
      <c r="F184" s="24" t="s">
        <v>53</v>
      </c>
      <c r="G184" s="25">
        <v>0.7</v>
      </c>
      <c r="H184" s="24" t="s">
        <v>54</v>
      </c>
      <c r="I184" s="26" t="s">
        <v>54</v>
      </c>
      <c r="J184" s="27" t="s">
        <v>1000</v>
      </c>
      <c r="K184" s="24" t="s">
        <v>99</v>
      </c>
      <c r="L184" s="24" t="s">
        <v>100</v>
      </c>
      <c r="M184" s="24" t="str">
        <f>CONCATENATE(L184," ",K184)</f>
        <v>FRANK LISKOVEC</v>
      </c>
      <c r="N184" s="24" t="s">
        <v>57</v>
      </c>
      <c r="O184" s="28">
        <v>45945</v>
      </c>
      <c r="P184" s="28">
        <v>46157</v>
      </c>
      <c r="Q184" s="29">
        <f>DATEDIF(O184,P184,"M")</f>
        <v>7</v>
      </c>
      <c r="R184" s="28" t="s">
        <v>536</v>
      </c>
      <c r="S184" s="28" t="s">
        <v>1037</v>
      </c>
      <c r="T184" s="30">
        <v>86.32</v>
      </c>
      <c r="U184" s="24">
        <v>1</v>
      </c>
      <c r="V184" s="24" t="s">
        <v>58</v>
      </c>
      <c r="W184" s="24" t="s">
        <v>60</v>
      </c>
      <c r="X184" s="24" t="s">
        <v>61</v>
      </c>
      <c r="Y184" s="30">
        <v>60.42</v>
      </c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</row>
    <row r="185" spans="1:55" s="31" customFormat="1" x14ac:dyDescent="0.3">
      <c r="A185" s="24">
        <v>2031581265</v>
      </c>
      <c r="B185" s="24" t="s">
        <v>695</v>
      </c>
      <c r="C185" s="24" t="s">
        <v>696</v>
      </c>
      <c r="D185" s="5" t="str">
        <f t="shared" si="2"/>
        <v>SETH PAGET</v>
      </c>
      <c r="E185" s="24" t="s">
        <v>223</v>
      </c>
      <c r="F185" s="24" t="s">
        <v>475</v>
      </c>
      <c r="G185" s="25">
        <v>0.28999999999999998</v>
      </c>
      <c r="H185" s="24" t="s">
        <v>482</v>
      </c>
      <c r="I185" s="26" t="s">
        <v>994</v>
      </c>
      <c r="J185" s="27">
        <v>8046194</v>
      </c>
      <c r="K185" s="24" t="s">
        <v>697</v>
      </c>
      <c r="L185" s="24" t="s">
        <v>698</v>
      </c>
      <c r="M185" s="24" t="str">
        <f>CONCATENATE(L185," ",K185)</f>
        <v>H Allan</v>
      </c>
      <c r="N185" s="24" t="s">
        <v>57</v>
      </c>
      <c r="O185" s="28">
        <v>45942</v>
      </c>
      <c r="P185" s="28">
        <v>46154</v>
      </c>
      <c r="Q185" s="29">
        <f>DATEDIF(O185,P185,"M")</f>
        <v>7</v>
      </c>
      <c r="R185" s="28" t="s">
        <v>536</v>
      </c>
      <c r="S185" s="28" t="s">
        <v>1037</v>
      </c>
      <c r="T185" s="30">
        <v>15</v>
      </c>
      <c r="U185" s="24">
        <v>1</v>
      </c>
      <c r="V185" s="24" t="s">
        <v>58</v>
      </c>
      <c r="W185" s="24" t="s">
        <v>60</v>
      </c>
      <c r="X185" s="24" t="s">
        <v>61</v>
      </c>
      <c r="Y185" s="30">
        <v>4.3499999999999996</v>
      </c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</row>
    <row r="186" spans="1:55" s="31" customFormat="1" x14ac:dyDescent="0.3">
      <c r="A186" s="24">
        <v>2031581263</v>
      </c>
      <c r="B186" s="24" t="s">
        <v>695</v>
      </c>
      <c r="C186" s="24" t="s">
        <v>696</v>
      </c>
      <c r="D186" s="5" t="str">
        <f t="shared" si="2"/>
        <v>SETH PAGET</v>
      </c>
      <c r="E186" s="24" t="s">
        <v>223</v>
      </c>
      <c r="F186" s="24" t="s">
        <v>524</v>
      </c>
      <c r="G186" s="25">
        <v>0.28999999999999998</v>
      </c>
      <c r="H186" s="24" t="s">
        <v>528</v>
      </c>
      <c r="I186" s="26" t="s">
        <v>528</v>
      </c>
      <c r="J186" s="27">
        <v>8046194</v>
      </c>
      <c r="K186" s="24" t="s">
        <v>697</v>
      </c>
      <c r="L186" s="24" t="s">
        <v>698</v>
      </c>
      <c r="M186" s="24" t="str">
        <f>CONCATENATE(L186," ",K186)</f>
        <v>H Allan</v>
      </c>
      <c r="N186" s="24" t="s">
        <v>57</v>
      </c>
      <c r="O186" s="28">
        <v>45942</v>
      </c>
      <c r="P186" s="28">
        <v>46154</v>
      </c>
      <c r="Q186" s="29">
        <f>DATEDIF(O186,P186,"M")</f>
        <v>7</v>
      </c>
      <c r="R186" s="28" t="s">
        <v>536</v>
      </c>
      <c r="S186" s="28" t="s">
        <v>1037</v>
      </c>
      <c r="T186" s="30">
        <v>285.18</v>
      </c>
      <c r="U186" s="24">
        <v>1</v>
      </c>
      <c r="V186" s="24" t="s">
        <v>58</v>
      </c>
      <c r="W186" s="24" t="s">
        <v>60</v>
      </c>
      <c r="X186" s="24" t="s">
        <v>61</v>
      </c>
      <c r="Y186" s="30">
        <v>82.7</v>
      </c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</row>
    <row r="187" spans="1:55" s="31" customFormat="1" x14ac:dyDescent="0.3">
      <c r="A187" s="24">
        <v>2031581264</v>
      </c>
      <c r="B187" s="24" t="s">
        <v>695</v>
      </c>
      <c r="C187" s="24" t="s">
        <v>696</v>
      </c>
      <c r="D187" s="5" t="str">
        <f t="shared" si="2"/>
        <v>SETH PAGET</v>
      </c>
      <c r="E187" s="24" t="s">
        <v>223</v>
      </c>
      <c r="F187" s="24" t="s">
        <v>524</v>
      </c>
      <c r="G187" s="25">
        <v>0.28999999999999998</v>
      </c>
      <c r="H187" s="24" t="s">
        <v>699</v>
      </c>
      <c r="I187" s="26" t="s">
        <v>528</v>
      </c>
      <c r="J187" s="27">
        <v>8046194</v>
      </c>
      <c r="K187" s="24" t="s">
        <v>697</v>
      </c>
      <c r="L187" s="24" t="s">
        <v>698</v>
      </c>
      <c r="M187" s="24" t="str">
        <f>CONCATENATE(L187," ",K187)</f>
        <v>H Allan</v>
      </c>
      <c r="N187" s="24" t="s">
        <v>57</v>
      </c>
      <c r="O187" s="28">
        <v>45942</v>
      </c>
      <c r="P187" s="28">
        <v>46154</v>
      </c>
      <c r="Q187" s="29">
        <f>DATEDIF(O187,P187,"M")</f>
        <v>7</v>
      </c>
      <c r="R187" s="28" t="s">
        <v>536</v>
      </c>
      <c r="S187" s="28" t="s">
        <v>1037</v>
      </c>
      <c r="T187" s="30">
        <v>9.9499999999999993</v>
      </c>
      <c r="U187" s="24">
        <v>1</v>
      </c>
      <c r="V187" s="24" t="s">
        <v>58</v>
      </c>
      <c r="W187" s="24" t="s">
        <v>60</v>
      </c>
      <c r="X187" s="24" t="s">
        <v>61</v>
      </c>
      <c r="Y187" s="30">
        <v>2.89</v>
      </c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</row>
    <row r="188" spans="1:55" s="31" customFormat="1" x14ac:dyDescent="0.3">
      <c r="A188" s="24">
        <v>2031569265</v>
      </c>
      <c r="B188" s="24" t="s">
        <v>189</v>
      </c>
      <c r="C188" s="24" t="s">
        <v>190</v>
      </c>
      <c r="D188" s="5" t="str">
        <f t="shared" si="2"/>
        <v>ETHAN LOIGEROT</v>
      </c>
      <c r="E188" s="24" t="s">
        <v>188</v>
      </c>
      <c r="F188" s="24" t="s">
        <v>53</v>
      </c>
      <c r="G188" s="25">
        <v>0.7</v>
      </c>
      <c r="H188" s="24" t="s">
        <v>54</v>
      </c>
      <c r="I188" s="26" t="s">
        <v>54</v>
      </c>
      <c r="J188" s="27" t="s">
        <v>998</v>
      </c>
      <c r="K188" s="24" t="s">
        <v>71</v>
      </c>
      <c r="L188" s="24" t="s">
        <v>72</v>
      </c>
      <c r="M188" s="24" t="str">
        <f>CONCATENATE(L188," ",K188)</f>
        <v>Jake Shulman</v>
      </c>
      <c r="N188" s="24" t="s">
        <v>57</v>
      </c>
      <c r="O188" s="28">
        <v>45941</v>
      </c>
      <c r="P188" s="28">
        <v>46153</v>
      </c>
      <c r="Q188" s="29">
        <f>DATEDIF(O188,P188,"M")</f>
        <v>7</v>
      </c>
      <c r="R188" s="28" t="s">
        <v>536</v>
      </c>
      <c r="S188" s="28" t="s">
        <v>1037</v>
      </c>
      <c r="T188" s="30">
        <v>56.5</v>
      </c>
      <c r="U188" s="24">
        <v>1</v>
      </c>
      <c r="V188" s="24" t="s">
        <v>58</v>
      </c>
      <c r="W188" s="24" t="s">
        <v>60</v>
      </c>
      <c r="X188" s="24" t="s">
        <v>61</v>
      </c>
      <c r="Y188" s="30">
        <v>39.549999999999997</v>
      </c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</row>
    <row r="189" spans="1:55" s="31" customFormat="1" x14ac:dyDescent="0.3">
      <c r="A189" s="24">
        <v>2031574197</v>
      </c>
      <c r="B189" s="24" t="s">
        <v>191</v>
      </c>
      <c r="C189" s="24" t="s">
        <v>192</v>
      </c>
      <c r="D189" s="5" t="str">
        <f t="shared" si="2"/>
        <v>NARMANDAKH BATTULGA</v>
      </c>
      <c r="E189" s="24" t="s">
        <v>80</v>
      </c>
      <c r="F189" s="24" t="s">
        <v>53</v>
      </c>
      <c r="G189" s="25">
        <v>0.7</v>
      </c>
      <c r="H189" s="24" t="s">
        <v>54</v>
      </c>
      <c r="I189" s="26" t="s">
        <v>54</v>
      </c>
      <c r="J189" s="27" t="s">
        <v>999</v>
      </c>
      <c r="K189" s="24" t="s">
        <v>89</v>
      </c>
      <c r="L189" s="24" t="s">
        <v>90</v>
      </c>
      <c r="M189" s="24" t="str">
        <f>CONCATENATE(L189," ",K189)</f>
        <v>NASANDELGER ZANA</v>
      </c>
      <c r="N189" s="24" t="s">
        <v>57</v>
      </c>
      <c r="O189" s="28">
        <v>45941</v>
      </c>
      <c r="P189" s="28">
        <v>46153</v>
      </c>
      <c r="Q189" s="29">
        <f>DATEDIF(O189,P189,"M")</f>
        <v>7</v>
      </c>
      <c r="R189" s="28" t="s">
        <v>536</v>
      </c>
      <c r="S189" s="28" t="s">
        <v>1037</v>
      </c>
      <c r="T189" s="30">
        <v>42.36</v>
      </c>
      <c r="U189" s="24">
        <v>1</v>
      </c>
      <c r="V189" s="24" t="s">
        <v>58</v>
      </c>
      <c r="W189" s="24" t="s">
        <v>60</v>
      </c>
      <c r="X189" s="24" t="s">
        <v>61</v>
      </c>
      <c r="Y189" s="30">
        <v>29.65</v>
      </c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</row>
    <row r="190" spans="1:55" s="31" customFormat="1" x14ac:dyDescent="0.3">
      <c r="A190" s="24">
        <v>2031608493</v>
      </c>
      <c r="B190" s="24" t="s">
        <v>854</v>
      </c>
      <c r="C190" s="24" t="s">
        <v>855</v>
      </c>
      <c r="D190" s="5" t="str">
        <f t="shared" si="2"/>
        <v>KLAY SHEFFIELD</v>
      </c>
      <c r="E190" s="24" t="s">
        <v>70</v>
      </c>
      <c r="F190" s="24" t="s">
        <v>483</v>
      </c>
      <c r="G190" s="32">
        <v>0.375</v>
      </c>
      <c r="H190" s="24" t="s">
        <v>484</v>
      </c>
      <c r="I190" s="26" t="s">
        <v>484</v>
      </c>
      <c r="J190" s="27" t="s">
        <v>1003</v>
      </c>
      <c r="K190" s="24" t="s">
        <v>134</v>
      </c>
      <c r="L190" s="24" t="s">
        <v>98</v>
      </c>
      <c r="M190" s="24" t="str">
        <f>CONCATENATE(L190," ",K190)</f>
        <v>THOMAS PARDUE</v>
      </c>
      <c r="N190" s="24" t="s">
        <v>57</v>
      </c>
      <c r="O190" s="28">
        <v>45944</v>
      </c>
      <c r="P190" s="28">
        <v>46156</v>
      </c>
      <c r="Q190" s="29">
        <f>DATEDIF(O190,P190,"M")</f>
        <v>7</v>
      </c>
      <c r="R190" s="28" t="s">
        <v>536</v>
      </c>
      <c r="S190" s="28" t="s">
        <v>1037</v>
      </c>
      <c r="T190" s="30">
        <v>33.39</v>
      </c>
      <c r="U190" s="24">
        <v>1</v>
      </c>
      <c r="V190" s="24" t="s">
        <v>58</v>
      </c>
      <c r="W190" s="24" t="s">
        <v>60</v>
      </c>
      <c r="X190" s="24" t="s">
        <v>61</v>
      </c>
      <c r="Y190" s="30">
        <v>12.52</v>
      </c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</row>
    <row r="191" spans="1:55" s="31" customFormat="1" x14ac:dyDescent="0.3">
      <c r="A191" s="24">
        <v>2031641423</v>
      </c>
      <c r="B191" s="24" t="s">
        <v>203</v>
      </c>
      <c r="C191" s="24" t="s">
        <v>204</v>
      </c>
      <c r="D191" s="5" t="str">
        <f t="shared" si="2"/>
        <v>PEYTTON STROUP</v>
      </c>
      <c r="E191" s="24" t="s">
        <v>70</v>
      </c>
      <c r="F191" s="24" t="s">
        <v>483</v>
      </c>
      <c r="G191" s="32">
        <v>0.375</v>
      </c>
      <c r="H191" s="24" t="s">
        <v>484</v>
      </c>
      <c r="I191" s="26" t="s">
        <v>484</v>
      </c>
      <c r="J191" s="27" t="s">
        <v>1003</v>
      </c>
      <c r="K191" s="24" t="s">
        <v>134</v>
      </c>
      <c r="L191" s="24" t="s">
        <v>98</v>
      </c>
      <c r="M191" s="24" t="str">
        <f>CONCATENATE(L191," ",K191)</f>
        <v>THOMAS PARDUE</v>
      </c>
      <c r="N191" s="24" t="s">
        <v>57</v>
      </c>
      <c r="O191" s="28">
        <v>45946</v>
      </c>
      <c r="P191" s="28">
        <v>46158</v>
      </c>
      <c r="Q191" s="29">
        <f>DATEDIF(O191,P191,"M")</f>
        <v>7</v>
      </c>
      <c r="R191" s="28" t="s">
        <v>536</v>
      </c>
      <c r="S191" s="28" t="s">
        <v>1037</v>
      </c>
      <c r="T191" s="30">
        <v>28.38</v>
      </c>
      <c r="U191" s="24">
        <v>1</v>
      </c>
      <c r="V191" s="24" t="s">
        <v>58</v>
      </c>
      <c r="W191" s="24" t="s">
        <v>60</v>
      </c>
      <c r="X191" s="24" t="s">
        <v>61</v>
      </c>
      <c r="Y191" s="30">
        <v>10.64</v>
      </c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</row>
    <row r="192" spans="1:55" s="31" customFormat="1" x14ac:dyDescent="0.3">
      <c r="A192" s="24">
        <v>2031654839</v>
      </c>
      <c r="B192" s="24" t="s">
        <v>856</v>
      </c>
      <c r="C192" s="24" t="s">
        <v>857</v>
      </c>
      <c r="D192" s="5" t="str">
        <f t="shared" si="2"/>
        <v>DARRIN EICK</v>
      </c>
      <c r="E192" s="24" t="s">
        <v>52</v>
      </c>
      <c r="F192" s="24" t="s">
        <v>483</v>
      </c>
      <c r="G192" s="32">
        <v>0.375</v>
      </c>
      <c r="H192" s="24" t="s">
        <v>484</v>
      </c>
      <c r="I192" s="26" t="s">
        <v>484</v>
      </c>
      <c r="J192" s="27" t="s">
        <v>1003</v>
      </c>
      <c r="K192" s="24" t="s">
        <v>134</v>
      </c>
      <c r="L192" s="24" t="s">
        <v>98</v>
      </c>
      <c r="M192" s="24" t="str">
        <f>CONCATENATE(L192," ",K192)</f>
        <v>THOMAS PARDUE</v>
      </c>
      <c r="N192" s="24" t="s">
        <v>57</v>
      </c>
      <c r="O192" s="28">
        <v>45947</v>
      </c>
      <c r="P192" s="28">
        <v>46159</v>
      </c>
      <c r="Q192" s="29">
        <f>DATEDIF(O192,P192,"M")</f>
        <v>7</v>
      </c>
      <c r="R192" s="28" t="s">
        <v>536</v>
      </c>
      <c r="S192" s="28" t="s">
        <v>1037</v>
      </c>
      <c r="T192" s="30">
        <v>51.77</v>
      </c>
      <c r="U192" s="24">
        <v>1</v>
      </c>
      <c r="V192" s="24" t="s">
        <v>58</v>
      </c>
      <c r="W192" s="24" t="s">
        <v>60</v>
      </c>
      <c r="X192" s="24" t="s">
        <v>61</v>
      </c>
      <c r="Y192" s="30">
        <v>19.41</v>
      </c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</row>
    <row r="193" spans="1:55" s="31" customFormat="1" x14ac:dyDescent="0.3">
      <c r="A193" s="24">
        <v>2031641424</v>
      </c>
      <c r="B193" s="24" t="s">
        <v>203</v>
      </c>
      <c r="C193" s="24" t="s">
        <v>204</v>
      </c>
      <c r="D193" s="5" t="str">
        <f t="shared" si="2"/>
        <v>PEYTTON STROUP</v>
      </c>
      <c r="E193" s="24" t="s">
        <v>70</v>
      </c>
      <c r="F193" s="24" t="s">
        <v>53</v>
      </c>
      <c r="G193" s="25">
        <v>0.9</v>
      </c>
      <c r="H193" s="24" t="s">
        <v>65</v>
      </c>
      <c r="I193" s="26" t="s">
        <v>65</v>
      </c>
      <c r="J193" s="27" t="s">
        <v>1003</v>
      </c>
      <c r="K193" s="24" t="s">
        <v>134</v>
      </c>
      <c r="L193" s="24" t="s">
        <v>98</v>
      </c>
      <c r="M193" s="24" t="str">
        <f>CONCATENATE(L193," ",K193)</f>
        <v>THOMAS PARDUE</v>
      </c>
      <c r="N193" s="24" t="s">
        <v>57</v>
      </c>
      <c r="O193" s="28">
        <v>45946</v>
      </c>
      <c r="P193" s="28">
        <v>46158</v>
      </c>
      <c r="Q193" s="29">
        <f>DATEDIF(O193,P193,"M")</f>
        <v>7</v>
      </c>
      <c r="R193" s="28" t="s">
        <v>536</v>
      </c>
      <c r="S193" s="28" t="s">
        <v>1037</v>
      </c>
      <c r="T193" s="30">
        <v>12.92</v>
      </c>
      <c r="U193" s="24">
        <v>1</v>
      </c>
      <c r="V193" s="24" t="s">
        <v>58</v>
      </c>
      <c r="W193" s="24" t="s">
        <v>60</v>
      </c>
      <c r="X193" s="24" t="s">
        <v>61</v>
      </c>
      <c r="Y193" s="30">
        <v>11.63</v>
      </c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</row>
    <row r="194" spans="1:55" s="31" customFormat="1" x14ac:dyDescent="0.3">
      <c r="A194" s="24">
        <v>2031606882</v>
      </c>
      <c r="B194" s="24" t="s">
        <v>197</v>
      </c>
      <c r="C194" s="24" t="s">
        <v>198</v>
      </c>
      <c r="D194" s="5" t="str">
        <f t="shared" si="2"/>
        <v>EMILY GREEN</v>
      </c>
      <c r="E194" s="24" t="s">
        <v>103</v>
      </c>
      <c r="F194" s="24" t="s">
        <v>53</v>
      </c>
      <c r="G194" s="25">
        <v>0.7</v>
      </c>
      <c r="H194" s="24" t="s">
        <v>54</v>
      </c>
      <c r="I194" s="26" t="s">
        <v>54</v>
      </c>
      <c r="J194" s="27" t="s">
        <v>1010</v>
      </c>
      <c r="K194" s="24" t="s">
        <v>199</v>
      </c>
      <c r="L194" s="24" t="s">
        <v>200</v>
      </c>
      <c r="M194" s="24" t="str">
        <f>CONCATENATE(L194," ",K194)</f>
        <v>WILLIAM GESKE</v>
      </c>
      <c r="N194" s="24" t="s">
        <v>57</v>
      </c>
      <c r="O194" s="28">
        <v>45944</v>
      </c>
      <c r="P194" s="28">
        <v>46156</v>
      </c>
      <c r="Q194" s="29">
        <f>DATEDIF(O194,P194,"M")</f>
        <v>7</v>
      </c>
      <c r="R194" s="28" t="s">
        <v>536</v>
      </c>
      <c r="S194" s="28" t="s">
        <v>1037</v>
      </c>
      <c r="T194" s="30">
        <v>9.1</v>
      </c>
      <c r="U194" s="24">
        <v>1</v>
      </c>
      <c r="V194" s="24" t="s">
        <v>58</v>
      </c>
      <c r="W194" s="24" t="s">
        <v>60</v>
      </c>
      <c r="X194" s="24" t="s">
        <v>61</v>
      </c>
      <c r="Y194" s="30">
        <v>6.37</v>
      </c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</row>
    <row r="195" spans="1:55" x14ac:dyDescent="0.3">
      <c r="A195" s="5">
        <v>2030945328</v>
      </c>
      <c r="B195" s="5" t="s">
        <v>174</v>
      </c>
      <c r="C195" s="5" t="s">
        <v>175</v>
      </c>
      <c r="D195" s="5" t="str">
        <f t="shared" ref="D195:D258" si="3">CONCATENATE(C195," ",B195)</f>
        <v>MICHAEL ITURBE</v>
      </c>
      <c r="E195" s="5" t="s">
        <v>80</v>
      </c>
      <c r="F195" s="5" t="s">
        <v>53</v>
      </c>
      <c r="G195" s="17">
        <v>0.7</v>
      </c>
      <c r="H195" s="5" t="s">
        <v>54</v>
      </c>
      <c r="I195" s="18" t="s">
        <v>54</v>
      </c>
      <c r="J195" s="19" t="s">
        <v>1008</v>
      </c>
      <c r="K195" s="5" t="s">
        <v>176</v>
      </c>
      <c r="L195" s="5" t="s">
        <v>177</v>
      </c>
      <c r="M195" s="5" t="str">
        <f>CONCATENATE(L195," ",K195)</f>
        <v>JOSE TORRES</v>
      </c>
      <c r="N195" s="5" t="s">
        <v>57</v>
      </c>
      <c r="O195" s="6">
        <v>45915</v>
      </c>
      <c r="P195" s="6">
        <v>46157</v>
      </c>
      <c r="Q195" s="22">
        <f>DATEDIF(O195,P195,"M")</f>
        <v>8</v>
      </c>
      <c r="R195" s="28" t="s">
        <v>536</v>
      </c>
      <c r="S195" s="28" t="s">
        <v>1037</v>
      </c>
      <c r="T195" s="7">
        <v>27.5</v>
      </c>
      <c r="U195" s="5">
        <v>1</v>
      </c>
      <c r="V195" s="5" t="s">
        <v>58</v>
      </c>
      <c r="W195" s="5" t="s">
        <v>60</v>
      </c>
      <c r="X195" s="5" t="s">
        <v>61</v>
      </c>
      <c r="Y195" s="7">
        <v>19.25</v>
      </c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</row>
    <row r="196" spans="1:55" x14ac:dyDescent="0.3">
      <c r="A196" s="5">
        <v>2031017069</v>
      </c>
      <c r="B196" s="5" t="s">
        <v>180</v>
      </c>
      <c r="C196" s="5" t="s">
        <v>175</v>
      </c>
      <c r="D196" s="5" t="str">
        <f t="shared" si="3"/>
        <v>MICHAEL DECKARD</v>
      </c>
      <c r="E196" s="5" t="s">
        <v>64</v>
      </c>
      <c r="F196" s="5" t="s">
        <v>444</v>
      </c>
      <c r="G196" s="17">
        <v>0.9</v>
      </c>
      <c r="H196" s="5" t="s">
        <v>567</v>
      </c>
      <c r="I196" s="18" t="s">
        <v>981</v>
      </c>
      <c r="J196" s="19" t="s">
        <v>997</v>
      </c>
      <c r="K196" s="5" t="s">
        <v>66</v>
      </c>
      <c r="L196" s="5" t="s">
        <v>67</v>
      </c>
      <c r="M196" s="5" t="str">
        <f>CONCATENATE(L196," ",K196)</f>
        <v>Marsha Sanderock</v>
      </c>
      <c r="N196" s="5" t="s">
        <v>57</v>
      </c>
      <c r="O196" s="6">
        <v>45913</v>
      </c>
      <c r="P196" s="6">
        <v>46155</v>
      </c>
      <c r="Q196" s="22">
        <f>DATEDIF(O196,P196,"M")</f>
        <v>8</v>
      </c>
      <c r="R196" s="28" t="s">
        <v>536</v>
      </c>
      <c r="S196" s="28" t="s">
        <v>1037</v>
      </c>
      <c r="T196" s="7">
        <v>55</v>
      </c>
      <c r="U196" s="5">
        <v>1</v>
      </c>
      <c r="V196" s="5" t="s">
        <v>58</v>
      </c>
      <c r="W196" s="5" t="s">
        <v>60</v>
      </c>
      <c r="X196" s="5" t="s">
        <v>61</v>
      </c>
      <c r="Y196" s="7">
        <v>49.5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</row>
    <row r="197" spans="1:55" x14ac:dyDescent="0.3">
      <c r="A197" s="5">
        <v>2031017071</v>
      </c>
      <c r="B197" s="5" t="s">
        <v>180</v>
      </c>
      <c r="C197" s="5" t="s">
        <v>175</v>
      </c>
      <c r="D197" s="5" t="str">
        <f t="shared" si="3"/>
        <v>MICHAEL DECKARD</v>
      </c>
      <c r="E197" s="5" t="s">
        <v>64</v>
      </c>
      <c r="F197" s="5" t="s">
        <v>475</v>
      </c>
      <c r="G197" s="17">
        <v>0.19</v>
      </c>
      <c r="H197" s="5" t="s">
        <v>765</v>
      </c>
      <c r="I197" s="18" t="s">
        <v>765</v>
      </c>
      <c r="J197" s="19" t="s">
        <v>997</v>
      </c>
      <c r="K197" s="5" t="s">
        <v>66</v>
      </c>
      <c r="L197" s="5" t="s">
        <v>67</v>
      </c>
      <c r="M197" s="5" t="str">
        <f>CONCATENATE(L197," ",K197)</f>
        <v>Marsha Sanderock</v>
      </c>
      <c r="N197" s="5" t="s">
        <v>57</v>
      </c>
      <c r="O197" s="6">
        <v>45913</v>
      </c>
      <c r="P197" s="6">
        <v>46155</v>
      </c>
      <c r="Q197" s="22">
        <f>DATEDIF(O197,P197,"M")</f>
        <v>8</v>
      </c>
      <c r="R197" s="28" t="s">
        <v>536</v>
      </c>
      <c r="S197" s="28" t="s">
        <v>1037</v>
      </c>
      <c r="T197" s="7">
        <v>15</v>
      </c>
      <c r="U197" s="5">
        <v>1</v>
      </c>
      <c r="V197" s="5" t="s">
        <v>58</v>
      </c>
      <c r="W197" s="5" t="s">
        <v>60</v>
      </c>
      <c r="X197" s="5" t="s">
        <v>61</v>
      </c>
      <c r="Y197" s="7">
        <v>2.85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</row>
    <row r="198" spans="1:55" x14ac:dyDescent="0.3">
      <c r="A198" s="5">
        <v>2031017070</v>
      </c>
      <c r="B198" s="5" t="s">
        <v>180</v>
      </c>
      <c r="C198" s="5" t="s">
        <v>175</v>
      </c>
      <c r="D198" s="5" t="str">
        <f t="shared" si="3"/>
        <v>MICHAEL DECKARD</v>
      </c>
      <c r="E198" s="5" t="s">
        <v>64</v>
      </c>
      <c r="F198" s="5" t="s">
        <v>524</v>
      </c>
      <c r="G198" s="17">
        <v>0.19</v>
      </c>
      <c r="H198" s="5" t="s">
        <v>694</v>
      </c>
      <c r="I198" s="18" t="s">
        <v>982</v>
      </c>
      <c r="J198" s="19" t="s">
        <v>997</v>
      </c>
      <c r="K198" s="5" t="s">
        <v>66</v>
      </c>
      <c r="L198" s="5" t="s">
        <v>67</v>
      </c>
      <c r="M198" s="5" t="str">
        <f>CONCATENATE(L198," ",K198)</f>
        <v>Marsha Sanderock</v>
      </c>
      <c r="N198" s="5" t="s">
        <v>57</v>
      </c>
      <c r="O198" s="6">
        <v>45913</v>
      </c>
      <c r="P198" s="6">
        <v>46155</v>
      </c>
      <c r="Q198" s="22">
        <f>DATEDIF(O198,P198,"M")</f>
        <v>8</v>
      </c>
      <c r="R198" s="28" t="s">
        <v>536</v>
      </c>
      <c r="S198" s="28" t="s">
        <v>1037</v>
      </c>
      <c r="T198" s="7">
        <v>262.94</v>
      </c>
      <c r="U198" s="5">
        <v>1</v>
      </c>
      <c r="V198" s="5" t="s">
        <v>58</v>
      </c>
      <c r="W198" s="5" t="s">
        <v>60</v>
      </c>
      <c r="X198" s="5" t="s">
        <v>61</v>
      </c>
      <c r="Y198" s="7">
        <v>49.96</v>
      </c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</row>
    <row r="199" spans="1:55" x14ac:dyDescent="0.3">
      <c r="A199" s="5">
        <v>2031017068</v>
      </c>
      <c r="B199" s="5" t="s">
        <v>180</v>
      </c>
      <c r="C199" s="5" t="s">
        <v>175</v>
      </c>
      <c r="D199" s="5" t="str">
        <f t="shared" si="3"/>
        <v>MICHAEL DECKARD</v>
      </c>
      <c r="E199" s="5" t="s">
        <v>64</v>
      </c>
      <c r="F199" s="5" t="s">
        <v>53</v>
      </c>
      <c r="G199" s="17">
        <v>0.7</v>
      </c>
      <c r="H199" s="5" t="s">
        <v>54</v>
      </c>
      <c r="I199" s="18" t="s">
        <v>54</v>
      </c>
      <c r="J199" s="19" t="s">
        <v>997</v>
      </c>
      <c r="K199" s="5" t="s">
        <v>66</v>
      </c>
      <c r="L199" s="5" t="s">
        <v>67</v>
      </c>
      <c r="M199" s="5" t="str">
        <f>CONCATENATE(L199," ",K199)</f>
        <v>Marsha Sanderock</v>
      </c>
      <c r="N199" s="5" t="s">
        <v>57</v>
      </c>
      <c r="O199" s="6">
        <v>45913</v>
      </c>
      <c r="P199" s="6">
        <v>46155</v>
      </c>
      <c r="Q199" s="22">
        <f>DATEDIF(O199,P199,"M")</f>
        <v>8</v>
      </c>
      <c r="R199" s="28" t="s">
        <v>536</v>
      </c>
      <c r="S199" s="28" t="s">
        <v>1037</v>
      </c>
      <c r="T199" s="7">
        <v>14.92</v>
      </c>
      <c r="U199" s="5">
        <v>1</v>
      </c>
      <c r="V199" s="5" t="s">
        <v>58</v>
      </c>
      <c r="W199" s="5" t="s">
        <v>60</v>
      </c>
      <c r="X199" s="5" t="s">
        <v>61</v>
      </c>
      <c r="Y199" s="7">
        <v>10.44</v>
      </c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</row>
    <row r="200" spans="1:55" x14ac:dyDescent="0.3">
      <c r="A200" s="5">
        <v>2031017067</v>
      </c>
      <c r="B200" s="5" t="s">
        <v>180</v>
      </c>
      <c r="C200" s="5" t="s">
        <v>175</v>
      </c>
      <c r="D200" s="5" t="str">
        <f t="shared" si="3"/>
        <v>MICHAEL DECKARD</v>
      </c>
      <c r="E200" s="5" t="s">
        <v>64</v>
      </c>
      <c r="F200" s="5" t="s">
        <v>483</v>
      </c>
      <c r="G200" s="20">
        <v>0.375</v>
      </c>
      <c r="H200" s="5" t="s">
        <v>484</v>
      </c>
      <c r="I200" s="18" t="s">
        <v>484</v>
      </c>
      <c r="J200" s="19" t="s">
        <v>997</v>
      </c>
      <c r="K200" s="5" t="s">
        <v>66</v>
      </c>
      <c r="L200" s="5" t="s">
        <v>67</v>
      </c>
      <c r="M200" s="5" t="str">
        <f>CONCATENATE(L200," ",K200)</f>
        <v>Marsha Sanderock</v>
      </c>
      <c r="N200" s="5" t="s">
        <v>57</v>
      </c>
      <c r="O200" s="6">
        <v>45913</v>
      </c>
      <c r="P200" s="6">
        <v>46155</v>
      </c>
      <c r="Q200" s="22">
        <f>DATEDIF(O200,P200,"M")</f>
        <v>8</v>
      </c>
      <c r="R200" s="28" t="s">
        <v>536</v>
      </c>
      <c r="S200" s="28" t="s">
        <v>1037</v>
      </c>
      <c r="T200" s="7">
        <v>58.15</v>
      </c>
      <c r="U200" s="5">
        <v>1</v>
      </c>
      <c r="V200" s="5" t="s">
        <v>58</v>
      </c>
      <c r="W200" s="5" t="s">
        <v>60</v>
      </c>
      <c r="X200" s="5" t="s">
        <v>61</v>
      </c>
      <c r="Y200" s="7">
        <v>21.81</v>
      </c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</row>
    <row r="201" spans="1:55" x14ac:dyDescent="0.3">
      <c r="A201" s="5">
        <v>2031073871</v>
      </c>
      <c r="B201" s="5" t="s">
        <v>184</v>
      </c>
      <c r="C201" s="5" t="s">
        <v>185</v>
      </c>
      <c r="D201" s="5" t="str">
        <f t="shared" si="3"/>
        <v>ENKHJARGAL NYAMJAV</v>
      </c>
      <c r="E201" s="5" t="s">
        <v>80</v>
      </c>
      <c r="F201" s="5" t="s">
        <v>53</v>
      </c>
      <c r="G201" s="17">
        <v>0.7</v>
      </c>
      <c r="H201" s="5" t="s">
        <v>54</v>
      </c>
      <c r="I201" s="18" t="s">
        <v>54</v>
      </c>
      <c r="J201" s="19" t="s">
        <v>999</v>
      </c>
      <c r="K201" s="5" t="s">
        <v>89</v>
      </c>
      <c r="L201" s="5" t="s">
        <v>90</v>
      </c>
      <c r="M201" s="5" t="str">
        <f>CONCATENATE(L201," ",K201)</f>
        <v>NASANDELGER ZANA</v>
      </c>
      <c r="N201" s="5" t="s">
        <v>57</v>
      </c>
      <c r="O201" s="6">
        <v>45916</v>
      </c>
      <c r="P201" s="6">
        <v>46158</v>
      </c>
      <c r="Q201" s="22">
        <f>DATEDIF(O201,P201,"M")</f>
        <v>8</v>
      </c>
      <c r="R201" s="28" t="s">
        <v>536</v>
      </c>
      <c r="S201" s="28" t="s">
        <v>1037</v>
      </c>
      <c r="T201" s="7">
        <v>96</v>
      </c>
      <c r="U201" s="5">
        <v>1</v>
      </c>
      <c r="V201" s="5" t="s">
        <v>58</v>
      </c>
      <c r="W201" s="5" t="s">
        <v>60</v>
      </c>
      <c r="X201" s="5" t="s">
        <v>61</v>
      </c>
      <c r="Y201" s="7">
        <v>67.2</v>
      </c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</row>
    <row r="202" spans="1:55" x14ac:dyDescent="0.3">
      <c r="A202" s="5">
        <v>2030982989</v>
      </c>
      <c r="B202" s="5" t="s">
        <v>178</v>
      </c>
      <c r="C202" s="5" t="s">
        <v>179</v>
      </c>
      <c r="D202" s="5" t="str">
        <f t="shared" si="3"/>
        <v>STUART ELMAN</v>
      </c>
      <c r="E202" s="5" t="s">
        <v>52</v>
      </c>
      <c r="F202" s="5" t="s">
        <v>444</v>
      </c>
      <c r="G202" s="17">
        <v>0.75</v>
      </c>
      <c r="H202" s="5" t="s">
        <v>451</v>
      </c>
      <c r="I202" s="18" t="s">
        <v>980</v>
      </c>
      <c r="J202" s="19" t="s">
        <v>984</v>
      </c>
      <c r="K202" s="5" t="s">
        <v>120</v>
      </c>
      <c r="L202" s="5" t="s">
        <v>121</v>
      </c>
      <c r="M202" s="5" t="str">
        <f>CONCATENATE(L202," ",K202)</f>
        <v>Richard Yale</v>
      </c>
      <c r="N202" s="5" t="s">
        <v>57</v>
      </c>
      <c r="O202" s="6">
        <v>45915</v>
      </c>
      <c r="P202" s="6">
        <v>46157</v>
      </c>
      <c r="Q202" s="22">
        <f>DATEDIF(O202,P202,"M")</f>
        <v>8</v>
      </c>
      <c r="R202" s="28" t="s">
        <v>536</v>
      </c>
      <c r="S202" s="28" t="s">
        <v>1037</v>
      </c>
      <c r="T202" s="7">
        <v>62.71</v>
      </c>
      <c r="U202" s="5">
        <v>1</v>
      </c>
      <c r="V202" s="5" t="s">
        <v>58</v>
      </c>
      <c r="W202" s="5" t="s">
        <v>60</v>
      </c>
      <c r="X202" s="5" t="s">
        <v>61</v>
      </c>
      <c r="Y202" s="7">
        <v>47.03</v>
      </c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</row>
    <row r="203" spans="1:55" x14ac:dyDescent="0.3">
      <c r="A203" s="5">
        <v>2030982991</v>
      </c>
      <c r="B203" s="5" t="s">
        <v>178</v>
      </c>
      <c r="C203" s="5" t="s">
        <v>179</v>
      </c>
      <c r="D203" s="5" t="str">
        <f t="shared" si="3"/>
        <v>STUART ELMAN</v>
      </c>
      <c r="E203" s="5" t="s">
        <v>52</v>
      </c>
      <c r="F203" s="5" t="s">
        <v>53</v>
      </c>
      <c r="G203" s="17">
        <v>0.7</v>
      </c>
      <c r="H203" s="5" t="s">
        <v>54</v>
      </c>
      <c r="I203" s="18" t="s">
        <v>54</v>
      </c>
      <c r="J203" s="19" t="s">
        <v>984</v>
      </c>
      <c r="K203" s="5" t="s">
        <v>120</v>
      </c>
      <c r="L203" s="5" t="s">
        <v>121</v>
      </c>
      <c r="M203" s="5" t="str">
        <f>CONCATENATE(L203," ",K203)</f>
        <v>Richard Yale</v>
      </c>
      <c r="N203" s="5" t="s">
        <v>57</v>
      </c>
      <c r="O203" s="6">
        <v>45915</v>
      </c>
      <c r="P203" s="6">
        <v>46157</v>
      </c>
      <c r="Q203" s="22">
        <f>DATEDIF(O203,P203,"M")</f>
        <v>8</v>
      </c>
      <c r="R203" s="28" t="s">
        <v>536</v>
      </c>
      <c r="S203" s="28" t="s">
        <v>1037</v>
      </c>
      <c r="T203" s="7">
        <v>94.01</v>
      </c>
      <c r="U203" s="5">
        <v>1</v>
      </c>
      <c r="V203" s="5" t="s">
        <v>58</v>
      </c>
      <c r="W203" s="5" t="s">
        <v>60</v>
      </c>
      <c r="X203" s="5" t="s">
        <v>61</v>
      </c>
      <c r="Y203" s="7">
        <v>65.81</v>
      </c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</row>
    <row r="204" spans="1:55" x14ac:dyDescent="0.3">
      <c r="A204" s="5">
        <v>2030982990</v>
      </c>
      <c r="B204" s="5" t="s">
        <v>178</v>
      </c>
      <c r="C204" s="5" t="s">
        <v>179</v>
      </c>
      <c r="D204" s="5" t="str">
        <f t="shared" si="3"/>
        <v>STUART ELMAN</v>
      </c>
      <c r="E204" s="5" t="s">
        <v>52</v>
      </c>
      <c r="F204" s="5" t="s">
        <v>483</v>
      </c>
      <c r="G204" s="20">
        <v>0.375</v>
      </c>
      <c r="H204" s="5" t="s">
        <v>484</v>
      </c>
      <c r="I204" s="18" t="s">
        <v>484</v>
      </c>
      <c r="J204" s="19" t="s">
        <v>984</v>
      </c>
      <c r="K204" s="5" t="s">
        <v>120</v>
      </c>
      <c r="L204" s="5" t="s">
        <v>121</v>
      </c>
      <c r="M204" s="5" t="str">
        <f>CONCATENATE(L204," ",K204)</f>
        <v>Richard Yale</v>
      </c>
      <c r="N204" s="5" t="s">
        <v>57</v>
      </c>
      <c r="O204" s="6">
        <v>45915</v>
      </c>
      <c r="P204" s="6">
        <v>46157</v>
      </c>
      <c r="Q204" s="22">
        <f>DATEDIF(O204,P204,"M")</f>
        <v>8</v>
      </c>
      <c r="R204" s="28" t="s">
        <v>536</v>
      </c>
      <c r="S204" s="28" t="s">
        <v>1037</v>
      </c>
      <c r="T204" s="7">
        <v>243.49</v>
      </c>
      <c r="U204" s="5">
        <v>1</v>
      </c>
      <c r="V204" s="5" t="s">
        <v>58</v>
      </c>
      <c r="W204" s="5" t="s">
        <v>60</v>
      </c>
      <c r="X204" s="5" t="s">
        <v>61</v>
      </c>
      <c r="Y204" s="7">
        <v>91.31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</row>
    <row r="205" spans="1:55" x14ac:dyDescent="0.3">
      <c r="A205" s="5">
        <v>2030519283</v>
      </c>
      <c r="B205" s="5" t="s">
        <v>166</v>
      </c>
      <c r="C205" s="5" t="s">
        <v>56</v>
      </c>
      <c r="D205" s="5" t="str">
        <f t="shared" si="3"/>
        <v>GREGORY BIBA</v>
      </c>
      <c r="E205" s="5" t="s">
        <v>80</v>
      </c>
      <c r="F205" s="5" t="s">
        <v>53</v>
      </c>
      <c r="G205" s="17">
        <v>0.9</v>
      </c>
      <c r="H205" s="5" t="s">
        <v>65</v>
      </c>
      <c r="I205" s="18" t="s">
        <v>65</v>
      </c>
      <c r="J205" s="19" t="s">
        <v>1007</v>
      </c>
      <c r="K205" s="5" t="s">
        <v>167</v>
      </c>
      <c r="L205" s="5" t="s">
        <v>168</v>
      </c>
      <c r="M205" s="5" t="str">
        <f>CONCATENATE(L205," ",K205)</f>
        <v>Andrew Choi</v>
      </c>
      <c r="N205" s="5" t="s">
        <v>57</v>
      </c>
      <c r="O205" s="6">
        <v>45885</v>
      </c>
      <c r="P205" s="6">
        <v>46158</v>
      </c>
      <c r="Q205" s="22">
        <f>DATEDIF(O205,P205,"M")</f>
        <v>9</v>
      </c>
      <c r="R205" s="28" t="s">
        <v>536</v>
      </c>
      <c r="S205" s="28" t="s">
        <v>1037</v>
      </c>
      <c r="T205" s="7">
        <v>242.88</v>
      </c>
      <c r="U205" s="5">
        <v>1</v>
      </c>
      <c r="V205" s="5" t="s">
        <v>58</v>
      </c>
      <c r="W205" s="5" t="s">
        <v>60</v>
      </c>
      <c r="X205" s="5" t="s">
        <v>61</v>
      </c>
      <c r="Y205" s="7">
        <v>218.59</v>
      </c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</row>
    <row r="206" spans="1:55" x14ac:dyDescent="0.3">
      <c r="A206" s="5">
        <v>2030427172</v>
      </c>
      <c r="B206" s="5" t="s">
        <v>142</v>
      </c>
      <c r="C206" s="5" t="s">
        <v>143</v>
      </c>
      <c r="D206" s="5" t="str">
        <f t="shared" si="3"/>
        <v>JOHNSON CURTIS</v>
      </c>
      <c r="E206" s="5" t="s">
        <v>126</v>
      </c>
      <c r="F206" s="5" t="s">
        <v>53</v>
      </c>
      <c r="G206" s="17">
        <v>0.7</v>
      </c>
      <c r="H206" s="5" t="s">
        <v>54</v>
      </c>
      <c r="I206" s="18" t="s">
        <v>54</v>
      </c>
      <c r="J206" s="19" t="s">
        <v>1002</v>
      </c>
      <c r="K206" s="5" t="s">
        <v>127</v>
      </c>
      <c r="L206" s="5" t="s">
        <v>128</v>
      </c>
      <c r="M206" s="5" t="str">
        <f>CONCATENATE(L206," ",K206)</f>
        <v>CHRISTIAN TAUGNER</v>
      </c>
      <c r="N206" s="5" t="s">
        <v>57</v>
      </c>
      <c r="O206" s="6">
        <v>45881</v>
      </c>
      <c r="P206" s="6">
        <v>46154</v>
      </c>
      <c r="Q206" s="22">
        <f>DATEDIF(O206,P206,"M")</f>
        <v>9</v>
      </c>
      <c r="R206" s="28" t="s">
        <v>536</v>
      </c>
      <c r="S206" s="28" t="s">
        <v>1037</v>
      </c>
      <c r="T206" s="7">
        <v>69.06</v>
      </c>
      <c r="U206" s="5">
        <v>1</v>
      </c>
      <c r="V206" s="5" t="s">
        <v>58</v>
      </c>
      <c r="W206" s="5" t="s">
        <v>60</v>
      </c>
      <c r="X206" s="5" t="s">
        <v>61</v>
      </c>
      <c r="Y206" s="7">
        <v>48.34</v>
      </c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</row>
    <row r="207" spans="1:55" x14ac:dyDescent="0.3">
      <c r="A207" s="5">
        <v>2030427171</v>
      </c>
      <c r="B207" s="5" t="s">
        <v>142</v>
      </c>
      <c r="C207" s="5" t="s">
        <v>143</v>
      </c>
      <c r="D207" s="5" t="str">
        <f t="shared" si="3"/>
        <v>JOHNSON CURTIS</v>
      </c>
      <c r="E207" s="5" t="s">
        <v>126</v>
      </c>
      <c r="F207" s="5" t="s">
        <v>53</v>
      </c>
      <c r="G207" s="17">
        <v>0.9</v>
      </c>
      <c r="H207" s="5" t="s">
        <v>65</v>
      </c>
      <c r="I207" s="18" t="s">
        <v>65</v>
      </c>
      <c r="J207" s="19" t="s">
        <v>1002</v>
      </c>
      <c r="K207" s="5" t="s">
        <v>127</v>
      </c>
      <c r="L207" s="5" t="s">
        <v>128</v>
      </c>
      <c r="M207" s="5" t="str">
        <f>CONCATENATE(L207," ",K207)</f>
        <v>CHRISTIAN TAUGNER</v>
      </c>
      <c r="N207" s="5" t="s">
        <v>57</v>
      </c>
      <c r="O207" s="6">
        <v>45881</v>
      </c>
      <c r="P207" s="6">
        <v>46154</v>
      </c>
      <c r="Q207" s="22">
        <f>DATEDIF(O207,P207,"M")</f>
        <v>9</v>
      </c>
      <c r="R207" s="28" t="s">
        <v>536</v>
      </c>
      <c r="S207" s="28" t="s">
        <v>1037</v>
      </c>
      <c r="T207" s="7">
        <v>159.31</v>
      </c>
      <c r="U207" s="5">
        <v>1</v>
      </c>
      <c r="V207" s="5" t="s">
        <v>58</v>
      </c>
      <c r="W207" s="5" t="s">
        <v>60</v>
      </c>
      <c r="X207" s="5" t="s">
        <v>61</v>
      </c>
      <c r="Y207" s="7">
        <v>143.38</v>
      </c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</row>
    <row r="208" spans="1:55" x14ac:dyDescent="0.3">
      <c r="A208" s="5">
        <v>2030455582</v>
      </c>
      <c r="B208" s="5" t="s">
        <v>152</v>
      </c>
      <c r="C208" s="5" t="s">
        <v>153</v>
      </c>
      <c r="D208" s="5" t="str">
        <f t="shared" si="3"/>
        <v>JASON TROUT</v>
      </c>
      <c r="E208" s="5" t="s">
        <v>103</v>
      </c>
      <c r="F208" s="5" t="s">
        <v>444</v>
      </c>
      <c r="G208" s="17">
        <v>0.65</v>
      </c>
      <c r="H208" s="5" t="s">
        <v>466</v>
      </c>
      <c r="I208" s="18" t="s">
        <v>993</v>
      </c>
      <c r="J208" s="19" t="s">
        <v>1001</v>
      </c>
      <c r="K208" s="5" t="s">
        <v>104</v>
      </c>
      <c r="L208" s="5" t="s">
        <v>105</v>
      </c>
      <c r="M208" s="5" t="str">
        <f>CONCATENATE(L208," ",K208)</f>
        <v>Heather Geske</v>
      </c>
      <c r="N208" s="5" t="s">
        <v>57</v>
      </c>
      <c r="O208" s="6">
        <v>45882</v>
      </c>
      <c r="P208" s="6">
        <v>46155</v>
      </c>
      <c r="Q208" s="22">
        <f>DATEDIF(O208,P208,"M")</f>
        <v>9</v>
      </c>
      <c r="R208" s="28" t="s">
        <v>536</v>
      </c>
      <c r="S208" s="28" t="s">
        <v>1037</v>
      </c>
      <c r="T208" s="7">
        <v>29.88</v>
      </c>
      <c r="U208" s="5">
        <v>1</v>
      </c>
      <c r="V208" s="5" t="s">
        <v>58</v>
      </c>
      <c r="W208" s="5" t="s">
        <v>60</v>
      </c>
      <c r="X208" s="5" t="s">
        <v>61</v>
      </c>
      <c r="Y208" s="7">
        <v>19.420000000000002</v>
      </c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</row>
    <row r="209" spans="1:55" x14ac:dyDescent="0.3">
      <c r="A209" s="5">
        <v>2030455579</v>
      </c>
      <c r="B209" s="5" t="s">
        <v>152</v>
      </c>
      <c r="C209" s="5" t="s">
        <v>153</v>
      </c>
      <c r="D209" s="5" t="str">
        <f t="shared" si="3"/>
        <v>JASON TROUT</v>
      </c>
      <c r="E209" s="5" t="s">
        <v>103</v>
      </c>
      <c r="F209" s="5" t="s">
        <v>499</v>
      </c>
      <c r="G209" s="17">
        <v>0.38</v>
      </c>
      <c r="H209" s="5" t="s">
        <v>502</v>
      </c>
      <c r="I209" s="18" t="s">
        <v>502</v>
      </c>
      <c r="J209" s="19" t="s">
        <v>1001</v>
      </c>
      <c r="K209" s="5" t="s">
        <v>104</v>
      </c>
      <c r="L209" s="5" t="s">
        <v>105</v>
      </c>
      <c r="M209" s="5" t="str">
        <f>CONCATENATE(L209," ",K209)</f>
        <v>Heather Geske</v>
      </c>
      <c r="N209" s="5" t="s">
        <v>57</v>
      </c>
      <c r="O209" s="6">
        <v>45882</v>
      </c>
      <c r="P209" s="6">
        <v>46155</v>
      </c>
      <c r="Q209" s="22">
        <f>DATEDIF(O209,P209,"M")</f>
        <v>9</v>
      </c>
      <c r="R209" s="28" t="s">
        <v>536</v>
      </c>
      <c r="S209" s="28" t="s">
        <v>1037</v>
      </c>
      <c r="T209" s="7">
        <v>60.5</v>
      </c>
      <c r="U209" s="5">
        <v>1</v>
      </c>
      <c r="V209" s="5" t="s">
        <v>58</v>
      </c>
      <c r="W209" s="5" t="s">
        <v>60</v>
      </c>
      <c r="X209" s="5" t="s">
        <v>61</v>
      </c>
      <c r="Y209" s="7">
        <v>22.99</v>
      </c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</row>
    <row r="210" spans="1:55" x14ac:dyDescent="0.3">
      <c r="A210" s="5">
        <v>2030455581</v>
      </c>
      <c r="B210" s="5" t="s">
        <v>152</v>
      </c>
      <c r="C210" s="5" t="s">
        <v>153</v>
      </c>
      <c r="D210" s="5" t="str">
        <f t="shared" si="3"/>
        <v>JASON TROUT</v>
      </c>
      <c r="E210" s="5" t="s">
        <v>103</v>
      </c>
      <c r="F210" s="5" t="s">
        <v>53</v>
      </c>
      <c r="G210" s="17">
        <v>0.7</v>
      </c>
      <c r="H210" s="5" t="s">
        <v>54</v>
      </c>
      <c r="I210" s="18" t="s">
        <v>54</v>
      </c>
      <c r="J210" s="19" t="s">
        <v>1001</v>
      </c>
      <c r="K210" s="5" t="s">
        <v>104</v>
      </c>
      <c r="L210" s="5" t="s">
        <v>105</v>
      </c>
      <c r="M210" s="5" t="str">
        <f>CONCATENATE(L210," ",K210)</f>
        <v>Heather Geske</v>
      </c>
      <c r="N210" s="5" t="s">
        <v>57</v>
      </c>
      <c r="O210" s="6">
        <v>45882</v>
      </c>
      <c r="P210" s="6">
        <v>46155</v>
      </c>
      <c r="Q210" s="22">
        <f>DATEDIF(O210,P210,"M")</f>
        <v>9</v>
      </c>
      <c r="R210" s="28" t="s">
        <v>536</v>
      </c>
      <c r="S210" s="28" t="s">
        <v>1037</v>
      </c>
      <c r="T210" s="7">
        <v>27.38</v>
      </c>
      <c r="U210" s="5">
        <v>1</v>
      </c>
      <c r="V210" s="5" t="s">
        <v>58</v>
      </c>
      <c r="W210" s="5" t="s">
        <v>60</v>
      </c>
      <c r="X210" s="5" t="s">
        <v>61</v>
      </c>
      <c r="Y210" s="7">
        <v>19.170000000000002</v>
      </c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</row>
    <row r="211" spans="1:55" x14ac:dyDescent="0.3">
      <c r="A211" s="5">
        <v>2030455580</v>
      </c>
      <c r="B211" s="5" t="s">
        <v>152</v>
      </c>
      <c r="C211" s="5" t="s">
        <v>153</v>
      </c>
      <c r="D211" s="5" t="str">
        <f t="shared" si="3"/>
        <v>JASON TROUT</v>
      </c>
      <c r="E211" s="5" t="s">
        <v>103</v>
      </c>
      <c r="F211" s="5" t="s">
        <v>483</v>
      </c>
      <c r="G211" s="20">
        <v>0.375</v>
      </c>
      <c r="H211" s="5" t="s">
        <v>484</v>
      </c>
      <c r="I211" s="18" t="s">
        <v>484</v>
      </c>
      <c r="J211" s="19" t="s">
        <v>1001</v>
      </c>
      <c r="K211" s="5" t="s">
        <v>104</v>
      </c>
      <c r="L211" s="5" t="s">
        <v>105</v>
      </c>
      <c r="M211" s="5" t="str">
        <f>CONCATENATE(L211," ",K211)</f>
        <v>Heather Geske</v>
      </c>
      <c r="N211" s="5" t="s">
        <v>57</v>
      </c>
      <c r="O211" s="6">
        <v>45882</v>
      </c>
      <c r="P211" s="6">
        <v>46155</v>
      </c>
      <c r="Q211" s="22">
        <f>DATEDIF(O211,P211,"M")</f>
        <v>9</v>
      </c>
      <c r="R211" s="28" t="s">
        <v>536</v>
      </c>
      <c r="S211" s="28" t="s">
        <v>1037</v>
      </c>
      <c r="T211" s="7">
        <v>110.89</v>
      </c>
      <c r="U211" s="5">
        <v>1</v>
      </c>
      <c r="V211" s="5" t="s">
        <v>58</v>
      </c>
      <c r="W211" s="5" t="s">
        <v>60</v>
      </c>
      <c r="X211" s="5" t="s">
        <v>61</v>
      </c>
      <c r="Y211" s="7">
        <v>41.58</v>
      </c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</row>
    <row r="212" spans="1:55" x14ac:dyDescent="0.3">
      <c r="A212" s="5">
        <v>2030455583</v>
      </c>
      <c r="B212" s="5" t="s">
        <v>152</v>
      </c>
      <c r="C212" s="5" t="s">
        <v>153</v>
      </c>
      <c r="D212" s="5" t="str">
        <f t="shared" si="3"/>
        <v>JASON TROUT</v>
      </c>
      <c r="E212" s="5" t="s">
        <v>103</v>
      </c>
      <c r="F212" s="5" t="s">
        <v>53</v>
      </c>
      <c r="G212" s="17">
        <v>0.9</v>
      </c>
      <c r="H212" s="5" t="s">
        <v>65</v>
      </c>
      <c r="I212" s="18" t="s">
        <v>65</v>
      </c>
      <c r="J212" s="19" t="s">
        <v>1001</v>
      </c>
      <c r="K212" s="5" t="s">
        <v>104</v>
      </c>
      <c r="L212" s="5" t="s">
        <v>105</v>
      </c>
      <c r="M212" s="5" t="str">
        <f>CONCATENATE(L212," ",K212)</f>
        <v>Heather Geske</v>
      </c>
      <c r="N212" s="5" t="s">
        <v>57</v>
      </c>
      <c r="O212" s="6">
        <v>45882</v>
      </c>
      <c r="P212" s="6">
        <v>46155</v>
      </c>
      <c r="Q212" s="22">
        <f>DATEDIF(O212,P212,"M")</f>
        <v>9</v>
      </c>
      <c r="R212" s="28" t="s">
        <v>536</v>
      </c>
      <c r="S212" s="28" t="s">
        <v>1037</v>
      </c>
      <c r="T212" s="7">
        <v>52.92</v>
      </c>
      <c r="U212" s="5">
        <v>1</v>
      </c>
      <c r="V212" s="5" t="s">
        <v>58</v>
      </c>
      <c r="W212" s="5" t="s">
        <v>60</v>
      </c>
      <c r="X212" s="5" t="s">
        <v>61</v>
      </c>
      <c r="Y212" s="7">
        <v>47.63</v>
      </c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</row>
    <row r="213" spans="1:55" x14ac:dyDescent="0.3">
      <c r="A213" s="5">
        <v>2030474678</v>
      </c>
      <c r="B213" s="5" t="s">
        <v>154</v>
      </c>
      <c r="C213" s="5" t="s">
        <v>155</v>
      </c>
      <c r="D213" s="5" t="str">
        <f t="shared" si="3"/>
        <v>AMY PITTMAN</v>
      </c>
      <c r="E213" s="5" t="s">
        <v>52</v>
      </c>
      <c r="F213" s="5" t="s">
        <v>53</v>
      </c>
      <c r="G213" s="17">
        <v>0.7</v>
      </c>
      <c r="H213" s="5" t="s">
        <v>54</v>
      </c>
      <c r="I213" s="18" t="s">
        <v>54</v>
      </c>
      <c r="J213" s="19" t="s">
        <v>1006</v>
      </c>
      <c r="K213" s="5" t="s">
        <v>156</v>
      </c>
      <c r="L213" s="5" t="s">
        <v>157</v>
      </c>
      <c r="M213" s="5" t="str">
        <f>CONCATENATE(L213," ",K213)</f>
        <v>Ines Berg</v>
      </c>
      <c r="N213" s="5" t="s">
        <v>57</v>
      </c>
      <c r="O213" s="6">
        <v>45884</v>
      </c>
      <c r="P213" s="6">
        <v>46157</v>
      </c>
      <c r="Q213" s="22">
        <f>DATEDIF(O213,P213,"M")</f>
        <v>9</v>
      </c>
      <c r="R213" s="28" t="s">
        <v>536</v>
      </c>
      <c r="S213" s="28" t="s">
        <v>1037</v>
      </c>
      <c r="T213" s="7">
        <v>55.61</v>
      </c>
      <c r="U213" s="5">
        <v>1</v>
      </c>
      <c r="V213" s="5" t="s">
        <v>58</v>
      </c>
      <c r="W213" s="5" t="s">
        <v>60</v>
      </c>
      <c r="X213" s="5" t="s">
        <v>61</v>
      </c>
      <c r="Y213" s="7">
        <v>38.93</v>
      </c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</row>
    <row r="214" spans="1:55" x14ac:dyDescent="0.3">
      <c r="A214" s="5">
        <v>2030452962</v>
      </c>
      <c r="B214" s="5" t="s">
        <v>148</v>
      </c>
      <c r="C214" s="5" t="s">
        <v>149</v>
      </c>
      <c r="D214" s="5" t="str">
        <f t="shared" si="3"/>
        <v>JOHN ANDERSON</v>
      </c>
      <c r="E214" s="5" t="s">
        <v>103</v>
      </c>
      <c r="F214" s="5" t="s">
        <v>53</v>
      </c>
      <c r="G214" s="17">
        <v>0.7</v>
      </c>
      <c r="H214" s="5" t="s">
        <v>54</v>
      </c>
      <c r="I214" s="18" t="s">
        <v>54</v>
      </c>
      <c r="J214" s="19" t="s">
        <v>1005</v>
      </c>
      <c r="K214" s="5" t="s">
        <v>150</v>
      </c>
      <c r="L214" s="5" t="s">
        <v>151</v>
      </c>
      <c r="M214" s="5" t="str">
        <f>CONCATENATE(L214," ",K214)</f>
        <v>Joel Lee</v>
      </c>
      <c r="N214" s="5" t="s">
        <v>57</v>
      </c>
      <c r="O214" s="6">
        <v>45882</v>
      </c>
      <c r="P214" s="6">
        <v>46155</v>
      </c>
      <c r="Q214" s="22">
        <f>DATEDIF(O214,P214,"M")</f>
        <v>9</v>
      </c>
      <c r="R214" s="28" t="s">
        <v>536</v>
      </c>
      <c r="S214" s="28" t="s">
        <v>1037</v>
      </c>
      <c r="T214" s="7">
        <v>29.2</v>
      </c>
      <c r="U214" s="5">
        <v>1</v>
      </c>
      <c r="V214" s="5" t="s">
        <v>58</v>
      </c>
      <c r="W214" s="5" t="s">
        <v>60</v>
      </c>
      <c r="X214" s="5" t="s">
        <v>61</v>
      </c>
      <c r="Y214" s="7">
        <v>20.440000000000001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</row>
    <row r="215" spans="1:55" x14ac:dyDescent="0.3">
      <c r="A215" s="5">
        <v>2030452963</v>
      </c>
      <c r="B215" s="5" t="s">
        <v>148</v>
      </c>
      <c r="C215" s="5" t="s">
        <v>149</v>
      </c>
      <c r="D215" s="5" t="str">
        <f t="shared" si="3"/>
        <v>JOHN ANDERSON</v>
      </c>
      <c r="E215" s="5" t="s">
        <v>103</v>
      </c>
      <c r="F215" s="5" t="s">
        <v>483</v>
      </c>
      <c r="G215" s="20">
        <v>0.375</v>
      </c>
      <c r="H215" s="5" t="s">
        <v>484</v>
      </c>
      <c r="I215" s="18" t="s">
        <v>484</v>
      </c>
      <c r="J215" s="19" t="s">
        <v>1005</v>
      </c>
      <c r="K215" s="5" t="s">
        <v>150</v>
      </c>
      <c r="L215" s="5" t="s">
        <v>151</v>
      </c>
      <c r="M215" s="5" t="str">
        <f>CONCATENATE(L215," ",K215)</f>
        <v>Joel Lee</v>
      </c>
      <c r="N215" s="5" t="s">
        <v>57</v>
      </c>
      <c r="O215" s="6">
        <v>45882</v>
      </c>
      <c r="P215" s="6">
        <v>46155</v>
      </c>
      <c r="Q215" s="22">
        <f>DATEDIF(O215,P215,"M")</f>
        <v>9</v>
      </c>
      <c r="R215" s="28" t="s">
        <v>536</v>
      </c>
      <c r="S215" s="28" t="s">
        <v>1037</v>
      </c>
      <c r="T215" s="7">
        <v>205.33</v>
      </c>
      <c r="U215" s="5">
        <v>1</v>
      </c>
      <c r="V215" s="5" t="s">
        <v>58</v>
      </c>
      <c r="W215" s="5" t="s">
        <v>60</v>
      </c>
      <c r="X215" s="5" t="s">
        <v>61</v>
      </c>
      <c r="Y215" s="7">
        <v>77</v>
      </c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</row>
    <row r="216" spans="1:55" x14ac:dyDescent="0.3">
      <c r="A216" s="5">
        <v>2030244511</v>
      </c>
      <c r="B216" s="5" t="s">
        <v>135</v>
      </c>
      <c r="C216" s="5" t="s">
        <v>136</v>
      </c>
      <c r="D216" s="5" t="str">
        <f t="shared" si="3"/>
        <v>PAUL HTOO</v>
      </c>
      <c r="E216" s="5" t="s">
        <v>80</v>
      </c>
      <c r="F216" s="5" t="s">
        <v>53</v>
      </c>
      <c r="G216" s="17">
        <v>0.42</v>
      </c>
      <c r="H216" s="5" t="s">
        <v>94</v>
      </c>
      <c r="I216" s="18" t="s">
        <v>94</v>
      </c>
      <c r="J216" s="19" t="s">
        <v>1004</v>
      </c>
      <c r="K216" s="5" t="s">
        <v>137</v>
      </c>
      <c r="L216" s="5" t="s">
        <v>138</v>
      </c>
      <c r="M216" s="5" t="str">
        <f>CONCATENATE(L216," ",K216)</f>
        <v>PATSAMON THANADABOUTH</v>
      </c>
      <c r="N216" s="5" t="s">
        <v>57</v>
      </c>
      <c r="O216" s="6">
        <v>45884</v>
      </c>
      <c r="P216" s="6">
        <v>46157</v>
      </c>
      <c r="Q216" s="22">
        <f>DATEDIF(O216,P216,"M")</f>
        <v>9</v>
      </c>
      <c r="R216" s="28" t="s">
        <v>536</v>
      </c>
      <c r="S216" s="28" t="s">
        <v>1037</v>
      </c>
      <c r="T216" s="7">
        <v>42.5</v>
      </c>
      <c r="U216" s="5">
        <v>1</v>
      </c>
      <c r="V216" s="5" t="s">
        <v>58</v>
      </c>
      <c r="W216" s="5" t="s">
        <v>60</v>
      </c>
      <c r="X216" s="5" t="s">
        <v>61</v>
      </c>
      <c r="Y216" s="7">
        <v>17.850000000000001</v>
      </c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</row>
    <row r="217" spans="1:55" s="5" customFormat="1" x14ac:dyDescent="0.3">
      <c r="A217" s="5">
        <v>2030474901</v>
      </c>
      <c r="B217" s="5" t="s">
        <v>449</v>
      </c>
      <c r="C217" s="5" t="s">
        <v>606</v>
      </c>
      <c r="D217" s="5" t="str">
        <f t="shared" si="3"/>
        <v>LATONYS THOMPSON</v>
      </c>
      <c r="E217" s="5" t="s">
        <v>70</v>
      </c>
      <c r="F217" s="5" t="s">
        <v>444</v>
      </c>
      <c r="G217" s="17">
        <v>0.9</v>
      </c>
      <c r="H217" s="5" t="s">
        <v>567</v>
      </c>
      <c r="I217" s="18" t="s">
        <v>981</v>
      </c>
      <c r="J217" s="19" t="s">
        <v>1003</v>
      </c>
      <c r="K217" s="5" t="s">
        <v>134</v>
      </c>
      <c r="L217" s="5" t="s">
        <v>98</v>
      </c>
      <c r="M217" s="5" t="str">
        <f>CONCATENATE(L217," ",K217)</f>
        <v>THOMAS PARDUE</v>
      </c>
      <c r="N217" s="5" t="s">
        <v>57</v>
      </c>
      <c r="O217" s="6">
        <v>45883</v>
      </c>
      <c r="P217" s="6">
        <v>46156</v>
      </c>
      <c r="Q217" s="22">
        <f>DATEDIF(O217,P217,"M")</f>
        <v>9</v>
      </c>
      <c r="R217" s="28" t="s">
        <v>536</v>
      </c>
      <c r="S217" s="28" t="s">
        <v>1037</v>
      </c>
      <c r="T217" s="7">
        <v>104.71</v>
      </c>
      <c r="U217" s="5">
        <v>1</v>
      </c>
      <c r="V217" s="5" t="s">
        <v>58</v>
      </c>
      <c r="W217" s="5" t="s">
        <v>60</v>
      </c>
      <c r="X217" s="5" t="s">
        <v>61</v>
      </c>
      <c r="Y217" s="7">
        <v>94.24</v>
      </c>
    </row>
    <row r="218" spans="1:55" s="5" customFormat="1" x14ac:dyDescent="0.3">
      <c r="A218" s="5">
        <v>2030113890</v>
      </c>
      <c r="B218" s="5" t="s">
        <v>132</v>
      </c>
      <c r="C218" s="5" t="s">
        <v>133</v>
      </c>
      <c r="D218" s="5" t="str">
        <f t="shared" si="3"/>
        <v>THORNTON DAWN</v>
      </c>
      <c r="E218" s="5" t="s">
        <v>64</v>
      </c>
      <c r="F218" s="5" t="s">
        <v>53</v>
      </c>
      <c r="G218" s="17">
        <v>0.7</v>
      </c>
      <c r="H218" s="5" t="s">
        <v>54</v>
      </c>
      <c r="I218" s="18" t="s">
        <v>54</v>
      </c>
      <c r="J218" s="19" t="s">
        <v>1003</v>
      </c>
      <c r="K218" s="5" t="s">
        <v>134</v>
      </c>
      <c r="L218" s="5" t="s">
        <v>98</v>
      </c>
      <c r="M218" s="5" t="str">
        <f>CONCATENATE(L218," ",K218)</f>
        <v>THOMAS PARDUE</v>
      </c>
      <c r="N218" s="5" t="s">
        <v>57</v>
      </c>
      <c r="O218" s="6">
        <v>45862</v>
      </c>
      <c r="P218" s="6">
        <v>46136</v>
      </c>
      <c r="Q218" s="22">
        <f>DATEDIF(O218,P218,"M")</f>
        <v>9</v>
      </c>
      <c r="R218" s="28" t="s">
        <v>536</v>
      </c>
      <c r="S218" s="28" t="s">
        <v>1037</v>
      </c>
      <c r="T218" s="7">
        <v>16.510000000000002</v>
      </c>
      <c r="U218" s="5">
        <v>1</v>
      </c>
      <c r="V218" s="5" t="s">
        <v>58</v>
      </c>
      <c r="W218" s="5" t="s">
        <v>60</v>
      </c>
      <c r="X218" s="5" t="s">
        <v>61</v>
      </c>
      <c r="Y218" s="7">
        <v>11.56</v>
      </c>
    </row>
    <row r="219" spans="1:55" s="5" customFormat="1" x14ac:dyDescent="0.3">
      <c r="A219" s="5">
        <v>2030113889</v>
      </c>
      <c r="B219" s="5" t="s">
        <v>132</v>
      </c>
      <c r="C219" s="5" t="s">
        <v>133</v>
      </c>
      <c r="D219" s="5" t="str">
        <f t="shared" si="3"/>
        <v>THORNTON DAWN</v>
      </c>
      <c r="E219" s="5" t="s">
        <v>64</v>
      </c>
      <c r="F219" s="5" t="s">
        <v>483</v>
      </c>
      <c r="G219" s="20">
        <v>0.375</v>
      </c>
      <c r="H219" s="5" t="s">
        <v>484</v>
      </c>
      <c r="I219" s="18" t="s">
        <v>484</v>
      </c>
      <c r="J219" s="19" t="s">
        <v>1003</v>
      </c>
      <c r="K219" s="5" t="s">
        <v>134</v>
      </c>
      <c r="L219" s="5" t="s">
        <v>98</v>
      </c>
      <c r="M219" s="5" t="str">
        <f>CONCATENATE(L219," ",K219)</f>
        <v>THOMAS PARDUE</v>
      </c>
      <c r="N219" s="5" t="s">
        <v>57</v>
      </c>
      <c r="O219" s="6">
        <v>45862</v>
      </c>
      <c r="P219" s="6">
        <v>46136</v>
      </c>
      <c r="Q219" s="22">
        <f>DATEDIF(O219,P219,"M")</f>
        <v>9</v>
      </c>
      <c r="R219" s="28" t="s">
        <v>536</v>
      </c>
      <c r="S219" s="28" t="s">
        <v>1037</v>
      </c>
      <c r="T219" s="7">
        <v>62.71</v>
      </c>
      <c r="U219" s="5">
        <v>1</v>
      </c>
      <c r="V219" s="5" t="s">
        <v>58</v>
      </c>
      <c r="W219" s="5" t="s">
        <v>60</v>
      </c>
      <c r="X219" s="5" t="s">
        <v>61</v>
      </c>
      <c r="Y219" s="7">
        <v>23.52</v>
      </c>
    </row>
    <row r="220" spans="1:55" s="5" customFormat="1" x14ac:dyDescent="0.3">
      <c r="A220" s="5">
        <v>2029994615</v>
      </c>
      <c r="B220" s="5" t="s">
        <v>124</v>
      </c>
      <c r="C220" s="5" t="s">
        <v>125</v>
      </c>
      <c r="D220" s="5" t="str">
        <f t="shared" si="3"/>
        <v>STACIE GIBSON</v>
      </c>
      <c r="E220" s="5" t="s">
        <v>126</v>
      </c>
      <c r="F220" s="5" t="s">
        <v>53</v>
      </c>
      <c r="G220" s="17">
        <v>0.7</v>
      </c>
      <c r="H220" s="5" t="s">
        <v>54</v>
      </c>
      <c r="I220" s="18" t="s">
        <v>54</v>
      </c>
      <c r="J220" s="19" t="s">
        <v>1002</v>
      </c>
      <c r="K220" s="5" t="s">
        <v>127</v>
      </c>
      <c r="L220" s="5" t="s">
        <v>128</v>
      </c>
      <c r="M220" s="5" t="str">
        <f>CONCATENATE(L220," ",K220)</f>
        <v>CHRISTIAN TAUGNER</v>
      </c>
      <c r="N220" s="5" t="s">
        <v>57</v>
      </c>
      <c r="O220" s="6">
        <v>45855</v>
      </c>
      <c r="P220" s="6">
        <v>46159</v>
      </c>
      <c r="Q220" s="22">
        <f>DATEDIF(O220,P220,"M")</f>
        <v>10</v>
      </c>
      <c r="R220" s="28" t="s">
        <v>536</v>
      </c>
      <c r="S220" s="28" t="s">
        <v>1037</v>
      </c>
      <c r="T220" s="7">
        <v>28.45</v>
      </c>
      <c r="U220" s="5">
        <v>1</v>
      </c>
      <c r="V220" s="5" t="s">
        <v>58</v>
      </c>
      <c r="W220" s="5" t="s">
        <v>60</v>
      </c>
      <c r="X220" s="5" t="s">
        <v>61</v>
      </c>
      <c r="Y220" s="7">
        <v>19.920000000000002</v>
      </c>
    </row>
    <row r="221" spans="1:55" s="5" customFormat="1" x14ac:dyDescent="0.3">
      <c r="A221" s="5">
        <v>2029968822</v>
      </c>
      <c r="B221" s="5" t="s">
        <v>98</v>
      </c>
      <c r="C221" s="5" t="s">
        <v>56</v>
      </c>
      <c r="D221" s="5" t="str">
        <f t="shared" si="3"/>
        <v>GREGORY THOMAS</v>
      </c>
      <c r="E221" s="5" t="s">
        <v>80</v>
      </c>
      <c r="F221" s="5" t="s">
        <v>53</v>
      </c>
      <c r="G221" s="17">
        <v>0.42</v>
      </c>
      <c r="H221" s="5" t="s">
        <v>94</v>
      </c>
      <c r="I221" s="18" t="s">
        <v>94</v>
      </c>
      <c r="J221" s="19" t="s">
        <v>1000</v>
      </c>
      <c r="K221" s="5" t="s">
        <v>99</v>
      </c>
      <c r="L221" s="5" t="s">
        <v>100</v>
      </c>
      <c r="M221" s="5" t="str">
        <f>CONCATENATE(L221," ",K221)</f>
        <v>FRANK LISKOVEC</v>
      </c>
      <c r="N221" s="5" t="s">
        <v>57</v>
      </c>
      <c r="O221" s="6">
        <v>45854</v>
      </c>
      <c r="P221" s="6">
        <v>46158</v>
      </c>
      <c r="Q221" s="22">
        <f>DATEDIF(O221,P221,"M")</f>
        <v>10</v>
      </c>
      <c r="R221" s="28" t="s">
        <v>536</v>
      </c>
      <c r="S221" s="28" t="s">
        <v>1037</v>
      </c>
      <c r="T221" s="7">
        <v>25.08</v>
      </c>
      <c r="U221" s="5">
        <v>1</v>
      </c>
      <c r="V221" s="5" t="s">
        <v>58</v>
      </c>
      <c r="W221" s="5" t="s">
        <v>60</v>
      </c>
      <c r="X221" s="5" t="s">
        <v>61</v>
      </c>
      <c r="Y221" s="7">
        <v>10.53</v>
      </c>
    </row>
    <row r="222" spans="1:55" s="5" customFormat="1" x14ac:dyDescent="0.3">
      <c r="A222" s="5">
        <v>2029968823</v>
      </c>
      <c r="B222" s="5" t="s">
        <v>98</v>
      </c>
      <c r="C222" s="5" t="s">
        <v>56</v>
      </c>
      <c r="D222" s="5" t="str">
        <f t="shared" si="3"/>
        <v>GREGORY THOMAS</v>
      </c>
      <c r="E222" s="5" t="s">
        <v>80</v>
      </c>
      <c r="F222" s="5" t="s">
        <v>53</v>
      </c>
      <c r="G222" s="17">
        <v>0.7</v>
      </c>
      <c r="H222" s="5" t="s">
        <v>54</v>
      </c>
      <c r="I222" s="18" t="s">
        <v>54</v>
      </c>
      <c r="J222" s="19" t="s">
        <v>1000</v>
      </c>
      <c r="K222" s="5" t="s">
        <v>99</v>
      </c>
      <c r="L222" s="5" t="s">
        <v>100</v>
      </c>
      <c r="M222" s="5" t="str">
        <f>CONCATENATE(L222," ",K222)</f>
        <v>FRANK LISKOVEC</v>
      </c>
      <c r="N222" s="5" t="s">
        <v>57</v>
      </c>
      <c r="O222" s="6">
        <v>45854</v>
      </c>
      <c r="P222" s="6">
        <v>46158</v>
      </c>
      <c r="Q222" s="22">
        <f>DATEDIF(O222,P222,"M")</f>
        <v>10</v>
      </c>
      <c r="R222" s="28" t="s">
        <v>536</v>
      </c>
      <c r="S222" s="28" t="s">
        <v>1037</v>
      </c>
      <c r="T222" s="7">
        <v>62.8</v>
      </c>
      <c r="U222" s="5">
        <v>1</v>
      </c>
      <c r="V222" s="5" t="s">
        <v>58</v>
      </c>
      <c r="W222" s="5" t="s">
        <v>60</v>
      </c>
      <c r="X222" s="5" t="s">
        <v>61</v>
      </c>
      <c r="Y222" s="7">
        <v>43.96</v>
      </c>
    </row>
    <row r="223" spans="1:55" s="5" customFormat="1" x14ac:dyDescent="0.3">
      <c r="A223" s="5">
        <v>2029969605</v>
      </c>
      <c r="B223" s="5" t="s">
        <v>101</v>
      </c>
      <c r="C223" s="5" t="s">
        <v>102</v>
      </c>
      <c r="D223" s="5" t="str">
        <f t="shared" si="3"/>
        <v>STEPHEN DUNCAN</v>
      </c>
      <c r="E223" s="5" t="s">
        <v>103</v>
      </c>
      <c r="F223" s="5" t="s">
        <v>444</v>
      </c>
      <c r="G223" s="17">
        <v>0.75</v>
      </c>
      <c r="H223" s="5" t="s">
        <v>451</v>
      </c>
      <c r="I223" s="18" t="s">
        <v>980</v>
      </c>
      <c r="J223" s="19" t="s">
        <v>1001</v>
      </c>
      <c r="K223" s="5" t="s">
        <v>104</v>
      </c>
      <c r="L223" s="5" t="s">
        <v>105</v>
      </c>
      <c r="M223" s="5" t="str">
        <f>CONCATENATE(L223," ",K223)</f>
        <v>Heather Geske</v>
      </c>
      <c r="N223" s="5" t="s">
        <v>57</v>
      </c>
      <c r="O223" s="6">
        <v>45854</v>
      </c>
      <c r="P223" s="6">
        <v>46158</v>
      </c>
      <c r="Q223" s="22">
        <f>DATEDIF(O223,P223,"M")</f>
        <v>10</v>
      </c>
      <c r="R223" s="28" t="s">
        <v>536</v>
      </c>
      <c r="S223" s="28" t="s">
        <v>1037</v>
      </c>
      <c r="T223" s="7">
        <v>52.84</v>
      </c>
      <c r="U223" s="5">
        <v>1</v>
      </c>
      <c r="V223" s="5" t="s">
        <v>58</v>
      </c>
      <c r="W223" s="5" t="s">
        <v>60</v>
      </c>
      <c r="X223" s="5" t="s">
        <v>61</v>
      </c>
      <c r="Y223" s="7">
        <v>39.630000000000003</v>
      </c>
    </row>
    <row r="224" spans="1:55" s="5" customFormat="1" x14ac:dyDescent="0.3">
      <c r="A224" s="5">
        <v>2029969604</v>
      </c>
      <c r="B224" s="5" t="s">
        <v>101</v>
      </c>
      <c r="C224" s="5" t="s">
        <v>102</v>
      </c>
      <c r="D224" s="5" t="str">
        <f t="shared" si="3"/>
        <v>STEPHEN DUNCAN</v>
      </c>
      <c r="E224" s="5" t="s">
        <v>103</v>
      </c>
      <c r="F224" s="5" t="s">
        <v>53</v>
      </c>
      <c r="G224" s="17">
        <v>0.7</v>
      </c>
      <c r="H224" s="5" t="s">
        <v>54</v>
      </c>
      <c r="I224" s="18" t="s">
        <v>54</v>
      </c>
      <c r="J224" s="19" t="s">
        <v>1001</v>
      </c>
      <c r="K224" s="5" t="s">
        <v>104</v>
      </c>
      <c r="L224" s="5" t="s">
        <v>105</v>
      </c>
      <c r="M224" s="5" t="str">
        <f>CONCATENATE(L224," ",K224)</f>
        <v>Heather Geske</v>
      </c>
      <c r="N224" s="5" t="s">
        <v>57</v>
      </c>
      <c r="O224" s="6">
        <v>45854</v>
      </c>
      <c r="P224" s="6">
        <v>46158</v>
      </c>
      <c r="Q224" s="22">
        <f>DATEDIF(O224,P224,"M")</f>
        <v>10</v>
      </c>
      <c r="R224" s="28" t="s">
        <v>536</v>
      </c>
      <c r="S224" s="28" t="s">
        <v>1037</v>
      </c>
      <c r="T224" s="7">
        <v>9.1</v>
      </c>
      <c r="U224" s="5">
        <v>1</v>
      </c>
      <c r="V224" s="5" t="s">
        <v>58</v>
      </c>
      <c r="W224" s="5" t="s">
        <v>60</v>
      </c>
      <c r="X224" s="5" t="s">
        <v>61</v>
      </c>
      <c r="Y224" s="7">
        <v>6.37</v>
      </c>
    </row>
    <row r="225" spans="1:25" s="5" customFormat="1" x14ac:dyDescent="0.3">
      <c r="A225" s="5">
        <v>2029969606</v>
      </c>
      <c r="B225" s="5" t="s">
        <v>101</v>
      </c>
      <c r="C225" s="5" t="s">
        <v>102</v>
      </c>
      <c r="D225" s="5" t="str">
        <f t="shared" si="3"/>
        <v>STEPHEN DUNCAN</v>
      </c>
      <c r="E225" s="5" t="s">
        <v>103</v>
      </c>
      <c r="F225" s="5" t="s">
        <v>483</v>
      </c>
      <c r="G225" s="20">
        <v>0.375</v>
      </c>
      <c r="H225" s="5" t="s">
        <v>484</v>
      </c>
      <c r="I225" s="18" t="s">
        <v>484</v>
      </c>
      <c r="J225" s="19" t="s">
        <v>1001</v>
      </c>
      <c r="K225" s="5" t="s">
        <v>104</v>
      </c>
      <c r="L225" s="5" t="s">
        <v>105</v>
      </c>
      <c r="M225" s="5" t="str">
        <f>CONCATENATE(L225," ",K225)</f>
        <v>Heather Geske</v>
      </c>
      <c r="N225" s="5" t="s">
        <v>57</v>
      </c>
      <c r="O225" s="6">
        <v>45854</v>
      </c>
      <c r="P225" s="6">
        <v>46158</v>
      </c>
      <c r="Q225" s="22">
        <f>DATEDIF(O225,P225,"M")</f>
        <v>10</v>
      </c>
      <c r="R225" s="28" t="s">
        <v>536</v>
      </c>
      <c r="S225" s="28" t="s">
        <v>1037</v>
      </c>
      <c r="T225" s="7">
        <v>63.62</v>
      </c>
      <c r="U225" s="5">
        <v>1</v>
      </c>
      <c r="V225" s="5" t="s">
        <v>58</v>
      </c>
      <c r="W225" s="5" t="s">
        <v>60</v>
      </c>
      <c r="X225" s="5" t="s">
        <v>61</v>
      </c>
      <c r="Y225" s="7">
        <v>23.86</v>
      </c>
    </row>
    <row r="226" spans="1:25" s="5" customFormat="1" x14ac:dyDescent="0.3">
      <c r="A226" s="5">
        <v>2029910891</v>
      </c>
      <c r="B226" s="5" t="s">
        <v>68</v>
      </c>
      <c r="C226" s="5" t="s">
        <v>69</v>
      </c>
      <c r="D226" s="5" t="str">
        <f t="shared" si="3"/>
        <v>LINN ZABRINA</v>
      </c>
      <c r="E226" s="5" t="s">
        <v>70</v>
      </c>
      <c r="F226" s="5" t="s">
        <v>53</v>
      </c>
      <c r="G226" s="17">
        <v>0.7</v>
      </c>
      <c r="H226" s="5" t="s">
        <v>54</v>
      </c>
      <c r="I226" s="18" t="s">
        <v>54</v>
      </c>
      <c r="J226" s="19" t="s">
        <v>998</v>
      </c>
      <c r="K226" s="5" t="s">
        <v>71</v>
      </c>
      <c r="L226" s="5" t="s">
        <v>72</v>
      </c>
      <c r="M226" s="5" t="str">
        <f>CONCATENATE(L226," ",K226)</f>
        <v>Jake Shulman</v>
      </c>
      <c r="N226" s="5" t="s">
        <v>57</v>
      </c>
      <c r="O226" s="6">
        <v>45850</v>
      </c>
      <c r="P226" s="6">
        <v>46154</v>
      </c>
      <c r="Q226" s="22">
        <f>DATEDIF(O226,P226,"M")</f>
        <v>10</v>
      </c>
      <c r="R226" s="28" t="s">
        <v>536</v>
      </c>
      <c r="S226" s="28" t="s">
        <v>1037</v>
      </c>
      <c r="T226" s="7">
        <v>44.15</v>
      </c>
      <c r="U226" s="5">
        <v>1</v>
      </c>
      <c r="V226" s="5" t="s">
        <v>58</v>
      </c>
      <c r="W226" s="5" t="s">
        <v>60</v>
      </c>
      <c r="X226" s="5" t="s">
        <v>61</v>
      </c>
      <c r="Y226" s="7">
        <v>30.9</v>
      </c>
    </row>
    <row r="227" spans="1:25" s="5" customFormat="1" x14ac:dyDescent="0.3">
      <c r="A227" s="5">
        <v>2029910892</v>
      </c>
      <c r="B227" s="5" t="s">
        <v>68</v>
      </c>
      <c r="C227" s="5" t="s">
        <v>69</v>
      </c>
      <c r="D227" s="5" t="str">
        <f t="shared" si="3"/>
        <v>LINN ZABRINA</v>
      </c>
      <c r="E227" s="5" t="s">
        <v>70</v>
      </c>
      <c r="F227" s="5" t="s">
        <v>483</v>
      </c>
      <c r="G227" s="20">
        <v>0.375</v>
      </c>
      <c r="H227" s="5" t="s">
        <v>484</v>
      </c>
      <c r="I227" s="18" t="s">
        <v>484</v>
      </c>
      <c r="J227" s="19" t="s">
        <v>998</v>
      </c>
      <c r="K227" s="5" t="s">
        <v>71</v>
      </c>
      <c r="L227" s="5" t="s">
        <v>72</v>
      </c>
      <c r="M227" s="5" t="str">
        <f>CONCATENATE(L227," ",K227)</f>
        <v>Jake Shulman</v>
      </c>
      <c r="N227" s="5" t="s">
        <v>57</v>
      </c>
      <c r="O227" s="6">
        <v>45850</v>
      </c>
      <c r="P227" s="6">
        <v>46154</v>
      </c>
      <c r="Q227" s="22">
        <f>DATEDIF(O227,P227,"M")</f>
        <v>10</v>
      </c>
      <c r="R227" s="28" t="s">
        <v>536</v>
      </c>
      <c r="S227" s="28" t="s">
        <v>1037</v>
      </c>
      <c r="T227" s="7">
        <v>28.38</v>
      </c>
      <c r="U227" s="5">
        <v>1</v>
      </c>
      <c r="V227" s="5" t="s">
        <v>58</v>
      </c>
      <c r="W227" s="5" t="s">
        <v>60</v>
      </c>
      <c r="X227" s="5" t="s">
        <v>61</v>
      </c>
      <c r="Y227" s="7">
        <v>10.64</v>
      </c>
    </row>
    <row r="228" spans="1:25" s="5" customFormat="1" x14ac:dyDescent="0.3">
      <c r="A228" s="5">
        <v>2029957806</v>
      </c>
      <c r="B228" s="5" t="s">
        <v>63</v>
      </c>
      <c r="C228" s="5" t="s">
        <v>62</v>
      </c>
      <c r="D228" s="5" t="str">
        <f t="shared" si="3"/>
        <v>JULIE JENSEN</v>
      </c>
      <c r="E228" s="5" t="s">
        <v>64</v>
      </c>
      <c r="F228" s="5" t="s">
        <v>53</v>
      </c>
      <c r="G228" s="17">
        <v>0.7</v>
      </c>
      <c r="H228" s="5" t="s">
        <v>54</v>
      </c>
      <c r="I228" s="18" t="s">
        <v>54</v>
      </c>
      <c r="J228" s="19" t="s">
        <v>997</v>
      </c>
      <c r="K228" s="5" t="s">
        <v>66</v>
      </c>
      <c r="L228" s="5" t="s">
        <v>67</v>
      </c>
      <c r="M228" s="5" t="str">
        <f>CONCATENATE(L228," ",K228)</f>
        <v>Marsha Sanderock</v>
      </c>
      <c r="N228" s="5" t="s">
        <v>57</v>
      </c>
      <c r="O228" s="6">
        <v>45854</v>
      </c>
      <c r="P228" s="6">
        <v>46158</v>
      </c>
      <c r="Q228" s="22">
        <f>DATEDIF(O228,P228,"M")</f>
        <v>10</v>
      </c>
      <c r="R228" s="28" t="s">
        <v>536</v>
      </c>
      <c r="S228" s="28" t="s">
        <v>1037</v>
      </c>
      <c r="T228" s="7">
        <v>12.4</v>
      </c>
      <c r="U228" s="5">
        <v>1</v>
      </c>
      <c r="V228" s="5" t="s">
        <v>58</v>
      </c>
      <c r="W228" s="5" t="s">
        <v>60</v>
      </c>
      <c r="X228" s="5" t="s">
        <v>61</v>
      </c>
      <c r="Y228" s="7">
        <v>8.68</v>
      </c>
    </row>
    <row r="229" spans="1:25" s="5" customFormat="1" x14ac:dyDescent="0.3">
      <c r="A229" s="5">
        <v>2029957805</v>
      </c>
      <c r="B229" s="5" t="s">
        <v>63</v>
      </c>
      <c r="C229" s="5" t="s">
        <v>62</v>
      </c>
      <c r="D229" s="5" t="str">
        <f t="shared" si="3"/>
        <v>JULIE JENSEN</v>
      </c>
      <c r="E229" s="5" t="s">
        <v>64</v>
      </c>
      <c r="F229" s="5" t="s">
        <v>483</v>
      </c>
      <c r="G229" s="20">
        <v>0.375</v>
      </c>
      <c r="H229" s="5" t="s">
        <v>484</v>
      </c>
      <c r="I229" s="18" t="s">
        <v>484</v>
      </c>
      <c r="J229" s="19" t="s">
        <v>997</v>
      </c>
      <c r="K229" s="5" t="s">
        <v>66</v>
      </c>
      <c r="L229" s="5" t="s">
        <v>67</v>
      </c>
      <c r="M229" s="5" t="str">
        <f>CONCATENATE(L229," ",K229)</f>
        <v>Marsha Sanderock</v>
      </c>
      <c r="N229" s="5" t="s">
        <v>57</v>
      </c>
      <c r="O229" s="6">
        <v>45854</v>
      </c>
      <c r="P229" s="6">
        <v>46158</v>
      </c>
      <c r="Q229" s="22">
        <f>DATEDIF(O229,P229,"M")</f>
        <v>10</v>
      </c>
      <c r="R229" s="28" t="s">
        <v>536</v>
      </c>
      <c r="S229" s="28" t="s">
        <v>1037</v>
      </c>
      <c r="T229" s="7">
        <v>58.15</v>
      </c>
      <c r="U229" s="5">
        <v>1</v>
      </c>
      <c r="V229" s="5" t="s">
        <v>58</v>
      </c>
      <c r="W229" s="5" t="s">
        <v>60</v>
      </c>
      <c r="X229" s="5" t="s">
        <v>61</v>
      </c>
      <c r="Y229" s="7">
        <v>21.81</v>
      </c>
    </row>
    <row r="230" spans="1:25" s="5" customFormat="1" x14ac:dyDescent="0.3">
      <c r="A230" s="5">
        <v>2029907849</v>
      </c>
      <c r="B230" s="5" t="s">
        <v>62</v>
      </c>
      <c r="C230" s="5" t="s">
        <v>63</v>
      </c>
      <c r="D230" s="5" t="str">
        <f t="shared" si="3"/>
        <v>JENSEN JULIE</v>
      </c>
      <c r="E230" s="5" t="s">
        <v>64</v>
      </c>
      <c r="F230" s="5" t="s">
        <v>53</v>
      </c>
      <c r="G230" s="17">
        <v>0.9</v>
      </c>
      <c r="H230" s="5" t="s">
        <v>65</v>
      </c>
      <c r="I230" s="18" t="s">
        <v>65</v>
      </c>
      <c r="J230" s="19" t="s">
        <v>997</v>
      </c>
      <c r="K230" s="5" t="s">
        <v>66</v>
      </c>
      <c r="L230" s="5" t="s">
        <v>67</v>
      </c>
      <c r="M230" s="5" t="str">
        <f>CONCATENATE(L230," ",K230)</f>
        <v>Marsha Sanderock</v>
      </c>
      <c r="N230" s="5" t="s">
        <v>57</v>
      </c>
      <c r="O230" s="6">
        <v>45850</v>
      </c>
      <c r="P230" s="6">
        <v>46154</v>
      </c>
      <c r="Q230" s="22">
        <f>DATEDIF(O230,P230,"M")</f>
        <v>10</v>
      </c>
      <c r="R230" s="28" t="s">
        <v>536</v>
      </c>
      <c r="S230" s="28" t="s">
        <v>1037</v>
      </c>
      <c r="T230" s="7">
        <v>14.75</v>
      </c>
      <c r="U230" s="5">
        <v>1</v>
      </c>
      <c r="V230" s="5" t="s">
        <v>58</v>
      </c>
      <c r="W230" s="5" t="s">
        <v>60</v>
      </c>
      <c r="X230" s="5" t="s">
        <v>61</v>
      </c>
      <c r="Y230" s="7">
        <v>13.28</v>
      </c>
    </row>
    <row r="231" spans="1:25" s="5" customFormat="1" x14ac:dyDescent="0.3">
      <c r="A231" s="5">
        <v>2029963379</v>
      </c>
      <c r="B231" s="5" t="s">
        <v>87</v>
      </c>
      <c r="C231" s="5" t="s">
        <v>88</v>
      </c>
      <c r="D231" s="5" t="str">
        <f t="shared" si="3"/>
        <v>BATTSETSEG TUMENBAYAR</v>
      </c>
      <c r="E231" s="5" t="s">
        <v>80</v>
      </c>
      <c r="F231" s="5" t="s">
        <v>53</v>
      </c>
      <c r="G231" s="17">
        <v>0.7</v>
      </c>
      <c r="H231" s="5" t="s">
        <v>54</v>
      </c>
      <c r="I231" s="18" t="s">
        <v>54</v>
      </c>
      <c r="J231" s="19" t="s">
        <v>999</v>
      </c>
      <c r="K231" s="5" t="s">
        <v>89</v>
      </c>
      <c r="L231" s="5" t="s">
        <v>90</v>
      </c>
      <c r="M231" s="5" t="str">
        <f>CONCATENATE(L231," ",K231)</f>
        <v>NASANDELGER ZANA</v>
      </c>
      <c r="N231" s="5" t="s">
        <v>57</v>
      </c>
      <c r="O231" s="6">
        <v>45854</v>
      </c>
      <c r="P231" s="6">
        <v>46158</v>
      </c>
      <c r="Q231" s="22">
        <f>DATEDIF(O231,P231,"M")</f>
        <v>10</v>
      </c>
      <c r="R231" s="28" t="s">
        <v>536</v>
      </c>
      <c r="S231" s="28" t="s">
        <v>1037</v>
      </c>
      <c r="T231" s="7">
        <v>20.56</v>
      </c>
      <c r="U231" s="5">
        <v>1</v>
      </c>
      <c r="V231" s="5" t="s">
        <v>58</v>
      </c>
      <c r="W231" s="5" t="s">
        <v>60</v>
      </c>
      <c r="X231" s="5" t="s">
        <v>61</v>
      </c>
      <c r="Y231" s="7">
        <v>14.39</v>
      </c>
    </row>
    <row r="232" spans="1:25" s="5" customFormat="1" x14ac:dyDescent="0.3">
      <c r="A232" s="5">
        <v>2029973759</v>
      </c>
      <c r="B232" s="5" t="s">
        <v>108</v>
      </c>
      <c r="C232" s="5" t="s">
        <v>109</v>
      </c>
      <c r="D232" s="5" t="str">
        <f t="shared" si="3"/>
        <v>ROBERT TOBIAS</v>
      </c>
      <c r="E232" s="5" t="s">
        <v>75</v>
      </c>
      <c r="F232" s="5" t="s">
        <v>53</v>
      </c>
      <c r="G232" s="17">
        <v>0.7</v>
      </c>
      <c r="H232" s="5" t="s">
        <v>54</v>
      </c>
      <c r="I232" s="18" t="s">
        <v>54</v>
      </c>
      <c r="J232" s="19" t="s">
        <v>985</v>
      </c>
      <c r="K232" s="5" t="s">
        <v>110</v>
      </c>
      <c r="L232" s="5" t="s">
        <v>111</v>
      </c>
      <c r="M232" s="5" t="str">
        <f>CONCATENATE(L232," ",K232)</f>
        <v>RICARDO SANTOS</v>
      </c>
      <c r="N232" s="5" t="s">
        <v>57</v>
      </c>
      <c r="O232" s="6">
        <v>45854</v>
      </c>
      <c r="P232" s="6">
        <v>46158</v>
      </c>
      <c r="Q232" s="22">
        <f>DATEDIF(O232,P232,"M")</f>
        <v>10</v>
      </c>
      <c r="R232" s="28" t="s">
        <v>536</v>
      </c>
      <c r="S232" s="28" t="s">
        <v>1037</v>
      </c>
      <c r="T232" s="7">
        <v>115.98</v>
      </c>
      <c r="U232" s="5">
        <v>1</v>
      </c>
      <c r="V232" s="5" t="s">
        <v>58</v>
      </c>
      <c r="W232" s="5" t="s">
        <v>60</v>
      </c>
      <c r="X232" s="5" t="s">
        <v>61</v>
      </c>
      <c r="Y232" s="7">
        <v>81.19</v>
      </c>
    </row>
    <row r="233" spans="1:25" s="5" customFormat="1" x14ac:dyDescent="0.3">
      <c r="A233" s="5">
        <v>2029985852</v>
      </c>
      <c r="B233" s="5" t="s">
        <v>122</v>
      </c>
      <c r="C233" s="5" t="s">
        <v>123</v>
      </c>
      <c r="D233" s="5" t="str">
        <f t="shared" si="3"/>
        <v>ANDREA ACHIMAS</v>
      </c>
      <c r="E233" s="5" t="s">
        <v>80</v>
      </c>
      <c r="F233" s="5" t="s">
        <v>53</v>
      </c>
      <c r="G233" s="17">
        <v>0.7</v>
      </c>
      <c r="H233" s="5" t="s">
        <v>54</v>
      </c>
      <c r="I233" s="18" t="s">
        <v>54</v>
      </c>
      <c r="J233" s="19" t="s">
        <v>984</v>
      </c>
      <c r="K233" s="5" t="s">
        <v>120</v>
      </c>
      <c r="L233" s="5" t="s">
        <v>121</v>
      </c>
      <c r="M233" s="5" t="str">
        <f>CONCATENATE(L233," ",K233)</f>
        <v>Richard Yale</v>
      </c>
      <c r="N233" s="5" t="s">
        <v>57</v>
      </c>
      <c r="O233" s="6">
        <v>45855</v>
      </c>
      <c r="P233" s="6">
        <v>46159</v>
      </c>
      <c r="Q233" s="22">
        <f>DATEDIF(O233,P233,"M")</f>
        <v>10</v>
      </c>
      <c r="R233" s="28" t="s">
        <v>536</v>
      </c>
      <c r="S233" s="28" t="s">
        <v>1037</v>
      </c>
      <c r="T233" s="7">
        <v>15.75</v>
      </c>
      <c r="U233" s="5">
        <v>1</v>
      </c>
      <c r="V233" s="5" t="s">
        <v>58</v>
      </c>
      <c r="W233" s="5" t="s">
        <v>60</v>
      </c>
      <c r="X233" s="5" t="s">
        <v>61</v>
      </c>
      <c r="Y233" s="7">
        <v>11.02</v>
      </c>
    </row>
    <row r="234" spans="1:25" s="5" customFormat="1" x14ac:dyDescent="0.3">
      <c r="A234" s="5">
        <v>2029985851</v>
      </c>
      <c r="B234" s="5" t="s">
        <v>122</v>
      </c>
      <c r="C234" s="5" t="s">
        <v>123</v>
      </c>
      <c r="D234" s="5" t="str">
        <f t="shared" si="3"/>
        <v>ANDREA ACHIMAS</v>
      </c>
      <c r="E234" s="5" t="s">
        <v>80</v>
      </c>
      <c r="F234" s="5" t="s">
        <v>483</v>
      </c>
      <c r="G234" s="20">
        <v>0.375</v>
      </c>
      <c r="H234" s="5" t="s">
        <v>484</v>
      </c>
      <c r="I234" s="18" t="s">
        <v>484</v>
      </c>
      <c r="J234" s="19" t="s">
        <v>984</v>
      </c>
      <c r="K234" s="5" t="s">
        <v>120</v>
      </c>
      <c r="L234" s="5" t="s">
        <v>121</v>
      </c>
      <c r="M234" s="5" t="str">
        <f>CONCATENATE(L234," ",K234)</f>
        <v>Richard Yale</v>
      </c>
      <c r="N234" s="5" t="s">
        <v>57</v>
      </c>
      <c r="O234" s="6">
        <v>45855</v>
      </c>
      <c r="P234" s="6">
        <v>46159</v>
      </c>
      <c r="Q234" s="22">
        <f>DATEDIF(O234,P234,"M")</f>
        <v>10</v>
      </c>
      <c r="R234" s="28" t="s">
        <v>536</v>
      </c>
      <c r="S234" s="28" t="s">
        <v>1037</v>
      </c>
      <c r="T234" s="7">
        <v>149.87</v>
      </c>
      <c r="U234" s="5">
        <v>1</v>
      </c>
      <c r="V234" s="5" t="s">
        <v>58</v>
      </c>
      <c r="W234" s="5" t="s">
        <v>60</v>
      </c>
      <c r="X234" s="5" t="s">
        <v>61</v>
      </c>
      <c r="Y234" s="7">
        <v>56.2</v>
      </c>
    </row>
    <row r="235" spans="1:25" s="5" customFormat="1" x14ac:dyDescent="0.3">
      <c r="A235" s="5">
        <v>2029398822</v>
      </c>
      <c r="B235" s="5" t="s">
        <v>942</v>
      </c>
      <c r="C235" s="5" t="s">
        <v>320</v>
      </c>
      <c r="D235" s="5" t="str">
        <f t="shared" si="3"/>
        <v>LISA BOWSER</v>
      </c>
      <c r="E235" s="5" t="s">
        <v>612</v>
      </c>
      <c r="F235" s="5" t="s">
        <v>53</v>
      </c>
      <c r="G235" s="17">
        <v>0.42</v>
      </c>
      <c r="H235" s="5" t="s">
        <v>94</v>
      </c>
      <c r="I235" s="18" t="s">
        <v>94</v>
      </c>
      <c r="J235" s="19" t="s">
        <v>998</v>
      </c>
      <c r="K235" s="5" t="s">
        <v>71</v>
      </c>
      <c r="L235" s="5" t="s">
        <v>72</v>
      </c>
      <c r="M235" s="5" t="str">
        <f>CONCATENATE(L235," ",K235)</f>
        <v>Jake Shulman</v>
      </c>
      <c r="N235" s="5" t="s">
        <v>57</v>
      </c>
      <c r="O235" s="6">
        <v>45819</v>
      </c>
      <c r="P235" s="6">
        <v>46153</v>
      </c>
      <c r="Q235" s="22">
        <f>DATEDIF(O235,P235,"M")</f>
        <v>11</v>
      </c>
      <c r="R235" s="28" t="s">
        <v>536</v>
      </c>
      <c r="S235" s="28" t="s">
        <v>1037</v>
      </c>
      <c r="T235" s="7">
        <v>12.83</v>
      </c>
      <c r="U235" s="5">
        <v>1</v>
      </c>
      <c r="V235" s="5" t="s">
        <v>58</v>
      </c>
      <c r="W235" s="5" t="s">
        <v>60</v>
      </c>
      <c r="X235" s="5" t="s">
        <v>61</v>
      </c>
      <c r="Y235" s="7">
        <v>5.39</v>
      </c>
    </row>
    <row r="236" spans="1:25" s="5" customFormat="1" x14ac:dyDescent="0.3">
      <c r="A236" s="5">
        <v>2029402295</v>
      </c>
      <c r="B236" s="5" t="s">
        <v>943</v>
      </c>
      <c r="C236" s="5" t="s">
        <v>944</v>
      </c>
      <c r="D236" s="5" t="str">
        <f t="shared" si="3"/>
        <v>MARIELLE FARIA</v>
      </c>
      <c r="E236" s="5" t="s">
        <v>80</v>
      </c>
      <c r="F236" s="5" t="s">
        <v>53</v>
      </c>
      <c r="G236" s="17">
        <v>0.7</v>
      </c>
      <c r="H236" s="5" t="s">
        <v>54</v>
      </c>
      <c r="I236" s="18" t="s">
        <v>54</v>
      </c>
      <c r="J236" s="19" t="s">
        <v>1011</v>
      </c>
      <c r="K236" s="5" t="s">
        <v>228</v>
      </c>
      <c r="L236" s="5" t="s">
        <v>229</v>
      </c>
      <c r="M236" s="5" t="str">
        <f>CONCATENATE(L236," ",K236)</f>
        <v>James Allen</v>
      </c>
      <c r="N236" s="5" t="s">
        <v>57</v>
      </c>
      <c r="O236" s="6">
        <v>45821</v>
      </c>
      <c r="P236" s="6">
        <v>46155</v>
      </c>
      <c r="Q236" s="22">
        <f>DATEDIF(O236,P236,"M")</f>
        <v>11</v>
      </c>
      <c r="R236" s="28" t="s">
        <v>536</v>
      </c>
      <c r="S236" s="28" t="s">
        <v>1037</v>
      </c>
      <c r="T236" s="7">
        <v>42.38</v>
      </c>
      <c r="U236" s="5">
        <v>1</v>
      </c>
      <c r="V236" s="5" t="s">
        <v>58</v>
      </c>
      <c r="W236" s="5" t="s">
        <v>60</v>
      </c>
      <c r="X236" s="5" t="s">
        <v>61</v>
      </c>
      <c r="Y236" s="7">
        <v>29.67</v>
      </c>
    </row>
    <row r="237" spans="1:25" s="5" customFormat="1" x14ac:dyDescent="0.3">
      <c r="A237" s="5">
        <v>2029481266</v>
      </c>
      <c r="B237" s="5" t="s">
        <v>850</v>
      </c>
      <c r="C237" s="5" t="s">
        <v>851</v>
      </c>
      <c r="D237" s="5" t="str">
        <f t="shared" si="3"/>
        <v>AMBER FLATT</v>
      </c>
      <c r="E237" s="5" t="s">
        <v>64</v>
      </c>
      <c r="F237" s="5" t="s">
        <v>53</v>
      </c>
      <c r="G237" s="17">
        <v>0.7</v>
      </c>
      <c r="H237" s="5" t="s">
        <v>54</v>
      </c>
      <c r="I237" s="18" t="s">
        <v>54</v>
      </c>
      <c r="J237" s="19" t="s">
        <v>997</v>
      </c>
      <c r="K237" s="5" t="s">
        <v>66</v>
      </c>
      <c r="L237" s="5" t="s">
        <v>67</v>
      </c>
      <c r="M237" s="5" t="str">
        <f>CONCATENATE(L237," ",K237)</f>
        <v>Marsha Sanderock</v>
      </c>
      <c r="N237" s="5" t="s">
        <v>57</v>
      </c>
      <c r="O237" s="6">
        <v>45825</v>
      </c>
      <c r="P237" s="6">
        <v>46159</v>
      </c>
      <c r="Q237" s="22">
        <f>DATEDIF(O237,P237,"M")</f>
        <v>11</v>
      </c>
      <c r="R237" s="28" t="s">
        <v>536</v>
      </c>
      <c r="S237" s="28" t="s">
        <v>1037</v>
      </c>
      <c r="T237" s="7">
        <v>3.52</v>
      </c>
      <c r="U237" s="5">
        <v>1</v>
      </c>
      <c r="V237" s="5" t="s">
        <v>58</v>
      </c>
      <c r="W237" s="5" t="s">
        <v>60</v>
      </c>
      <c r="X237" s="5" t="s">
        <v>61</v>
      </c>
      <c r="Y237" s="7">
        <v>2.46</v>
      </c>
    </row>
    <row r="238" spans="1:25" s="5" customFormat="1" x14ac:dyDescent="0.3">
      <c r="A238" s="5">
        <v>2029481265</v>
      </c>
      <c r="B238" s="5" t="s">
        <v>850</v>
      </c>
      <c r="C238" s="5" t="s">
        <v>851</v>
      </c>
      <c r="D238" s="5" t="str">
        <f t="shared" si="3"/>
        <v>AMBER FLATT</v>
      </c>
      <c r="E238" s="5" t="s">
        <v>64</v>
      </c>
      <c r="F238" s="5" t="s">
        <v>483</v>
      </c>
      <c r="G238" s="20">
        <v>0.375</v>
      </c>
      <c r="H238" s="5" t="s">
        <v>484</v>
      </c>
      <c r="I238" s="18" t="s">
        <v>484</v>
      </c>
      <c r="J238" s="19" t="s">
        <v>997</v>
      </c>
      <c r="K238" s="5" t="s">
        <v>66</v>
      </c>
      <c r="L238" s="5" t="s">
        <v>67</v>
      </c>
      <c r="M238" s="5" t="str">
        <f>CONCATENATE(L238," ",K238)</f>
        <v>Marsha Sanderock</v>
      </c>
      <c r="N238" s="5" t="s">
        <v>57</v>
      </c>
      <c r="O238" s="6">
        <v>45825</v>
      </c>
      <c r="P238" s="6">
        <v>46159</v>
      </c>
      <c r="Q238" s="22">
        <f>DATEDIF(O238,P238,"M")</f>
        <v>11</v>
      </c>
      <c r="R238" s="28" t="s">
        <v>536</v>
      </c>
      <c r="S238" s="28" t="s">
        <v>1037</v>
      </c>
      <c r="T238" s="7">
        <v>58.15</v>
      </c>
      <c r="U238" s="5">
        <v>1</v>
      </c>
      <c r="V238" s="5" t="s">
        <v>58</v>
      </c>
      <c r="W238" s="5" t="s">
        <v>60</v>
      </c>
      <c r="X238" s="5" t="s">
        <v>61</v>
      </c>
      <c r="Y238" s="7">
        <v>21.81</v>
      </c>
    </row>
    <row r="239" spans="1:25" s="5" customFormat="1" x14ac:dyDescent="0.3">
      <c r="A239" s="5">
        <v>2029432398</v>
      </c>
      <c r="B239" s="5" t="s">
        <v>945</v>
      </c>
      <c r="C239" s="5" t="s">
        <v>946</v>
      </c>
      <c r="D239" s="5" t="str">
        <f t="shared" si="3"/>
        <v>TSENGELMAA DORJKHAND</v>
      </c>
      <c r="E239" s="5" t="s">
        <v>80</v>
      </c>
      <c r="F239" s="5" t="s">
        <v>53</v>
      </c>
      <c r="G239" s="17">
        <v>0.7</v>
      </c>
      <c r="H239" s="5" t="s">
        <v>54</v>
      </c>
      <c r="I239" s="18" t="s">
        <v>54</v>
      </c>
      <c r="J239" s="19" t="s">
        <v>999</v>
      </c>
      <c r="K239" s="5" t="s">
        <v>89</v>
      </c>
      <c r="L239" s="5" t="s">
        <v>90</v>
      </c>
      <c r="M239" s="5" t="str">
        <f>CONCATENATE(L239," ",K239)</f>
        <v>NASANDELGER ZANA</v>
      </c>
      <c r="N239" s="5" t="s">
        <v>57</v>
      </c>
      <c r="O239" s="6">
        <v>45821</v>
      </c>
      <c r="P239" s="6">
        <v>46155</v>
      </c>
      <c r="Q239" s="22">
        <f>DATEDIF(O239,P239,"M")</f>
        <v>11</v>
      </c>
      <c r="R239" s="28" t="s">
        <v>536</v>
      </c>
      <c r="S239" s="28" t="s">
        <v>1037</v>
      </c>
      <c r="T239" s="7">
        <v>19</v>
      </c>
      <c r="U239" s="5">
        <v>1</v>
      </c>
      <c r="V239" s="5" t="s">
        <v>58</v>
      </c>
      <c r="W239" s="5" t="s">
        <v>60</v>
      </c>
      <c r="X239" s="5" t="s">
        <v>61</v>
      </c>
      <c r="Y239" s="7">
        <v>13.3</v>
      </c>
    </row>
    <row r="240" spans="1:25" s="5" customFormat="1" x14ac:dyDescent="0.3">
      <c r="A240" s="5">
        <v>2029488849</v>
      </c>
      <c r="B240" s="5" t="s">
        <v>948</v>
      </c>
      <c r="C240" s="5" t="s">
        <v>949</v>
      </c>
      <c r="D240" s="5" t="str">
        <f t="shared" si="3"/>
        <v>OYUNTSETSEG GANBOLD</v>
      </c>
      <c r="E240" s="5" t="s">
        <v>80</v>
      </c>
      <c r="F240" s="5" t="s">
        <v>53</v>
      </c>
      <c r="G240" s="17">
        <v>0.9</v>
      </c>
      <c r="H240" s="5" t="s">
        <v>65</v>
      </c>
      <c r="I240" s="18" t="s">
        <v>65</v>
      </c>
      <c r="J240" s="19" t="s">
        <v>999</v>
      </c>
      <c r="K240" s="5" t="s">
        <v>89</v>
      </c>
      <c r="L240" s="5" t="s">
        <v>90</v>
      </c>
      <c r="M240" s="5" t="str">
        <f>CONCATENATE(L240," ",K240)</f>
        <v>NASANDELGER ZANA</v>
      </c>
      <c r="N240" s="5" t="s">
        <v>57</v>
      </c>
      <c r="O240" s="6">
        <v>45825</v>
      </c>
      <c r="P240" s="6">
        <v>46159</v>
      </c>
      <c r="Q240" s="22">
        <f>DATEDIF(O240,P240,"M")</f>
        <v>11</v>
      </c>
      <c r="R240" s="28" t="s">
        <v>536</v>
      </c>
      <c r="S240" s="28" t="s">
        <v>1037</v>
      </c>
      <c r="T240" s="7">
        <v>21.6</v>
      </c>
      <c r="U240" s="5">
        <v>1</v>
      </c>
      <c r="V240" s="5" t="s">
        <v>58</v>
      </c>
      <c r="W240" s="5" t="s">
        <v>60</v>
      </c>
      <c r="X240" s="5" t="s">
        <v>61</v>
      </c>
      <c r="Y240" s="7">
        <v>19.440000000000001</v>
      </c>
    </row>
    <row r="241" spans="1:25" s="5" customFormat="1" x14ac:dyDescent="0.3">
      <c r="A241" s="5">
        <v>2029378057</v>
      </c>
      <c r="B241" s="5" t="s">
        <v>449</v>
      </c>
      <c r="C241" s="5" t="s">
        <v>847</v>
      </c>
      <c r="D241" s="5" t="str">
        <f t="shared" si="3"/>
        <v>CLIFTON THOMPSON</v>
      </c>
      <c r="E241" s="5" t="s">
        <v>70</v>
      </c>
      <c r="F241" s="5" t="s">
        <v>53</v>
      </c>
      <c r="G241" s="17">
        <v>0.7</v>
      </c>
      <c r="H241" s="5" t="s">
        <v>54</v>
      </c>
      <c r="I241" s="18" t="s">
        <v>54</v>
      </c>
      <c r="J241" s="19" t="s">
        <v>984</v>
      </c>
      <c r="K241" s="5" t="s">
        <v>120</v>
      </c>
      <c r="L241" s="5" t="s">
        <v>121</v>
      </c>
      <c r="M241" s="5" t="str">
        <f>CONCATENATE(L241," ",K241)</f>
        <v>Richard Yale</v>
      </c>
      <c r="N241" s="5" t="s">
        <v>57</v>
      </c>
      <c r="O241" s="6">
        <v>45820</v>
      </c>
      <c r="P241" s="6">
        <v>46154</v>
      </c>
      <c r="Q241" s="22">
        <f>DATEDIF(O241,P241,"M")</f>
        <v>11</v>
      </c>
      <c r="R241" s="28" t="s">
        <v>536</v>
      </c>
      <c r="S241" s="28" t="s">
        <v>1037</v>
      </c>
      <c r="T241" s="7">
        <v>261</v>
      </c>
      <c r="U241" s="5">
        <v>1</v>
      </c>
      <c r="V241" s="5" t="s">
        <v>58</v>
      </c>
      <c r="W241" s="5" t="s">
        <v>60</v>
      </c>
      <c r="X241" s="5" t="s">
        <v>61</v>
      </c>
      <c r="Y241" s="7">
        <v>182.7</v>
      </c>
    </row>
    <row r="242" spans="1:25" s="5" customFormat="1" x14ac:dyDescent="0.3">
      <c r="A242" s="5">
        <v>2029378056</v>
      </c>
      <c r="B242" s="5" t="s">
        <v>449</v>
      </c>
      <c r="C242" s="5" t="s">
        <v>847</v>
      </c>
      <c r="D242" s="5" t="str">
        <f t="shared" si="3"/>
        <v>CLIFTON THOMPSON</v>
      </c>
      <c r="E242" s="5" t="s">
        <v>70</v>
      </c>
      <c r="F242" s="5" t="s">
        <v>483</v>
      </c>
      <c r="G242" s="20">
        <v>0.375</v>
      </c>
      <c r="H242" s="5" t="s">
        <v>484</v>
      </c>
      <c r="I242" s="18" t="s">
        <v>484</v>
      </c>
      <c r="J242" s="19" t="s">
        <v>984</v>
      </c>
      <c r="K242" s="5" t="s">
        <v>120</v>
      </c>
      <c r="L242" s="5" t="s">
        <v>121</v>
      </c>
      <c r="M242" s="5" t="str">
        <f>CONCATENATE(L242," ",K242)</f>
        <v>Richard Yale</v>
      </c>
      <c r="N242" s="5" t="s">
        <v>57</v>
      </c>
      <c r="O242" s="6">
        <v>45820</v>
      </c>
      <c r="P242" s="6">
        <v>46154</v>
      </c>
      <c r="Q242" s="22">
        <f>DATEDIF(O242,P242,"M")</f>
        <v>11</v>
      </c>
      <c r="R242" s="28" t="s">
        <v>536</v>
      </c>
      <c r="S242" s="28" t="s">
        <v>1037</v>
      </c>
      <c r="T242" s="7">
        <v>117.83</v>
      </c>
      <c r="U242" s="5">
        <v>1</v>
      </c>
      <c r="V242" s="5" t="s">
        <v>58</v>
      </c>
      <c r="W242" s="5" t="s">
        <v>60</v>
      </c>
      <c r="X242" s="5" t="s">
        <v>61</v>
      </c>
      <c r="Y242" s="7">
        <v>44.19</v>
      </c>
    </row>
    <row r="243" spans="1:25" s="5" customFormat="1" x14ac:dyDescent="0.3">
      <c r="A243" s="5">
        <v>2029378058</v>
      </c>
      <c r="B243" s="5" t="s">
        <v>449</v>
      </c>
      <c r="C243" s="5" t="s">
        <v>847</v>
      </c>
      <c r="D243" s="5" t="str">
        <f t="shared" si="3"/>
        <v>CLIFTON THOMPSON</v>
      </c>
      <c r="E243" s="5" t="s">
        <v>70</v>
      </c>
      <c r="F243" s="5" t="s">
        <v>53</v>
      </c>
      <c r="G243" s="17">
        <v>0.9</v>
      </c>
      <c r="H243" s="5" t="s">
        <v>65</v>
      </c>
      <c r="I243" s="18" t="s">
        <v>65</v>
      </c>
      <c r="J243" s="19" t="s">
        <v>984</v>
      </c>
      <c r="K243" s="5" t="s">
        <v>120</v>
      </c>
      <c r="L243" s="5" t="s">
        <v>121</v>
      </c>
      <c r="M243" s="5" t="str">
        <f>CONCATENATE(L243," ",K243)</f>
        <v>Richard Yale</v>
      </c>
      <c r="N243" s="5" t="s">
        <v>57</v>
      </c>
      <c r="O243" s="6">
        <v>45820</v>
      </c>
      <c r="P243" s="6">
        <v>46154</v>
      </c>
      <c r="Q243" s="22">
        <f>DATEDIF(O243,P243,"M")</f>
        <v>11</v>
      </c>
      <c r="R243" s="28" t="s">
        <v>536</v>
      </c>
      <c r="S243" s="28" t="s">
        <v>1037</v>
      </c>
      <c r="T243" s="7">
        <v>103.75</v>
      </c>
      <c r="U243" s="5">
        <v>1</v>
      </c>
      <c r="V243" s="5" t="s">
        <v>58</v>
      </c>
      <c r="W243" s="5" t="s">
        <v>60</v>
      </c>
      <c r="X243" s="5" t="s">
        <v>61</v>
      </c>
      <c r="Y243" s="7">
        <v>93.38</v>
      </c>
    </row>
    <row r="244" spans="1:25" s="5" customFormat="1" x14ac:dyDescent="0.3">
      <c r="A244" s="5">
        <v>2028935096</v>
      </c>
      <c r="B244" s="5" t="s">
        <v>592</v>
      </c>
      <c r="C244" s="5" t="s">
        <v>593</v>
      </c>
      <c r="D244" s="5" t="str">
        <f t="shared" si="3"/>
        <v>JUANITA SINGH</v>
      </c>
      <c r="E244" s="5" t="s">
        <v>52</v>
      </c>
      <c r="F244" s="5" t="s">
        <v>444</v>
      </c>
      <c r="G244" s="17">
        <v>0.75</v>
      </c>
      <c r="H244" s="5" t="s">
        <v>451</v>
      </c>
      <c r="I244" s="18" t="s">
        <v>980</v>
      </c>
      <c r="J244" s="19" t="s">
        <v>1012</v>
      </c>
      <c r="K244" s="5" t="s">
        <v>234</v>
      </c>
      <c r="L244" s="5" t="s">
        <v>235</v>
      </c>
      <c r="M244" s="5" t="str">
        <f>CONCATENATE(L244," ",K244)</f>
        <v>Barry Schumann</v>
      </c>
      <c r="N244" s="5" t="s">
        <v>57</v>
      </c>
      <c r="O244" s="6">
        <v>45792</v>
      </c>
      <c r="P244" s="6">
        <v>46157</v>
      </c>
      <c r="Q244" s="22">
        <f>DATEDIF(O244,P244,"M")</f>
        <v>12</v>
      </c>
      <c r="R244" s="28" t="s">
        <v>536</v>
      </c>
      <c r="S244" s="28" t="s">
        <v>1037</v>
      </c>
      <c r="T244" s="7">
        <v>50.98</v>
      </c>
      <c r="U244" s="5">
        <v>1</v>
      </c>
      <c r="V244" s="5" t="s">
        <v>58</v>
      </c>
      <c r="W244" s="5" t="s">
        <v>60</v>
      </c>
      <c r="X244" s="5" t="s">
        <v>61</v>
      </c>
      <c r="Y244" s="7">
        <v>38.24</v>
      </c>
    </row>
    <row r="245" spans="1:25" s="5" customFormat="1" x14ac:dyDescent="0.3">
      <c r="A245" s="5">
        <v>2028935095</v>
      </c>
      <c r="B245" s="5" t="s">
        <v>592</v>
      </c>
      <c r="C245" s="5" t="s">
        <v>593</v>
      </c>
      <c r="D245" s="5" t="str">
        <f t="shared" si="3"/>
        <v>JUANITA SINGH</v>
      </c>
      <c r="E245" s="5" t="s">
        <v>52</v>
      </c>
      <c r="F245" s="5" t="s">
        <v>53</v>
      </c>
      <c r="G245" s="17">
        <v>0.7</v>
      </c>
      <c r="H245" s="5" t="s">
        <v>54</v>
      </c>
      <c r="I245" s="18" t="s">
        <v>54</v>
      </c>
      <c r="J245" s="19" t="s">
        <v>1012</v>
      </c>
      <c r="K245" s="5" t="s">
        <v>234</v>
      </c>
      <c r="L245" s="5" t="s">
        <v>235</v>
      </c>
      <c r="M245" s="5" t="str">
        <f>CONCATENATE(L245," ",K245)</f>
        <v>Barry Schumann</v>
      </c>
      <c r="N245" s="5" t="s">
        <v>57</v>
      </c>
      <c r="O245" s="6">
        <v>45792</v>
      </c>
      <c r="P245" s="6">
        <v>46157</v>
      </c>
      <c r="Q245" s="22">
        <f>DATEDIF(O245,P245,"M")</f>
        <v>12</v>
      </c>
      <c r="R245" s="28" t="s">
        <v>536</v>
      </c>
      <c r="S245" s="28" t="s">
        <v>1037</v>
      </c>
      <c r="T245" s="7">
        <v>10.71</v>
      </c>
      <c r="U245" s="5">
        <v>1</v>
      </c>
      <c r="V245" s="5" t="s">
        <v>58</v>
      </c>
      <c r="W245" s="5" t="s">
        <v>60</v>
      </c>
      <c r="X245" s="5" t="s">
        <v>61</v>
      </c>
      <c r="Y245" s="7">
        <v>7.5</v>
      </c>
    </row>
    <row r="246" spans="1:25" s="5" customFormat="1" x14ac:dyDescent="0.3">
      <c r="A246" s="5">
        <v>2028930864</v>
      </c>
      <c r="B246" s="5" t="s">
        <v>927</v>
      </c>
      <c r="C246" s="5" t="s">
        <v>928</v>
      </c>
      <c r="D246" s="5" t="str">
        <f t="shared" si="3"/>
        <v>CORAL COOPER</v>
      </c>
      <c r="E246" s="5" t="s">
        <v>75</v>
      </c>
      <c r="F246" s="5" t="s">
        <v>53</v>
      </c>
      <c r="G246" s="17">
        <v>0.7</v>
      </c>
      <c r="H246" s="5" t="s">
        <v>54</v>
      </c>
      <c r="I246" s="18" t="s">
        <v>54</v>
      </c>
      <c r="J246" s="19" t="s">
        <v>1002</v>
      </c>
      <c r="K246" s="5" t="s">
        <v>127</v>
      </c>
      <c r="L246" s="5" t="s">
        <v>128</v>
      </c>
      <c r="M246" s="5" t="str">
        <f>CONCATENATE(L246," ",K246)</f>
        <v>CHRISTIAN TAUGNER</v>
      </c>
      <c r="N246" s="5" t="s">
        <v>57</v>
      </c>
      <c r="O246" s="6">
        <v>45793</v>
      </c>
      <c r="P246" s="6">
        <v>46158</v>
      </c>
      <c r="Q246" s="22">
        <f>DATEDIF(O246,P246,"M")</f>
        <v>12</v>
      </c>
      <c r="R246" s="28" t="s">
        <v>536</v>
      </c>
      <c r="S246" s="28" t="s">
        <v>1037</v>
      </c>
      <c r="T246" s="7">
        <v>107.87</v>
      </c>
      <c r="U246" s="5">
        <v>1</v>
      </c>
      <c r="V246" s="5" t="s">
        <v>58</v>
      </c>
      <c r="W246" s="5" t="s">
        <v>60</v>
      </c>
      <c r="X246" s="5" t="s">
        <v>61</v>
      </c>
      <c r="Y246" s="7">
        <v>75.510000000000005</v>
      </c>
    </row>
    <row r="247" spans="1:25" s="5" customFormat="1" x14ac:dyDescent="0.3">
      <c r="A247" s="5">
        <v>2028931111</v>
      </c>
      <c r="B247" s="5" t="s">
        <v>929</v>
      </c>
      <c r="C247" s="5" t="s">
        <v>472</v>
      </c>
      <c r="D247" s="5" t="str">
        <f t="shared" si="3"/>
        <v>ELIZABETH BURI</v>
      </c>
      <c r="E247" s="5" t="s">
        <v>75</v>
      </c>
      <c r="F247" s="5" t="s">
        <v>53</v>
      </c>
      <c r="G247" s="17">
        <v>0.7</v>
      </c>
      <c r="H247" s="5" t="s">
        <v>54</v>
      </c>
      <c r="I247" s="18" t="s">
        <v>54</v>
      </c>
      <c r="J247" s="19" t="s">
        <v>1002</v>
      </c>
      <c r="K247" s="5" t="s">
        <v>127</v>
      </c>
      <c r="L247" s="5" t="s">
        <v>128</v>
      </c>
      <c r="M247" s="5" t="str">
        <f>CONCATENATE(L247," ",K247)</f>
        <v>CHRISTIAN TAUGNER</v>
      </c>
      <c r="N247" s="5" t="s">
        <v>57</v>
      </c>
      <c r="O247" s="6">
        <v>45793</v>
      </c>
      <c r="P247" s="6">
        <v>46158</v>
      </c>
      <c r="Q247" s="22">
        <f>DATEDIF(O247,P247,"M")</f>
        <v>12</v>
      </c>
      <c r="R247" s="28" t="s">
        <v>536</v>
      </c>
      <c r="S247" s="28" t="s">
        <v>1037</v>
      </c>
      <c r="T247" s="7">
        <v>107.87</v>
      </c>
      <c r="U247" s="5">
        <v>1</v>
      </c>
      <c r="V247" s="5" t="s">
        <v>58</v>
      </c>
      <c r="W247" s="5" t="s">
        <v>60</v>
      </c>
      <c r="X247" s="5" t="s">
        <v>61</v>
      </c>
      <c r="Y247" s="7">
        <v>75.510000000000005</v>
      </c>
    </row>
    <row r="248" spans="1:25" s="5" customFormat="1" x14ac:dyDescent="0.3">
      <c r="A248" s="5">
        <v>2028937037</v>
      </c>
      <c r="B248" s="5" t="s">
        <v>930</v>
      </c>
      <c r="C248" s="5" t="s">
        <v>931</v>
      </c>
      <c r="D248" s="5" t="str">
        <f t="shared" si="3"/>
        <v>HOLLY STAMPER</v>
      </c>
      <c r="E248" s="5" t="s">
        <v>75</v>
      </c>
      <c r="F248" s="5" t="s">
        <v>53</v>
      </c>
      <c r="G248" s="17">
        <v>0.7</v>
      </c>
      <c r="H248" s="5" t="s">
        <v>54</v>
      </c>
      <c r="I248" s="18" t="s">
        <v>54</v>
      </c>
      <c r="J248" s="19" t="s">
        <v>1002</v>
      </c>
      <c r="K248" s="5" t="s">
        <v>127</v>
      </c>
      <c r="L248" s="5" t="s">
        <v>128</v>
      </c>
      <c r="M248" s="5" t="str">
        <f>CONCATENATE(L248," ",K248)</f>
        <v>CHRISTIAN TAUGNER</v>
      </c>
      <c r="N248" s="5" t="s">
        <v>57</v>
      </c>
      <c r="O248" s="6">
        <v>45793</v>
      </c>
      <c r="P248" s="6">
        <v>46158</v>
      </c>
      <c r="Q248" s="22">
        <f>DATEDIF(O248,P248,"M")</f>
        <v>12</v>
      </c>
      <c r="R248" s="28" t="s">
        <v>536</v>
      </c>
      <c r="S248" s="28" t="s">
        <v>1037</v>
      </c>
      <c r="T248" s="7">
        <v>107.87</v>
      </c>
      <c r="U248" s="5">
        <v>1</v>
      </c>
      <c r="V248" s="5" t="s">
        <v>58</v>
      </c>
      <c r="W248" s="5" t="s">
        <v>60</v>
      </c>
      <c r="X248" s="5" t="s">
        <v>61</v>
      </c>
      <c r="Y248" s="7">
        <v>75.510000000000005</v>
      </c>
    </row>
    <row r="249" spans="1:25" s="5" customFormat="1" x14ac:dyDescent="0.3">
      <c r="A249" s="5">
        <v>2028946855</v>
      </c>
      <c r="B249" s="5" t="s">
        <v>934</v>
      </c>
      <c r="C249" s="5" t="s">
        <v>935</v>
      </c>
      <c r="D249" s="5" t="str">
        <f t="shared" si="3"/>
        <v>GAGE PANTEL</v>
      </c>
      <c r="E249" s="5" t="s">
        <v>75</v>
      </c>
      <c r="F249" s="5" t="s">
        <v>53</v>
      </c>
      <c r="G249" s="17">
        <v>0.7</v>
      </c>
      <c r="H249" s="5" t="s">
        <v>54</v>
      </c>
      <c r="I249" s="18" t="s">
        <v>54</v>
      </c>
      <c r="J249" s="19" t="s">
        <v>1002</v>
      </c>
      <c r="K249" s="5" t="s">
        <v>127</v>
      </c>
      <c r="L249" s="5" t="s">
        <v>128</v>
      </c>
      <c r="M249" s="5" t="str">
        <f>CONCATENATE(L249," ",K249)</f>
        <v>CHRISTIAN TAUGNER</v>
      </c>
      <c r="N249" s="5" t="s">
        <v>57</v>
      </c>
      <c r="O249" s="6">
        <v>45793</v>
      </c>
      <c r="P249" s="6">
        <v>46158</v>
      </c>
      <c r="Q249" s="22">
        <f>DATEDIF(O249,P249,"M")</f>
        <v>12</v>
      </c>
      <c r="R249" s="28" t="s">
        <v>536</v>
      </c>
      <c r="S249" s="28" t="s">
        <v>1037</v>
      </c>
      <c r="T249" s="7">
        <v>19</v>
      </c>
      <c r="U249" s="5">
        <v>1</v>
      </c>
      <c r="V249" s="5" t="s">
        <v>58</v>
      </c>
      <c r="W249" s="5" t="s">
        <v>60</v>
      </c>
      <c r="X249" s="5" t="s">
        <v>61</v>
      </c>
      <c r="Y249" s="7">
        <v>13.3</v>
      </c>
    </row>
    <row r="250" spans="1:25" s="5" customFormat="1" x14ac:dyDescent="0.3">
      <c r="A250" s="5">
        <v>2028977072</v>
      </c>
      <c r="B250" s="5" t="s">
        <v>845</v>
      </c>
      <c r="C250" s="5" t="s">
        <v>314</v>
      </c>
      <c r="D250" s="5" t="str">
        <f t="shared" si="3"/>
        <v>SYDNEY WEBSTER</v>
      </c>
      <c r="E250" s="5" t="s">
        <v>126</v>
      </c>
      <c r="F250" s="5" t="s">
        <v>53</v>
      </c>
      <c r="G250" s="17">
        <v>0.7</v>
      </c>
      <c r="H250" s="5" t="s">
        <v>54</v>
      </c>
      <c r="I250" s="18" t="s">
        <v>54</v>
      </c>
      <c r="J250" s="19" t="s">
        <v>1026</v>
      </c>
      <c r="K250" s="5" t="s">
        <v>590</v>
      </c>
      <c r="L250" s="5" t="s">
        <v>591</v>
      </c>
      <c r="M250" s="5" t="str">
        <f>CONCATENATE(L250," ",K250)</f>
        <v>Kirk Tigue</v>
      </c>
      <c r="N250" s="5" t="s">
        <v>57</v>
      </c>
      <c r="O250" s="6">
        <v>45794</v>
      </c>
      <c r="P250" s="6">
        <v>46159</v>
      </c>
      <c r="Q250" s="22">
        <f>DATEDIF(O250,P250,"M")</f>
        <v>12</v>
      </c>
      <c r="R250" s="28" t="s">
        <v>536</v>
      </c>
      <c r="S250" s="28" t="s">
        <v>1037</v>
      </c>
      <c r="T250" s="7">
        <v>50.6</v>
      </c>
      <c r="U250" s="5">
        <v>1</v>
      </c>
      <c r="V250" s="5" t="s">
        <v>58</v>
      </c>
      <c r="W250" s="5" t="s">
        <v>60</v>
      </c>
      <c r="X250" s="5" t="s">
        <v>61</v>
      </c>
      <c r="Y250" s="7">
        <v>35.42</v>
      </c>
    </row>
    <row r="251" spans="1:25" s="5" customFormat="1" x14ac:dyDescent="0.3">
      <c r="A251" s="5">
        <v>2028977071</v>
      </c>
      <c r="B251" s="5" t="s">
        <v>845</v>
      </c>
      <c r="C251" s="5" t="s">
        <v>314</v>
      </c>
      <c r="D251" s="5" t="str">
        <f t="shared" si="3"/>
        <v>SYDNEY WEBSTER</v>
      </c>
      <c r="E251" s="5" t="s">
        <v>126</v>
      </c>
      <c r="F251" s="5" t="s">
        <v>483</v>
      </c>
      <c r="G251" s="20">
        <v>0.375</v>
      </c>
      <c r="H251" s="5" t="s">
        <v>484</v>
      </c>
      <c r="I251" s="18" t="s">
        <v>484</v>
      </c>
      <c r="J251" s="19" t="s">
        <v>1026</v>
      </c>
      <c r="K251" s="5" t="s">
        <v>590</v>
      </c>
      <c r="L251" s="5" t="s">
        <v>591</v>
      </c>
      <c r="M251" s="5" t="str">
        <f>CONCATENATE(L251," ",K251)</f>
        <v>Kirk Tigue</v>
      </c>
      <c r="N251" s="5" t="s">
        <v>57</v>
      </c>
      <c r="O251" s="6">
        <v>45794</v>
      </c>
      <c r="P251" s="6">
        <v>46159</v>
      </c>
      <c r="Q251" s="22">
        <f>DATEDIF(O251,P251,"M")</f>
        <v>12</v>
      </c>
      <c r="R251" s="28" t="s">
        <v>536</v>
      </c>
      <c r="S251" s="28" t="s">
        <v>1037</v>
      </c>
      <c r="T251" s="7">
        <v>23.34</v>
      </c>
      <c r="U251" s="5">
        <v>1</v>
      </c>
      <c r="V251" s="5" t="s">
        <v>58</v>
      </c>
      <c r="W251" s="5" t="s">
        <v>60</v>
      </c>
      <c r="X251" s="5" t="s">
        <v>61</v>
      </c>
      <c r="Y251" s="7">
        <v>8.75</v>
      </c>
    </row>
    <row r="252" spans="1:25" s="5" customFormat="1" x14ac:dyDescent="0.3">
      <c r="A252" s="5">
        <v>2028985824</v>
      </c>
      <c r="B252" s="5" t="s">
        <v>676</v>
      </c>
      <c r="C252" s="5" t="s">
        <v>846</v>
      </c>
      <c r="D252" s="5" t="str">
        <f t="shared" si="3"/>
        <v>COKISHA JONES</v>
      </c>
      <c r="E252" s="5" t="s">
        <v>126</v>
      </c>
      <c r="F252" s="5" t="s">
        <v>483</v>
      </c>
      <c r="G252" s="20">
        <v>0.375</v>
      </c>
      <c r="H252" s="5" t="s">
        <v>484</v>
      </c>
      <c r="I252" s="18" t="s">
        <v>484</v>
      </c>
      <c r="J252" s="19" t="s">
        <v>1026</v>
      </c>
      <c r="K252" s="5" t="s">
        <v>590</v>
      </c>
      <c r="L252" s="5" t="s">
        <v>591</v>
      </c>
      <c r="M252" s="5" t="str">
        <f>CONCATENATE(L252," ",K252)</f>
        <v>Kirk Tigue</v>
      </c>
      <c r="N252" s="5" t="s">
        <v>57</v>
      </c>
      <c r="O252" s="6">
        <v>45794</v>
      </c>
      <c r="P252" s="6">
        <v>46159</v>
      </c>
      <c r="Q252" s="22">
        <f>DATEDIF(O252,P252,"M")</f>
        <v>12</v>
      </c>
      <c r="R252" s="28" t="s">
        <v>536</v>
      </c>
      <c r="S252" s="28" t="s">
        <v>1037</v>
      </c>
      <c r="T252" s="7">
        <v>72.86</v>
      </c>
      <c r="U252" s="5">
        <v>1</v>
      </c>
      <c r="V252" s="5" t="s">
        <v>58</v>
      </c>
      <c r="W252" s="5" t="s">
        <v>60</v>
      </c>
      <c r="X252" s="5" t="s">
        <v>61</v>
      </c>
      <c r="Y252" s="7">
        <v>27.32</v>
      </c>
    </row>
    <row r="253" spans="1:25" s="5" customFormat="1" x14ac:dyDescent="0.3">
      <c r="A253" s="5">
        <v>2028942059</v>
      </c>
      <c r="B253" s="5" t="s">
        <v>841</v>
      </c>
      <c r="C253" s="5" t="s">
        <v>842</v>
      </c>
      <c r="D253" s="5" t="str">
        <f t="shared" si="3"/>
        <v>AMARJARGAL CHIMEDTSEREN</v>
      </c>
      <c r="E253" s="5" t="s">
        <v>80</v>
      </c>
      <c r="F253" s="5" t="s">
        <v>483</v>
      </c>
      <c r="G253" s="20">
        <v>0.375</v>
      </c>
      <c r="H253" s="5" t="s">
        <v>484</v>
      </c>
      <c r="I253" s="18" t="s">
        <v>484</v>
      </c>
      <c r="J253" s="19" t="s">
        <v>999</v>
      </c>
      <c r="K253" s="5" t="s">
        <v>89</v>
      </c>
      <c r="L253" s="5" t="s">
        <v>90</v>
      </c>
      <c r="M253" s="5" t="str">
        <f>CONCATENATE(L253," ",K253)</f>
        <v>NASANDELGER ZANA</v>
      </c>
      <c r="N253" s="5" t="s">
        <v>57</v>
      </c>
      <c r="O253" s="6">
        <v>45792</v>
      </c>
      <c r="P253" s="6">
        <v>46157</v>
      </c>
      <c r="Q253" s="22">
        <f>DATEDIF(O253,P253,"M")</f>
        <v>12</v>
      </c>
      <c r="R253" s="28" t="s">
        <v>536</v>
      </c>
      <c r="S253" s="28" t="s">
        <v>1037</v>
      </c>
      <c r="T253" s="7">
        <v>22.52</v>
      </c>
      <c r="U253" s="5">
        <v>1</v>
      </c>
      <c r="V253" s="5" t="s">
        <v>58</v>
      </c>
      <c r="W253" s="5" t="s">
        <v>60</v>
      </c>
      <c r="X253" s="5" t="s">
        <v>61</v>
      </c>
      <c r="Y253" s="7">
        <v>8.44</v>
      </c>
    </row>
    <row r="254" spans="1:25" s="5" customFormat="1" x14ac:dyDescent="0.3">
      <c r="A254" s="5">
        <v>2028912654</v>
      </c>
      <c r="B254" s="5" t="s">
        <v>926</v>
      </c>
      <c r="C254" s="5" t="s">
        <v>548</v>
      </c>
      <c r="D254" s="5" t="str">
        <f t="shared" si="3"/>
        <v>KEVIN II</v>
      </c>
      <c r="E254" s="5" t="s">
        <v>70</v>
      </c>
      <c r="F254" s="5" t="s">
        <v>53</v>
      </c>
      <c r="G254" s="17">
        <v>0.7</v>
      </c>
      <c r="H254" s="5" t="s">
        <v>54</v>
      </c>
      <c r="I254" s="18" t="s">
        <v>54</v>
      </c>
      <c r="J254" s="19" t="s">
        <v>984</v>
      </c>
      <c r="K254" s="5" t="s">
        <v>120</v>
      </c>
      <c r="L254" s="5" t="s">
        <v>121</v>
      </c>
      <c r="M254" s="5" t="str">
        <f>CONCATENATE(L254," ",K254)</f>
        <v>Richard Yale</v>
      </c>
      <c r="N254" s="5" t="s">
        <v>57</v>
      </c>
      <c r="O254" s="6">
        <v>45791</v>
      </c>
      <c r="P254" s="6">
        <v>46156</v>
      </c>
      <c r="Q254" s="22">
        <f>DATEDIF(O254,P254,"M")</f>
        <v>12</v>
      </c>
      <c r="R254" s="28" t="s">
        <v>536</v>
      </c>
      <c r="S254" s="28" t="s">
        <v>1037</v>
      </c>
      <c r="T254" s="7">
        <v>150.66</v>
      </c>
      <c r="U254" s="5">
        <v>1</v>
      </c>
      <c r="V254" s="5" t="s">
        <v>58</v>
      </c>
      <c r="W254" s="5" t="s">
        <v>60</v>
      </c>
      <c r="X254" s="5" t="s">
        <v>61</v>
      </c>
      <c r="Y254" s="7">
        <v>105.46</v>
      </c>
    </row>
    <row r="255" spans="1:25" s="5" customFormat="1" x14ac:dyDescent="0.3">
      <c r="A255" s="5">
        <v>2028965775</v>
      </c>
      <c r="B255" s="5" t="s">
        <v>597</v>
      </c>
      <c r="C255" s="5" t="s">
        <v>598</v>
      </c>
      <c r="D255" s="5" t="str">
        <f t="shared" si="3"/>
        <v>MELISSA FUENTES</v>
      </c>
      <c r="E255" s="5" t="s">
        <v>80</v>
      </c>
      <c r="F255" s="5" t="s">
        <v>444</v>
      </c>
      <c r="G255" s="17">
        <v>0.75</v>
      </c>
      <c r="H255" s="5" t="s">
        <v>451</v>
      </c>
      <c r="I255" s="18" t="s">
        <v>980</v>
      </c>
      <c r="J255" s="19" t="s">
        <v>1027</v>
      </c>
      <c r="K255" s="5" t="s">
        <v>597</v>
      </c>
      <c r="L255" s="5" t="s">
        <v>599</v>
      </c>
      <c r="M255" s="5" t="str">
        <f>CONCATENATE(L255," ",K255)</f>
        <v>VICTOR FUENTES</v>
      </c>
      <c r="N255" s="5" t="s">
        <v>57</v>
      </c>
      <c r="O255" s="6">
        <v>45793</v>
      </c>
      <c r="P255" s="6">
        <v>46158</v>
      </c>
      <c r="Q255" s="22">
        <f>DATEDIF(O255,P255,"M")</f>
        <v>12</v>
      </c>
      <c r="R255" s="28" t="s">
        <v>536</v>
      </c>
      <c r="S255" s="28" t="s">
        <v>1037</v>
      </c>
      <c r="T255" s="7">
        <v>19.3</v>
      </c>
      <c r="U255" s="5">
        <v>1</v>
      </c>
      <c r="V255" s="5" t="s">
        <v>58</v>
      </c>
      <c r="W255" s="5" t="s">
        <v>60</v>
      </c>
      <c r="X255" s="5" t="s">
        <v>61</v>
      </c>
      <c r="Y255" s="7">
        <v>14.48</v>
      </c>
    </row>
    <row r="256" spans="1:25" s="5" customFormat="1" x14ac:dyDescent="0.3">
      <c r="A256" s="5">
        <v>2028965806</v>
      </c>
      <c r="B256" s="5" t="s">
        <v>597</v>
      </c>
      <c r="C256" s="5" t="s">
        <v>145</v>
      </c>
      <c r="D256" s="5" t="str">
        <f t="shared" si="3"/>
        <v>SANDRA FUENTES</v>
      </c>
      <c r="E256" s="5" t="s">
        <v>600</v>
      </c>
      <c r="F256" s="5" t="s">
        <v>444</v>
      </c>
      <c r="G256" s="17">
        <v>0.75</v>
      </c>
      <c r="H256" s="5" t="s">
        <v>451</v>
      </c>
      <c r="I256" s="18" t="s">
        <v>980</v>
      </c>
      <c r="J256" s="19" t="s">
        <v>1027</v>
      </c>
      <c r="K256" s="5" t="s">
        <v>597</v>
      </c>
      <c r="L256" s="5" t="s">
        <v>599</v>
      </c>
      <c r="M256" s="5" t="str">
        <f>CONCATENATE(L256," ",K256)</f>
        <v>VICTOR FUENTES</v>
      </c>
      <c r="N256" s="5" t="s">
        <v>57</v>
      </c>
      <c r="O256" s="6">
        <v>45793</v>
      </c>
      <c r="P256" s="6">
        <v>46158</v>
      </c>
      <c r="Q256" s="22">
        <f>DATEDIF(O256,P256,"M")</f>
        <v>12</v>
      </c>
      <c r="R256" s="28" t="s">
        <v>536</v>
      </c>
      <c r="S256" s="28" t="s">
        <v>1037</v>
      </c>
      <c r="T256" s="7">
        <v>73.42</v>
      </c>
      <c r="U256" s="5">
        <v>1</v>
      </c>
      <c r="V256" s="5" t="s">
        <v>58</v>
      </c>
      <c r="W256" s="5" t="s">
        <v>60</v>
      </c>
      <c r="X256" s="5" t="s">
        <v>61</v>
      </c>
      <c r="Y256" s="7">
        <v>55.06</v>
      </c>
    </row>
    <row r="257" spans="1:25" s="5" customFormat="1" x14ac:dyDescent="0.3">
      <c r="A257" s="5">
        <v>2028965776</v>
      </c>
      <c r="B257" s="5" t="s">
        <v>597</v>
      </c>
      <c r="C257" s="5" t="s">
        <v>598</v>
      </c>
      <c r="D257" s="5" t="str">
        <f t="shared" si="3"/>
        <v>MELISSA FUENTES</v>
      </c>
      <c r="E257" s="5" t="s">
        <v>80</v>
      </c>
      <c r="F257" s="5" t="s">
        <v>53</v>
      </c>
      <c r="G257" s="17">
        <v>0.7</v>
      </c>
      <c r="H257" s="5" t="s">
        <v>54</v>
      </c>
      <c r="I257" s="18" t="s">
        <v>54</v>
      </c>
      <c r="J257" s="19" t="s">
        <v>1027</v>
      </c>
      <c r="K257" s="5" t="s">
        <v>597</v>
      </c>
      <c r="L257" s="5" t="s">
        <v>599</v>
      </c>
      <c r="M257" s="5" t="str">
        <f>CONCATENATE(L257," ",K257)</f>
        <v>VICTOR FUENTES</v>
      </c>
      <c r="N257" s="5" t="s">
        <v>57</v>
      </c>
      <c r="O257" s="6">
        <v>45793</v>
      </c>
      <c r="P257" s="6">
        <v>46158</v>
      </c>
      <c r="Q257" s="22">
        <f>DATEDIF(O257,P257,"M")</f>
        <v>12</v>
      </c>
      <c r="R257" s="28" t="s">
        <v>536</v>
      </c>
      <c r="S257" s="28" t="s">
        <v>1037</v>
      </c>
      <c r="T257" s="7">
        <v>58.24</v>
      </c>
      <c r="U257" s="5">
        <v>1</v>
      </c>
      <c r="V257" s="5" t="s">
        <v>58</v>
      </c>
      <c r="W257" s="5" t="s">
        <v>60</v>
      </c>
      <c r="X257" s="5" t="s">
        <v>61</v>
      </c>
      <c r="Y257" s="7">
        <v>40.770000000000003</v>
      </c>
    </row>
    <row r="258" spans="1:25" s="5" customFormat="1" x14ac:dyDescent="0.3">
      <c r="A258" s="5">
        <v>2028965822</v>
      </c>
      <c r="B258" s="5" t="s">
        <v>938</v>
      </c>
      <c r="C258" s="5" t="s">
        <v>939</v>
      </c>
      <c r="D258" s="5" t="str">
        <f t="shared" si="3"/>
        <v>OLIVIA FUENTES-DIETSCH</v>
      </c>
      <c r="E258" s="5" t="s">
        <v>600</v>
      </c>
      <c r="F258" s="5" t="s">
        <v>53</v>
      </c>
      <c r="G258" s="17">
        <v>0.7</v>
      </c>
      <c r="H258" s="5" t="s">
        <v>54</v>
      </c>
      <c r="I258" s="18" t="s">
        <v>54</v>
      </c>
      <c r="J258" s="19" t="s">
        <v>1027</v>
      </c>
      <c r="K258" s="5" t="s">
        <v>597</v>
      </c>
      <c r="L258" s="5" t="s">
        <v>599</v>
      </c>
      <c r="M258" s="5" t="str">
        <f>CONCATENATE(L258," ",K258)</f>
        <v>VICTOR FUENTES</v>
      </c>
      <c r="N258" s="5" t="s">
        <v>57</v>
      </c>
      <c r="O258" s="6">
        <v>45793</v>
      </c>
      <c r="P258" s="6">
        <v>46158</v>
      </c>
      <c r="Q258" s="22">
        <f>DATEDIF(O258,P258,"M")</f>
        <v>12</v>
      </c>
      <c r="R258" s="28" t="s">
        <v>536</v>
      </c>
      <c r="S258" s="28" t="s">
        <v>1037</v>
      </c>
      <c r="T258" s="7">
        <v>34</v>
      </c>
      <c r="U258" s="5">
        <v>1</v>
      </c>
      <c r="V258" s="5" t="s">
        <v>58</v>
      </c>
      <c r="W258" s="5" t="s">
        <v>60</v>
      </c>
      <c r="X258" s="5" t="s">
        <v>61</v>
      </c>
      <c r="Y258" s="7">
        <v>23.8</v>
      </c>
    </row>
    <row r="259" spans="1:25" s="5" customFormat="1" x14ac:dyDescent="0.3">
      <c r="A259" s="5">
        <v>2028174266</v>
      </c>
      <c r="B259" s="5" t="s">
        <v>837</v>
      </c>
      <c r="C259" s="5" t="s">
        <v>838</v>
      </c>
      <c r="D259" s="5" t="str">
        <f t="shared" ref="D259:D322" si="4">CONCATENATE(C259," ",B259)</f>
        <v>TAMEKA HOWARD</v>
      </c>
      <c r="E259" s="5" t="s">
        <v>80</v>
      </c>
      <c r="F259" s="5" t="s">
        <v>53</v>
      </c>
      <c r="G259" s="17">
        <v>0.15</v>
      </c>
      <c r="H259" s="5" t="s">
        <v>54</v>
      </c>
      <c r="I259" s="18" t="s">
        <v>54</v>
      </c>
      <c r="J259" s="19" t="s">
        <v>1011</v>
      </c>
      <c r="K259" s="5" t="s">
        <v>228</v>
      </c>
      <c r="L259" s="5" t="s">
        <v>229</v>
      </c>
      <c r="M259" s="5" t="str">
        <f>CONCATENATE(L259," ",K259)</f>
        <v>James Allen</v>
      </c>
      <c r="N259" s="5" t="s">
        <v>57</v>
      </c>
      <c r="O259" s="6">
        <v>45758</v>
      </c>
      <c r="P259" s="6">
        <v>46153</v>
      </c>
      <c r="Q259" s="22">
        <f>DATEDIF(O259,P259,"M")</f>
        <v>13</v>
      </c>
      <c r="R259" s="28" t="s">
        <v>536</v>
      </c>
      <c r="S259" s="28" t="s">
        <v>1037</v>
      </c>
      <c r="T259" s="7">
        <v>19</v>
      </c>
      <c r="U259" s="5">
        <v>1</v>
      </c>
      <c r="V259" s="5" t="s">
        <v>58</v>
      </c>
      <c r="W259" s="5" t="s">
        <v>536</v>
      </c>
      <c r="X259" s="5" t="s">
        <v>61</v>
      </c>
      <c r="Y259" s="7">
        <v>2.85</v>
      </c>
    </row>
    <row r="260" spans="1:25" s="5" customFormat="1" x14ac:dyDescent="0.3">
      <c r="A260" s="5">
        <v>2028174265</v>
      </c>
      <c r="B260" s="5" t="s">
        <v>837</v>
      </c>
      <c r="C260" s="5" t="s">
        <v>838</v>
      </c>
      <c r="D260" s="5" t="str">
        <f t="shared" si="4"/>
        <v>TAMEKA HOWARD</v>
      </c>
      <c r="E260" s="5" t="s">
        <v>80</v>
      </c>
      <c r="F260" s="5" t="s">
        <v>483</v>
      </c>
      <c r="G260" s="17">
        <v>0.06</v>
      </c>
      <c r="H260" s="5" t="s">
        <v>484</v>
      </c>
      <c r="I260" s="18" t="s">
        <v>484</v>
      </c>
      <c r="J260" s="19" t="s">
        <v>1011</v>
      </c>
      <c r="K260" s="5" t="s">
        <v>228</v>
      </c>
      <c r="L260" s="5" t="s">
        <v>229</v>
      </c>
      <c r="M260" s="5" t="str">
        <f>CONCATENATE(L260," ",K260)</f>
        <v>James Allen</v>
      </c>
      <c r="N260" s="5" t="s">
        <v>57</v>
      </c>
      <c r="O260" s="6">
        <v>45758</v>
      </c>
      <c r="P260" s="6">
        <v>46153</v>
      </c>
      <c r="Q260" s="22">
        <f>DATEDIF(O260,P260,"M")</f>
        <v>13</v>
      </c>
      <c r="R260" s="28" t="s">
        <v>536</v>
      </c>
      <c r="S260" s="28" t="s">
        <v>1037</v>
      </c>
      <c r="T260" s="7">
        <v>32.67</v>
      </c>
      <c r="U260" s="5">
        <v>1</v>
      </c>
      <c r="V260" s="5" t="s">
        <v>58</v>
      </c>
      <c r="W260" s="5" t="s">
        <v>536</v>
      </c>
      <c r="X260" s="5" t="s">
        <v>61</v>
      </c>
      <c r="Y260" s="7">
        <v>1.96</v>
      </c>
    </row>
    <row r="261" spans="1:25" s="5" customFormat="1" x14ac:dyDescent="0.3">
      <c r="A261" s="5">
        <v>2028379894</v>
      </c>
      <c r="B261" s="5" t="s">
        <v>588</v>
      </c>
      <c r="C261" s="5" t="s">
        <v>589</v>
      </c>
      <c r="D261" s="5" t="str">
        <f t="shared" si="4"/>
        <v>CONNIE SHOCKLEY</v>
      </c>
      <c r="E261" s="5" t="s">
        <v>70</v>
      </c>
      <c r="F261" s="5" t="s">
        <v>444</v>
      </c>
      <c r="G261" s="17">
        <v>0.1</v>
      </c>
      <c r="H261" s="5" t="s">
        <v>454</v>
      </c>
      <c r="I261" s="18" t="s">
        <v>980</v>
      </c>
      <c r="J261" s="19" t="s">
        <v>1026</v>
      </c>
      <c r="K261" s="5" t="s">
        <v>590</v>
      </c>
      <c r="L261" s="5" t="s">
        <v>591</v>
      </c>
      <c r="M261" s="5" t="str">
        <f>CONCATENATE(L261," ",K261)</f>
        <v>Kirk Tigue</v>
      </c>
      <c r="N261" s="5" t="s">
        <v>57</v>
      </c>
      <c r="O261" s="6">
        <v>45760</v>
      </c>
      <c r="P261" s="6">
        <v>46155</v>
      </c>
      <c r="Q261" s="22">
        <f>DATEDIF(O261,P261,"M")</f>
        <v>13</v>
      </c>
      <c r="R261" s="28" t="s">
        <v>536</v>
      </c>
      <c r="S261" s="28" t="s">
        <v>1037</v>
      </c>
      <c r="T261" s="7">
        <v>81.099999999999994</v>
      </c>
      <c r="U261" s="5">
        <v>1</v>
      </c>
      <c r="V261" s="5" t="s">
        <v>58</v>
      </c>
      <c r="W261" s="5" t="s">
        <v>536</v>
      </c>
      <c r="X261" s="5" t="s">
        <v>61</v>
      </c>
      <c r="Y261" s="7">
        <v>8.11</v>
      </c>
    </row>
    <row r="262" spans="1:25" s="5" customFormat="1" x14ac:dyDescent="0.3">
      <c r="A262" s="5">
        <v>2028379892</v>
      </c>
      <c r="B262" s="5" t="s">
        <v>588</v>
      </c>
      <c r="C262" s="5" t="s">
        <v>589</v>
      </c>
      <c r="D262" s="5" t="str">
        <f t="shared" si="4"/>
        <v>CONNIE SHOCKLEY</v>
      </c>
      <c r="E262" s="5" t="s">
        <v>70</v>
      </c>
      <c r="F262" s="5" t="s">
        <v>53</v>
      </c>
      <c r="G262" s="17">
        <v>0.15</v>
      </c>
      <c r="H262" s="5" t="s">
        <v>54</v>
      </c>
      <c r="I262" s="18" t="s">
        <v>54</v>
      </c>
      <c r="J262" s="19" t="s">
        <v>1026</v>
      </c>
      <c r="K262" s="5" t="s">
        <v>590</v>
      </c>
      <c r="L262" s="5" t="s">
        <v>591</v>
      </c>
      <c r="M262" s="5" t="str">
        <f>CONCATENATE(L262," ",K262)</f>
        <v>Kirk Tigue</v>
      </c>
      <c r="N262" s="5" t="s">
        <v>57</v>
      </c>
      <c r="O262" s="6">
        <v>45760</v>
      </c>
      <c r="P262" s="6">
        <v>46155</v>
      </c>
      <c r="Q262" s="22">
        <f>DATEDIF(O262,P262,"M")</f>
        <v>13</v>
      </c>
      <c r="R262" s="28" t="s">
        <v>536</v>
      </c>
      <c r="S262" s="28" t="s">
        <v>1037</v>
      </c>
      <c r="T262" s="7">
        <v>129.22</v>
      </c>
      <c r="U262" s="5">
        <v>1</v>
      </c>
      <c r="V262" s="5" t="s">
        <v>58</v>
      </c>
      <c r="W262" s="5" t="s">
        <v>536</v>
      </c>
      <c r="X262" s="5" t="s">
        <v>61</v>
      </c>
      <c r="Y262" s="7">
        <v>19.38</v>
      </c>
    </row>
    <row r="263" spans="1:25" s="5" customFormat="1" x14ac:dyDescent="0.3">
      <c r="A263" s="5">
        <v>2028379893</v>
      </c>
      <c r="B263" s="5" t="s">
        <v>588</v>
      </c>
      <c r="C263" s="5" t="s">
        <v>589</v>
      </c>
      <c r="D263" s="5" t="str">
        <f t="shared" si="4"/>
        <v>CONNIE SHOCKLEY</v>
      </c>
      <c r="E263" s="5" t="s">
        <v>70</v>
      </c>
      <c r="F263" s="5" t="s">
        <v>483</v>
      </c>
      <c r="G263" s="17">
        <v>0.06</v>
      </c>
      <c r="H263" s="5" t="s">
        <v>484</v>
      </c>
      <c r="I263" s="18" t="s">
        <v>484</v>
      </c>
      <c r="J263" s="19" t="s">
        <v>1026</v>
      </c>
      <c r="K263" s="5" t="s">
        <v>590</v>
      </c>
      <c r="L263" s="5" t="s">
        <v>591</v>
      </c>
      <c r="M263" s="5" t="str">
        <f>CONCATENATE(L263," ",K263)</f>
        <v>Kirk Tigue</v>
      </c>
      <c r="N263" s="5" t="s">
        <v>57</v>
      </c>
      <c r="O263" s="6">
        <v>45760</v>
      </c>
      <c r="P263" s="6">
        <v>46155</v>
      </c>
      <c r="Q263" s="22">
        <f>DATEDIF(O263,P263,"M")</f>
        <v>13</v>
      </c>
      <c r="R263" s="28" t="s">
        <v>536</v>
      </c>
      <c r="S263" s="28" t="s">
        <v>1037</v>
      </c>
      <c r="T263" s="7">
        <v>27.95</v>
      </c>
      <c r="U263" s="5">
        <v>1</v>
      </c>
      <c r="V263" s="5" t="s">
        <v>58</v>
      </c>
      <c r="W263" s="5" t="s">
        <v>536</v>
      </c>
      <c r="X263" s="5" t="s">
        <v>61</v>
      </c>
      <c r="Y263" s="7">
        <v>1.68</v>
      </c>
    </row>
    <row r="264" spans="1:25" s="5" customFormat="1" x14ac:dyDescent="0.3">
      <c r="A264" s="5">
        <v>2027706490</v>
      </c>
      <c r="B264" s="5" t="s">
        <v>830</v>
      </c>
      <c r="C264" s="5" t="s">
        <v>107</v>
      </c>
      <c r="D264" s="5" t="str">
        <f t="shared" si="4"/>
        <v>TIMOTHY HUDZIK</v>
      </c>
      <c r="E264" s="5" t="s">
        <v>80</v>
      </c>
      <c r="F264" s="5" t="s">
        <v>53</v>
      </c>
      <c r="G264" s="17">
        <v>0.15</v>
      </c>
      <c r="H264" s="5" t="s">
        <v>54</v>
      </c>
      <c r="I264" s="18" t="s">
        <v>54</v>
      </c>
      <c r="J264" s="19">
        <v>16912722</v>
      </c>
      <c r="K264" s="5" t="s">
        <v>425</v>
      </c>
      <c r="L264" s="5" t="s">
        <v>123</v>
      </c>
      <c r="M264" s="5" t="str">
        <f>CONCATENATE(L264," ",K264)</f>
        <v>ANDREA PETRUNGARO</v>
      </c>
      <c r="N264" s="5" t="s">
        <v>57</v>
      </c>
      <c r="O264" s="6">
        <v>45727</v>
      </c>
      <c r="P264" s="6">
        <v>46153</v>
      </c>
      <c r="Q264" s="22">
        <f>DATEDIF(O264,P264,"M")</f>
        <v>14</v>
      </c>
      <c r="R264" s="28" t="s">
        <v>536</v>
      </c>
      <c r="S264" s="28" t="s">
        <v>1037</v>
      </c>
      <c r="T264" s="7">
        <v>145.41999999999999</v>
      </c>
      <c r="U264" s="5">
        <v>1</v>
      </c>
      <c r="V264" s="5" t="s">
        <v>58</v>
      </c>
      <c r="W264" s="5" t="s">
        <v>536</v>
      </c>
      <c r="X264" s="5" t="s">
        <v>61</v>
      </c>
      <c r="Y264" s="7">
        <v>21.81</v>
      </c>
    </row>
    <row r="265" spans="1:25" s="5" customFormat="1" x14ac:dyDescent="0.3">
      <c r="A265" s="5">
        <v>2027721564</v>
      </c>
      <c r="B265" s="5" t="s">
        <v>919</v>
      </c>
      <c r="C265" s="5" t="s">
        <v>920</v>
      </c>
      <c r="D265" s="5" t="str">
        <f t="shared" si="4"/>
        <v>MANJIT KAUR</v>
      </c>
      <c r="E265" s="5" t="s">
        <v>80</v>
      </c>
      <c r="F265" s="5" t="s">
        <v>53</v>
      </c>
      <c r="G265" s="17">
        <v>0.15</v>
      </c>
      <c r="H265" s="5" t="s">
        <v>54</v>
      </c>
      <c r="I265" s="18" t="s">
        <v>54</v>
      </c>
      <c r="J265" s="19">
        <v>16912722</v>
      </c>
      <c r="K265" s="5" t="s">
        <v>425</v>
      </c>
      <c r="L265" s="5" t="s">
        <v>123</v>
      </c>
      <c r="M265" s="5" t="str">
        <f>CONCATENATE(L265," ",K265)</f>
        <v>ANDREA PETRUNGARO</v>
      </c>
      <c r="N265" s="5" t="s">
        <v>57</v>
      </c>
      <c r="O265" s="6">
        <v>45727</v>
      </c>
      <c r="P265" s="6">
        <v>46153</v>
      </c>
      <c r="Q265" s="22">
        <f>DATEDIF(O265,P265,"M")</f>
        <v>14</v>
      </c>
      <c r="R265" s="28" t="s">
        <v>536</v>
      </c>
      <c r="S265" s="28" t="s">
        <v>1037</v>
      </c>
      <c r="T265" s="7">
        <v>145.41999999999999</v>
      </c>
      <c r="U265" s="5">
        <v>1</v>
      </c>
      <c r="V265" s="5" t="s">
        <v>58</v>
      </c>
      <c r="W265" s="5" t="s">
        <v>536</v>
      </c>
      <c r="X265" s="5" t="s">
        <v>61</v>
      </c>
      <c r="Y265" s="7">
        <v>21.81</v>
      </c>
    </row>
    <row r="266" spans="1:25" s="5" customFormat="1" x14ac:dyDescent="0.3">
      <c r="A266" s="5">
        <v>2027706491</v>
      </c>
      <c r="B266" s="5" t="s">
        <v>830</v>
      </c>
      <c r="C266" s="5" t="s">
        <v>107</v>
      </c>
      <c r="D266" s="5" t="str">
        <f t="shared" si="4"/>
        <v>TIMOTHY HUDZIK</v>
      </c>
      <c r="E266" s="5" t="s">
        <v>80</v>
      </c>
      <c r="F266" s="5" t="s">
        <v>483</v>
      </c>
      <c r="G266" s="17">
        <v>0.06</v>
      </c>
      <c r="H266" s="5" t="s">
        <v>484</v>
      </c>
      <c r="I266" s="18" t="s">
        <v>484</v>
      </c>
      <c r="J266" s="19">
        <v>16912722</v>
      </c>
      <c r="K266" s="5" t="s">
        <v>425</v>
      </c>
      <c r="L266" s="5" t="s">
        <v>123</v>
      </c>
      <c r="M266" s="5" t="str">
        <f>CONCATENATE(L266," ",K266)</f>
        <v>ANDREA PETRUNGARO</v>
      </c>
      <c r="N266" s="5" t="s">
        <v>57</v>
      </c>
      <c r="O266" s="6">
        <v>45727</v>
      </c>
      <c r="P266" s="6">
        <v>46153</v>
      </c>
      <c r="Q266" s="22">
        <f>DATEDIF(O266,P266,"M")</f>
        <v>14</v>
      </c>
      <c r="R266" s="28" t="s">
        <v>536</v>
      </c>
      <c r="S266" s="28" t="s">
        <v>1037</v>
      </c>
      <c r="T266" s="7">
        <v>103.42</v>
      </c>
      <c r="U266" s="5">
        <v>1</v>
      </c>
      <c r="V266" s="5" t="s">
        <v>58</v>
      </c>
      <c r="W266" s="5" t="s">
        <v>536</v>
      </c>
      <c r="X266" s="5" t="s">
        <v>61</v>
      </c>
      <c r="Y266" s="7">
        <v>6.21</v>
      </c>
    </row>
    <row r="267" spans="1:25" s="5" customFormat="1" x14ac:dyDescent="0.3">
      <c r="A267" s="5">
        <v>2027605652</v>
      </c>
      <c r="B267" s="5" t="s">
        <v>740</v>
      </c>
      <c r="C267" s="5" t="s">
        <v>741</v>
      </c>
      <c r="D267" s="5" t="str">
        <f t="shared" si="4"/>
        <v>EMMA VALE</v>
      </c>
      <c r="E267" s="5" t="s">
        <v>80</v>
      </c>
      <c r="F267" s="5" t="s">
        <v>529</v>
      </c>
      <c r="G267" s="20">
        <v>5.2499999999999998E-2</v>
      </c>
      <c r="H267" s="5" t="s">
        <v>725</v>
      </c>
      <c r="I267" s="18" t="s">
        <v>725</v>
      </c>
      <c r="J267" s="19">
        <v>17301495</v>
      </c>
      <c r="K267" s="5" t="s">
        <v>742</v>
      </c>
      <c r="L267" s="5" t="s">
        <v>743</v>
      </c>
      <c r="M267" s="5" t="str">
        <f>CONCATENATE(L267," ",K267)</f>
        <v>ESTHER HERRERA-LARSEN</v>
      </c>
      <c r="N267" s="5" t="s">
        <v>57</v>
      </c>
      <c r="O267" s="6">
        <v>45722</v>
      </c>
      <c r="P267" s="6">
        <v>46148</v>
      </c>
      <c r="Q267" s="22">
        <f>DATEDIF(O267,P267,"M")</f>
        <v>14</v>
      </c>
      <c r="R267" s="28" t="s">
        <v>536</v>
      </c>
      <c r="S267" s="28" t="s">
        <v>1037</v>
      </c>
      <c r="T267" s="7">
        <v>83.39</v>
      </c>
      <c r="U267" s="5">
        <v>1</v>
      </c>
      <c r="V267" s="5" t="s">
        <v>58</v>
      </c>
      <c r="W267" s="5" t="s">
        <v>536</v>
      </c>
      <c r="X267" s="5" t="s">
        <v>61</v>
      </c>
      <c r="Y267" s="7">
        <v>4.38</v>
      </c>
    </row>
    <row r="268" spans="1:25" s="5" customFormat="1" x14ac:dyDescent="0.3">
      <c r="A268" s="5">
        <v>2027767677</v>
      </c>
      <c r="B268" s="5" t="s">
        <v>833</v>
      </c>
      <c r="C268" s="5" t="s">
        <v>834</v>
      </c>
      <c r="D268" s="5" t="str">
        <f t="shared" si="4"/>
        <v>BLAKE LARSEN</v>
      </c>
      <c r="E268" s="5" t="s">
        <v>75</v>
      </c>
      <c r="F268" s="5" t="s">
        <v>53</v>
      </c>
      <c r="G268" s="17">
        <v>0.15</v>
      </c>
      <c r="H268" s="5" t="s">
        <v>54</v>
      </c>
      <c r="I268" s="18" t="s">
        <v>54</v>
      </c>
      <c r="J268" s="19">
        <v>17301495</v>
      </c>
      <c r="K268" s="5" t="s">
        <v>742</v>
      </c>
      <c r="L268" s="5" t="s">
        <v>743</v>
      </c>
      <c r="M268" s="5" t="str">
        <f>CONCATENATE(L268," ",K268)</f>
        <v>ESTHER HERRERA-LARSEN</v>
      </c>
      <c r="N268" s="5" t="s">
        <v>57</v>
      </c>
      <c r="O268" s="6">
        <v>45729</v>
      </c>
      <c r="P268" s="6">
        <v>46155</v>
      </c>
      <c r="Q268" s="22">
        <f>DATEDIF(O268,P268,"M")</f>
        <v>14</v>
      </c>
      <c r="R268" s="28" t="s">
        <v>536</v>
      </c>
      <c r="S268" s="28" t="s">
        <v>1037</v>
      </c>
      <c r="T268" s="7">
        <v>56.55</v>
      </c>
      <c r="U268" s="5">
        <v>1</v>
      </c>
      <c r="V268" s="5" t="s">
        <v>58</v>
      </c>
      <c r="W268" s="5" t="s">
        <v>536</v>
      </c>
      <c r="X268" s="5" t="s">
        <v>61</v>
      </c>
      <c r="Y268" s="7">
        <v>8.48</v>
      </c>
    </row>
    <row r="269" spans="1:25" s="5" customFormat="1" x14ac:dyDescent="0.3">
      <c r="A269" s="5">
        <v>2027767676</v>
      </c>
      <c r="B269" s="5" t="s">
        <v>833</v>
      </c>
      <c r="C269" s="5" t="s">
        <v>834</v>
      </c>
      <c r="D269" s="5" t="str">
        <f t="shared" si="4"/>
        <v>BLAKE LARSEN</v>
      </c>
      <c r="E269" s="5" t="s">
        <v>75</v>
      </c>
      <c r="F269" s="5" t="s">
        <v>483</v>
      </c>
      <c r="G269" s="17">
        <v>0.06</v>
      </c>
      <c r="H269" s="5" t="s">
        <v>484</v>
      </c>
      <c r="I269" s="18" t="s">
        <v>484</v>
      </c>
      <c r="J269" s="19">
        <v>17301495</v>
      </c>
      <c r="K269" s="5" t="s">
        <v>742</v>
      </c>
      <c r="L269" s="5" t="s">
        <v>743</v>
      </c>
      <c r="M269" s="5" t="str">
        <f>CONCATENATE(L269," ",K269)</f>
        <v>ESTHER HERRERA-LARSEN</v>
      </c>
      <c r="N269" s="5" t="s">
        <v>57</v>
      </c>
      <c r="O269" s="6">
        <v>45729</v>
      </c>
      <c r="P269" s="6">
        <v>46155</v>
      </c>
      <c r="Q269" s="22">
        <f>DATEDIF(O269,P269,"M")</f>
        <v>14</v>
      </c>
      <c r="R269" s="28" t="s">
        <v>536</v>
      </c>
      <c r="S269" s="28" t="s">
        <v>1037</v>
      </c>
      <c r="T269" s="7">
        <v>66.650000000000006</v>
      </c>
      <c r="U269" s="5">
        <v>1</v>
      </c>
      <c r="V269" s="5" t="s">
        <v>58</v>
      </c>
      <c r="W269" s="5" t="s">
        <v>536</v>
      </c>
      <c r="X269" s="5" t="s">
        <v>61</v>
      </c>
      <c r="Y269" s="7">
        <v>4</v>
      </c>
    </row>
    <row r="270" spans="1:25" s="5" customFormat="1" x14ac:dyDescent="0.3">
      <c r="A270" s="5">
        <v>2027604739</v>
      </c>
      <c r="B270" s="5" t="s">
        <v>737</v>
      </c>
      <c r="C270" s="5" t="s">
        <v>738</v>
      </c>
      <c r="D270" s="5" t="str">
        <f t="shared" si="4"/>
        <v>EVELYN BENDER</v>
      </c>
      <c r="E270" s="5" t="s">
        <v>661</v>
      </c>
      <c r="F270" s="5" t="s">
        <v>529</v>
      </c>
      <c r="G270" s="20">
        <v>5.2499999999999998E-2</v>
      </c>
      <c r="H270" s="5" t="s">
        <v>725</v>
      </c>
      <c r="I270" s="18" t="s">
        <v>725</v>
      </c>
      <c r="J270" s="19">
        <v>17094718</v>
      </c>
      <c r="K270" s="5" t="s">
        <v>739</v>
      </c>
      <c r="L270" s="5" t="s">
        <v>56</v>
      </c>
      <c r="M270" s="5" t="str">
        <f>CONCATENATE(L270," ",K270)</f>
        <v>GREGORY HANSFORD</v>
      </c>
      <c r="N270" s="5" t="s">
        <v>57</v>
      </c>
      <c r="O270" s="6">
        <v>45723</v>
      </c>
      <c r="P270" s="6">
        <v>46149</v>
      </c>
      <c r="Q270" s="22">
        <f>DATEDIF(O270,P270,"M")</f>
        <v>14</v>
      </c>
      <c r="R270" s="28" t="s">
        <v>536</v>
      </c>
      <c r="S270" s="28" t="s">
        <v>1037</v>
      </c>
      <c r="T270" s="7">
        <v>51.04</v>
      </c>
      <c r="U270" s="5">
        <v>1</v>
      </c>
      <c r="V270" s="5" t="s">
        <v>58</v>
      </c>
      <c r="W270" s="5" t="s">
        <v>536</v>
      </c>
      <c r="X270" s="5" t="s">
        <v>61</v>
      </c>
      <c r="Y270" s="7">
        <v>2.68</v>
      </c>
    </row>
    <row r="271" spans="1:25" s="5" customFormat="1" x14ac:dyDescent="0.3">
      <c r="A271" s="5">
        <v>2027738389</v>
      </c>
      <c r="B271" s="5" t="s">
        <v>921</v>
      </c>
      <c r="C271" s="5" t="s">
        <v>922</v>
      </c>
      <c r="D271" s="5" t="str">
        <f t="shared" si="4"/>
        <v>FERNANDO MARRUFO</v>
      </c>
      <c r="E271" s="5" t="s">
        <v>295</v>
      </c>
      <c r="F271" s="5" t="s">
        <v>53</v>
      </c>
      <c r="G271" s="17">
        <v>0.15</v>
      </c>
      <c r="H271" s="5" t="s">
        <v>54</v>
      </c>
      <c r="I271" s="18" t="s">
        <v>54</v>
      </c>
      <c r="J271" s="19" t="s">
        <v>991</v>
      </c>
      <c r="K271" s="5" t="s">
        <v>134</v>
      </c>
      <c r="L271" s="5" t="s">
        <v>98</v>
      </c>
      <c r="M271" s="5" t="str">
        <f>CONCATENATE(L271," ",K271)</f>
        <v>THOMAS PARDUE</v>
      </c>
      <c r="N271" s="5" t="s">
        <v>57</v>
      </c>
      <c r="O271" s="6">
        <v>45728</v>
      </c>
      <c r="P271" s="6">
        <v>46154</v>
      </c>
      <c r="Q271" s="22">
        <f>DATEDIF(O271,P271,"M")</f>
        <v>14</v>
      </c>
      <c r="R271" s="28" t="s">
        <v>536</v>
      </c>
      <c r="S271" s="28" t="s">
        <v>1037</v>
      </c>
      <c r="T271" s="7">
        <v>77.48</v>
      </c>
      <c r="U271" s="5">
        <v>1</v>
      </c>
      <c r="V271" s="5" t="s">
        <v>58</v>
      </c>
      <c r="W271" s="5" t="s">
        <v>536</v>
      </c>
      <c r="X271" s="5" t="s">
        <v>61</v>
      </c>
      <c r="Y271" s="7">
        <v>11.62</v>
      </c>
    </row>
    <row r="272" spans="1:25" s="5" customFormat="1" x14ac:dyDescent="0.3">
      <c r="A272" s="5">
        <v>2027738390</v>
      </c>
      <c r="B272" s="5" t="s">
        <v>921</v>
      </c>
      <c r="C272" s="5" t="s">
        <v>922</v>
      </c>
      <c r="D272" s="5" t="str">
        <f t="shared" si="4"/>
        <v>FERNANDO MARRUFO</v>
      </c>
      <c r="E272" s="5" t="s">
        <v>295</v>
      </c>
      <c r="F272" s="5" t="s">
        <v>53</v>
      </c>
      <c r="G272" s="17">
        <v>0.1</v>
      </c>
      <c r="H272" s="5" t="s">
        <v>65</v>
      </c>
      <c r="I272" s="18" t="s">
        <v>65</v>
      </c>
      <c r="J272" s="19" t="s">
        <v>991</v>
      </c>
      <c r="K272" s="5" t="s">
        <v>134</v>
      </c>
      <c r="L272" s="5" t="s">
        <v>98</v>
      </c>
      <c r="M272" s="5" t="str">
        <f>CONCATENATE(L272," ",K272)</f>
        <v>THOMAS PARDUE</v>
      </c>
      <c r="N272" s="5" t="s">
        <v>57</v>
      </c>
      <c r="O272" s="6">
        <v>45728</v>
      </c>
      <c r="P272" s="6">
        <v>46154</v>
      </c>
      <c r="Q272" s="22">
        <f>DATEDIF(O272,P272,"M")</f>
        <v>14</v>
      </c>
      <c r="R272" s="28" t="s">
        <v>536</v>
      </c>
      <c r="S272" s="28" t="s">
        <v>1037</v>
      </c>
      <c r="T272" s="7">
        <v>30.83</v>
      </c>
      <c r="U272" s="5">
        <v>1</v>
      </c>
      <c r="V272" s="5" t="s">
        <v>58</v>
      </c>
      <c r="W272" s="5" t="s">
        <v>536</v>
      </c>
      <c r="X272" s="5" t="s">
        <v>61</v>
      </c>
      <c r="Y272" s="7">
        <v>3.08</v>
      </c>
    </row>
    <row r="273" spans="1:55" s="5" customFormat="1" x14ac:dyDescent="0.3">
      <c r="A273" s="5">
        <v>2027115500</v>
      </c>
      <c r="B273" s="5" t="s">
        <v>583</v>
      </c>
      <c r="C273" s="5" t="s">
        <v>584</v>
      </c>
      <c r="D273" s="5" t="str">
        <f t="shared" si="4"/>
        <v>MADELYN CLEAVE</v>
      </c>
      <c r="E273" s="5" t="s">
        <v>80</v>
      </c>
      <c r="F273" s="5" t="s">
        <v>444</v>
      </c>
      <c r="G273" s="17">
        <v>0.1</v>
      </c>
      <c r="H273" s="5" t="s">
        <v>567</v>
      </c>
      <c r="I273" s="18" t="s">
        <v>981</v>
      </c>
      <c r="J273" s="19">
        <v>16912722</v>
      </c>
      <c r="K273" s="5" t="s">
        <v>425</v>
      </c>
      <c r="L273" s="5" t="s">
        <v>123</v>
      </c>
      <c r="M273" s="5" t="str">
        <f>CONCATENATE(L273," ",K273)</f>
        <v>ANDREA PETRUNGARO</v>
      </c>
      <c r="N273" s="5" t="s">
        <v>57</v>
      </c>
      <c r="O273" s="6">
        <v>45703</v>
      </c>
      <c r="P273" s="6">
        <v>46157</v>
      </c>
      <c r="Q273" s="22">
        <f>DATEDIF(O273,P273,"M")</f>
        <v>15</v>
      </c>
      <c r="R273" s="28" t="s">
        <v>536</v>
      </c>
      <c r="S273" s="28" t="s">
        <v>1037</v>
      </c>
      <c r="T273" s="7">
        <v>13.92</v>
      </c>
      <c r="U273" s="5">
        <v>1</v>
      </c>
      <c r="V273" s="5" t="s">
        <v>58</v>
      </c>
      <c r="W273" s="5" t="s">
        <v>536</v>
      </c>
      <c r="X273" s="5" t="s">
        <v>61</v>
      </c>
      <c r="Y273" s="7">
        <v>1.39</v>
      </c>
    </row>
    <row r="274" spans="1:55" s="5" customFormat="1" x14ac:dyDescent="0.3">
      <c r="A274" s="5">
        <v>2027115501</v>
      </c>
      <c r="B274" s="5" t="s">
        <v>583</v>
      </c>
      <c r="C274" s="5" t="s">
        <v>584</v>
      </c>
      <c r="D274" s="5" t="str">
        <f t="shared" si="4"/>
        <v>MADELYN CLEAVE</v>
      </c>
      <c r="E274" s="5" t="s">
        <v>80</v>
      </c>
      <c r="F274" s="5" t="s">
        <v>53</v>
      </c>
      <c r="G274" s="17">
        <v>0.15</v>
      </c>
      <c r="H274" s="5" t="s">
        <v>54</v>
      </c>
      <c r="I274" s="18" t="s">
        <v>54</v>
      </c>
      <c r="J274" s="19">
        <v>16912722</v>
      </c>
      <c r="K274" s="5" t="s">
        <v>425</v>
      </c>
      <c r="L274" s="5" t="s">
        <v>123</v>
      </c>
      <c r="M274" s="5" t="str">
        <f>CONCATENATE(L274," ",K274)</f>
        <v>ANDREA PETRUNGARO</v>
      </c>
      <c r="N274" s="5" t="s">
        <v>57</v>
      </c>
      <c r="O274" s="6">
        <v>45703</v>
      </c>
      <c r="P274" s="6">
        <v>46157</v>
      </c>
      <c r="Q274" s="22">
        <f>DATEDIF(O274,P274,"M")</f>
        <v>15</v>
      </c>
      <c r="R274" s="28" t="s">
        <v>536</v>
      </c>
      <c r="S274" s="28" t="s">
        <v>1037</v>
      </c>
      <c r="T274" s="7">
        <v>41.44</v>
      </c>
      <c r="U274" s="5">
        <v>1</v>
      </c>
      <c r="V274" s="5" t="s">
        <v>58</v>
      </c>
      <c r="W274" s="5" t="s">
        <v>536</v>
      </c>
      <c r="X274" s="5" t="s">
        <v>61</v>
      </c>
      <c r="Y274" s="7">
        <v>6.22</v>
      </c>
    </row>
    <row r="275" spans="1:55" s="5" customFormat="1" x14ac:dyDescent="0.3">
      <c r="A275" s="5">
        <v>2027080634</v>
      </c>
      <c r="B275" s="5" t="s">
        <v>756</v>
      </c>
      <c r="C275" s="5" t="s">
        <v>434</v>
      </c>
      <c r="D275" s="5" t="str">
        <f t="shared" si="4"/>
        <v>MARYANN GALLARELLO</v>
      </c>
      <c r="E275" s="5" t="s">
        <v>757</v>
      </c>
      <c r="F275" s="5" t="s">
        <v>475</v>
      </c>
      <c r="G275" s="17">
        <v>0.28999999999999998</v>
      </c>
      <c r="H275" s="5" t="s">
        <v>482</v>
      </c>
      <c r="I275" s="18" t="s">
        <v>994</v>
      </c>
      <c r="J275" s="19">
        <v>7470776</v>
      </c>
      <c r="K275" s="5" t="s">
        <v>167</v>
      </c>
      <c r="L275" s="5" t="s">
        <v>168</v>
      </c>
      <c r="M275" s="5" t="str">
        <f>CONCATENATE(L275," ",K275)</f>
        <v>Andrew Choi</v>
      </c>
      <c r="N275" s="5" t="s">
        <v>57</v>
      </c>
      <c r="O275" s="6">
        <v>45701</v>
      </c>
      <c r="P275" s="6">
        <v>46155</v>
      </c>
      <c r="Q275" s="22">
        <f>DATEDIF(O275,P275,"M")</f>
        <v>15</v>
      </c>
      <c r="R275" s="28" t="s">
        <v>536</v>
      </c>
      <c r="S275" s="28" t="s">
        <v>1037</v>
      </c>
      <c r="T275" s="7">
        <v>15</v>
      </c>
      <c r="U275" s="5">
        <v>1</v>
      </c>
      <c r="V275" s="5" t="s">
        <v>58</v>
      </c>
      <c r="W275" s="5" t="s">
        <v>536</v>
      </c>
      <c r="X275" s="5" t="s">
        <v>61</v>
      </c>
      <c r="Y275" s="7">
        <v>4.3499999999999996</v>
      </c>
    </row>
    <row r="276" spans="1:55" s="5" customFormat="1" x14ac:dyDescent="0.3">
      <c r="A276" s="5">
        <v>2027059396</v>
      </c>
      <c r="B276" s="5" t="s">
        <v>822</v>
      </c>
      <c r="C276" s="5" t="s">
        <v>823</v>
      </c>
      <c r="D276" s="5" t="str">
        <f t="shared" si="4"/>
        <v>VAN NGUYEN</v>
      </c>
      <c r="E276" s="5" t="s">
        <v>80</v>
      </c>
      <c r="F276" s="5" t="s">
        <v>53</v>
      </c>
      <c r="G276" s="17">
        <v>0.15</v>
      </c>
      <c r="H276" s="5" t="s">
        <v>54</v>
      </c>
      <c r="I276" s="18" t="s">
        <v>54</v>
      </c>
      <c r="J276" s="19">
        <v>7470776</v>
      </c>
      <c r="K276" s="5" t="s">
        <v>167</v>
      </c>
      <c r="L276" s="5" t="s">
        <v>168</v>
      </c>
      <c r="M276" s="5" t="str">
        <f>CONCATENATE(L276," ",K276)</f>
        <v>Andrew Choi</v>
      </c>
      <c r="N276" s="5" t="s">
        <v>57</v>
      </c>
      <c r="O276" s="6">
        <v>45700</v>
      </c>
      <c r="P276" s="6">
        <v>46154</v>
      </c>
      <c r="Q276" s="22">
        <f>DATEDIF(O276,P276,"M")</f>
        <v>15</v>
      </c>
      <c r="R276" s="28" t="s">
        <v>536</v>
      </c>
      <c r="S276" s="28" t="s">
        <v>1037</v>
      </c>
      <c r="T276" s="7">
        <v>41.5</v>
      </c>
      <c r="U276" s="5">
        <v>1</v>
      </c>
      <c r="V276" s="5" t="s">
        <v>58</v>
      </c>
      <c r="W276" s="5" t="s">
        <v>536</v>
      </c>
      <c r="X276" s="5" t="s">
        <v>61</v>
      </c>
      <c r="Y276" s="7">
        <v>6.22</v>
      </c>
    </row>
    <row r="277" spans="1:55" s="5" customFormat="1" x14ac:dyDescent="0.3">
      <c r="A277" s="5">
        <v>2027059395</v>
      </c>
      <c r="B277" s="5" t="s">
        <v>822</v>
      </c>
      <c r="C277" s="5" t="s">
        <v>823</v>
      </c>
      <c r="D277" s="5" t="str">
        <f t="shared" si="4"/>
        <v>VAN NGUYEN</v>
      </c>
      <c r="E277" s="5" t="s">
        <v>80</v>
      </c>
      <c r="F277" s="5" t="s">
        <v>483</v>
      </c>
      <c r="G277" s="17">
        <v>0.06</v>
      </c>
      <c r="H277" s="5" t="s">
        <v>484</v>
      </c>
      <c r="I277" s="18" t="s">
        <v>484</v>
      </c>
      <c r="J277" s="19">
        <v>7470776</v>
      </c>
      <c r="K277" s="5" t="s">
        <v>167</v>
      </c>
      <c r="L277" s="5" t="s">
        <v>168</v>
      </c>
      <c r="M277" s="5" t="str">
        <f>CONCATENATE(L277," ",K277)</f>
        <v>Andrew Choi</v>
      </c>
      <c r="N277" s="5" t="s">
        <v>57</v>
      </c>
      <c r="O277" s="6">
        <v>45700</v>
      </c>
      <c r="P277" s="6">
        <v>46154</v>
      </c>
      <c r="Q277" s="22">
        <f>DATEDIF(O277,P277,"M")</f>
        <v>15</v>
      </c>
      <c r="R277" s="28" t="s">
        <v>536</v>
      </c>
      <c r="S277" s="28" t="s">
        <v>1037</v>
      </c>
      <c r="T277" s="7">
        <v>64.760000000000005</v>
      </c>
      <c r="U277" s="5">
        <v>1</v>
      </c>
      <c r="V277" s="5" t="s">
        <v>58</v>
      </c>
      <c r="W277" s="5" t="s">
        <v>536</v>
      </c>
      <c r="X277" s="5" t="s">
        <v>61</v>
      </c>
      <c r="Y277" s="7">
        <v>3.89</v>
      </c>
    </row>
    <row r="278" spans="1:55" s="5" customFormat="1" x14ac:dyDescent="0.3">
      <c r="A278" s="5">
        <v>2027111487</v>
      </c>
      <c r="B278" s="5" t="s">
        <v>827</v>
      </c>
      <c r="C278" s="5" t="s">
        <v>202</v>
      </c>
      <c r="D278" s="5" t="str">
        <f t="shared" si="4"/>
        <v>DAVID WESCOTT</v>
      </c>
      <c r="E278" s="5" t="s">
        <v>80</v>
      </c>
      <c r="F278" s="5" t="s">
        <v>483</v>
      </c>
      <c r="G278" s="17">
        <v>0.06</v>
      </c>
      <c r="H278" s="5" t="s">
        <v>484</v>
      </c>
      <c r="I278" s="18" t="s">
        <v>484</v>
      </c>
      <c r="J278" s="19">
        <v>7146581</v>
      </c>
      <c r="K278" s="5" t="s">
        <v>441</v>
      </c>
      <c r="L278" s="5" t="s">
        <v>442</v>
      </c>
      <c r="M278" s="5" t="str">
        <f>CONCATENATE(L278," ",K278)</f>
        <v>Anthony Hunsberger</v>
      </c>
      <c r="N278" s="5" t="s">
        <v>57</v>
      </c>
      <c r="O278" s="6">
        <v>45703</v>
      </c>
      <c r="P278" s="6">
        <v>46157</v>
      </c>
      <c r="Q278" s="22">
        <f>DATEDIF(O278,P278,"M")</f>
        <v>15</v>
      </c>
      <c r="R278" s="28" t="s">
        <v>536</v>
      </c>
      <c r="S278" s="28" t="s">
        <v>1037</v>
      </c>
      <c r="T278" s="7">
        <v>60.94</v>
      </c>
      <c r="U278" s="5">
        <v>1</v>
      </c>
      <c r="V278" s="5" t="s">
        <v>58</v>
      </c>
      <c r="W278" s="5" t="s">
        <v>536</v>
      </c>
      <c r="X278" s="5" t="s">
        <v>61</v>
      </c>
      <c r="Y278" s="7">
        <v>3.66</v>
      </c>
    </row>
    <row r="279" spans="1:55" s="5" customFormat="1" x14ac:dyDescent="0.3">
      <c r="A279" s="5">
        <v>2027055700</v>
      </c>
      <c r="B279" s="5" t="s">
        <v>820</v>
      </c>
      <c r="C279" s="5" t="s">
        <v>821</v>
      </c>
      <c r="D279" s="5" t="str">
        <f t="shared" si="4"/>
        <v>AARON HEGARTY</v>
      </c>
      <c r="E279" s="5" t="s">
        <v>103</v>
      </c>
      <c r="F279" s="5" t="s">
        <v>53</v>
      </c>
      <c r="G279" s="17">
        <v>0.15</v>
      </c>
      <c r="H279" s="5" t="s">
        <v>54</v>
      </c>
      <c r="I279" s="18" t="s">
        <v>54</v>
      </c>
      <c r="J279" s="19">
        <v>16865615</v>
      </c>
      <c r="K279" s="5" t="s">
        <v>104</v>
      </c>
      <c r="L279" s="5" t="s">
        <v>105</v>
      </c>
      <c r="M279" s="5" t="str">
        <f>CONCATENATE(L279," ",K279)</f>
        <v>Heather Geske</v>
      </c>
      <c r="N279" s="5" t="s">
        <v>57</v>
      </c>
      <c r="O279" s="6">
        <v>45699</v>
      </c>
      <c r="P279" s="6">
        <v>46153</v>
      </c>
      <c r="Q279" s="22">
        <f>DATEDIF(O279,P279,"M")</f>
        <v>15</v>
      </c>
      <c r="R279" s="28" t="s">
        <v>536</v>
      </c>
      <c r="S279" s="28" t="s">
        <v>1037</v>
      </c>
      <c r="T279" s="7">
        <v>9.1</v>
      </c>
      <c r="U279" s="5">
        <v>1</v>
      </c>
      <c r="V279" s="5" t="s">
        <v>58</v>
      </c>
      <c r="W279" s="5" t="s">
        <v>536</v>
      </c>
      <c r="X279" s="5" t="s">
        <v>61</v>
      </c>
      <c r="Y279" s="7">
        <v>1.36</v>
      </c>
    </row>
    <row r="280" spans="1:55" s="5" customFormat="1" x14ac:dyDescent="0.3">
      <c r="A280" s="5">
        <v>2027072202</v>
      </c>
      <c r="B280" s="5" t="s">
        <v>824</v>
      </c>
      <c r="C280" s="5" t="s">
        <v>825</v>
      </c>
      <c r="D280" s="5" t="str">
        <f t="shared" si="4"/>
        <v>JACKSON CARSON</v>
      </c>
      <c r="E280" s="5" t="s">
        <v>103</v>
      </c>
      <c r="F280" s="5" t="s">
        <v>53</v>
      </c>
      <c r="G280" s="17">
        <v>0.15</v>
      </c>
      <c r="H280" s="5" t="s">
        <v>54</v>
      </c>
      <c r="I280" s="18" t="s">
        <v>54</v>
      </c>
      <c r="J280" s="19">
        <v>16865615</v>
      </c>
      <c r="K280" s="5" t="s">
        <v>104</v>
      </c>
      <c r="L280" s="5" t="s">
        <v>105</v>
      </c>
      <c r="M280" s="5" t="str">
        <f>CONCATENATE(L280," ",K280)</f>
        <v>Heather Geske</v>
      </c>
      <c r="N280" s="5" t="s">
        <v>57</v>
      </c>
      <c r="O280" s="6">
        <v>45703</v>
      </c>
      <c r="P280" s="6">
        <v>46157</v>
      </c>
      <c r="Q280" s="22">
        <f>DATEDIF(O280,P280,"M")</f>
        <v>15</v>
      </c>
      <c r="R280" s="28" t="s">
        <v>536</v>
      </c>
      <c r="S280" s="28" t="s">
        <v>1037</v>
      </c>
      <c r="T280" s="7">
        <v>18.2</v>
      </c>
      <c r="U280" s="5">
        <v>1</v>
      </c>
      <c r="V280" s="5" t="s">
        <v>58</v>
      </c>
      <c r="W280" s="5" t="s">
        <v>536</v>
      </c>
      <c r="X280" s="5" t="s">
        <v>61</v>
      </c>
      <c r="Y280" s="7">
        <v>2.73</v>
      </c>
    </row>
    <row r="281" spans="1:55" s="5" customFormat="1" x14ac:dyDescent="0.3">
      <c r="A281" s="5">
        <v>2027055699</v>
      </c>
      <c r="B281" s="5" t="s">
        <v>820</v>
      </c>
      <c r="C281" s="5" t="s">
        <v>821</v>
      </c>
      <c r="D281" s="5" t="str">
        <f t="shared" si="4"/>
        <v>AARON HEGARTY</v>
      </c>
      <c r="E281" s="5" t="s">
        <v>103</v>
      </c>
      <c r="F281" s="5" t="s">
        <v>483</v>
      </c>
      <c r="G281" s="17">
        <v>0.06</v>
      </c>
      <c r="H281" s="5" t="s">
        <v>484</v>
      </c>
      <c r="I281" s="18" t="s">
        <v>484</v>
      </c>
      <c r="J281" s="19">
        <v>16865615</v>
      </c>
      <c r="K281" s="5" t="s">
        <v>104</v>
      </c>
      <c r="L281" s="5" t="s">
        <v>105</v>
      </c>
      <c r="M281" s="5" t="str">
        <f>CONCATENATE(L281," ",K281)</f>
        <v>Heather Geske</v>
      </c>
      <c r="N281" s="5" t="s">
        <v>57</v>
      </c>
      <c r="O281" s="6">
        <v>45699</v>
      </c>
      <c r="P281" s="6">
        <v>46153</v>
      </c>
      <c r="Q281" s="22">
        <f>DATEDIF(O281,P281,"M")</f>
        <v>15</v>
      </c>
      <c r="R281" s="28" t="s">
        <v>536</v>
      </c>
      <c r="S281" s="28" t="s">
        <v>1037</v>
      </c>
      <c r="T281" s="7">
        <v>53.08</v>
      </c>
      <c r="U281" s="5">
        <v>1</v>
      </c>
      <c r="V281" s="5" t="s">
        <v>58</v>
      </c>
      <c r="W281" s="5" t="s">
        <v>536</v>
      </c>
      <c r="X281" s="5" t="s">
        <v>61</v>
      </c>
      <c r="Y281" s="7">
        <v>3.18</v>
      </c>
    </row>
    <row r="282" spans="1:55" x14ac:dyDescent="0.3">
      <c r="A282" s="5">
        <v>2027072201</v>
      </c>
      <c r="B282" s="5" t="s">
        <v>824</v>
      </c>
      <c r="C282" s="5" t="s">
        <v>825</v>
      </c>
      <c r="D282" s="5" t="str">
        <f t="shared" si="4"/>
        <v>JACKSON CARSON</v>
      </c>
      <c r="E282" s="5" t="s">
        <v>103</v>
      </c>
      <c r="F282" s="5" t="s">
        <v>483</v>
      </c>
      <c r="G282" s="17">
        <v>0.06</v>
      </c>
      <c r="H282" s="5" t="s">
        <v>484</v>
      </c>
      <c r="I282" s="18" t="s">
        <v>484</v>
      </c>
      <c r="J282" s="19">
        <v>16865615</v>
      </c>
      <c r="K282" s="5" t="s">
        <v>104</v>
      </c>
      <c r="L282" s="5" t="s">
        <v>105</v>
      </c>
      <c r="M282" s="5" t="str">
        <f>CONCATENATE(L282," ",K282)</f>
        <v>Heather Geske</v>
      </c>
      <c r="N282" s="5" t="s">
        <v>57</v>
      </c>
      <c r="O282" s="6">
        <v>45703</v>
      </c>
      <c r="P282" s="6">
        <v>46157</v>
      </c>
      <c r="Q282" s="22">
        <f>DATEDIF(O282,P282,"M")</f>
        <v>15</v>
      </c>
      <c r="R282" s="28" t="s">
        <v>536</v>
      </c>
      <c r="S282" s="28" t="s">
        <v>1037</v>
      </c>
      <c r="T282" s="7">
        <v>102.21</v>
      </c>
      <c r="U282" s="5">
        <v>1</v>
      </c>
      <c r="V282" s="5" t="s">
        <v>58</v>
      </c>
      <c r="W282" s="5" t="s">
        <v>536</v>
      </c>
      <c r="X282" s="5" t="s">
        <v>61</v>
      </c>
      <c r="Y282" s="7">
        <v>6.13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</row>
    <row r="283" spans="1:55" x14ac:dyDescent="0.3">
      <c r="A283" s="5">
        <v>2027052528</v>
      </c>
      <c r="B283" s="5" t="s">
        <v>817</v>
      </c>
      <c r="C283" s="5" t="s">
        <v>818</v>
      </c>
      <c r="D283" s="5" t="str">
        <f t="shared" si="4"/>
        <v>ANDREW RECTOR</v>
      </c>
      <c r="E283" s="5" t="s">
        <v>80</v>
      </c>
      <c r="F283" s="5" t="s">
        <v>53</v>
      </c>
      <c r="G283" s="17">
        <v>0.15</v>
      </c>
      <c r="H283" s="5" t="s">
        <v>54</v>
      </c>
      <c r="I283" s="18" t="s">
        <v>54</v>
      </c>
      <c r="J283" s="19">
        <v>18828278</v>
      </c>
      <c r="K283" s="5" t="s">
        <v>819</v>
      </c>
      <c r="L283" s="5" t="s">
        <v>175</v>
      </c>
      <c r="M283" s="5" t="str">
        <f>CONCATENATE(L283," ",K283)</f>
        <v>MICHAEL DUNAVANT</v>
      </c>
      <c r="N283" s="5" t="s">
        <v>57</v>
      </c>
      <c r="O283" s="6">
        <v>45699</v>
      </c>
      <c r="P283" s="6">
        <v>46153</v>
      </c>
      <c r="Q283" s="22">
        <f>DATEDIF(O283,P283,"M")</f>
        <v>15</v>
      </c>
      <c r="R283" s="28" t="s">
        <v>536</v>
      </c>
      <c r="S283" s="28" t="s">
        <v>1037</v>
      </c>
      <c r="T283" s="7">
        <v>11.5</v>
      </c>
      <c r="U283" s="5">
        <v>1</v>
      </c>
      <c r="V283" s="5" t="s">
        <v>58</v>
      </c>
      <c r="W283" s="5" t="s">
        <v>536</v>
      </c>
      <c r="X283" s="5" t="s">
        <v>61</v>
      </c>
      <c r="Y283" s="7">
        <v>1.72</v>
      </c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</row>
    <row r="284" spans="1:55" x14ac:dyDescent="0.3">
      <c r="A284" s="5">
        <v>2027052527</v>
      </c>
      <c r="B284" s="5" t="s">
        <v>817</v>
      </c>
      <c r="C284" s="5" t="s">
        <v>818</v>
      </c>
      <c r="D284" s="5" t="str">
        <f t="shared" si="4"/>
        <v>ANDREW RECTOR</v>
      </c>
      <c r="E284" s="5" t="s">
        <v>80</v>
      </c>
      <c r="F284" s="5" t="s">
        <v>483</v>
      </c>
      <c r="G284" s="17">
        <v>0.06</v>
      </c>
      <c r="H284" s="5" t="s">
        <v>484</v>
      </c>
      <c r="I284" s="18" t="s">
        <v>484</v>
      </c>
      <c r="J284" s="19">
        <v>18828278</v>
      </c>
      <c r="K284" s="5" t="s">
        <v>819</v>
      </c>
      <c r="L284" s="5" t="s">
        <v>175</v>
      </c>
      <c r="M284" s="5" t="str">
        <f>CONCATENATE(L284," ",K284)</f>
        <v>MICHAEL DUNAVANT</v>
      </c>
      <c r="N284" s="5" t="s">
        <v>57</v>
      </c>
      <c r="O284" s="6">
        <v>45699</v>
      </c>
      <c r="P284" s="6">
        <v>46153</v>
      </c>
      <c r="Q284" s="22">
        <f>DATEDIF(O284,P284,"M")</f>
        <v>15</v>
      </c>
      <c r="R284" s="28" t="s">
        <v>536</v>
      </c>
      <c r="S284" s="28" t="s">
        <v>1037</v>
      </c>
      <c r="T284" s="7">
        <v>48.61</v>
      </c>
      <c r="U284" s="5">
        <v>1</v>
      </c>
      <c r="V284" s="5" t="s">
        <v>58</v>
      </c>
      <c r="W284" s="5" t="s">
        <v>536</v>
      </c>
      <c r="X284" s="5" t="s">
        <v>61</v>
      </c>
      <c r="Y284" s="7">
        <v>2.92</v>
      </c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</row>
    <row r="285" spans="1:55" x14ac:dyDescent="0.3">
      <c r="A285" s="5">
        <v>2027106748</v>
      </c>
      <c r="B285" s="5" t="s">
        <v>826</v>
      </c>
      <c r="C285" s="5" t="s">
        <v>401</v>
      </c>
      <c r="D285" s="5" t="str">
        <f t="shared" si="4"/>
        <v>JARED DOWDY</v>
      </c>
      <c r="E285" s="5" t="s">
        <v>80</v>
      </c>
      <c r="F285" s="5" t="s">
        <v>53</v>
      </c>
      <c r="G285" s="17">
        <v>0.15</v>
      </c>
      <c r="H285" s="5" t="s">
        <v>54</v>
      </c>
      <c r="I285" s="18" t="s">
        <v>54</v>
      </c>
      <c r="J285" s="19" t="s">
        <v>1027</v>
      </c>
      <c r="K285" s="5" t="s">
        <v>597</v>
      </c>
      <c r="L285" s="5" t="s">
        <v>599</v>
      </c>
      <c r="M285" s="5" t="str">
        <f>CONCATENATE(L285," ",K285)</f>
        <v>VICTOR FUENTES</v>
      </c>
      <c r="N285" s="5" t="s">
        <v>57</v>
      </c>
      <c r="O285" s="6">
        <v>45703</v>
      </c>
      <c r="P285" s="6">
        <v>46157</v>
      </c>
      <c r="Q285" s="22">
        <f>DATEDIF(O285,P285,"M")</f>
        <v>15</v>
      </c>
      <c r="R285" s="28" t="s">
        <v>536</v>
      </c>
      <c r="S285" s="28" t="s">
        <v>1037</v>
      </c>
      <c r="T285" s="7">
        <v>11.5</v>
      </c>
      <c r="U285" s="5">
        <v>1</v>
      </c>
      <c r="V285" s="5" t="s">
        <v>58</v>
      </c>
      <c r="W285" s="5" t="s">
        <v>536</v>
      </c>
      <c r="X285" s="5" t="s">
        <v>61</v>
      </c>
      <c r="Y285" s="7">
        <v>1.72</v>
      </c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</row>
    <row r="286" spans="1:55" x14ac:dyDescent="0.3">
      <c r="A286" s="5">
        <v>2027106747</v>
      </c>
      <c r="B286" s="5" t="s">
        <v>826</v>
      </c>
      <c r="C286" s="5" t="s">
        <v>401</v>
      </c>
      <c r="D286" s="5" t="str">
        <f t="shared" si="4"/>
        <v>JARED DOWDY</v>
      </c>
      <c r="E286" s="5" t="s">
        <v>80</v>
      </c>
      <c r="F286" s="5" t="s">
        <v>483</v>
      </c>
      <c r="G286" s="17">
        <v>0.06</v>
      </c>
      <c r="H286" s="5" t="s">
        <v>484</v>
      </c>
      <c r="I286" s="18" t="s">
        <v>484</v>
      </c>
      <c r="J286" s="19" t="s">
        <v>1027</v>
      </c>
      <c r="K286" s="5" t="s">
        <v>597</v>
      </c>
      <c r="L286" s="5" t="s">
        <v>599</v>
      </c>
      <c r="M286" s="5" t="str">
        <f>CONCATENATE(L286," ",K286)</f>
        <v>VICTOR FUENTES</v>
      </c>
      <c r="N286" s="5" t="s">
        <v>57</v>
      </c>
      <c r="O286" s="6">
        <v>45703</v>
      </c>
      <c r="P286" s="6">
        <v>46157</v>
      </c>
      <c r="Q286" s="22">
        <f>DATEDIF(O286,P286,"M")</f>
        <v>15</v>
      </c>
      <c r="R286" s="28" t="s">
        <v>536</v>
      </c>
      <c r="S286" s="28" t="s">
        <v>1037</v>
      </c>
      <c r="T286" s="7">
        <v>48.61</v>
      </c>
      <c r="U286" s="5">
        <v>1</v>
      </c>
      <c r="V286" s="5" t="s">
        <v>58</v>
      </c>
      <c r="W286" s="5" t="s">
        <v>536</v>
      </c>
      <c r="X286" s="5" t="s">
        <v>61</v>
      </c>
      <c r="Y286" s="7">
        <v>2.92</v>
      </c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</row>
    <row r="287" spans="1:55" s="5" customFormat="1" x14ac:dyDescent="0.3">
      <c r="A287" s="5">
        <v>2026586621</v>
      </c>
      <c r="B287" s="5" t="s">
        <v>754</v>
      </c>
      <c r="C287" s="5" t="s">
        <v>410</v>
      </c>
      <c r="D287" s="5" t="str">
        <f t="shared" si="4"/>
        <v>ALEXANDRA STOCKTON</v>
      </c>
      <c r="E287" s="5" t="s">
        <v>755</v>
      </c>
      <c r="F287" s="5" t="s">
        <v>53</v>
      </c>
      <c r="G287" s="17">
        <v>0.15</v>
      </c>
      <c r="H287" s="5" t="s">
        <v>97</v>
      </c>
      <c r="I287" s="18" t="s">
        <v>117</v>
      </c>
      <c r="J287" s="19" t="s">
        <v>1034</v>
      </c>
      <c r="K287" s="5" t="s">
        <v>400</v>
      </c>
      <c r="L287" s="5" t="s">
        <v>401</v>
      </c>
      <c r="M287" s="5" t="str">
        <f>CONCATENATE(L287," ",K287)</f>
        <v>JARED KINYUA</v>
      </c>
      <c r="N287" s="5" t="s">
        <v>57</v>
      </c>
      <c r="O287" s="6">
        <v>45672</v>
      </c>
      <c r="P287" s="6">
        <v>46157</v>
      </c>
      <c r="Q287" s="22">
        <f>DATEDIF(O287,P287,"M")</f>
        <v>16</v>
      </c>
      <c r="R287" s="28" t="s">
        <v>536</v>
      </c>
      <c r="S287" s="28" t="s">
        <v>1037</v>
      </c>
      <c r="T287" s="7">
        <v>25.73</v>
      </c>
      <c r="U287" s="5">
        <v>1</v>
      </c>
      <c r="V287" s="5" t="s">
        <v>58</v>
      </c>
      <c r="W287" s="5" t="s">
        <v>536</v>
      </c>
      <c r="X287" s="5" t="s">
        <v>61</v>
      </c>
      <c r="Y287" s="7">
        <v>3.86</v>
      </c>
    </row>
    <row r="288" spans="1:55" s="5" customFormat="1" x14ac:dyDescent="0.3">
      <c r="A288" s="5">
        <v>2026586623</v>
      </c>
      <c r="B288" s="5" t="s">
        <v>754</v>
      </c>
      <c r="C288" s="5" t="s">
        <v>410</v>
      </c>
      <c r="D288" s="5" t="str">
        <f t="shared" si="4"/>
        <v>ALEXANDRA STOCKTON</v>
      </c>
      <c r="E288" s="5" t="s">
        <v>755</v>
      </c>
      <c r="F288" s="5" t="s">
        <v>475</v>
      </c>
      <c r="G288" s="17">
        <v>0.1</v>
      </c>
      <c r="H288" s="5" t="s">
        <v>652</v>
      </c>
      <c r="I288" s="18" t="s">
        <v>652</v>
      </c>
      <c r="J288" s="19" t="s">
        <v>1034</v>
      </c>
      <c r="K288" s="5" t="s">
        <v>400</v>
      </c>
      <c r="L288" s="5" t="s">
        <v>401</v>
      </c>
      <c r="M288" s="5" t="str">
        <f>CONCATENATE(L288," ",K288)</f>
        <v>JARED KINYUA</v>
      </c>
      <c r="N288" s="5" t="s">
        <v>57</v>
      </c>
      <c r="O288" s="6">
        <v>45672</v>
      </c>
      <c r="P288" s="6">
        <v>46157</v>
      </c>
      <c r="Q288" s="22">
        <f>DATEDIF(O288,P288,"M")</f>
        <v>16</v>
      </c>
      <c r="R288" s="28" t="s">
        <v>536</v>
      </c>
      <c r="S288" s="28" t="s">
        <v>1037</v>
      </c>
      <c r="T288" s="7">
        <v>15</v>
      </c>
      <c r="U288" s="5">
        <v>1</v>
      </c>
      <c r="V288" s="5" t="s">
        <v>58</v>
      </c>
      <c r="W288" s="5" t="s">
        <v>536</v>
      </c>
      <c r="X288" s="5" t="s">
        <v>61</v>
      </c>
      <c r="Y288" s="7">
        <v>1.5</v>
      </c>
    </row>
    <row r="289" spans="1:25" s="5" customFormat="1" x14ac:dyDescent="0.3">
      <c r="A289" s="5">
        <v>2026586622</v>
      </c>
      <c r="B289" s="5" t="s">
        <v>754</v>
      </c>
      <c r="C289" s="5" t="s">
        <v>410</v>
      </c>
      <c r="D289" s="5" t="str">
        <f t="shared" si="4"/>
        <v>ALEXANDRA STOCKTON</v>
      </c>
      <c r="E289" s="5" t="s">
        <v>755</v>
      </c>
      <c r="F289" s="5" t="s">
        <v>499</v>
      </c>
      <c r="G289" s="17">
        <v>0.1</v>
      </c>
      <c r="H289" s="5" t="s">
        <v>502</v>
      </c>
      <c r="I289" s="18" t="s">
        <v>502</v>
      </c>
      <c r="J289" s="19" t="s">
        <v>1034</v>
      </c>
      <c r="K289" s="5" t="s">
        <v>400</v>
      </c>
      <c r="L289" s="5" t="s">
        <v>401</v>
      </c>
      <c r="M289" s="5" t="str">
        <f>CONCATENATE(L289," ",K289)</f>
        <v>JARED KINYUA</v>
      </c>
      <c r="N289" s="5" t="s">
        <v>57</v>
      </c>
      <c r="O289" s="6">
        <v>45672</v>
      </c>
      <c r="P289" s="6">
        <v>46157</v>
      </c>
      <c r="Q289" s="22">
        <f>DATEDIF(O289,P289,"M")</f>
        <v>16</v>
      </c>
      <c r="R289" s="28" t="s">
        <v>536</v>
      </c>
      <c r="S289" s="28" t="s">
        <v>1037</v>
      </c>
      <c r="T289" s="7">
        <v>13.38</v>
      </c>
      <c r="U289" s="5">
        <v>1</v>
      </c>
      <c r="V289" s="5" t="s">
        <v>58</v>
      </c>
      <c r="W289" s="5" t="s">
        <v>536</v>
      </c>
      <c r="X289" s="5" t="s">
        <v>61</v>
      </c>
      <c r="Y289" s="7">
        <v>1.34</v>
      </c>
    </row>
    <row r="290" spans="1:25" s="5" customFormat="1" x14ac:dyDescent="0.3">
      <c r="A290" s="5">
        <v>2026568865</v>
      </c>
      <c r="B290" s="5" t="s">
        <v>433</v>
      </c>
      <c r="C290" s="5" t="s">
        <v>241</v>
      </c>
      <c r="D290" s="5" t="str">
        <f t="shared" si="4"/>
        <v>RACHEL YOUNG</v>
      </c>
      <c r="E290" s="5" t="s">
        <v>126</v>
      </c>
      <c r="F290" s="5" t="s">
        <v>53</v>
      </c>
      <c r="G290" s="17">
        <v>0.15</v>
      </c>
      <c r="H290" s="5" t="s">
        <v>54</v>
      </c>
      <c r="I290" s="18" t="s">
        <v>54</v>
      </c>
      <c r="J290" s="19" t="s">
        <v>1034</v>
      </c>
      <c r="K290" s="5" t="s">
        <v>400</v>
      </c>
      <c r="L290" s="5" t="s">
        <v>401</v>
      </c>
      <c r="M290" s="5" t="str">
        <f>CONCATENATE(L290," ",K290)</f>
        <v>JARED KINYUA</v>
      </c>
      <c r="N290" s="5" t="s">
        <v>57</v>
      </c>
      <c r="O290" s="6">
        <v>45671</v>
      </c>
      <c r="P290" s="6">
        <v>46156</v>
      </c>
      <c r="Q290" s="22">
        <f>DATEDIF(O290,P290,"M")</f>
        <v>16</v>
      </c>
      <c r="R290" s="28" t="s">
        <v>536</v>
      </c>
      <c r="S290" s="28" t="s">
        <v>1037</v>
      </c>
      <c r="T290" s="7">
        <v>45.97</v>
      </c>
      <c r="U290" s="5">
        <v>1</v>
      </c>
      <c r="V290" s="5" t="s">
        <v>58</v>
      </c>
      <c r="W290" s="5" t="s">
        <v>536</v>
      </c>
      <c r="X290" s="5" t="s">
        <v>61</v>
      </c>
      <c r="Y290" s="7">
        <v>6.9</v>
      </c>
    </row>
    <row r="291" spans="1:25" s="5" customFormat="1" x14ac:dyDescent="0.3">
      <c r="A291" s="5">
        <v>2026586620</v>
      </c>
      <c r="B291" s="5" t="s">
        <v>754</v>
      </c>
      <c r="C291" s="5" t="s">
        <v>410</v>
      </c>
      <c r="D291" s="5" t="str">
        <f t="shared" si="4"/>
        <v>ALEXANDRA STOCKTON</v>
      </c>
      <c r="E291" s="5" t="s">
        <v>755</v>
      </c>
      <c r="F291" s="5" t="s">
        <v>53</v>
      </c>
      <c r="G291" s="17">
        <v>0.15</v>
      </c>
      <c r="H291" s="5" t="s">
        <v>54</v>
      </c>
      <c r="I291" s="18" t="s">
        <v>54</v>
      </c>
      <c r="J291" s="19" t="s">
        <v>1034</v>
      </c>
      <c r="K291" s="5" t="s">
        <v>400</v>
      </c>
      <c r="L291" s="5" t="s">
        <v>401</v>
      </c>
      <c r="M291" s="5" t="str">
        <f>CONCATENATE(L291," ",K291)</f>
        <v>JARED KINYUA</v>
      </c>
      <c r="N291" s="5" t="s">
        <v>57</v>
      </c>
      <c r="O291" s="6">
        <v>45672</v>
      </c>
      <c r="P291" s="6">
        <v>46157</v>
      </c>
      <c r="Q291" s="22">
        <f>DATEDIF(O291,P291,"M")</f>
        <v>16</v>
      </c>
      <c r="R291" s="28" t="s">
        <v>536</v>
      </c>
      <c r="S291" s="28" t="s">
        <v>1037</v>
      </c>
      <c r="T291" s="7">
        <v>15.29</v>
      </c>
      <c r="U291" s="5">
        <v>1</v>
      </c>
      <c r="V291" s="5" t="s">
        <v>58</v>
      </c>
      <c r="W291" s="5" t="s">
        <v>536</v>
      </c>
      <c r="X291" s="5" t="s">
        <v>61</v>
      </c>
      <c r="Y291" s="7">
        <v>2.29</v>
      </c>
    </row>
    <row r="292" spans="1:25" s="5" customFormat="1" x14ac:dyDescent="0.3">
      <c r="A292" s="5">
        <v>2026539798</v>
      </c>
      <c r="B292" s="5" t="s">
        <v>911</v>
      </c>
      <c r="C292" s="5" t="s">
        <v>912</v>
      </c>
      <c r="D292" s="5" t="str">
        <f t="shared" si="4"/>
        <v>GABRIELLA NOBILE</v>
      </c>
      <c r="E292" s="5" t="s">
        <v>52</v>
      </c>
      <c r="F292" s="5" t="s">
        <v>53</v>
      </c>
      <c r="G292" s="17">
        <v>0.15</v>
      </c>
      <c r="H292" s="5" t="s">
        <v>54</v>
      </c>
      <c r="I292" s="18" t="s">
        <v>54</v>
      </c>
      <c r="J292" s="19">
        <v>19481808</v>
      </c>
      <c r="K292" s="5" t="s">
        <v>473</v>
      </c>
      <c r="L292" s="5" t="s">
        <v>913</v>
      </c>
      <c r="M292" s="5" t="str">
        <f>CONCATENATE(L292," ",K292)</f>
        <v>STEVEN WERNER</v>
      </c>
      <c r="N292" s="5" t="s">
        <v>57</v>
      </c>
      <c r="O292" s="6">
        <v>45668</v>
      </c>
      <c r="P292" s="6">
        <v>46153</v>
      </c>
      <c r="Q292" s="22">
        <f>DATEDIF(O292,P292,"M")</f>
        <v>16</v>
      </c>
      <c r="R292" s="28" t="s">
        <v>536</v>
      </c>
      <c r="S292" s="28" t="s">
        <v>1037</v>
      </c>
      <c r="T292" s="7">
        <v>25.97</v>
      </c>
      <c r="U292" s="5">
        <v>1</v>
      </c>
      <c r="V292" s="5" t="s">
        <v>58</v>
      </c>
      <c r="W292" s="5" t="s">
        <v>536</v>
      </c>
      <c r="X292" s="5" t="s">
        <v>61</v>
      </c>
      <c r="Y292" s="7">
        <v>3.9</v>
      </c>
    </row>
    <row r="293" spans="1:25" s="5" customFormat="1" x14ac:dyDescent="0.3">
      <c r="A293" s="5">
        <v>2026617754</v>
      </c>
      <c r="B293" s="5" t="s">
        <v>581</v>
      </c>
      <c r="C293" s="5" t="s">
        <v>98</v>
      </c>
      <c r="D293" s="5" t="str">
        <f t="shared" si="4"/>
        <v>THOMAS CARROLL</v>
      </c>
      <c r="E293" s="5" t="s">
        <v>70</v>
      </c>
      <c r="F293" s="5" t="s">
        <v>444</v>
      </c>
      <c r="G293" s="17">
        <v>0.1</v>
      </c>
      <c r="H293" s="5" t="s">
        <v>567</v>
      </c>
      <c r="I293" s="18" t="s">
        <v>981</v>
      </c>
      <c r="J293" s="19" t="s">
        <v>991</v>
      </c>
      <c r="K293" s="5" t="s">
        <v>134</v>
      </c>
      <c r="L293" s="5" t="s">
        <v>98</v>
      </c>
      <c r="M293" s="5" t="str">
        <f>CONCATENATE(L293," ",K293)</f>
        <v>THOMAS PARDUE</v>
      </c>
      <c r="N293" s="5" t="s">
        <v>57</v>
      </c>
      <c r="O293" s="6">
        <v>45673</v>
      </c>
      <c r="P293" s="6">
        <v>46158</v>
      </c>
      <c r="Q293" s="22">
        <f>DATEDIF(O293,P293,"M")</f>
        <v>16</v>
      </c>
      <c r="R293" s="28" t="s">
        <v>536</v>
      </c>
      <c r="S293" s="28" t="s">
        <v>1037</v>
      </c>
      <c r="T293" s="7">
        <v>72.290000000000006</v>
      </c>
      <c r="U293" s="5">
        <v>1</v>
      </c>
      <c r="V293" s="5" t="s">
        <v>58</v>
      </c>
      <c r="W293" s="5" t="s">
        <v>536</v>
      </c>
      <c r="X293" s="5" t="s">
        <v>61</v>
      </c>
      <c r="Y293" s="7">
        <v>7.23</v>
      </c>
    </row>
    <row r="294" spans="1:25" s="5" customFormat="1" x14ac:dyDescent="0.3">
      <c r="A294" s="5">
        <v>2026607947</v>
      </c>
      <c r="B294" s="5" t="s">
        <v>811</v>
      </c>
      <c r="C294" s="5" t="s">
        <v>147</v>
      </c>
      <c r="D294" s="5" t="str">
        <f t="shared" si="4"/>
        <v>MATTHEW LAMBERT</v>
      </c>
      <c r="E294" s="5" t="s">
        <v>52</v>
      </c>
      <c r="F294" s="5" t="s">
        <v>53</v>
      </c>
      <c r="G294" s="17">
        <v>0.15</v>
      </c>
      <c r="H294" s="5" t="s">
        <v>54</v>
      </c>
      <c r="I294" s="18" t="s">
        <v>54</v>
      </c>
      <c r="J294" s="19" t="s">
        <v>991</v>
      </c>
      <c r="K294" s="5" t="s">
        <v>134</v>
      </c>
      <c r="L294" s="5" t="s">
        <v>98</v>
      </c>
      <c r="M294" s="5" t="str">
        <f>CONCATENATE(L294," ",K294)</f>
        <v>THOMAS PARDUE</v>
      </c>
      <c r="N294" s="5" t="s">
        <v>57</v>
      </c>
      <c r="O294" s="6">
        <v>45673</v>
      </c>
      <c r="P294" s="6">
        <v>46158</v>
      </c>
      <c r="Q294" s="22">
        <f>DATEDIF(O294,P294,"M")</f>
        <v>16</v>
      </c>
      <c r="R294" s="28" t="s">
        <v>536</v>
      </c>
      <c r="S294" s="28" t="s">
        <v>1037</v>
      </c>
      <c r="T294" s="7">
        <v>29.79</v>
      </c>
      <c r="U294" s="5">
        <v>1</v>
      </c>
      <c r="V294" s="5" t="s">
        <v>58</v>
      </c>
      <c r="W294" s="5" t="s">
        <v>536</v>
      </c>
      <c r="X294" s="5" t="s">
        <v>61</v>
      </c>
      <c r="Y294" s="7">
        <v>4.47</v>
      </c>
    </row>
    <row r="295" spans="1:25" s="5" customFormat="1" x14ac:dyDescent="0.3">
      <c r="A295" s="5">
        <v>2026617755</v>
      </c>
      <c r="B295" s="5" t="s">
        <v>581</v>
      </c>
      <c r="C295" s="5" t="s">
        <v>98</v>
      </c>
      <c r="D295" s="5" t="str">
        <f t="shared" si="4"/>
        <v>THOMAS CARROLL</v>
      </c>
      <c r="E295" s="5" t="s">
        <v>70</v>
      </c>
      <c r="F295" s="5" t="s">
        <v>53</v>
      </c>
      <c r="G295" s="17">
        <v>0.15</v>
      </c>
      <c r="H295" s="5" t="s">
        <v>54</v>
      </c>
      <c r="I295" s="18" t="s">
        <v>54</v>
      </c>
      <c r="J295" s="19" t="s">
        <v>991</v>
      </c>
      <c r="K295" s="5" t="s">
        <v>134</v>
      </c>
      <c r="L295" s="5" t="s">
        <v>98</v>
      </c>
      <c r="M295" s="5" t="str">
        <f>CONCATENATE(L295," ",K295)</f>
        <v>THOMAS PARDUE</v>
      </c>
      <c r="N295" s="5" t="s">
        <v>57</v>
      </c>
      <c r="O295" s="6">
        <v>45673</v>
      </c>
      <c r="P295" s="6">
        <v>46158</v>
      </c>
      <c r="Q295" s="22">
        <f>DATEDIF(O295,P295,"M")</f>
        <v>16</v>
      </c>
      <c r="R295" s="28" t="s">
        <v>536</v>
      </c>
      <c r="S295" s="28" t="s">
        <v>1037</v>
      </c>
      <c r="T295" s="7">
        <v>198.42</v>
      </c>
      <c r="U295" s="5">
        <v>1</v>
      </c>
      <c r="V295" s="5" t="s">
        <v>58</v>
      </c>
      <c r="W295" s="5" t="s">
        <v>536</v>
      </c>
      <c r="X295" s="5" t="s">
        <v>61</v>
      </c>
      <c r="Y295" s="7">
        <v>29.76</v>
      </c>
    </row>
    <row r="296" spans="1:25" s="5" customFormat="1" x14ac:dyDescent="0.3">
      <c r="A296" s="5">
        <v>2026625854</v>
      </c>
      <c r="B296" s="5" t="s">
        <v>813</v>
      </c>
      <c r="C296" s="5" t="s">
        <v>814</v>
      </c>
      <c r="D296" s="5" t="str">
        <f t="shared" si="4"/>
        <v>ELDON WALKER</v>
      </c>
      <c r="E296" s="5" t="s">
        <v>295</v>
      </c>
      <c r="F296" s="5" t="s">
        <v>53</v>
      </c>
      <c r="G296" s="17">
        <v>0.15</v>
      </c>
      <c r="H296" s="5" t="s">
        <v>54</v>
      </c>
      <c r="I296" s="18" t="s">
        <v>54</v>
      </c>
      <c r="J296" s="19" t="s">
        <v>991</v>
      </c>
      <c r="K296" s="5" t="s">
        <v>134</v>
      </c>
      <c r="L296" s="5" t="s">
        <v>98</v>
      </c>
      <c r="M296" s="5" t="str">
        <f>CONCATENATE(L296," ",K296)</f>
        <v>THOMAS PARDUE</v>
      </c>
      <c r="N296" s="5" t="s">
        <v>57</v>
      </c>
      <c r="O296" s="6">
        <v>45674</v>
      </c>
      <c r="P296" s="6">
        <v>46159</v>
      </c>
      <c r="Q296" s="22">
        <f>DATEDIF(O296,P296,"M")</f>
        <v>16</v>
      </c>
      <c r="R296" s="28" t="s">
        <v>536</v>
      </c>
      <c r="S296" s="28" t="s">
        <v>1037</v>
      </c>
      <c r="T296" s="7">
        <v>114</v>
      </c>
      <c r="U296" s="5">
        <v>1</v>
      </c>
      <c r="V296" s="5" t="s">
        <v>58</v>
      </c>
      <c r="W296" s="5" t="s">
        <v>536</v>
      </c>
      <c r="X296" s="5" t="s">
        <v>61</v>
      </c>
      <c r="Y296" s="7">
        <v>17.100000000000001</v>
      </c>
    </row>
    <row r="297" spans="1:25" s="5" customFormat="1" x14ac:dyDescent="0.3">
      <c r="A297" s="5">
        <v>2026607948</v>
      </c>
      <c r="B297" s="5" t="s">
        <v>811</v>
      </c>
      <c r="C297" s="5" t="s">
        <v>147</v>
      </c>
      <c r="D297" s="5" t="str">
        <f t="shared" si="4"/>
        <v>MATTHEW LAMBERT</v>
      </c>
      <c r="E297" s="5" t="s">
        <v>52</v>
      </c>
      <c r="F297" s="5" t="s">
        <v>483</v>
      </c>
      <c r="G297" s="17">
        <v>0.06</v>
      </c>
      <c r="H297" s="5" t="s">
        <v>484</v>
      </c>
      <c r="I297" s="18" t="s">
        <v>484</v>
      </c>
      <c r="J297" s="19" t="s">
        <v>991</v>
      </c>
      <c r="K297" s="5" t="s">
        <v>134</v>
      </c>
      <c r="L297" s="5" t="s">
        <v>98</v>
      </c>
      <c r="M297" s="5" t="str">
        <f>CONCATENATE(L297," ",K297)</f>
        <v>THOMAS PARDUE</v>
      </c>
      <c r="N297" s="5" t="s">
        <v>57</v>
      </c>
      <c r="O297" s="6">
        <v>45673</v>
      </c>
      <c r="P297" s="6">
        <v>46158</v>
      </c>
      <c r="Q297" s="22">
        <f>DATEDIF(O297,P297,"M")</f>
        <v>16</v>
      </c>
      <c r="R297" s="28" t="s">
        <v>536</v>
      </c>
      <c r="S297" s="28" t="s">
        <v>1037</v>
      </c>
      <c r="T297" s="7">
        <v>27.97</v>
      </c>
      <c r="U297" s="5">
        <v>1</v>
      </c>
      <c r="V297" s="5" t="s">
        <v>58</v>
      </c>
      <c r="W297" s="5" t="s">
        <v>536</v>
      </c>
      <c r="X297" s="5" t="s">
        <v>61</v>
      </c>
      <c r="Y297" s="7">
        <v>1.68</v>
      </c>
    </row>
    <row r="298" spans="1:25" s="5" customFormat="1" x14ac:dyDescent="0.3">
      <c r="A298" s="5">
        <v>2026615682</v>
      </c>
      <c r="B298" s="5" t="s">
        <v>812</v>
      </c>
      <c r="C298" s="5" t="s">
        <v>116</v>
      </c>
      <c r="D298" s="5" t="str">
        <f t="shared" si="4"/>
        <v>RYAN GALLOWAY</v>
      </c>
      <c r="E298" s="5" t="s">
        <v>295</v>
      </c>
      <c r="F298" s="5" t="s">
        <v>483</v>
      </c>
      <c r="G298" s="17">
        <v>0.06</v>
      </c>
      <c r="H298" s="5" t="s">
        <v>484</v>
      </c>
      <c r="I298" s="18" t="s">
        <v>484</v>
      </c>
      <c r="J298" s="19" t="s">
        <v>991</v>
      </c>
      <c r="K298" s="5" t="s">
        <v>134</v>
      </c>
      <c r="L298" s="5" t="s">
        <v>98</v>
      </c>
      <c r="M298" s="5" t="str">
        <f>CONCATENATE(L298," ",K298)</f>
        <v>THOMAS PARDUE</v>
      </c>
      <c r="N298" s="5" t="s">
        <v>57</v>
      </c>
      <c r="O298" s="6">
        <v>45673</v>
      </c>
      <c r="P298" s="6">
        <v>46158</v>
      </c>
      <c r="Q298" s="22">
        <f>DATEDIF(O298,P298,"M")</f>
        <v>16</v>
      </c>
      <c r="R298" s="28" t="s">
        <v>536</v>
      </c>
      <c r="S298" s="28" t="s">
        <v>1037</v>
      </c>
      <c r="T298" s="7">
        <v>29.08</v>
      </c>
      <c r="U298" s="5">
        <v>1</v>
      </c>
      <c r="V298" s="5" t="s">
        <v>58</v>
      </c>
      <c r="W298" s="5" t="s">
        <v>536</v>
      </c>
      <c r="X298" s="5" t="s">
        <v>61</v>
      </c>
      <c r="Y298" s="7">
        <v>1.74</v>
      </c>
    </row>
    <row r="299" spans="1:25" s="5" customFormat="1" x14ac:dyDescent="0.3">
      <c r="A299" s="5">
        <v>2026625853</v>
      </c>
      <c r="B299" s="5" t="s">
        <v>813</v>
      </c>
      <c r="C299" s="5" t="s">
        <v>814</v>
      </c>
      <c r="D299" s="5" t="str">
        <f t="shared" si="4"/>
        <v>ELDON WALKER</v>
      </c>
      <c r="E299" s="5" t="s">
        <v>295</v>
      </c>
      <c r="F299" s="5" t="s">
        <v>483</v>
      </c>
      <c r="G299" s="17">
        <v>0.06</v>
      </c>
      <c r="H299" s="5" t="s">
        <v>484</v>
      </c>
      <c r="I299" s="18" t="s">
        <v>484</v>
      </c>
      <c r="J299" s="19" t="s">
        <v>991</v>
      </c>
      <c r="K299" s="5" t="s">
        <v>134</v>
      </c>
      <c r="L299" s="5" t="s">
        <v>98</v>
      </c>
      <c r="M299" s="5" t="str">
        <f>CONCATENATE(L299," ",K299)</f>
        <v>THOMAS PARDUE</v>
      </c>
      <c r="N299" s="5" t="s">
        <v>57</v>
      </c>
      <c r="O299" s="6">
        <v>45674</v>
      </c>
      <c r="P299" s="6">
        <v>46159</v>
      </c>
      <c r="Q299" s="22">
        <f>DATEDIF(O299,P299,"M")</f>
        <v>16</v>
      </c>
      <c r="R299" s="28" t="s">
        <v>536</v>
      </c>
      <c r="S299" s="28" t="s">
        <v>1037</v>
      </c>
      <c r="T299" s="7">
        <v>24.71</v>
      </c>
      <c r="U299" s="5">
        <v>1</v>
      </c>
      <c r="V299" s="5" t="s">
        <v>58</v>
      </c>
      <c r="W299" s="5" t="s">
        <v>536</v>
      </c>
      <c r="X299" s="5" t="s">
        <v>61</v>
      </c>
      <c r="Y299" s="7">
        <v>1.48</v>
      </c>
    </row>
    <row r="300" spans="1:25" s="5" customFormat="1" x14ac:dyDescent="0.3">
      <c r="A300" s="5">
        <v>2026561983</v>
      </c>
      <c r="B300" s="5" t="s">
        <v>914</v>
      </c>
      <c r="C300" s="5" t="s">
        <v>915</v>
      </c>
      <c r="D300" s="5" t="str">
        <f t="shared" si="4"/>
        <v>MARLENE MENDOZA</v>
      </c>
      <c r="E300" s="5" t="s">
        <v>80</v>
      </c>
      <c r="F300" s="5" t="s">
        <v>53</v>
      </c>
      <c r="G300" s="17">
        <v>0.15</v>
      </c>
      <c r="H300" s="5" t="s">
        <v>54</v>
      </c>
      <c r="I300" s="18" t="s">
        <v>54</v>
      </c>
      <c r="J300" s="19" t="s">
        <v>1027</v>
      </c>
      <c r="K300" s="5" t="s">
        <v>597</v>
      </c>
      <c r="L300" s="5" t="s">
        <v>599</v>
      </c>
      <c r="M300" s="5" t="str">
        <f>CONCATENATE(L300," ",K300)</f>
        <v>VICTOR FUENTES</v>
      </c>
      <c r="N300" s="5" t="s">
        <v>57</v>
      </c>
      <c r="O300" s="6">
        <v>45672</v>
      </c>
      <c r="P300" s="6">
        <v>46157</v>
      </c>
      <c r="Q300" s="22">
        <f>DATEDIF(O300,P300,"M")</f>
        <v>16</v>
      </c>
      <c r="R300" s="28" t="s">
        <v>536</v>
      </c>
      <c r="S300" s="28" t="s">
        <v>1037</v>
      </c>
      <c r="T300" s="7">
        <v>49.8</v>
      </c>
      <c r="U300" s="5">
        <v>1</v>
      </c>
      <c r="V300" s="5" t="s">
        <v>58</v>
      </c>
      <c r="W300" s="5" t="s">
        <v>536</v>
      </c>
      <c r="X300" s="5" t="s">
        <v>61</v>
      </c>
      <c r="Y300" s="7">
        <v>7.47</v>
      </c>
    </row>
    <row r="301" spans="1:25" s="5" customFormat="1" x14ac:dyDescent="0.3">
      <c r="A301" s="5">
        <v>2026608909</v>
      </c>
      <c r="B301" s="5" t="s">
        <v>916</v>
      </c>
      <c r="C301" s="5" t="s">
        <v>410</v>
      </c>
      <c r="D301" s="5" t="str">
        <f t="shared" si="4"/>
        <v>ALEXANDRA KIMBRUE</v>
      </c>
      <c r="E301" s="5" t="s">
        <v>80</v>
      </c>
      <c r="F301" s="5" t="s">
        <v>53</v>
      </c>
      <c r="G301" s="17">
        <v>0.15</v>
      </c>
      <c r="H301" s="5" t="s">
        <v>54</v>
      </c>
      <c r="I301" s="18" t="s">
        <v>54</v>
      </c>
      <c r="J301" s="19" t="s">
        <v>1027</v>
      </c>
      <c r="K301" s="5" t="s">
        <v>597</v>
      </c>
      <c r="L301" s="5" t="s">
        <v>599</v>
      </c>
      <c r="M301" s="5" t="str">
        <f>CONCATENATE(L301," ",K301)</f>
        <v>VICTOR FUENTES</v>
      </c>
      <c r="N301" s="5" t="s">
        <v>57</v>
      </c>
      <c r="O301" s="6">
        <v>45673</v>
      </c>
      <c r="P301" s="6">
        <v>46158</v>
      </c>
      <c r="Q301" s="22">
        <f>DATEDIF(O301,P301,"M")</f>
        <v>16</v>
      </c>
      <c r="R301" s="28" t="s">
        <v>536</v>
      </c>
      <c r="S301" s="28" t="s">
        <v>1037</v>
      </c>
      <c r="T301" s="7">
        <v>58.24</v>
      </c>
      <c r="U301" s="5">
        <v>1</v>
      </c>
      <c r="V301" s="5" t="s">
        <v>58</v>
      </c>
      <c r="W301" s="5" t="s">
        <v>536</v>
      </c>
      <c r="X301" s="5" t="s">
        <v>61</v>
      </c>
      <c r="Y301" s="7">
        <v>8.74</v>
      </c>
    </row>
    <row r="302" spans="1:25" s="5" customFormat="1" x14ac:dyDescent="0.3">
      <c r="A302" s="5">
        <v>2026133999</v>
      </c>
      <c r="B302" s="5" t="s">
        <v>199</v>
      </c>
      <c r="C302" s="5" t="s">
        <v>222</v>
      </c>
      <c r="D302" s="5" t="str">
        <f t="shared" si="4"/>
        <v>HEATHER GESKE</v>
      </c>
      <c r="E302" s="5" t="s">
        <v>103</v>
      </c>
      <c r="F302" s="5" t="s">
        <v>444</v>
      </c>
      <c r="G302" s="17">
        <v>0.1</v>
      </c>
      <c r="H302" s="5" t="s">
        <v>466</v>
      </c>
      <c r="I302" s="18" t="s">
        <v>993</v>
      </c>
      <c r="J302" s="19">
        <v>16865615</v>
      </c>
      <c r="K302" s="5" t="s">
        <v>104</v>
      </c>
      <c r="L302" s="5" t="s">
        <v>105</v>
      </c>
      <c r="M302" s="5" t="str">
        <f>CONCATENATE(L302," ",K302)</f>
        <v>Heather Geske</v>
      </c>
      <c r="N302" s="5" t="s">
        <v>57</v>
      </c>
      <c r="O302" s="6">
        <v>45638</v>
      </c>
      <c r="P302" s="6">
        <v>46154</v>
      </c>
      <c r="Q302" s="22">
        <f>DATEDIF(O302,P302,"M")</f>
        <v>17</v>
      </c>
      <c r="R302" s="28" t="s">
        <v>536</v>
      </c>
      <c r="S302" s="28" t="s">
        <v>1037</v>
      </c>
      <c r="T302" s="7">
        <v>100.33</v>
      </c>
      <c r="U302" s="5">
        <v>1</v>
      </c>
      <c r="V302" s="5" t="s">
        <v>58</v>
      </c>
      <c r="W302" s="5" t="s">
        <v>536</v>
      </c>
      <c r="X302" s="5" t="s">
        <v>61</v>
      </c>
      <c r="Y302" s="7">
        <v>10.029999999999999</v>
      </c>
    </row>
    <row r="303" spans="1:25" s="5" customFormat="1" x14ac:dyDescent="0.3">
      <c r="A303" s="5">
        <v>2026180758</v>
      </c>
      <c r="B303" s="5" t="s">
        <v>578</v>
      </c>
      <c r="C303" s="5" t="s">
        <v>579</v>
      </c>
      <c r="D303" s="5" t="str">
        <f t="shared" si="4"/>
        <v>CARRIE DOBSCH</v>
      </c>
      <c r="E303" s="5" t="s">
        <v>103</v>
      </c>
      <c r="F303" s="5" t="s">
        <v>444</v>
      </c>
      <c r="G303" s="17">
        <v>0.1</v>
      </c>
      <c r="H303" s="5" t="s">
        <v>466</v>
      </c>
      <c r="I303" s="18" t="s">
        <v>993</v>
      </c>
      <c r="J303" s="19">
        <v>16865615</v>
      </c>
      <c r="K303" s="5" t="s">
        <v>104</v>
      </c>
      <c r="L303" s="5" t="s">
        <v>105</v>
      </c>
      <c r="M303" s="5" t="str">
        <f>CONCATENATE(L303," ",K303)</f>
        <v>Heather Geske</v>
      </c>
      <c r="N303" s="5" t="s">
        <v>57</v>
      </c>
      <c r="O303" s="6">
        <v>45641</v>
      </c>
      <c r="P303" s="6">
        <v>46157</v>
      </c>
      <c r="Q303" s="22">
        <f>DATEDIF(O303,P303,"M")</f>
        <v>17</v>
      </c>
      <c r="R303" s="28" t="s">
        <v>536</v>
      </c>
      <c r="S303" s="28" t="s">
        <v>1037</v>
      </c>
      <c r="T303" s="7">
        <v>18.7</v>
      </c>
      <c r="U303" s="5">
        <v>1</v>
      </c>
      <c r="V303" s="5" t="s">
        <v>58</v>
      </c>
      <c r="W303" s="5" t="s">
        <v>536</v>
      </c>
      <c r="X303" s="5" t="s">
        <v>61</v>
      </c>
      <c r="Y303" s="7">
        <v>1.87</v>
      </c>
    </row>
    <row r="304" spans="1:25" s="5" customFormat="1" x14ac:dyDescent="0.3">
      <c r="A304" s="5">
        <v>2026184418</v>
      </c>
      <c r="B304" s="5" t="s">
        <v>580</v>
      </c>
      <c r="C304" s="5" t="s">
        <v>132</v>
      </c>
      <c r="D304" s="5" t="str">
        <f t="shared" si="4"/>
        <v>DAWN FELOSA</v>
      </c>
      <c r="E304" s="5" t="s">
        <v>103</v>
      </c>
      <c r="F304" s="5" t="s">
        <v>444</v>
      </c>
      <c r="G304" s="17">
        <v>0.1</v>
      </c>
      <c r="H304" s="5" t="s">
        <v>466</v>
      </c>
      <c r="I304" s="18" t="s">
        <v>993</v>
      </c>
      <c r="J304" s="19">
        <v>16865615</v>
      </c>
      <c r="K304" s="5" t="s">
        <v>104</v>
      </c>
      <c r="L304" s="5" t="s">
        <v>105</v>
      </c>
      <c r="M304" s="5" t="str">
        <f>CONCATENATE(L304," ",K304)</f>
        <v>Heather Geske</v>
      </c>
      <c r="N304" s="5" t="s">
        <v>57</v>
      </c>
      <c r="O304" s="6">
        <v>45641</v>
      </c>
      <c r="P304" s="6">
        <v>46157</v>
      </c>
      <c r="Q304" s="22">
        <f>DATEDIF(O304,P304,"M")</f>
        <v>17</v>
      </c>
      <c r="R304" s="28" t="s">
        <v>536</v>
      </c>
      <c r="S304" s="28" t="s">
        <v>1037</v>
      </c>
      <c r="T304" s="7">
        <v>45.51</v>
      </c>
      <c r="U304" s="5">
        <v>1</v>
      </c>
      <c r="V304" s="5" t="s">
        <v>58</v>
      </c>
      <c r="W304" s="5" t="s">
        <v>536</v>
      </c>
      <c r="X304" s="5" t="s">
        <v>61</v>
      </c>
      <c r="Y304" s="7">
        <v>4.55</v>
      </c>
    </row>
    <row r="305" spans="1:55" s="5" customFormat="1" x14ac:dyDescent="0.3">
      <c r="A305" s="5">
        <v>2026133998</v>
      </c>
      <c r="B305" s="5" t="s">
        <v>199</v>
      </c>
      <c r="C305" s="5" t="s">
        <v>222</v>
      </c>
      <c r="D305" s="5" t="str">
        <f t="shared" si="4"/>
        <v>HEATHER GESKE</v>
      </c>
      <c r="E305" s="5" t="s">
        <v>103</v>
      </c>
      <c r="F305" s="5" t="s">
        <v>53</v>
      </c>
      <c r="G305" s="17">
        <v>0.15</v>
      </c>
      <c r="H305" s="5" t="s">
        <v>54</v>
      </c>
      <c r="I305" s="18" t="s">
        <v>54</v>
      </c>
      <c r="J305" s="19">
        <v>16865615</v>
      </c>
      <c r="K305" s="5" t="s">
        <v>104</v>
      </c>
      <c r="L305" s="5" t="s">
        <v>105</v>
      </c>
      <c r="M305" s="5" t="str">
        <f>CONCATENATE(L305," ",K305)</f>
        <v>Heather Geske</v>
      </c>
      <c r="N305" s="5" t="s">
        <v>57</v>
      </c>
      <c r="O305" s="6">
        <v>45638</v>
      </c>
      <c r="P305" s="6">
        <v>46154</v>
      </c>
      <c r="Q305" s="22">
        <f>DATEDIF(O305,P305,"M")</f>
        <v>17</v>
      </c>
      <c r="R305" s="28" t="s">
        <v>536</v>
      </c>
      <c r="S305" s="28" t="s">
        <v>1037</v>
      </c>
      <c r="T305" s="7">
        <v>18.2</v>
      </c>
      <c r="U305" s="5">
        <v>1</v>
      </c>
      <c r="V305" s="5" t="s">
        <v>58</v>
      </c>
      <c r="W305" s="5" t="s">
        <v>536</v>
      </c>
      <c r="X305" s="5" t="s">
        <v>61</v>
      </c>
      <c r="Y305" s="7">
        <v>2.73</v>
      </c>
    </row>
    <row r="306" spans="1:55" s="5" customFormat="1" x14ac:dyDescent="0.3">
      <c r="A306" s="5">
        <v>2026180757</v>
      </c>
      <c r="B306" s="5" t="s">
        <v>578</v>
      </c>
      <c r="C306" s="5" t="s">
        <v>579</v>
      </c>
      <c r="D306" s="5" t="str">
        <f t="shared" si="4"/>
        <v>CARRIE DOBSCH</v>
      </c>
      <c r="E306" s="5" t="s">
        <v>103</v>
      </c>
      <c r="F306" s="5" t="s">
        <v>53</v>
      </c>
      <c r="G306" s="17">
        <v>0.15</v>
      </c>
      <c r="H306" s="5" t="s">
        <v>54</v>
      </c>
      <c r="I306" s="18" t="s">
        <v>54</v>
      </c>
      <c r="J306" s="19">
        <v>16865615</v>
      </c>
      <c r="K306" s="5" t="s">
        <v>104</v>
      </c>
      <c r="L306" s="5" t="s">
        <v>105</v>
      </c>
      <c r="M306" s="5" t="str">
        <f>CONCATENATE(L306," ",K306)</f>
        <v>Heather Geske</v>
      </c>
      <c r="N306" s="5" t="s">
        <v>57</v>
      </c>
      <c r="O306" s="6">
        <v>45641</v>
      </c>
      <c r="P306" s="6">
        <v>46157</v>
      </c>
      <c r="Q306" s="22">
        <f>DATEDIF(O306,P306,"M")</f>
        <v>17</v>
      </c>
      <c r="R306" s="28" t="s">
        <v>536</v>
      </c>
      <c r="S306" s="28" t="s">
        <v>1037</v>
      </c>
      <c r="T306" s="7">
        <v>9.1</v>
      </c>
      <c r="U306" s="5">
        <v>1</v>
      </c>
      <c r="V306" s="5" t="s">
        <v>58</v>
      </c>
      <c r="W306" s="5" t="s">
        <v>536</v>
      </c>
      <c r="X306" s="5" t="s">
        <v>61</v>
      </c>
      <c r="Y306" s="7">
        <v>1.36</v>
      </c>
    </row>
    <row r="307" spans="1:55" s="5" customFormat="1" x14ac:dyDescent="0.3">
      <c r="A307" s="5">
        <v>2026184417</v>
      </c>
      <c r="B307" s="5" t="s">
        <v>580</v>
      </c>
      <c r="C307" s="5" t="s">
        <v>132</v>
      </c>
      <c r="D307" s="5" t="str">
        <f t="shared" si="4"/>
        <v>DAWN FELOSA</v>
      </c>
      <c r="E307" s="5" t="s">
        <v>103</v>
      </c>
      <c r="F307" s="5" t="s">
        <v>53</v>
      </c>
      <c r="G307" s="17">
        <v>0.15</v>
      </c>
      <c r="H307" s="5" t="s">
        <v>54</v>
      </c>
      <c r="I307" s="18" t="s">
        <v>54</v>
      </c>
      <c r="J307" s="19">
        <v>16865615</v>
      </c>
      <c r="K307" s="5" t="s">
        <v>104</v>
      </c>
      <c r="L307" s="5" t="s">
        <v>105</v>
      </c>
      <c r="M307" s="5" t="str">
        <f>CONCATENATE(L307," ",K307)</f>
        <v>Heather Geske</v>
      </c>
      <c r="N307" s="5" t="s">
        <v>57</v>
      </c>
      <c r="O307" s="6">
        <v>45641</v>
      </c>
      <c r="P307" s="6">
        <v>46157</v>
      </c>
      <c r="Q307" s="22">
        <f>DATEDIF(O307,P307,"M")</f>
        <v>17</v>
      </c>
      <c r="R307" s="28" t="s">
        <v>536</v>
      </c>
      <c r="S307" s="28" t="s">
        <v>1037</v>
      </c>
      <c r="T307" s="7">
        <v>9.1</v>
      </c>
      <c r="U307" s="5">
        <v>1</v>
      </c>
      <c r="V307" s="5" t="s">
        <v>58</v>
      </c>
      <c r="W307" s="5" t="s">
        <v>536</v>
      </c>
      <c r="X307" s="5" t="s">
        <v>61</v>
      </c>
      <c r="Y307" s="7">
        <v>1.36</v>
      </c>
    </row>
    <row r="308" spans="1:55" s="5" customFormat="1" x14ac:dyDescent="0.3">
      <c r="A308" s="5">
        <v>2026186218</v>
      </c>
      <c r="B308" s="5" t="s">
        <v>808</v>
      </c>
      <c r="C308" s="5" t="s">
        <v>809</v>
      </c>
      <c r="D308" s="5" t="str">
        <f t="shared" si="4"/>
        <v>TODD BURRI</v>
      </c>
      <c r="E308" s="5" t="s">
        <v>75</v>
      </c>
      <c r="F308" s="5" t="s">
        <v>53</v>
      </c>
      <c r="G308" s="17">
        <v>0.15</v>
      </c>
      <c r="H308" s="5" t="s">
        <v>54</v>
      </c>
      <c r="I308" s="18" t="s">
        <v>54</v>
      </c>
      <c r="J308" s="19" t="s">
        <v>991</v>
      </c>
      <c r="K308" s="5" t="s">
        <v>134</v>
      </c>
      <c r="L308" s="5" t="s">
        <v>98</v>
      </c>
      <c r="M308" s="5" t="str">
        <f>CONCATENATE(L308," ",K308)</f>
        <v>THOMAS PARDUE</v>
      </c>
      <c r="N308" s="5" t="s">
        <v>57</v>
      </c>
      <c r="O308" s="6">
        <v>45641</v>
      </c>
      <c r="P308" s="6">
        <v>46157</v>
      </c>
      <c r="Q308" s="22">
        <f>DATEDIF(O308,P308,"M")</f>
        <v>17</v>
      </c>
      <c r="R308" s="28" t="s">
        <v>536</v>
      </c>
      <c r="S308" s="28" t="s">
        <v>1037</v>
      </c>
      <c r="T308" s="7">
        <v>94.38</v>
      </c>
      <c r="U308" s="5">
        <v>1</v>
      </c>
      <c r="V308" s="5" t="s">
        <v>58</v>
      </c>
      <c r="W308" s="5" t="s">
        <v>536</v>
      </c>
      <c r="X308" s="5" t="s">
        <v>61</v>
      </c>
      <c r="Y308" s="7">
        <v>14.16</v>
      </c>
    </row>
    <row r="309" spans="1:55" s="5" customFormat="1" x14ac:dyDescent="0.3">
      <c r="A309" s="5">
        <v>2026186217</v>
      </c>
      <c r="B309" s="5" t="s">
        <v>808</v>
      </c>
      <c r="C309" s="5" t="s">
        <v>809</v>
      </c>
      <c r="D309" s="5" t="str">
        <f t="shared" si="4"/>
        <v>TODD BURRI</v>
      </c>
      <c r="E309" s="5" t="s">
        <v>75</v>
      </c>
      <c r="F309" s="5" t="s">
        <v>483</v>
      </c>
      <c r="G309" s="17">
        <v>0.06</v>
      </c>
      <c r="H309" s="5" t="s">
        <v>484</v>
      </c>
      <c r="I309" s="18" t="s">
        <v>484</v>
      </c>
      <c r="J309" s="19" t="s">
        <v>991</v>
      </c>
      <c r="K309" s="5" t="s">
        <v>134</v>
      </c>
      <c r="L309" s="5" t="s">
        <v>98</v>
      </c>
      <c r="M309" s="5" t="str">
        <f>CONCATENATE(L309," ",K309)</f>
        <v>THOMAS PARDUE</v>
      </c>
      <c r="N309" s="5" t="s">
        <v>57</v>
      </c>
      <c r="O309" s="6">
        <v>45641</v>
      </c>
      <c r="P309" s="6">
        <v>46157</v>
      </c>
      <c r="Q309" s="22">
        <f>DATEDIF(O309,P309,"M")</f>
        <v>17</v>
      </c>
      <c r="R309" s="28" t="s">
        <v>536</v>
      </c>
      <c r="S309" s="28" t="s">
        <v>1037</v>
      </c>
      <c r="T309" s="7">
        <v>26.74</v>
      </c>
      <c r="U309" s="5">
        <v>1</v>
      </c>
      <c r="V309" s="5" t="s">
        <v>58</v>
      </c>
      <c r="W309" s="5" t="s">
        <v>536</v>
      </c>
      <c r="X309" s="5" t="s">
        <v>61</v>
      </c>
      <c r="Y309" s="7">
        <v>1.6</v>
      </c>
    </row>
    <row r="310" spans="1:55" x14ac:dyDescent="0.3">
      <c r="A310" s="5">
        <v>2026061218</v>
      </c>
      <c r="B310" s="5" t="s">
        <v>577</v>
      </c>
      <c r="C310" s="5" t="s">
        <v>252</v>
      </c>
      <c r="D310" s="5" t="str">
        <f t="shared" si="4"/>
        <v>JOSEPH HINTZICKER</v>
      </c>
      <c r="E310" s="5" t="s">
        <v>103</v>
      </c>
      <c r="F310" s="5" t="s">
        <v>444</v>
      </c>
      <c r="G310" s="17">
        <v>0.1</v>
      </c>
      <c r="H310" s="5" t="s">
        <v>466</v>
      </c>
      <c r="I310" s="18" t="s">
        <v>993</v>
      </c>
      <c r="J310" s="19">
        <v>21313588</v>
      </c>
      <c r="K310" s="5" t="s">
        <v>199</v>
      </c>
      <c r="L310" s="5" t="s">
        <v>200</v>
      </c>
      <c r="M310" s="5" t="str">
        <f>CONCATENATE(L310," ",K310)</f>
        <v>WILLIAM GESKE</v>
      </c>
      <c r="N310" s="5" t="s">
        <v>57</v>
      </c>
      <c r="O310" s="6">
        <v>45641</v>
      </c>
      <c r="P310" s="6">
        <v>46157</v>
      </c>
      <c r="Q310" s="22">
        <f>DATEDIF(O310,P310,"M")</f>
        <v>17</v>
      </c>
      <c r="R310" s="28" t="s">
        <v>536</v>
      </c>
      <c r="S310" s="28" t="s">
        <v>1037</v>
      </c>
      <c r="T310" s="7">
        <v>37.130000000000003</v>
      </c>
      <c r="U310" s="5">
        <v>1</v>
      </c>
      <c r="V310" s="5" t="s">
        <v>58</v>
      </c>
      <c r="W310" s="5" t="s">
        <v>536</v>
      </c>
      <c r="X310" s="5" t="s">
        <v>61</v>
      </c>
      <c r="Y310" s="7">
        <v>3.71</v>
      </c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</row>
    <row r="311" spans="1:55" s="5" customFormat="1" x14ac:dyDescent="0.3">
      <c r="A311" s="5">
        <v>2026061219</v>
      </c>
      <c r="B311" s="5" t="s">
        <v>577</v>
      </c>
      <c r="C311" s="5" t="s">
        <v>252</v>
      </c>
      <c r="D311" s="5" t="str">
        <f t="shared" si="4"/>
        <v>JOSEPH HINTZICKER</v>
      </c>
      <c r="E311" s="5" t="s">
        <v>103</v>
      </c>
      <c r="F311" s="5" t="s">
        <v>499</v>
      </c>
      <c r="G311" s="17">
        <v>0.1</v>
      </c>
      <c r="H311" s="5" t="s">
        <v>502</v>
      </c>
      <c r="I311" s="18" t="s">
        <v>502</v>
      </c>
      <c r="J311" s="19">
        <v>21313588</v>
      </c>
      <c r="K311" s="5" t="s">
        <v>199</v>
      </c>
      <c r="L311" s="5" t="s">
        <v>200</v>
      </c>
      <c r="M311" s="5" t="str">
        <f>CONCATENATE(L311," ",K311)</f>
        <v>WILLIAM GESKE</v>
      </c>
      <c r="N311" s="5" t="s">
        <v>57</v>
      </c>
      <c r="O311" s="6">
        <v>45641</v>
      </c>
      <c r="P311" s="6">
        <v>46157</v>
      </c>
      <c r="Q311" s="22">
        <f>DATEDIF(O311,P311,"M")</f>
        <v>17</v>
      </c>
      <c r="R311" s="28" t="s">
        <v>536</v>
      </c>
      <c r="S311" s="28" t="s">
        <v>1037</v>
      </c>
      <c r="T311" s="7">
        <v>33.31</v>
      </c>
      <c r="U311" s="5">
        <v>1</v>
      </c>
      <c r="V311" s="5" t="s">
        <v>58</v>
      </c>
      <c r="W311" s="5" t="s">
        <v>536</v>
      </c>
      <c r="X311" s="5" t="s">
        <v>61</v>
      </c>
      <c r="Y311" s="7">
        <v>3.33</v>
      </c>
    </row>
    <row r="312" spans="1:55" s="5" customFormat="1" x14ac:dyDescent="0.3">
      <c r="A312" s="5">
        <v>2026061217</v>
      </c>
      <c r="B312" s="5" t="s">
        <v>577</v>
      </c>
      <c r="C312" s="5" t="s">
        <v>252</v>
      </c>
      <c r="D312" s="5" t="str">
        <f t="shared" si="4"/>
        <v>JOSEPH HINTZICKER</v>
      </c>
      <c r="E312" s="5" t="s">
        <v>103</v>
      </c>
      <c r="F312" s="5" t="s">
        <v>53</v>
      </c>
      <c r="G312" s="17">
        <v>0.15</v>
      </c>
      <c r="H312" s="5" t="s">
        <v>54</v>
      </c>
      <c r="I312" s="18" t="s">
        <v>54</v>
      </c>
      <c r="J312" s="19">
        <v>21313588</v>
      </c>
      <c r="K312" s="5" t="s">
        <v>199</v>
      </c>
      <c r="L312" s="5" t="s">
        <v>200</v>
      </c>
      <c r="M312" s="5" t="str">
        <f>CONCATENATE(L312," ",K312)</f>
        <v>WILLIAM GESKE</v>
      </c>
      <c r="N312" s="5" t="s">
        <v>57</v>
      </c>
      <c r="O312" s="6">
        <v>45641</v>
      </c>
      <c r="P312" s="6">
        <v>46157</v>
      </c>
      <c r="Q312" s="22">
        <f>DATEDIF(O312,P312,"M")</f>
        <v>17</v>
      </c>
      <c r="R312" s="28" t="s">
        <v>536</v>
      </c>
      <c r="S312" s="28" t="s">
        <v>1037</v>
      </c>
      <c r="T312" s="7">
        <v>7.89</v>
      </c>
      <c r="U312" s="5">
        <v>1</v>
      </c>
      <c r="V312" s="5" t="s">
        <v>58</v>
      </c>
      <c r="W312" s="5" t="s">
        <v>536</v>
      </c>
      <c r="X312" s="5" t="s">
        <v>61</v>
      </c>
      <c r="Y312" s="7">
        <v>1.18</v>
      </c>
    </row>
    <row r="313" spans="1:55" s="5" customFormat="1" x14ac:dyDescent="0.3">
      <c r="A313" s="5">
        <v>2025724991</v>
      </c>
      <c r="B313" s="5" t="s">
        <v>797</v>
      </c>
      <c r="C313" s="5" t="s">
        <v>438</v>
      </c>
      <c r="D313" s="5" t="str">
        <f t="shared" si="4"/>
        <v>PAULA HURSEY</v>
      </c>
      <c r="E313" s="5" t="s">
        <v>755</v>
      </c>
      <c r="F313" s="5" t="s">
        <v>53</v>
      </c>
      <c r="G313" s="17">
        <v>0.15</v>
      </c>
      <c r="H313" s="5" t="s">
        <v>54</v>
      </c>
      <c r="I313" s="18" t="s">
        <v>54</v>
      </c>
      <c r="J313" s="19" t="s">
        <v>1034</v>
      </c>
      <c r="K313" s="5" t="s">
        <v>400</v>
      </c>
      <c r="L313" s="5" t="s">
        <v>401</v>
      </c>
      <c r="M313" s="5" t="str">
        <f>CONCATENATE(L313," ",K313)</f>
        <v>JARED KINYUA</v>
      </c>
      <c r="N313" s="5" t="s">
        <v>57</v>
      </c>
      <c r="O313" s="6">
        <v>45608</v>
      </c>
      <c r="P313" s="6">
        <v>46154</v>
      </c>
      <c r="Q313" s="22">
        <f>DATEDIF(O313,P313,"M")</f>
        <v>18</v>
      </c>
      <c r="R313" s="28" t="s">
        <v>536</v>
      </c>
      <c r="S313" s="28" t="s">
        <v>1037</v>
      </c>
      <c r="T313" s="7">
        <v>46.17</v>
      </c>
      <c r="U313" s="5">
        <v>1</v>
      </c>
      <c r="V313" s="5" t="s">
        <v>58</v>
      </c>
      <c r="W313" s="5" t="s">
        <v>536</v>
      </c>
      <c r="X313" s="5" t="s">
        <v>61</v>
      </c>
      <c r="Y313" s="7">
        <v>6.93</v>
      </c>
    </row>
    <row r="314" spans="1:55" x14ac:dyDescent="0.3">
      <c r="A314" s="5">
        <v>2025724990</v>
      </c>
      <c r="B314" s="5" t="s">
        <v>797</v>
      </c>
      <c r="C314" s="5" t="s">
        <v>438</v>
      </c>
      <c r="D314" s="5" t="str">
        <f t="shared" si="4"/>
        <v>PAULA HURSEY</v>
      </c>
      <c r="E314" s="5" t="s">
        <v>755</v>
      </c>
      <c r="F314" s="5" t="s">
        <v>483</v>
      </c>
      <c r="G314" s="17">
        <v>0.06</v>
      </c>
      <c r="H314" s="5" t="s">
        <v>484</v>
      </c>
      <c r="I314" s="18" t="s">
        <v>484</v>
      </c>
      <c r="J314" s="19" t="s">
        <v>1034</v>
      </c>
      <c r="K314" s="5" t="s">
        <v>400</v>
      </c>
      <c r="L314" s="5" t="s">
        <v>401</v>
      </c>
      <c r="M314" s="5" t="str">
        <f>CONCATENATE(L314," ",K314)</f>
        <v>JARED KINYUA</v>
      </c>
      <c r="N314" s="5" t="s">
        <v>57</v>
      </c>
      <c r="O314" s="6">
        <v>45608</v>
      </c>
      <c r="P314" s="6">
        <v>46154</v>
      </c>
      <c r="Q314" s="22">
        <f>DATEDIF(O314,P314,"M")</f>
        <v>18</v>
      </c>
      <c r="R314" s="28" t="s">
        <v>536</v>
      </c>
      <c r="S314" s="28" t="s">
        <v>1037</v>
      </c>
      <c r="T314" s="7">
        <v>94.25</v>
      </c>
      <c r="U314" s="5">
        <v>1</v>
      </c>
      <c r="V314" s="5" t="s">
        <v>58</v>
      </c>
      <c r="W314" s="5" t="s">
        <v>536</v>
      </c>
      <c r="X314" s="5" t="s">
        <v>61</v>
      </c>
      <c r="Y314" s="7">
        <v>5.66</v>
      </c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</row>
    <row r="315" spans="1:55" s="5" customFormat="1" x14ac:dyDescent="0.3">
      <c r="A315" s="5">
        <v>2025738648</v>
      </c>
      <c r="B315" s="5" t="s">
        <v>798</v>
      </c>
      <c r="C315" s="5" t="s">
        <v>799</v>
      </c>
      <c r="D315" s="5" t="str">
        <f t="shared" si="4"/>
        <v>MASON MOREAU</v>
      </c>
      <c r="E315" s="5" t="s">
        <v>295</v>
      </c>
      <c r="F315" s="5" t="s">
        <v>483</v>
      </c>
      <c r="G315" s="17">
        <v>0.06</v>
      </c>
      <c r="H315" s="5" t="s">
        <v>484</v>
      </c>
      <c r="I315" s="18" t="s">
        <v>484</v>
      </c>
      <c r="J315" s="19" t="s">
        <v>991</v>
      </c>
      <c r="K315" s="5" t="s">
        <v>134</v>
      </c>
      <c r="L315" s="5" t="s">
        <v>98</v>
      </c>
      <c r="M315" s="5" t="str">
        <f>CONCATENATE(L315," ",K315)</f>
        <v>THOMAS PARDUE</v>
      </c>
      <c r="N315" s="5" t="s">
        <v>57</v>
      </c>
      <c r="O315" s="6">
        <v>45609</v>
      </c>
      <c r="P315" s="6">
        <v>46155</v>
      </c>
      <c r="Q315" s="22">
        <f>DATEDIF(O315,P315,"M")</f>
        <v>18</v>
      </c>
      <c r="R315" s="28" t="s">
        <v>536</v>
      </c>
      <c r="S315" s="28" t="s">
        <v>1037</v>
      </c>
      <c r="T315" s="7">
        <v>18.66</v>
      </c>
      <c r="U315" s="5">
        <v>1</v>
      </c>
      <c r="V315" s="5" t="s">
        <v>58</v>
      </c>
      <c r="W315" s="5" t="s">
        <v>536</v>
      </c>
      <c r="X315" s="5" t="s">
        <v>61</v>
      </c>
      <c r="Y315" s="7">
        <v>1.1200000000000001</v>
      </c>
    </row>
    <row r="316" spans="1:55" s="5" customFormat="1" x14ac:dyDescent="0.3">
      <c r="A316" s="5">
        <v>2025783063</v>
      </c>
      <c r="B316" s="5" t="s">
        <v>906</v>
      </c>
      <c r="C316" s="5" t="s">
        <v>907</v>
      </c>
      <c r="D316" s="5" t="str">
        <f t="shared" si="4"/>
        <v>TAMMY CARLTON</v>
      </c>
      <c r="E316" s="5" t="s">
        <v>371</v>
      </c>
      <c r="F316" s="5" t="s">
        <v>53</v>
      </c>
      <c r="G316" s="17">
        <v>0.1</v>
      </c>
      <c r="H316" s="5" t="s">
        <v>65</v>
      </c>
      <c r="I316" s="18" t="s">
        <v>65</v>
      </c>
      <c r="J316" s="19" t="s">
        <v>991</v>
      </c>
      <c r="K316" s="5" t="s">
        <v>134</v>
      </c>
      <c r="L316" s="5" t="s">
        <v>98</v>
      </c>
      <c r="M316" s="5" t="str">
        <f>CONCATENATE(L316," ",K316)</f>
        <v>THOMAS PARDUE</v>
      </c>
      <c r="N316" s="5" t="s">
        <v>57</v>
      </c>
      <c r="O316" s="6">
        <v>45612</v>
      </c>
      <c r="P316" s="6">
        <v>46158</v>
      </c>
      <c r="Q316" s="22">
        <f>DATEDIF(O316,P316,"M")</f>
        <v>18</v>
      </c>
      <c r="R316" s="28" t="s">
        <v>536</v>
      </c>
      <c r="S316" s="28" t="s">
        <v>1037</v>
      </c>
      <c r="T316" s="7">
        <v>58.17</v>
      </c>
      <c r="U316" s="5">
        <v>1</v>
      </c>
      <c r="V316" s="5" t="s">
        <v>58</v>
      </c>
      <c r="W316" s="5" t="s">
        <v>536</v>
      </c>
      <c r="X316" s="5" t="s">
        <v>61</v>
      </c>
      <c r="Y316" s="7">
        <v>5.82</v>
      </c>
    </row>
    <row r="317" spans="1:55" s="5" customFormat="1" x14ac:dyDescent="0.3">
      <c r="A317" s="5">
        <v>2025783978</v>
      </c>
      <c r="B317" s="5" t="s">
        <v>906</v>
      </c>
      <c r="C317" s="5" t="s">
        <v>908</v>
      </c>
      <c r="D317" s="5" t="str">
        <f t="shared" si="4"/>
        <v>KEGHAN CARLTON</v>
      </c>
      <c r="E317" s="5" t="s">
        <v>371</v>
      </c>
      <c r="F317" s="5" t="s">
        <v>53</v>
      </c>
      <c r="G317" s="17">
        <v>0.1</v>
      </c>
      <c r="H317" s="5" t="s">
        <v>65</v>
      </c>
      <c r="I317" s="18" t="s">
        <v>65</v>
      </c>
      <c r="J317" s="19" t="s">
        <v>991</v>
      </c>
      <c r="K317" s="5" t="s">
        <v>134</v>
      </c>
      <c r="L317" s="5" t="s">
        <v>98</v>
      </c>
      <c r="M317" s="5" t="str">
        <f>CONCATENATE(L317," ",K317)</f>
        <v>THOMAS PARDUE</v>
      </c>
      <c r="N317" s="5" t="s">
        <v>57</v>
      </c>
      <c r="O317" s="6">
        <v>45612</v>
      </c>
      <c r="P317" s="6">
        <v>46158</v>
      </c>
      <c r="Q317" s="22">
        <f>DATEDIF(O317,P317,"M")</f>
        <v>18</v>
      </c>
      <c r="R317" s="28" t="s">
        <v>536</v>
      </c>
      <c r="S317" s="28" t="s">
        <v>1037</v>
      </c>
      <c r="T317" s="7">
        <v>16.63</v>
      </c>
      <c r="U317" s="5">
        <v>1</v>
      </c>
      <c r="V317" s="5" t="s">
        <v>58</v>
      </c>
      <c r="W317" s="5" t="s">
        <v>536</v>
      </c>
      <c r="X317" s="5" t="s">
        <v>61</v>
      </c>
      <c r="Y317" s="7">
        <v>1.66</v>
      </c>
    </row>
    <row r="318" spans="1:55" s="5" customFormat="1" x14ac:dyDescent="0.3">
      <c r="A318" s="5">
        <v>2025721594</v>
      </c>
      <c r="B318" s="5" t="s">
        <v>576</v>
      </c>
      <c r="C318" s="5" t="s">
        <v>543</v>
      </c>
      <c r="D318" s="5" t="str">
        <f t="shared" si="4"/>
        <v>SARAH KONKOL</v>
      </c>
      <c r="E318" s="5" t="s">
        <v>103</v>
      </c>
      <c r="F318" s="5" t="s">
        <v>53</v>
      </c>
      <c r="G318" s="17">
        <v>0.15</v>
      </c>
      <c r="H318" s="5" t="s">
        <v>117</v>
      </c>
      <c r="I318" s="18" t="s">
        <v>117</v>
      </c>
      <c r="J318" s="19">
        <v>21313588</v>
      </c>
      <c r="K318" s="5" t="s">
        <v>199</v>
      </c>
      <c r="L318" s="5" t="s">
        <v>200</v>
      </c>
      <c r="M318" s="5" t="str">
        <f>CONCATENATE(L318," ",K318)</f>
        <v>WILLIAM GESKE</v>
      </c>
      <c r="N318" s="5" t="s">
        <v>57</v>
      </c>
      <c r="O318" s="6">
        <v>45608</v>
      </c>
      <c r="P318" s="6">
        <v>46154</v>
      </c>
      <c r="Q318" s="22">
        <f>DATEDIF(O318,P318,"M")</f>
        <v>18</v>
      </c>
      <c r="R318" s="28" t="s">
        <v>536</v>
      </c>
      <c r="S318" s="28" t="s">
        <v>1037</v>
      </c>
      <c r="T318" s="7">
        <v>20.95</v>
      </c>
      <c r="U318" s="5">
        <v>1</v>
      </c>
      <c r="V318" s="5" t="s">
        <v>58</v>
      </c>
      <c r="W318" s="5" t="s">
        <v>536</v>
      </c>
      <c r="X318" s="5" t="s">
        <v>61</v>
      </c>
      <c r="Y318" s="7">
        <v>3.14</v>
      </c>
    </row>
    <row r="319" spans="1:55" s="5" customFormat="1" x14ac:dyDescent="0.3">
      <c r="A319" s="5">
        <v>2025721592</v>
      </c>
      <c r="B319" s="5" t="s">
        <v>576</v>
      </c>
      <c r="C319" s="5" t="s">
        <v>543</v>
      </c>
      <c r="D319" s="5" t="str">
        <f t="shared" si="4"/>
        <v>SARAH KONKOL</v>
      </c>
      <c r="E319" s="5" t="s">
        <v>103</v>
      </c>
      <c r="F319" s="5" t="s">
        <v>444</v>
      </c>
      <c r="G319" s="17">
        <v>0.1</v>
      </c>
      <c r="H319" s="5" t="s">
        <v>466</v>
      </c>
      <c r="I319" s="18" t="s">
        <v>993</v>
      </c>
      <c r="J319" s="19">
        <v>21313588</v>
      </c>
      <c r="K319" s="5" t="s">
        <v>199</v>
      </c>
      <c r="L319" s="5" t="s">
        <v>200</v>
      </c>
      <c r="M319" s="5" t="str">
        <f>CONCATENATE(L319," ",K319)</f>
        <v>WILLIAM GESKE</v>
      </c>
      <c r="N319" s="5" t="s">
        <v>57</v>
      </c>
      <c r="O319" s="6">
        <v>45608</v>
      </c>
      <c r="P319" s="6">
        <v>46154</v>
      </c>
      <c r="Q319" s="22">
        <f>DATEDIF(O319,P319,"M")</f>
        <v>18</v>
      </c>
      <c r="R319" s="28" t="s">
        <v>536</v>
      </c>
      <c r="S319" s="28" t="s">
        <v>1037</v>
      </c>
      <c r="T319" s="7">
        <v>56.03</v>
      </c>
      <c r="U319" s="5">
        <v>1</v>
      </c>
      <c r="V319" s="5" t="s">
        <v>58</v>
      </c>
      <c r="W319" s="5" t="s">
        <v>536</v>
      </c>
      <c r="X319" s="5" t="s">
        <v>61</v>
      </c>
      <c r="Y319" s="7">
        <v>5.6</v>
      </c>
    </row>
    <row r="320" spans="1:55" s="5" customFormat="1" x14ac:dyDescent="0.3">
      <c r="A320" s="5">
        <v>2025721593</v>
      </c>
      <c r="B320" s="5" t="s">
        <v>576</v>
      </c>
      <c r="C320" s="5" t="s">
        <v>543</v>
      </c>
      <c r="D320" s="5" t="str">
        <f t="shared" si="4"/>
        <v>SARAH KONKOL</v>
      </c>
      <c r="E320" s="5" t="s">
        <v>103</v>
      </c>
      <c r="F320" s="5" t="s">
        <v>53</v>
      </c>
      <c r="G320" s="17">
        <v>0.15</v>
      </c>
      <c r="H320" s="5" t="s">
        <v>54</v>
      </c>
      <c r="I320" s="18" t="s">
        <v>54</v>
      </c>
      <c r="J320" s="19">
        <v>21313588</v>
      </c>
      <c r="K320" s="5" t="s">
        <v>199</v>
      </c>
      <c r="L320" s="5" t="s">
        <v>200</v>
      </c>
      <c r="M320" s="5" t="str">
        <f>CONCATENATE(L320," ",K320)</f>
        <v>WILLIAM GESKE</v>
      </c>
      <c r="N320" s="5" t="s">
        <v>57</v>
      </c>
      <c r="O320" s="6">
        <v>45608</v>
      </c>
      <c r="P320" s="6">
        <v>46154</v>
      </c>
      <c r="Q320" s="22">
        <f>DATEDIF(O320,P320,"M")</f>
        <v>18</v>
      </c>
      <c r="R320" s="28" t="s">
        <v>536</v>
      </c>
      <c r="S320" s="28" t="s">
        <v>1037</v>
      </c>
      <c r="T320" s="7">
        <v>27.38</v>
      </c>
      <c r="U320" s="5">
        <v>1</v>
      </c>
      <c r="V320" s="5" t="s">
        <v>58</v>
      </c>
      <c r="W320" s="5" t="s">
        <v>536</v>
      </c>
      <c r="X320" s="5" t="s">
        <v>61</v>
      </c>
      <c r="Y320" s="7">
        <v>4.1100000000000003</v>
      </c>
    </row>
    <row r="321" spans="1:55" x14ac:dyDescent="0.3">
      <c r="A321" s="5">
        <v>2025254892</v>
      </c>
      <c r="B321" s="5" t="s">
        <v>569</v>
      </c>
      <c r="C321" s="5" t="s">
        <v>570</v>
      </c>
      <c r="D321" s="5" t="str">
        <f t="shared" si="4"/>
        <v>KRISTIN DICKINSON</v>
      </c>
      <c r="E321" s="5" t="s">
        <v>371</v>
      </c>
      <c r="F321" s="5" t="s">
        <v>444</v>
      </c>
      <c r="G321" s="17">
        <v>0.1</v>
      </c>
      <c r="H321" s="5" t="s">
        <v>454</v>
      </c>
      <c r="I321" s="18" t="s">
        <v>980</v>
      </c>
      <c r="J321" s="19" t="s">
        <v>991</v>
      </c>
      <c r="K321" s="5" t="s">
        <v>134</v>
      </c>
      <c r="L321" s="5" t="s">
        <v>98</v>
      </c>
      <c r="M321" s="5" t="str">
        <f>CONCATENATE(L321," ",K321)</f>
        <v>THOMAS PARDUE</v>
      </c>
      <c r="N321" s="5" t="s">
        <v>57</v>
      </c>
      <c r="O321" s="6">
        <v>45576</v>
      </c>
      <c r="P321" s="6">
        <v>46153</v>
      </c>
      <c r="Q321" s="22">
        <f>DATEDIF(O321,P321,"M")</f>
        <v>19</v>
      </c>
      <c r="R321" s="28" t="s">
        <v>536</v>
      </c>
      <c r="S321" s="28" t="s">
        <v>1037</v>
      </c>
      <c r="T321" s="7">
        <v>48.79</v>
      </c>
      <c r="U321" s="5">
        <v>1</v>
      </c>
      <c r="V321" s="5" t="s">
        <v>58</v>
      </c>
      <c r="W321" s="5" t="s">
        <v>536</v>
      </c>
      <c r="X321" s="5" t="s">
        <v>61</v>
      </c>
      <c r="Y321" s="7">
        <v>4.88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</row>
    <row r="322" spans="1:55" x14ac:dyDescent="0.3">
      <c r="A322" s="5">
        <v>2025287065</v>
      </c>
      <c r="B322" s="5" t="s">
        <v>572</v>
      </c>
      <c r="C322" s="5" t="s">
        <v>573</v>
      </c>
      <c r="D322" s="5" t="str">
        <f t="shared" si="4"/>
        <v>ZARIYAH JEFFRIES</v>
      </c>
      <c r="E322" s="5" t="s">
        <v>223</v>
      </c>
      <c r="F322" s="5" t="s">
        <v>444</v>
      </c>
      <c r="G322" s="17">
        <v>0.1</v>
      </c>
      <c r="H322" s="5" t="s">
        <v>567</v>
      </c>
      <c r="I322" s="18" t="s">
        <v>981</v>
      </c>
      <c r="J322" s="19" t="s">
        <v>991</v>
      </c>
      <c r="K322" s="5" t="s">
        <v>134</v>
      </c>
      <c r="L322" s="5" t="s">
        <v>98</v>
      </c>
      <c r="M322" s="5" t="str">
        <f>CONCATENATE(L322," ",K322)</f>
        <v>THOMAS PARDUE</v>
      </c>
      <c r="N322" s="5" t="s">
        <v>57</v>
      </c>
      <c r="O322" s="6">
        <v>45577</v>
      </c>
      <c r="P322" s="6">
        <v>46154</v>
      </c>
      <c r="Q322" s="22">
        <f>DATEDIF(O322,P322,"M")</f>
        <v>19</v>
      </c>
      <c r="R322" s="28" t="s">
        <v>536</v>
      </c>
      <c r="S322" s="28" t="s">
        <v>1037</v>
      </c>
      <c r="T322" s="7">
        <v>13.92</v>
      </c>
      <c r="U322" s="5">
        <v>1</v>
      </c>
      <c r="V322" s="5" t="s">
        <v>58</v>
      </c>
      <c r="W322" s="5" t="s">
        <v>536</v>
      </c>
      <c r="X322" s="5" t="s">
        <v>61</v>
      </c>
      <c r="Y322" s="7">
        <v>1.39</v>
      </c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</row>
    <row r="323" spans="1:55" x14ac:dyDescent="0.3">
      <c r="A323" s="5">
        <v>2025316510</v>
      </c>
      <c r="B323" s="5" t="s">
        <v>574</v>
      </c>
      <c r="C323" s="5" t="s">
        <v>575</v>
      </c>
      <c r="D323" s="5" t="str">
        <f t="shared" ref="D323:D386" si="5">CONCATENATE(C323," ",B323)</f>
        <v>JORDAN ROWELL</v>
      </c>
      <c r="E323" s="5" t="s">
        <v>126</v>
      </c>
      <c r="F323" s="5" t="s">
        <v>444</v>
      </c>
      <c r="G323" s="17">
        <v>0.1</v>
      </c>
      <c r="H323" s="5" t="s">
        <v>567</v>
      </c>
      <c r="I323" s="18" t="s">
        <v>981</v>
      </c>
      <c r="J323" s="19" t="s">
        <v>991</v>
      </c>
      <c r="K323" s="5" t="s">
        <v>134</v>
      </c>
      <c r="L323" s="5" t="s">
        <v>98</v>
      </c>
      <c r="M323" s="5" t="str">
        <f>CONCATENATE(L323," ",K323)</f>
        <v>THOMAS PARDUE</v>
      </c>
      <c r="N323" s="5" t="s">
        <v>57</v>
      </c>
      <c r="O323" s="6">
        <v>45580</v>
      </c>
      <c r="P323" s="6">
        <v>46157</v>
      </c>
      <c r="Q323" s="22">
        <f>DATEDIF(O323,P323,"M")</f>
        <v>19</v>
      </c>
      <c r="R323" s="28" t="s">
        <v>536</v>
      </c>
      <c r="S323" s="28" t="s">
        <v>1037</v>
      </c>
      <c r="T323" s="7">
        <v>19.309999999999999</v>
      </c>
      <c r="U323" s="5">
        <v>1</v>
      </c>
      <c r="V323" s="5" t="s">
        <v>58</v>
      </c>
      <c r="W323" s="5" t="s">
        <v>536</v>
      </c>
      <c r="X323" s="5" t="s">
        <v>61</v>
      </c>
      <c r="Y323" s="7">
        <v>1.93</v>
      </c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</row>
    <row r="324" spans="1:55" x14ac:dyDescent="0.3">
      <c r="A324" s="5">
        <v>2025254890</v>
      </c>
      <c r="B324" s="5" t="s">
        <v>569</v>
      </c>
      <c r="C324" s="5" t="s">
        <v>570</v>
      </c>
      <c r="D324" s="5" t="str">
        <f t="shared" si="5"/>
        <v>KRISTIN DICKINSON</v>
      </c>
      <c r="E324" s="5" t="s">
        <v>371</v>
      </c>
      <c r="F324" s="5" t="s">
        <v>53</v>
      </c>
      <c r="G324" s="17">
        <v>0.15</v>
      </c>
      <c r="H324" s="5" t="s">
        <v>54</v>
      </c>
      <c r="I324" s="18" t="s">
        <v>54</v>
      </c>
      <c r="J324" s="19" t="s">
        <v>991</v>
      </c>
      <c r="K324" s="5" t="s">
        <v>134</v>
      </c>
      <c r="L324" s="5" t="s">
        <v>98</v>
      </c>
      <c r="M324" s="5" t="str">
        <f>CONCATENATE(L324," ",K324)</f>
        <v>THOMAS PARDUE</v>
      </c>
      <c r="N324" s="5" t="s">
        <v>57</v>
      </c>
      <c r="O324" s="6">
        <v>45576</v>
      </c>
      <c r="P324" s="6">
        <v>46153</v>
      </c>
      <c r="Q324" s="22">
        <f>DATEDIF(O324,P324,"M")</f>
        <v>19</v>
      </c>
      <c r="R324" s="28" t="s">
        <v>536</v>
      </c>
      <c r="S324" s="28" t="s">
        <v>1037</v>
      </c>
      <c r="T324" s="7">
        <v>35.04</v>
      </c>
      <c r="U324" s="5">
        <v>1</v>
      </c>
      <c r="V324" s="5" t="s">
        <v>58</v>
      </c>
      <c r="W324" s="5" t="s">
        <v>536</v>
      </c>
      <c r="X324" s="5" t="s">
        <v>61</v>
      </c>
      <c r="Y324" s="7">
        <v>5.26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</row>
    <row r="325" spans="1:55" x14ac:dyDescent="0.3">
      <c r="A325" s="5">
        <v>2025287066</v>
      </c>
      <c r="B325" s="5" t="s">
        <v>572</v>
      </c>
      <c r="C325" s="5" t="s">
        <v>573</v>
      </c>
      <c r="D325" s="5" t="str">
        <f t="shared" si="5"/>
        <v>ZARIYAH JEFFRIES</v>
      </c>
      <c r="E325" s="5" t="s">
        <v>223</v>
      </c>
      <c r="F325" s="5" t="s">
        <v>53</v>
      </c>
      <c r="G325" s="17">
        <v>0.15</v>
      </c>
      <c r="H325" s="5" t="s">
        <v>54</v>
      </c>
      <c r="I325" s="18" t="s">
        <v>54</v>
      </c>
      <c r="J325" s="19" t="s">
        <v>991</v>
      </c>
      <c r="K325" s="5" t="s">
        <v>134</v>
      </c>
      <c r="L325" s="5" t="s">
        <v>98</v>
      </c>
      <c r="M325" s="5" t="str">
        <f>CONCATENATE(L325," ",K325)</f>
        <v>THOMAS PARDUE</v>
      </c>
      <c r="N325" s="5" t="s">
        <v>57</v>
      </c>
      <c r="O325" s="6">
        <v>45577</v>
      </c>
      <c r="P325" s="6">
        <v>46154</v>
      </c>
      <c r="Q325" s="22">
        <f>DATEDIF(O325,P325,"M")</f>
        <v>19</v>
      </c>
      <c r="R325" s="28" t="s">
        <v>536</v>
      </c>
      <c r="S325" s="28" t="s">
        <v>1037</v>
      </c>
      <c r="T325" s="7">
        <v>26.73</v>
      </c>
      <c r="U325" s="5">
        <v>1</v>
      </c>
      <c r="V325" s="5" t="s">
        <v>58</v>
      </c>
      <c r="W325" s="5" t="s">
        <v>536</v>
      </c>
      <c r="X325" s="5" t="s">
        <v>61</v>
      </c>
      <c r="Y325" s="7">
        <v>4.01</v>
      </c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</row>
    <row r="326" spans="1:55" x14ac:dyDescent="0.3">
      <c r="A326" s="5">
        <v>2025316509</v>
      </c>
      <c r="B326" s="5" t="s">
        <v>574</v>
      </c>
      <c r="C326" s="5" t="s">
        <v>575</v>
      </c>
      <c r="D326" s="5" t="str">
        <f t="shared" si="5"/>
        <v>JORDAN ROWELL</v>
      </c>
      <c r="E326" s="5" t="s">
        <v>126</v>
      </c>
      <c r="F326" s="5" t="s">
        <v>53</v>
      </c>
      <c r="G326" s="17">
        <v>0.15</v>
      </c>
      <c r="H326" s="5" t="s">
        <v>54</v>
      </c>
      <c r="I326" s="18" t="s">
        <v>54</v>
      </c>
      <c r="J326" s="19" t="s">
        <v>991</v>
      </c>
      <c r="K326" s="5" t="s">
        <v>134</v>
      </c>
      <c r="L326" s="5" t="s">
        <v>98</v>
      </c>
      <c r="M326" s="5" t="str">
        <f>CONCATENATE(L326," ",K326)</f>
        <v>THOMAS PARDUE</v>
      </c>
      <c r="N326" s="5" t="s">
        <v>57</v>
      </c>
      <c r="O326" s="6">
        <v>45580</v>
      </c>
      <c r="P326" s="6">
        <v>46157</v>
      </c>
      <c r="Q326" s="22">
        <f>DATEDIF(O326,P326,"M")</f>
        <v>19</v>
      </c>
      <c r="R326" s="28" t="s">
        <v>536</v>
      </c>
      <c r="S326" s="28" t="s">
        <v>1037</v>
      </c>
      <c r="T326" s="7">
        <v>46.36</v>
      </c>
      <c r="U326" s="5">
        <v>1</v>
      </c>
      <c r="V326" s="5" t="s">
        <v>58</v>
      </c>
      <c r="W326" s="5" t="s">
        <v>536</v>
      </c>
      <c r="X326" s="5" t="s">
        <v>61</v>
      </c>
      <c r="Y326" s="7">
        <v>6.95</v>
      </c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</row>
    <row r="327" spans="1:55" x14ac:dyDescent="0.3">
      <c r="A327" s="5">
        <v>2025287064</v>
      </c>
      <c r="B327" s="5" t="s">
        <v>572</v>
      </c>
      <c r="C327" s="5" t="s">
        <v>573</v>
      </c>
      <c r="D327" s="5" t="str">
        <f t="shared" si="5"/>
        <v>ZARIYAH JEFFRIES</v>
      </c>
      <c r="E327" s="5" t="s">
        <v>223</v>
      </c>
      <c r="F327" s="5" t="s">
        <v>483</v>
      </c>
      <c r="G327" s="17">
        <v>0.06</v>
      </c>
      <c r="H327" s="5" t="s">
        <v>484</v>
      </c>
      <c r="I327" s="18" t="s">
        <v>484</v>
      </c>
      <c r="J327" s="19" t="s">
        <v>991</v>
      </c>
      <c r="K327" s="5" t="s">
        <v>134</v>
      </c>
      <c r="L327" s="5" t="s">
        <v>98</v>
      </c>
      <c r="M327" s="5" t="str">
        <f>CONCATENATE(L327," ",K327)</f>
        <v>THOMAS PARDUE</v>
      </c>
      <c r="N327" s="5" t="s">
        <v>57</v>
      </c>
      <c r="O327" s="6">
        <v>45577</v>
      </c>
      <c r="P327" s="6">
        <v>46154</v>
      </c>
      <c r="Q327" s="22">
        <f>DATEDIF(O327,P327,"M")</f>
        <v>19</v>
      </c>
      <c r="R327" s="28" t="s">
        <v>536</v>
      </c>
      <c r="S327" s="28" t="s">
        <v>1037</v>
      </c>
      <c r="T327" s="7">
        <v>18.25</v>
      </c>
      <c r="U327" s="5">
        <v>1</v>
      </c>
      <c r="V327" s="5" t="s">
        <v>58</v>
      </c>
      <c r="W327" s="5" t="s">
        <v>536</v>
      </c>
      <c r="X327" s="5" t="s">
        <v>61</v>
      </c>
      <c r="Y327" s="7">
        <v>1.1000000000000001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</row>
    <row r="328" spans="1:55" x14ac:dyDescent="0.3">
      <c r="A328" s="5">
        <v>2025316508</v>
      </c>
      <c r="B328" s="5" t="s">
        <v>574</v>
      </c>
      <c r="C328" s="5" t="s">
        <v>575</v>
      </c>
      <c r="D328" s="5" t="str">
        <f t="shared" si="5"/>
        <v>JORDAN ROWELL</v>
      </c>
      <c r="E328" s="5" t="s">
        <v>126</v>
      </c>
      <c r="F328" s="5" t="s">
        <v>483</v>
      </c>
      <c r="G328" s="17">
        <v>0.06</v>
      </c>
      <c r="H328" s="5" t="s">
        <v>484</v>
      </c>
      <c r="I328" s="18" t="s">
        <v>484</v>
      </c>
      <c r="J328" s="19" t="s">
        <v>991</v>
      </c>
      <c r="K328" s="5" t="s">
        <v>134</v>
      </c>
      <c r="L328" s="5" t="s">
        <v>98</v>
      </c>
      <c r="M328" s="5" t="str">
        <f>CONCATENATE(L328," ",K328)</f>
        <v>THOMAS PARDUE</v>
      </c>
      <c r="N328" s="5" t="s">
        <v>57</v>
      </c>
      <c r="O328" s="6">
        <v>45580</v>
      </c>
      <c r="P328" s="6">
        <v>46157</v>
      </c>
      <c r="Q328" s="22">
        <f>DATEDIF(O328,P328,"M")</f>
        <v>19</v>
      </c>
      <c r="R328" s="28" t="s">
        <v>536</v>
      </c>
      <c r="S328" s="28" t="s">
        <v>1037</v>
      </c>
      <c r="T328" s="7">
        <v>14.84</v>
      </c>
      <c r="U328" s="5">
        <v>1</v>
      </c>
      <c r="V328" s="5" t="s">
        <v>58</v>
      </c>
      <c r="W328" s="5" t="s">
        <v>536</v>
      </c>
      <c r="X328" s="5" t="s">
        <v>61</v>
      </c>
      <c r="Y328" s="7">
        <v>0.89</v>
      </c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</row>
    <row r="329" spans="1:55" x14ac:dyDescent="0.3">
      <c r="A329" s="5">
        <v>2025254891</v>
      </c>
      <c r="B329" s="5" t="s">
        <v>569</v>
      </c>
      <c r="C329" s="5" t="s">
        <v>570</v>
      </c>
      <c r="D329" s="5" t="str">
        <f t="shared" si="5"/>
        <v>KRISTIN DICKINSON</v>
      </c>
      <c r="E329" s="5" t="s">
        <v>371</v>
      </c>
      <c r="F329" s="5" t="s">
        <v>53</v>
      </c>
      <c r="G329" s="17">
        <v>0.1</v>
      </c>
      <c r="H329" s="5" t="s">
        <v>65</v>
      </c>
      <c r="I329" s="18" t="s">
        <v>65</v>
      </c>
      <c r="J329" s="19" t="s">
        <v>991</v>
      </c>
      <c r="K329" s="5" t="s">
        <v>134</v>
      </c>
      <c r="L329" s="5" t="s">
        <v>98</v>
      </c>
      <c r="M329" s="5" t="str">
        <f>CONCATENATE(L329," ",K329)</f>
        <v>THOMAS PARDUE</v>
      </c>
      <c r="N329" s="5" t="s">
        <v>57</v>
      </c>
      <c r="O329" s="6">
        <v>45576</v>
      </c>
      <c r="P329" s="6">
        <v>46153</v>
      </c>
      <c r="Q329" s="22">
        <f>DATEDIF(O329,P329,"M")</f>
        <v>19</v>
      </c>
      <c r="R329" s="28" t="s">
        <v>536</v>
      </c>
      <c r="S329" s="28" t="s">
        <v>1037</v>
      </c>
      <c r="T329" s="7">
        <v>19.28</v>
      </c>
      <c r="U329" s="5">
        <v>1</v>
      </c>
      <c r="V329" s="5" t="s">
        <v>58</v>
      </c>
      <c r="W329" s="5" t="s">
        <v>536</v>
      </c>
      <c r="X329" s="5" t="s">
        <v>61</v>
      </c>
      <c r="Y329" s="7">
        <v>1.93</v>
      </c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</row>
    <row r="330" spans="1:55" x14ac:dyDescent="0.3">
      <c r="A330" s="5">
        <v>2025265220</v>
      </c>
      <c r="B330" s="5" t="s">
        <v>143</v>
      </c>
      <c r="C330" s="5" t="s">
        <v>897</v>
      </c>
      <c r="D330" s="5" t="str">
        <f t="shared" si="5"/>
        <v>LYNNA JOHNSON</v>
      </c>
      <c r="E330" s="5" t="s">
        <v>70</v>
      </c>
      <c r="F330" s="5" t="s">
        <v>53</v>
      </c>
      <c r="G330" s="17">
        <v>0.1</v>
      </c>
      <c r="H330" s="5" t="s">
        <v>65</v>
      </c>
      <c r="I330" s="18" t="s">
        <v>65</v>
      </c>
      <c r="J330" s="19" t="s">
        <v>991</v>
      </c>
      <c r="K330" s="5" t="s">
        <v>134</v>
      </c>
      <c r="L330" s="5" t="s">
        <v>98</v>
      </c>
      <c r="M330" s="5" t="str">
        <f>CONCATENATE(L330," ",K330)</f>
        <v>THOMAS PARDUE</v>
      </c>
      <c r="N330" s="5" t="s">
        <v>57</v>
      </c>
      <c r="O330" s="6">
        <v>45576</v>
      </c>
      <c r="P330" s="6">
        <v>46153</v>
      </c>
      <c r="Q330" s="22">
        <f>DATEDIF(O330,P330,"M")</f>
        <v>19</v>
      </c>
      <c r="R330" s="28" t="s">
        <v>536</v>
      </c>
      <c r="S330" s="28" t="s">
        <v>1037</v>
      </c>
      <c r="T330" s="7">
        <v>27.81</v>
      </c>
      <c r="U330" s="5">
        <v>1</v>
      </c>
      <c r="V330" s="5" t="s">
        <v>58</v>
      </c>
      <c r="W330" s="5" t="s">
        <v>536</v>
      </c>
      <c r="X330" s="5" t="s">
        <v>61</v>
      </c>
      <c r="Y330" s="7">
        <v>2.78</v>
      </c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</row>
    <row r="331" spans="1:55" x14ac:dyDescent="0.3">
      <c r="A331" s="5">
        <v>2025265267</v>
      </c>
      <c r="B331" s="5" t="s">
        <v>898</v>
      </c>
      <c r="C331" s="5" t="s">
        <v>899</v>
      </c>
      <c r="D331" s="5" t="str">
        <f t="shared" si="5"/>
        <v>AUSTIN BAKER</v>
      </c>
      <c r="E331" s="5" t="s">
        <v>70</v>
      </c>
      <c r="F331" s="5" t="s">
        <v>53</v>
      </c>
      <c r="G331" s="17">
        <v>0.1</v>
      </c>
      <c r="H331" s="5" t="s">
        <v>65</v>
      </c>
      <c r="I331" s="18" t="s">
        <v>65</v>
      </c>
      <c r="J331" s="19" t="s">
        <v>991</v>
      </c>
      <c r="K331" s="5" t="s">
        <v>134</v>
      </c>
      <c r="L331" s="5" t="s">
        <v>98</v>
      </c>
      <c r="M331" s="5" t="str">
        <f>CONCATENATE(L331," ",K331)</f>
        <v>THOMAS PARDUE</v>
      </c>
      <c r="N331" s="5" t="s">
        <v>57</v>
      </c>
      <c r="O331" s="6">
        <v>45576</v>
      </c>
      <c r="P331" s="6">
        <v>46153</v>
      </c>
      <c r="Q331" s="22">
        <f>DATEDIF(O331,P331,"M")</f>
        <v>19</v>
      </c>
      <c r="R331" s="28" t="s">
        <v>536</v>
      </c>
      <c r="S331" s="28" t="s">
        <v>1037</v>
      </c>
      <c r="T331" s="7">
        <v>10.31</v>
      </c>
      <c r="U331" s="5">
        <v>1</v>
      </c>
      <c r="V331" s="5" t="s">
        <v>58</v>
      </c>
      <c r="W331" s="5" t="s">
        <v>536</v>
      </c>
      <c r="X331" s="5" t="s">
        <v>61</v>
      </c>
      <c r="Y331" s="7">
        <v>1.03</v>
      </c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</row>
    <row r="332" spans="1:55" x14ac:dyDescent="0.3">
      <c r="A332" s="5">
        <v>2025262311</v>
      </c>
      <c r="B332" s="5" t="s">
        <v>571</v>
      </c>
      <c r="C332" s="5" t="s">
        <v>149</v>
      </c>
      <c r="D332" s="5" t="str">
        <f t="shared" si="5"/>
        <v>JOHN DARCY</v>
      </c>
      <c r="E332" s="5" t="s">
        <v>103</v>
      </c>
      <c r="F332" s="5" t="s">
        <v>53</v>
      </c>
      <c r="G332" s="17">
        <v>0.15</v>
      </c>
      <c r="H332" s="5" t="s">
        <v>117</v>
      </c>
      <c r="I332" s="18" t="s">
        <v>117</v>
      </c>
      <c r="J332" s="19">
        <v>21313588</v>
      </c>
      <c r="K332" s="5" t="s">
        <v>199</v>
      </c>
      <c r="L332" s="5" t="s">
        <v>200</v>
      </c>
      <c r="M332" s="5" t="str">
        <f>CONCATENATE(L332," ",K332)</f>
        <v>WILLIAM GESKE</v>
      </c>
      <c r="N332" s="5" t="s">
        <v>57</v>
      </c>
      <c r="O332" s="6">
        <v>45576</v>
      </c>
      <c r="P332" s="6">
        <v>46153</v>
      </c>
      <c r="Q332" s="22">
        <f>DATEDIF(O332,P332,"M")</f>
        <v>19</v>
      </c>
      <c r="R332" s="28" t="s">
        <v>536</v>
      </c>
      <c r="S332" s="28" t="s">
        <v>1037</v>
      </c>
      <c r="T332" s="7">
        <v>6.3</v>
      </c>
      <c r="U332" s="5">
        <v>1</v>
      </c>
      <c r="V332" s="5" t="s">
        <v>58</v>
      </c>
      <c r="W332" s="5" t="s">
        <v>536</v>
      </c>
      <c r="X332" s="5" t="s">
        <v>61</v>
      </c>
      <c r="Y332" s="7">
        <v>0.94</v>
      </c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</row>
    <row r="333" spans="1:55" x14ac:dyDescent="0.3">
      <c r="A333" s="5">
        <v>2025262312</v>
      </c>
      <c r="B333" s="5" t="s">
        <v>571</v>
      </c>
      <c r="C333" s="5" t="s">
        <v>149</v>
      </c>
      <c r="D333" s="5" t="str">
        <f t="shared" si="5"/>
        <v>JOHN DARCY</v>
      </c>
      <c r="E333" s="5" t="s">
        <v>103</v>
      </c>
      <c r="F333" s="5" t="s">
        <v>444</v>
      </c>
      <c r="G333" s="17">
        <v>0.1</v>
      </c>
      <c r="H333" s="5" t="s">
        <v>466</v>
      </c>
      <c r="I333" s="18" t="s">
        <v>993</v>
      </c>
      <c r="J333" s="19">
        <v>21313588</v>
      </c>
      <c r="K333" s="5" t="s">
        <v>199</v>
      </c>
      <c r="L333" s="5" t="s">
        <v>200</v>
      </c>
      <c r="M333" s="5" t="str">
        <f>CONCATENATE(L333," ",K333)</f>
        <v>WILLIAM GESKE</v>
      </c>
      <c r="N333" s="5" t="s">
        <v>57</v>
      </c>
      <c r="O333" s="6">
        <v>45576</v>
      </c>
      <c r="P333" s="6">
        <v>46153</v>
      </c>
      <c r="Q333" s="22">
        <f>DATEDIF(O333,P333,"M")</f>
        <v>19</v>
      </c>
      <c r="R333" s="28" t="s">
        <v>536</v>
      </c>
      <c r="S333" s="28" t="s">
        <v>1037</v>
      </c>
      <c r="T333" s="7">
        <v>22.71</v>
      </c>
      <c r="U333" s="5">
        <v>1</v>
      </c>
      <c r="V333" s="5" t="s">
        <v>58</v>
      </c>
      <c r="W333" s="5" t="s">
        <v>536</v>
      </c>
      <c r="X333" s="5" t="s">
        <v>61</v>
      </c>
      <c r="Y333" s="7">
        <v>2.27</v>
      </c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</row>
    <row r="334" spans="1:55" x14ac:dyDescent="0.3">
      <c r="A334" s="5">
        <v>2025262310</v>
      </c>
      <c r="B334" s="5" t="s">
        <v>571</v>
      </c>
      <c r="C334" s="5" t="s">
        <v>149</v>
      </c>
      <c r="D334" s="5" t="str">
        <f t="shared" si="5"/>
        <v>JOHN DARCY</v>
      </c>
      <c r="E334" s="5" t="s">
        <v>103</v>
      </c>
      <c r="F334" s="5" t="s">
        <v>53</v>
      </c>
      <c r="G334" s="17">
        <v>0.15</v>
      </c>
      <c r="H334" s="5" t="s">
        <v>54</v>
      </c>
      <c r="I334" s="18" t="s">
        <v>54</v>
      </c>
      <c r="J334" s="19">
        <v>21313588</v>
      </c>
      <c r="K334" s="5" t="s">
        <v>199</v>
      </c>
      <c r="L334" s="5" t="s">
        <v>200</v>
      </c>
      <c r="M334" s="5" t="str">
        <f>CONCATENATE(L334," ",K334)</f>
        <v>WILLIAM GESKE</v>
      </c>
      <c r="N334" s="5" t="s">
        <v>57</v>
      </c>
      <c r="O334" s="6">
        <v>45576</v>
      </c>
      <c r="P334" s="6">
        <v>46153</v>
      </c>
      <c r="Q334" s="22">
        <f>DATEDIF(O334,P334,"M")</f>
        <v>19</v>
      </c>
      <c r="R334" s="28" t="s">
        <v>536</v>
      </c>
      <c r="S334" s="28" t="s">
        <v>1037</v>
      </c>
      <c r="T334" s="7">
        <v>9.6999999999999993</v>
      </c>
      <c r="U334" s="5">
        <v>1</v>
      </c>
      <c r="V334" s="5" t="s">
        <v>58</v>
      </c>
      <c r="W334" s="5" t="s">
        <v>536</v>
      </c>
      <c r="X334" s="5" t="s">
        <v>61</v>
      </c>
      <c r="Y334" s="7">
        <v>1.46</v>
      </c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</row>
    <row r="335" spans="1:55" x14ac:dyDescent="0.3">
      <c r="A335" s="5">
        <v>2024834573</v>
      </c>
      <c r="B335" s="5" t="s">
        <v>568</v>
      </c>
      <c r="C335" s="5" t="s">
        <v>543</v>
      </c>
      <c r="D335" s="5" t="str">
        <f t="shared" si="5"/>
        <v>SARAH PHILLIPS</v>
      </c>
      <c r="E335" s="5" t="s">
        <v>295</v>
      </c>
      <c r="F335" s="5" t="s">
        <v>444</v>
      </c>
      <c r="G335" s="17">
        <v>0.1</v>
      </c>
      <c r="H335" s="5" t="s">
        <v>567</v>
      </c>
      <c r="I335" s="18" t="s">
        <v>981</v>
      </c>
      <c r="J335" s="19" t="s">
        <v>991</v>
      </c>
      <c r="K335" s="5" t="s">
        <v>134</v>
      </c>
      <c r="L335" s="5" t="s">
        <v>98</v>
      </c>
      <c r="M335" s="5" t="str">
        <f>CONCATENATE(L335," ",K335)</f>
        <v>THOMAS PARDUE</v>
      </c>
      <c r="N335" s="5" t="s">
        <v>57</v>
      </c>
      <c r="O335" s="6">
        <v>45549</v>
      </c>
      <c r="P335" s="6">
        <v>46156</v>
      </c>
      <c r="Q335" s="22">
        <f>DATEDIF(O335,P335,"M")</f>
        <v>20</v>
      </c>
      <c r="R335" s="28" t="s">
        <v>536</v>
      </c>
      <c r="S335" s="28" t="s">
        <v>1037</v>
      </c>
      <c r="T335" s="7">
        <v>41.42</v>
      </c>
      <c r="U335" s="5">
        <v>1</v>
      </c>
      <c r="V335" s="5" t="s">
        <v>58</v>
      </c>
      <c r="W335" s="5" t="s">
        <v>536</v>
      </c>
      <c r="X335" s="5" t="s">
        <v>61</v>
      </c>
      <c r="Y335" s="7">
        <v>4.1399999999999997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</row>
    <row r="336" spans="1:55" x14ac:dyDescent="0.3">
      <c r="A336" s="5">
        <v>2024834572</v>
      </c>
      <c r="B336" s="5" t="s">
        <v>568</v>
      </c>
      <c r="C336" s="5" t="s">
        <v>543</v>
      </c>
      <c r="D336" s="5" t="str">
        <f t="shared" si="5"/>
        <v>SARAH PHILLIPS</v>
      </c>
      <c r="E336" s="5" t="s">
        <v>295</v>
      </c>
      <c r="F336" s="5" t="s">
        <v>53</v>
      </c>
      <c r="G336" s="17">
        <v>0.15</v>
      </c>
      <c r="H336" s="5" t="s">
        <v>54</v>
      </c>
      <c r="I336" s="18" t="s">
        <v>54</v>
      </c>
      <c r="J336" s="19" t="s">
        <v>991</v>
      </c>
      <c r="K336" s="5" t="s">
        <v>134</v>
      </c>
      <c r="L336" s="5" t="s">
        <v>98</v>
      </c>
      <c r="M336" s="5" t="str">
        <f>CONCATENATE(L336," ",K336)</f>
        <v>THOMAS PARDUE</v>
      </c>
      <c r="N336" s="5" t="s">
        <v>57</v>
      </c>
      <c r="O336" s="6">
        <v>45549</v>
      </c>
      <c r="P336" s="6">
        <v>46156</v>
      </c>
      <c r="Q336" s="22">
        <f>DATEDIF(O336,P336,"M")</f>
        <v>20</v>
      </c>
      <c r="R336" s="28" t="s">
        <v>536</v>
      </c>
      <c r="S336" s="28" t="s">
        <v>1037</v>
      </c>
      <c r="T336" s="7">
        <v>87.77</v>
      </c>
      <c r="U336" s="5">
        <v>1</v>
      </c>
      <c r="V336" s="5" t="s">
        <v>58</v>
      </c>
      <c r="W336" s="5" t="s">
        <v>536</v>
      </c>
      <c r="X336" s="5" t="s">
        <v>61</v>
      </c>
      <c r="Y336" s="7">
        <v>13.17</v>
      </c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</row>
    <row r="337" spans="1:55" x14ac:dyDescent="0.3">
      <c r="A337" s="5">
        <v>2024834571</v>
      </c>
      <c r="B337" s="5" t="s">
        <v>568</v>
      </c>
      <c r="C337" s="5" t="s">
        <v>543</v>
      </c>
      <c r="D337" s="5" t="str">
        <f t="shared" si="5"/>
        <v>SARAH PHILLIPS</v>
      </c>
      <c r="E337" s="5" t="s">
        <v>295</v>
      </c>
      <c r="F337" s="5" t="s">
        <v>483</v>
      </c>
      <c r="G337" s="17">
        <v>0.06</v>
      </c>
      <c r="H337" s="5" t="s">
        <v>484</v>
      </c>
      <c r="I337" s="18" t="s">
        <v>484</v>
      </c>
      <c r="J337" s="19" t="s">
        <v>991</v>
      </c>
      <c r="K337" s="5" t="s">
        <v>134</v>
      </c>
      <c r="L337" s="5" t="s">
        <v>98</v>
      </c>
      <c r="M337" s="5" t="str">
        <f>CONCATENATE(L337," ",K337)</f>
        <v>THOMAS PARDUE</v>
      </c>
      <c r="N337" s="5" t="s">
        <v>57</v>
      </c>
      <c r="O337" s="6">
        <v>45549</v>
      </c>
      <c r="P337" s="6">
        <v>46156</v>
      </c>
      <c r="Q337" s="22">
        <f>DATEDIF(O337,P337,"M")</f>
        <v>20</v>
      </c>
      <c r="R337" s="28" t="s">
        <v>536</v>
      </c>
      <c r="S337" s="28" t="s">
        <v>1037</v>
      </c>
      <c r="T337" s="7">
        <v>75.599999999999994</v>
      </c>
      <c r="U337" s="5">
        <v>1</v>
      </c>
      <c r="V337" s="5" t="s">
        <v>58</v>
      </c>
      <c r="W337" s="5" t="s">
        <v>536</v>
      </c>
      <c r="X337" s="5" t="s">
        <v>61</v>
      </c>
      <c r="Y337" s="7">
        <v>4.54</v>
      </c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</row>
    <row r="338" spans="1:55" x14ac:dyDescent="0.3">
      <c r="A338" s="5">
        <v>2024865456</v>
      </c>
      <c r="B338" s="5" t="s">
        <v>796</v>
      </c>
      <c r="C338" s="5" t="s">
        <v>163</v>
      </c>
      <c r="D338" s="5" t="str">
        <f t="shared" si="5"/>
        <v>JAMES JENNINGS</v>
      </c>
      <c r="E338" s="5" t="s">
        <v>404</v>
      </c>
      <c r="F338" s="5" t="s">
        <v>483</v>
      </c>
      <c r="G338" s="17">
        <v>0.06</v>
      </c>
      <c r="H338" s="5" t="s">
        <v>484</v>
      </c>
      <c r="I338" s="18" t="s">
        <v>484</v>
      </c>
      <c r="J338" s="19" t="s">
        <v>991</v>
      </c>
      <c r="K338" s="5" t="s">
        <v>134</v>
      </c>
      <c r="L338" s="5" t="s">
        <v>98</v>
      </c>
      <c r="M338" s="5" t="str">
        <f>CONCATENATE(L338," ",K338)</f>
        <v>THOMAS PARDUE</v>
      </c>
      <c r="N338" s="5" t="s">
        <v>57</v>
      </c>
      <c r="O338" s="6">
        <v>45549</v>
      </c>
      <c r="P338" s="6">
        <v>46156</v>
      </c>
      <c r="Q338" s="22">
        <f>DATEDIF(O338,P338,"M")</f>
        <v>20</v>
      </c>
      <c r="R338" s="28" t="s">
        <v>536</v>
      </c>
      <c r="S338" s="28" t="s">
        <v>1037</v>
      </c>
      <c r="T338" s="7">
        <v>27.67</v>
      </c>
      <c r="U338" s="5">
        <v>1</v>
      </c>
      <c r="V338" s="5" t="s">
        <v>58</v>
      </c>
      <c r="W338" s="5" t="s">
        <v>536</v>
      </c>
      <c r="X338" s="5" t="s">
        <v>61</v>
      </c>
      <c r="Y338" s="7">
        <v>1.66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</row>
    <row r="339" spans="1:55" x14ac:dyDescent="0.3">
      <c r="A339" s="5">
        <v>2024356429</v>
      </c>
      <c r="B339" s="5" t="s">
        <v>794</v>
      </c>
      <c r="C339" s="5" t="s">
        <v>795</v>
      </c>
      <c r="D339" s="5" t="str">
        <f t="shared" si="5"/>
        <v>SEAN KAPANGA</v>
      </c>
      <c r="E339" s="5" t="s">
        <v>80</v>
      </c>
      <c r="F339" s="5" t="s">
        <v>53</v>
      </c>
      <c r="G339" s="17">
        <v>0.15</v>
      </c>
      <c r="H339" s="5" t="s">
        <v>54</v>
      </c>
      <c r="I339" s="18" t="s">
        <v>54</v>
      </c>
      <c r="J339" s="19" t="s">
        <v>991</v>
      </c>
      <c r="K339" s="5" t="s">
        <v>134</v>
      </c>
      <c r="L339" s="5" t="s">
        <v>98</v>
      </c>
      <c r="M339" s="5" t="str">
        <f>CONCATENATE(L339," ",K339)</f>
        <v>THOMAS PARDUE</v>
      </c>
      <c r="N339" s="5" t="s">
        <v>57</v>
      </c>
      <c r="O339" s="6">
        <v>45517</v>
      </c>
      <c r="P339" s="6">
        <v>46155</v>
      </c>
      <c r="Q339" s="22">
        <f>DATEDIF(O339,P339,"M")</f>
        <v>21</v>
      </c>
      <c r="R339" s="28" t="s">
        <v>536</v>
      </c>
      <c r="S339" s="28" t="s">
        <v>1037</v>
      </c>
      <c r="T339" s="7">
        <v>28.9</v>
      </c>
      <c r="U339" s="5">
        <v>1</v>
      </c>
      <c r="V339" s="5" t="s">
        <v>58</v>
      </c>
      <c r="W339" s="5" t="s">
        <v>536</v>
      </c>
      <c r="X339" s="5" t="s">
        <v>61</v>
      </c>
      <c r="Y339" s="7">
        <v>4.34</v>
      </c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</row>
    <row r="340" spans="1:55" x14ac:dyDescent="0.3">
      <c r="A340" s="5">
        <v>2024356430</v>
      </c>
      <c r="B340" s="5" t="s">
        <v>794</v>
      </c>
      <c r="C340" s="5" t="s">
        <v>795</v>
      </c>
      <c r="D340" s="5" t="str">
        <f t="shared" si="5"/>
        <v>SEAN KAPANGA</v>
      </c>
      <c r="E340" s="5" t="s">
        <v>80</v>
      </c>
      <c r="F340" s="5" t="s">
        <v>483</v>
      </c>
      <c r="G340" s="17">
        <v>0.06</v>
      </c>
      <c r="H340" s="5" t="s">
        <v>484</v>
      </c>
      <c r="I340" s="18" t="s">
        <v>484</v>
      </c>
      <c r="J340" s="19" t="s">
        <v>991</v>
      </c>
      <c r="K340" s="5" t="s">
        <v>134</v>
      </c>
      <c r="L340" s="5" t="s">
        <v>98</v>
      </c>
      <c r="M340" s="5" t="str">
        <f>CONCATENATE(L340," ",K340)</f>
        <v>THOMAS PARDUE</v>
      </c>
      <c r="N340" s="5" t="s">
        <v>57</v>
      </c>
      <c r="O340" s="6">
        <v>45517</v>
      </c>
      <c r="P340" s="6">
        <v>46155</v>
      </c>
      <c r="Q340" s="22">
        <f>DATEDIF(O340,P340,"M")</f>
        <v>21</v>
      </c>
      <c r="R340" s="28" t="s">
        <v>536</v>
      </c>
      <c r="S340" s="28" t="s">
        <v>1037</v>
      </c>
      <c r="T340" s="7">
        <v>27.22</v>
      </c>
      <c r="U340" s="5">
        <v>1</v>
      </c>
      <c r="V340" s="5" t="s">
        <v>58</v>
      </c>
      <c r="W340" s="5" t="s">
        <v>536</v>
      </c>
      <c r="X340" s="5" t="s">
        <v>61</v>
      </c>
      <c r="Y340" s="7">
        <v>1.63</v>
      </c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</row>
    <row r="341" spans="1:55" x14ac:dyDescent="0.3">
      <c r="A341" s="5">
        <v>2020776384</v>
      </c>
      <c r="B341" s="5" t="s">
        <v>793</v>
      </c>
      <c r="C341" s="5" t="s">
        <v>290</v>
      </c>
      <c r="D341" s="5" t="str">
        <f t="shared" si="5"/>
        <v>SHANNON STANIECH</v>
      </c>
      <c r="E341" s="5" t="s">
        <v>256</v>
      </c>
      <c r="F341" s="5" t="s">
        <v>483</v>
      </c>
      <c r="G341" s="17">
        <v>0.06</v>
      </c>
      <c r="H341" s="5" t="s">
        <v>484</v>
      </c>
      <c r="I341" s="18" t="s">
        <v>484</v>
      </c>
      <c r="J341" s="19">
        <v>8971826</v>
      </c>
      <c r="K341" s="5" t="s">
        <v>257</v>
      </c>
      <c r="L341" s="5" t="s">
        <v>250</v>
      </c>
      <c r="M341" s="5" t="str">
        <f>CONCATENATE(L341," ",K341)</f>
        <v>SCOTT AGUGLIA</v>
      </c>
      <c r="N341" s="5" t="s">
        <v>57</v>
      </c>
      <c r="O341" s="6">
        <v>45244</v>
      </c>
      <c r="P341" s="6">
        <v>46156</v>
      </c>
      <c r="Q341" s="22">
        <f>DATEDIF(O341,P341,"M")</f>
        <v>30</v>
      </c>
      <c r="R341" s="28" t="s">
        <v>536</v>
      </c>
      <c r="S341" s="28" t="s">
        <v>1037</v>
      </c>
      <c r="T341" s="7">
        <v>119.58</v>
      </c>
      <c r="U341" s="5">
        <v>1</v>
      </c>
      <c r="V341" s="5" t="s">
        <v>58</v>
      </c>
      <c r="W341" s="5" t="s">
        <v>536</v>
      </c>
      <c r="X341" s="5" t="s">
        <v>61</v>
      </c>
      <c r="Y341" s="7">
        <v>7.17</v>
      </c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</row>
    <row r="342" spans="1:55" s="5" customFormat="1" x14ac:dyDescent="0.3">
      <c r="A342" s="5">
        <v>2020037859</v>
      </c>
      <c r="B342" s="5" t="s">
        <v>791</v>
      </c>
      <c r="C342" s="5" t="s">
        <v>175</v>
      </c>
      <c r="D342" s="5" t="str">
        <f t="shared" si="5"/>
        <v>MICHAEL SCHAAL</v>
      </c>
      <c r="E342" s="5" t="s">
        <v>256</v>
      </c>
      <c r="F342" s="5" t="s">
        <v>483</v>
      </c>
      <c r="G342" s="17">
        <v>0.06</v>
      </c>
      <c r="H342" s="5" t="s">
        <v>484</v>
      </c>
      <c r="I342" s="18" t="s">
        <v>484</v>
      </c>
      <c r="J342" s="19">
        <v>8971826</v>
      </c>
      <c r="K342" s="5" t="s">
        <v>257</v>
      </c>
      <c r="L342" s="5" t="s">
        <v>250</v>
      </c>
      <c r="M342" s="5" t="str">
        <f>CONCATENATE(L342," ",K342)</f>
        <v>SCOTT AGUGLIA</v>
      </c>
      <c r="N342" s="5" t="s">
        <v>57</v>
      </c>
      <c r="O342" s="6">
        <v>45182</v>
      </c>
      <c r="P342" s="6">
        <v>46155</v>
      </c>
      <c r="Q342" s="22">
        <f>DATEDIF(O342,P342,"M")</f>
        <v>32</v>
      </c>
      <c r="R342" s="28" t="s">
        <v>536</v>
      </c>
      <c r="S342" s="28" t="s">
        <v>1037</v>
      </c>
      <c r="T342" s="7">
        <v>151.88</v>
      </c>
      <c r="U342" s="5">
        <v>1</v>
      </c>
      <c r="V342" s="5" t="s">
        <v>58</v>
      </c>
      <c r="W342" s="5" t="s">
        <v>536</v>
      </c>
      <c r="X342" s="5" t="s">
        <v>61</v>
      </c>
      <c r="Y342" s="7">
        <v>9.11</v>
      </c>
    </row>
    <row r="343" spans="1:55" s="5" customFormat="1" x14ac:dyDescent="0.3">
      <c r="A343" s="5">
        <v>2017069747</v>
      </c>
      <c r="B343" s="5" t="s">
        <v>783</v>
      </c>
      <c r="C343" s="5" t="s">
        <v>175</v>
      </c>
      <c r="D343" s="5" t="str">
        <f t="shared" si="5"/>
        <v>MICHAEL DIGREGORIO</v>
      </c>
      <c r="E343" s="5" t="s">
        <v>256</v>
      </c>
      <c r="F343" s="5" t="s">
        <v>483</v>
      </c>
      <c r="G343" s="17">
        <v>0.06</v>
      </c>
      <c r="H343" s="5" t="s">
        <v>484</v>
      </c>
      <c r="I343" s="18" t="s">
        <v>484</v>
      </c>
      <c r="J343" s="19">
        <v>16509456</v>
      </c>
      <c r="K343" s="5" t="s">
        <v>164</v>
      </c>
      <c r="L343" s="5" t="s">
        <v>782</v>
      </c>
      <c r="M343" s="5" t="str">
        <f>CONCATENATE(L343," ",K343)</f>
        <v>PETER RICHTER</v>
      </c>
      <c r="N343" s="5" t="s">
        <v>57</v>
      </c>
      <c r="O343" s="6">
        <v>44909</v>
      </c>
      <c r="P343" s="6">
        <v>46156</v>
      </c>
      <c r="Q343" s="22">
        <f>DATEDIF(O343,P343,"M")</f>
        <v>41</v>
      </c>
      <c r="R343" s="28" t="s">
        <v>536</v>
      </c>
      <c r="S343" s="28" t="s">
        <v>1037</v>
      </c>
      <c r="T343" s="7">
        <v>36.65</v>
      </c>
      <c r="U343" s="5">
        <v>1</v>
      </c>
      <c r="V343" s="5" t="s">
        <v>58</v>
      </c>
      <c r="W343" s="5" t="s">
        <v>536</v>
      </c>
      <c r="X343" s="5" t="s">
        <v>61</v>
      </c>
      <c r="Y343" s="7">
        <v>2.2000000000000002</v>
      </c>
    </row>
    <row r="344" spans="1:55" s="5" customFormat="1" x14ac:dyDescent="0.3">
      <c r="A344" s="5">
        <v>2016549422</v>
      </c>
      <c r="B344" s="5" t="s">
        <v>781</v>
      </c>
      <c r="C344" s="5" t="s">
        <v>153</v>
      </c>
      <c r="D344" s="5" t="str">
        <f t="shared" si="5"/>
        <v>JASON RISING</v>
      </c>
      <c r="E344" s="5" t="s">
        <v>256</v>
      </c>
      <c r="F344" s="5" t="s">
        <v>483</v>
      </c>
      <c r="G344" s="17">
        <v>0.06</v>
      </c>
      <c r="H344" s="5" t="s">
        <v>484</v>
      </c>
      <c r="I344" s="18" t="s">
        <v>484</v>
      </c>
      <c r="J344" s="19">
        <v>16509456</v>
      </c>
      <c r="K344" s="5" t="s">
        <v>164</v>
      </c>
      <c r="L344" s="5" t="s">
        <v>782</v>
      </c>
      <c r="M344" s="5" t="str">
        <f>CONCATENATE(L344," ",K344)</f>
        <v>PETER RICHTER</v>
      </c>
      <c r="N344" s="5" t="s">
        <v>57</v>
      </c>
      <c r="O344" s="6">
        <v>44849</v>
      </c>
      <c r="P344" s="6">
        <v>46157</v>
      </c>
      <c r="Q344" s="22">
        <f>DATEDIF(O344,P344,"M")</f>
        <v>43</v>
      </c>
      <c r="R344" s="28" t="s">
        <v>536</v>
      </c>
      <c r="S344" s="28" t="s">
        <v>1037</v>
      </c>
      <c r="T344" s="7">
        <v>149.46</v>
      </c>
      <c r="U344" s="5">
        <v>1</v>
      </c>
      <c r="V344" s="5" t="s">
        <v>58</v>
      </c>
      <c r="W344" s="5" t="s">
        <v>536</v>
      </c>
      <c r="X344" s="5" t="s">
        <v>61</v>
      </c>
      <c r="Y344" s="7">
        <v>8.9700000000000006</v>
      </c>
    </row>
    <row r="345" spans="1:55" s="8" customFormat="1" x14ac:dyDescent="0.3">
      <c r="A345" s="8">
        <v>2033741862</v>
      </c>
      <c r="B345" s="8" t="s">
        <v>672</v>
      </c>
      <c r="C345" s="8" t="s">
        <v>673</v>
      </c>
      <c r="D345" s="8" t="str">
        <f t="shared" si="5"/>
        <v>ABBIE HALL</v>
      </c>
      <c r="E345" s="8" t="s">
        <v>457</v>
      </c>
      <c r="F345" s="8" t="s">
        <v>53</v>
      </c>
      <c r="G345" s="13">
        <v>0.42</v>
      </c>
      <c r="H345" s="8" t="s">
        <v>94</v>
      </c>
      <c r="I345" s="14" t="s">
        <v>94</v>
      </c>
      <c r="J345" s="15">
        <v>15079805</v>
      </c>
      <c r="K345" s="8" t="s">
        <v>674</v>
      </c>
      <c r="L345" s="8" t="s">
        <v>675</v>
      </c>
      <c r="M345" s="8" t="str">
        <f>CONCATENATE(L345," ",K345)</f>
        <v>Abbie Hall</v>
      </c>
      <c r="N345" s="8" t="s">
        <v>57</v>
      </c>
      <c r="O345" s="9">
        <v>46082</v>
      </c>
      <c r="P345" s="9">
        <v>46143</v>
      </c>
      <c r="Q345" s="23">
        <f>DATEDIF(O345,P345,"M")</f>
        <v>2</v>
      </c>
      <c r="R345" s="33" t="s">
        <v>536</v>
      </c>
      <c r="S345" s="33" t="s">
        <v>1037</v>
      </c>
      <c r="T345" s="10">
        <v>42.08</v>
      </c>
      <c r="U345" s="8">
        <v>1</v>
      </c>
      <c r="V345" s="8" t="s">
        <v>58</v>
      </c>
      <c r="W345" s="8" t="s">
        <v>60</v>
      </c>
      <c r="X345" s="8" t="s">
        <v>61</v>
      </c>
      <c r="Y345" s="10">
        <v>17.670000000000002</v>
      </c>
    </row>
    <row r="346" spans="1:55" s="8" customFormat="1" x14ac:dyDescent="0.3">
      <c r="A346" s="8">
        <v>2033741861</v>
      </c>
      <c r="B346" s="8" t="s">
        <v>672</v>
      </c>
      <c r="C346" s="8" t="s">
        <v>673</v>
      </c>
      <c r="D346" s="8" t="str">
        <f t="shared" si="5"/>
        <v>ABBIE HALL</v>
      </c>
      <c r="E346" s="8" t="s">
        <v>457</v>
      </c>
      <c r="F346" s="8" t="s">
        <v>53</v>
      </c>
      <c r="G346" s="13">
        <v>0.7</v>
      </c>
      <c r="H346" s="8" t="s">
        <v>54</v>
      </c>
      <c r="I346" s="14" t="s">
        <v>54</v>
      </c>
      <c r="J346" s="15">
        <v>15079805</v>
      </c>
      <c r="K346" s="8" t="s">
        <v>674</v>
      </c>
      <c r="L346" s="8" t="s">
        <v>675</v>
      </c>
      <c r="M346" s="8" t="str">
        <f>CONCATENATE(L346," ",K346)</f>
        <v>Abbie Hall</v>
      </c>
      <c r="N346" s="8" t="s">
        <v>57</v>
      </c>
      <c r="O346" s="9">
        <v>46082</v>
      </c>
      <c r="P346" s="9">
        <v>46143</v>
      </c>
      <c r="Q346" s="23">
        <f>DATEDIF(O346,P346,"M")</f>
        <v>2</v>
      </c>
      <c r="R346" s="33" t="s">
        <v>536</v>
      </c>
      <c r="S346" s="33" t="s">
        <v>1037</v>
      </c>
      <c r="T346" s="10">
        <v>92.76</v>
      </c>
      <c r="U346" s="8">
        <v>1</v>
      </c>
      <c r="V346" s="8" t="s">
        <v>58</v>
      </c>
      <c r="W346" s="8" t="s">
        <v>60</v>
      </c>
      <c r="X346" s="8" t="s">
        <v>61</v>
      </c>
      <c r="Y346" s="10">
        <v>64.930000000000007</v>
      </c>
    </row>
    <row r="347" spans="1:55" s="8" customFormat="1" x14ac:dyDescent="0.3">
      <c r="A347" s="8">
        <v>2034384323</v>
      </c>
      <c r="B347" s="8" t="s">
        <v>645</v>
      </c>
      <c r="C347" s="8" t="s">
        <v>147</v>
      </c>
      <c r="D347" s="8" t="str">
        <f t="shared" si="5"/>
        <v>MATTHEW TITUS</v>
      </c>
      <c r="E347" s="8" t="s">
        <v>141</v>
      </c>
      <c r="F347" s="8" t="s">
        <v>444</v>
      </c>
      <c r="G347" s="13">
        <v>0.9</v>
      </c>
      <c r="H347" s="8" t="s">
        <v>567</v>
      </c>
      <c r="I347" s="14" t="s">
        <v>981</v>
      </c>
      <c r="J347" s="15">
        <v>21435997</v>
      </c>
      <c r="K347" s="8" t="s">
        <v>219</v>
      </c>
      <c r="L347" s="8" t="s">
        <v>220</v>
      </c>
      <c r="M347" s="8" t="str">
        <f>CONCATENATE(L347," ",K347)</f>
        <v>Christopher Brousseau</v>
      </c>
      <c r="N347" s="8" t="s">
        <v>57</v>
      </c>
      <c r="O347" s="9">
        <v>46098</v>
      </c>
      <c r="P347" s="9">
        <v>46159</v>
      </c>
      <c r="Q347" s="23">
        <f>DATEDIF(O347,P347,"M")</f>
        <v>2</v>
      </c>
      <c r="R347" s="33" t="s">
        <v>536</v>
      </c>
      <c r="S347" s="33" t="s">
        <v>1037</v>
      </c>
      <c r="T347" s="10">
        <v>16.940000000000001</v>
      </c>
      <c r="U347" s="8">
        <v>1</v>
      </c>
      <c r="V347" s="8" t="s">
        <v>58</v>
      </c>
      <c r="W347" s="8" t="s">
        <v>60</v>
      </c>
      <c r="X347" s="8" t="s">
        <v>61</v>
      </c>
      <c r="Y347" s="10">
        <v>15.25</v>
      </c>
    </row>
    <row r="348" spans="1:55" s="8" customFormat="1" x14ac:dyDescent="0.3">
      <c r="A348" s="8">
        <v>2034384322</v>
      </c>
      <c r="B348" s="8" t="s">
        <v>645</v>
      </c>
      <c r="C348" s="8" t="s">
        <v>147</v>
      </c>
      <c r="D348" s="8" t="str">
        <f t="shared" si="5"/>
        <v>MATTHEW TITUS</v>
      </c>
      <c r="E348" s="8" t="s">
        <v>141</v>
      </c>
      <c r="F348" s="8" t="s">
        <v>53</v>
      </c>
      <c r="G348" s="13">
        <v>0.7</v>
      </c>
      <c r="H348" s="8" t="s">
        <v>54</v>
      </c>
      <c r="I348" s="14" t="s">
        <v>54</v>
      </c>
      <c r="J348" s="15">
        <v>21435997</v>
      </c>
      <c r="K348" s="8" t="s">
        <v>219</v>
      </c>
      <c r="L348" s="8" t="s">
        <v>220</v>
      </c>
      <c r="M348" s="8" t="str">
        <f>CONCATENATE(L348," ",K348)</f>
        <v>Christopher Brousseau</v>
      </c>
      <c r="N348" s="8" t="s">
        <v>57</v>
      </c>
      <c r="O348" s="9">
        <v>46098</v>
      </c>
      <c r="P348" s="9">
        <v>46159</v>
      </c>
      <c r="Q348" s="23">
        <f>DATEDIF(O348,P348,"M")</f>
        <v>2</v>
      </c>
      <c r="R348" s="33" t="s">
        <v>536</v>
      </c>
      <c r="S348" s="33" t="s">
        <v>1037</v>
      </c>
      <c r="T348" s="10">
        <v>59.04</v>
      </c>
      <c r="U348" s="8">
        <v>1</v>
      </c>
      <c r="V348" s="8" t="s">
        <v>58</v>
      </c>
      <c r="W348" s="8" t="s">
        <v>60</v>
      </c>
      <c r="X348" s="8" t="s">
        <v>61</v>
      </c>
      <c r="Y348" s="10">
        <v>41.33</v>
      </c>
    </row>
    <row r="349" spans="1:55" s="8" customFormat="1" x14ac:dyDescent="0.3">
      <c r="A349" s="8">
        <v>2034245875</v>
      </c>
      <c r="B349" s="8" t="s">
        <v>678</v>
      </c>
      <c r="C349" s="8" t="s">
        <v>679</v>
      </c>
      <c r="D349" s="8" t="str">
        <f t="shared" si="5"/>
        <v>AZELETE WINN</v>
      </c>
      <c r="E349" s="8" t="s">
        <v>70</v>
      </c>
      <c r="F349" s="8" t="s">
        <v>53</v>
      </c>
      <c r="G349" s="13">
        <v>0.7</v>
      </c>
      <c r="H349" s="8" t="s">
        <v>54</v>
      </c>
      <c r="I349" s="14" t="s">
        <v>54</v>
      </c>
      <c r="J349" s="15">
        <v>21435997</v>
      </c>
      <c r="K349" s="8" t="s">
        <v>219</v>
      </c>
      <c r="L349" s="8" t="s">
        <v>220</v>
      </c>
      <c r="M349" s="8" t="str">
        <f>CONCATENATE(L349," ",K349)</f>
        <v>Christopher Brousseau</v>
      </c>
      <c r="N349" s="8" t="s">
        <v>57</v>
      </c>
      <c r="O349" s="9">
        <v>46092</v>
      </c>
      <c r="P349" s="9">
        <v>46153</v>
      </c>
      <c r="Q349" s="23">
        <f>DATEDIF(O349,P349,"M")</f>
        <v>2</v>
      </c>
      <c r="R349" s="33" t="s">
        <v>536</v>
      </c>
      <c r="S349" s="33" t="s">
        <v>1037</v>
      </c>
      <c r="T349" s="10">
        <v>129.22</v>
      </c>
      <c r="U349" s="8">
        <v>1</v>
      </c>
      <c r="V349" s="8" t="s">
        <v>58</v>
      </c>
      <c r="W349" s="8" t="s">
        <v>60</v>
      </c>
      <c r="X349" s="8" t="s">
        <v>61</v>
      </c>
      <c r="Y349" s="10">
        <v>90.45</v>
      </c>
    </row>
    <row r="350" spans="1:55" s="8" customFormat="1" x14ac:dyDescent="0.3">
      <c r="A350" s="8">
        <v>2034254003</v>
      </c>
      <c r="B350" s="8" t="s">
        <v>713</v>
      </c>
      <c r="C350" s="8" t="s">
        <v>714</v>
      </c>
      <c r="D350" s="8" t="str">
        <f t="shared" si="5"/>
        <v>LOGAN WEST</v>
      </c>
      <c r="E350" s="8" t="s">
        <v>70</v>
      </c>
      <c r="F350" s="8" t="s">
        <v>524</v>
      </c>
      <c r="G350" s="13">
        <v>0.24</v>
      </c>
      <c r="H350" s="8" t="s">
        <v>715</v>
      </c>
      <c r="I350" s="14" t="s">
        <v>996</v>
      </c>
      <c r="J350" s="15">
        <v>21435997</v>
      </c>
      <c r="K350" s="8" t="s">
        <v>219</v>
      </c>
      <c r="L350" s="8" t="s">
        <v>220</v>
      </c>
      <c r="M350" s="8" t="str">
        <f>CONCATENATE(L350," ",K350)</f>
        <v>Christopher Brousseau</v>
      </c>
      <c r="N350" s="8" t="s">
        <v>57</v>
      </c>
      <c r="O350" s="9">
        <v>46092</v>
      </c>
      <c r="P350" s="9">
        <v>46153</v>
      </c>
      <c r="Q350" s="23">
        <f>DATEDIF(O350,P350,"M")</f>
        <v>2</v>
      </c>
      <c r="R350" s="33" t="s">
        <v>536</v>
      </c>
      <c r="S350" s="33" t="s">
        <v>1037</v>
      </c>
      <c r="T350" s="10">
        <v>227.48</v>
      </c>
      <c r="U350" s="8">
        <v>1</v>
      </c>
      <c r="V350" s="8" t="s">
        <v>58</v>
      </c>
      <c r="W350" s="8" t="s">
        <v>60</v>
      </c>
      <c r="X350" s="8" t="s">
        <v>61</v>
      </c>
      <c r="Y350" s="10">
        <v>54.6</v>
      </c>
    </row>
    <row r="351" spans="1:55" s="8" customFormat="1" x14ac:dyDescent="0.3">
      <c r="A351" s="8">
        <v>2034254005</v>
      </c>
      <c r="B351" s="8" t="s">
        <v>713</v>
      </c>
      <c r="C351" s="8" t="s">
        <v>714</v>
      </c>
      <c r="D351" s="8" t="str">
        <f t="shared" si="5"/>
        <v>LOGAN WEST</v>
      </c>
      <c r="E351" s="8" t="s">
        <v>70</v>
      </c>
      <c r="F351" s="8" t="s">
        <v>475</v>
      </c>
      <c r="G351" s="13">
        <v>0.24</v>
      </c>
      <c r="H351" s="8" t="s">
        <v>777</v>
      </c>
      <c r="I351" s="14" t="s">
        <v>996</v>
      </c>
      <c r="J351" s="15">
        <v>21435997</v>
      </c>
      <c r="K351" s="8" t="s">
        <v>219</v>
      </c>
      <c r="L351" s="8" t="s">
        <v>220</v>
      </c>
      <c r="M351" s="8" t="str">
        <f>CONCATENATE(L351," ",K351)</f>
        <v>Christopher Brousseau</v>
      </c>
      <c r="N351" s="8" t="s">
        <v>57</v>
      </c>
      <c r="O351" s="9">
        <v>46092</v>
      </c>
      <c r="P351" s="9">
        <v>46153</v>
      </c>
      <c r="Q351" s="23">
        <f>DATEDIF(O351,P351,"M")</f>
        <v>2</v>
      </c>
      <c r="R351" s="33" t="s">
        <v>536</v>
      </c>
      <c r="S351" s="33" t="s">
        <v>1037</v>
      </c>
      <c r="T351" s="10">
        <v>15</v>
      </c>
      <c r="U351" s="8">
        <v>1</v>
      </c>
      <c r="V351" s="8" t="s">
        <v>58</v>
      </c>
      <c r="W351" s="8" t="s">
        <v>60</v>
      </c>
      <c r="X351" s="8" t="s">
        <v>61</v>
      </c>
      <c r="Y351" s="10">
        <v>3.6</v>
      </c>
    </row>
    <row r="352" spans="1:55" s="8" customFormat="1" x14ac:dyDescent="0.3">
      <c r="A352" s="8">
        <v>2034254004</v>
      </c>
      <c r="B352" s="8" t="s">
        <v>713</v>
      </c>
      <c r="C352" s="8" t="s">
        <v>714</v>
      </c>
      <c r="D352" s="8" t="str">
        <f t="shared" si="5"/>
        <v>LOGAN WEST</v>
      </c>
      <c r="E352" s="8" t="s">
        <v>70</v>
      </c>
      <c r="F352" s="8" t="s">
        <v>524</v>
      </c>
      <c r="G352" s="13">
        <v>0.24</v>
      </c>
      <c r="H352" s="8" t="s">
        <v>716</v>
      </c>
      <c r="I352" s="14" t="s">
        <v>996</v>
      </c>
      <c r="J352" s="15">
        <v>21435997</v>
      </c>
      <c r="K352" s="8" t="s">
        <v>219</v>
      </c>
      <c r="L352" s="8" t="s">
        <v>220</v>
      </c>
      <c r="M352" s="8" t="str">
        <f>CONCATENATE(L352," ",K352)</f>
        <v>Christopher Brousseau</v>
      </c>
      <c r="N352" s="8" t="s">
        <v>57</v>
      </c>
      <c r="O352" s="9">
        <v>46092</v>
      </c>
      <c r="P352" s="9">
        <v>46153</v>
      </c>
      <c r="Q352" s="23">
        <f>DATEDIF(O352,P352,"M")</f>
        <v>2</v>
      </c>
      <c r="R352" s="33" t="s">
        <v>536</v>
      </c>
      <c r="S352" s="33" t="s">
        <v>1037</v>
      </c>
      <c r="T352" s="10">
        <v>9.9499999999999993</v>
      </c>
      <c r="U352" s="8">
        <v>1</v>
      </c>
      <c r="V352" s="8" t="s">
        <v>58</v>
      </c>
      <c r="W352" s="8" t="s">
        <v>60</v>
      </c>
      <c r="X352" s="8" t="s">
        <v>61</v>
      </c>
      <c r="Y352" s="10">
        <v>2.39</v>
      </c>
    </row>
    <row r="353" spans="1:25" s="8" customFormat="1" x14ac:dyDescent="0.3">
      <c r="A353" s="8">
        <v>2034099204</v>
      </c>
      <c r="B353" s="8" t="s">
        <v>676</v>
      </c>
      <c r="C353" s="8" t="s">
        <v>677</v>
      </c>
      <c r="D353" s="8" t="str">
        <f t="shared" si="5"/>
        <v>ISAIAH JONES</v>
      </c>
      <c r="E353" s="8" t="s">
        <v>80</v>
      </c>
      <c r="F353" s="8" t="s">
        <v>53</v>
      </c>
      <c r="G353" s="13">
        <v>0.7</v>
      </c>
      <c r="H353" s="8" t="s">
        <v>54</v>
      </c>
      <c r="I353" s="14" t="s">
        <v>54</v>
      </c>
      <c r="J353" s="15">
        <v>17437820</v>
      </c>
      <c r="K353" s="8" t="s">
        <v>655</v>
      </c>
      <c r="L353" s="8" t="s">
        <v>656</v>
      </c>
      <c r="M353" s="8" t="str">
        <f>CONCATENATE(L353," ",K353)</f>
        <v>COLLEEN FINNIGAN</v>
      </c>
      <c r="N353" s="8" t="s">
        <v>57</v>
      </c>
      <c r="O353" s="9">
        <v>46085</v>
      </c>
      <c r="P353" s="9">
        <v>46146</v>
      </c>
      <c r="Q353" s="23">
        <f>DATEDIF(O353,P353,"M")</f>
        <v>2</v>
      </c>
      <c r="R353" s="33" t="s">
        <v>536</v>
      </c>
      <c r="S353" s="33" t="s">
        <v>1037</v>
      </c>
      <c r="T353" s="10">
        <v>66.510000000000005</v>
      </c>
      <c r="U353" s="8">
        <v>1</v>
      </c>
      <c r="V353" s="8" t="s">
        <v>58</v>
      </c>
      <c r="W353" s="8" t="s">
        <v>60</v>
      </c>
      <c r="X353" s="8" t="s">
        <v>61</v>
      </c>
      <c r="Y353" s="10">
        <v>46.56</v>
      </c>
    </row>
    <row r="354" spans="1:25" s="8" customFormat="1" x14ac:dyDescent="0.3">
      <c r="A354" s="8">
        <v>2034099203</v>
      </c>
      <c r="B354" s="8" t="s">
        <v>676</v>
      </c>
      <c r="C354" s="8" t="s">
        <v>677</v>
      </c>
      <c r="D354" s="8" t="str">
        <f t="shared" si="5"/>
        <v>ISAIAH JONES</v>
      </c>
      <c r="E354" s="8" t="s">
        <v>80</v>
      </c>
      <c r="F354" s="8" t="s">
        <v>483</v>
      </c>
      <c r="G354" s="16">
        <v>0.375</v>
      </c>
      <c r="H354" s="8" t="s">
        <v>484</v>
      </c>
      <c r="I354" s="14" t="s">
        <v>484</v>
      </c>
      <c r="J354" s="15">
        <v>17437820</v>
      </c>
      <c r="K354" s="8" t="s">
        <v>655</v>
      </c>
      <c r="L354" s="8" t="s">
        <v>656</v>
      </c>
      <c r="M354" s="8" t="str">
        <f>CONCATENATE(L354," ",K354)</f>
        <v>COLLEEN FINNIGAN</v>
      </c>
      <c r="N354" s="8" t="s">
        <v>57</v>
      </c>
      <c r="O354" s="9">
        <v>46085</v>
      </c>
      <c r="P354" s="9">
        <v>46146</v>
      </c>
      <c r="Q354" s="23">
        <f>DATEDIF(O354,P354,"M")</f>
        <v>2</v>
      </c>
      <c r="R354" s="33" t="s">
        <v>536</v>
      </c>
      <c r="S354" s="33" t="s">
        <v>1037</v>
      </c>
      <c r="T354" s="10">
        <v>54.7</v>
      </c>
      <c r="U354" s="8">
        <v>1</v>
      </c>
      <c r="V354" s="8" t="s">
        <v>58</v>
      </c>
      <c r="W354" s="8" t="s">
        <v>60</v>
      </c>
      <c r="X354" s="8" t="s">
        <v>61</v>
      </c>
      <c r="Y354" s="10">
        <v>20.51</v>
      </c>
    </row>
    <row r="355" spans="1:25" s="8" customFormat="1" x14ac:dyDescent="0.3">
      <c r="A355" s="8">
        <v>2034256767</v>
      </c>
      <c r="B355" s="8" t="s">
        <v>143</v>
      </c>
      <c r="C355" s="8" t="s">
        <v>639</v>
      </c>
      <c r="D355" s="8" t="str">
        <f t="shared" si="5"/>
        <v>KRISTEN JOHNSON</v>
      </c>
      <c r="E355" s="8" t="s">
        <v>182</v>
      </c>
      <c r="F355" s="8" t="s">
        <v>444</v>
      </c>
      <c r="G355" s="13">
        <v>0.75</v>
      </c>
      <c r="H355" s="8" t="s">
        <v>454</v>
      </c>
      <c r="I355" s="14" t="s">
        <v>980</v>
      </c>
      <c r="J355" s="15">
        <v>8307933</v>
      </c>
      <c r="K355" s="8" t="s">
        <v>55</v>
      </c>
      <c r="L355" s="8" t="s">
        <v>56</v>
      </c>
      <c r="M355" s="8" t="str">
        <f>CONCATENATE(L355," ",K355)</f>
        <v>GREGORY TEIPEL</v>
      </c>
      <c r="N355" s="8" t="s">
        <v>57</v>
      </c>
      <c r="O355" s="9">
        <v>46096</v>
      </c>
      <c r="P355" s="9">
        <v>46157</v>
      </c>
      <c r="Q355" s="23">
        <f>DATEDIF(O355,P355,"M")</f>
        <v>2</v>
      </c>
      <c r="R355" s="33" t="s">
        <v>536</v>
      </c>
      <c r="S355" s="33" t="s">
        <v>1037</v>
      </c>
      <c r="T355" s="10">
        <v>20.67</v>
      </c>
      <c r="U355" s="8">
        <v>1</v>
      </c>
      <c r="V355" s="8" t="s">
        <v>58</v>
      </c>
      <c r="W355" s="8" t="s">
        <v>60</v>
      </c>
      <c r="X355" s="8" t="s">
        <v>61</v>
      </c>
      <c r="Y355" s="10">
        <v>15.5</v>
      </c>
    </row>
    <row r="356" spans="1:25" s="8" customFormat="1" x14ac:dyDescent="0.3">
      <c r="A356" s="8">
        <v>2034306132</v>
      </c>
      <c r="B356" s="8" t="s">
        <v>642</v>
      </c>
      <c r="C356" s="8" t="s">
        <v>175</v>
      </c>
      <c r="D356" s="8" t="str">
        <f t="shared" si="5"/>
        <v>MICHAEL KILEY</v>
      </c>
      <c r="E356" s="8" t="s">
        <v>64</v>
      </c>
      <c r="F356" s="8" t="s">
        <v>444</v>
      </c>
      <c r="G356" s="13">
        <v>0.75</v>
      </c>
      <c r="H356" s="8" t="s">
        <v>454</v>
      </c>
      <c r="I356" s="14" t="s">
        <v>980</v>
      </c>
      <c r="J356" s="15">
        <v>8307933</v>
      </c>
      <c r="K356" s="8" t="s">
        <v>55</v>
      </c>
      <c r="L356" s="8" t="s">
        <v>56</v>
      </c>
      <c r="M356" s="8" t="str">
        <f>CONCATENATE(L356," ",K356)</f>
        <v>GREGORY TEIPEL</v>
      </c>
      <c r="N356" s="8" t="s">
        <v>57</v>
      </c>
      <c r="O356" s="9">
        <v>46094</v>
      </c>
      <c r="P356" s="9">
        <v>46155</v>
      </c>
      <c r="Q356" s="23">
        <f>DATEDIF(O356,P356,"M")</f>
        <v>2</v>
      </c>
      <c r="R356" s="33" t="s">
        <v>536</v>
      </c>
      <c r="S356" s="33" t="s">
        <v>1037</v>
      </c>
      <c r="T356" s="10">
        <v>76.05</v>
      </c>
      <c r="U356" s="8">
        <v>1</v>
      </c>
      <c r="V356" s="8" t="s">
        <v>58</v>
      </c>
      <c r="W356" s="8" t="s">
        <v>60</v>
      </c>
      <c r="X356" s="8" t="s">
        <v>61</v>
      </c>
      <c r="Y356" s="10">
        <v>57.04</v>
      </c>
    </row>
    <row r="357" spans="1:25" s="8" customFormat="1" x14ac:dyDescent="0.3">
      <c r="A357" s="8">
        <v>2034306135</v>
      </c>
      <c r="B357" s="8" t="s">
        <v>642</v>
      </c>
      <c r="C357" s="8" t="s">
        <v>175</v>
      </c>
      <c r="D357" s="8" t="str">
        <f t="shared" si="5"/>
        <v>MICHAEL KILEY</v>
      </c>
      <c r="E357" s="8" t="s">
        <v>64</v>
      </c>
      <c r="F357" s="8" t="s">
        <v>475</v>
      </c>
      <c r="G357" s="13">
        <v>0.19</v>
      </c>
      <c r="H357" s="8" t="s">
        <v>765</v>
      </c>
      <c r="I357" s="14" t="s">
        <v>765</v>
      </c>
      <c r="J357" s="15">
        <v>8307933</v>
      </c>
      <c r="K357" s="8" t="s">
        <v>55</v>
      </c>
      <c r="L357" s="8" t="s">
        <v>56</v>
      </c>
      <c r="M357" s="8" t="str">
        <f>CONCATENATE(L357," ",K357)</f>
        <v>GREGORY TEIPEL</v>
      </c>
      <c r="N357" s="8" t="s">
        <v>57</v>
      </c>
      <c r="O357" s="9">
        <v>46094</v>
      </c>
      <c r="P357" s="9">
        <v>46155</v>
      </c>
      <c r="Q357" s="23">
        <f>DATEDIF(O357,P357,"M")</f>
        <v>2</v>
      </c>
      <c r="R357" s="33" t="s">
        <v>536</v>
      </c>
      <c r="S357" s="33" t="s">
        <v>1037</v>
      </c>
      <c r="T357" s="10">
        <v>15</v>
      </c>
      <c r="U357" s="8">
        <v>1</v>
      </c>
      <c r="V357" s="8" t="s">
        <v>58</v>
      </c>
      <c r="W357" s="8" t="s">
        <v>60</v>
      </c>
      <c r="X357" s="8" t="s">
        <v>61</v>
      </c>
      <c r="Y357" s="10">
        <v>2.85</v>
      </c>
    </row>
    <row r="358" spans="1:25" s="8" customFormat="1" x14ac:dyDescent="0.3">
      <c r="A358" s="8">
        <v>2034306134</v>
      </c>
      <c r="B358" s="8" t="s">
        <v>642</v>
      </c>
      <c r="C358" s="8" t="s">
        <v>175</v>
      </c>
      <c r="D358" s="8" t="str">
        <f t="shared" si="5"/>
        <v>MICHAEL KILEY</v>
      </c>
      <c r="E358" s="8" t="s">
        <v>64</v>
      </c>
      <c r="F358" s="8" t="s">
        <v>524</v>
      </c>
      <c r="G358" s="13">
        <v>0.19</v>
      </c>
      <c r="H358" s="8" t="s">
        <v>717</v>
      </c>
      <c r="I358" s="14" t="s">
        <v>982</v>
      </c>
      <c r="J358" s="15">
        <v>8307933</v>
      </c>
      <c r="K358" s="8" t="s">
        <v>55</v>
      </c>
      <c r="L358" s="8" t="s">
        <v>56</v>
      </c>
      <c r="M358" s="8" t="str">
        <f>CONCATENATE(L358," ",K358)</f>
        <v>GREGORY TEIPEL</v>
      </c>
      <c r="N358" s="8" t="s">
        <v>57</v>
      </c>
      <c r="O358" s="9">
        <v>46094</v>
      </c>
      <c r="P358" s="9">
        <v>46155</v>
      </c>
      <c r="Q358" s="23">
        <f>DATEDIF(O358,P358,"M")</f>
        <v>2</v>
      </c>
      <c r="R358" s="33" t="s">
        <v>536</v>
      </c>
      <c r="S358" s="33" t="s">
        <v>1037</v>
      </c>
      <c r="T358" s="10">
        <v>479.14</v>
      </c>
      <c r="U358" s="8">
        <v>1</v>
      </c>
      <c r="V358" s="8" t="s">
        <v>58</v>
      </c>
      <c r="W358" s="8" t="s">
        <v>60</v>
      </c>
      <c r="X358" s="8" t="s">
        <v>61</v>
      </c>
      <c r="Y358" s="10">
        <v>91.04</v>
      </c>
    </row>
    <row r="359" spans="1:25" s="8" customFormat="1" x14ac:dyDescent="0.3">
      <c r="A359" s="8">
        <v>2034256766</v>
      </c>
      <c r="B359" s="8" t="s">
        <v>143</v>
      </c>
      <c r="C359" s="8" t="s">
        <v>639</v>
      </c>
      <c r="D359" s="8" t="str">
        <f t="shared" si="5"/>
        <v>KRISTEN JOHNSON</v>
      </c>
      <c r="E359" s="8" t="s">
        <v>182</v>
      </c>
      <c r="F359" s="8" t="s">
        <v>53</v>
      </c>
      <c r="G359" s="13">
        <v>0.7</v>
      </c>
      <c r="H359" s="8" t="s">
        <v>54</v>
      </c>
      <c r="I359" s="14" t="s">
        <v>54</v>
      </c>
      <c r="J359" s="15">
        <v>8307933</v>
      </c>
      <c r="K359" s="8" t="s">
        <v>55</v>
      </c>
      <c r="L359" s="8" t="s">
        <v>56</v>
      </c>
      <c r="M359" s="8" t="str">
        <f>CONCATENATE(L359," ",K359)</f>
        <v>GREGORY TEIPEL</v>
      </c>
      <c r="N359" s="8" t="s">
        <v>57</v>
      </c>
      <c r="O359" s="9">
        <v>46096</v>
      </c>
      <c r="P359" s="9">
        <v>46157</v>
      </c>
      <c r="Q359" s="23">
        <f>DATEDIF(O359,P359,"M")</f>
        <v>2</v>
      </c>
      <c r="R359" s="33" t="s">
        <v>536</v>
      </c>
      <c r="S359" s="33" t="s">
        <v>1037</v>
      </c>
      <c r="T359" s="10">
        <v>30.68</v>
      </c>
      <c r="U359" s="8">
        <v>1</v>
      </c>
      <c r="V359" s="8" t="s">
        <v>58</v>
      </c>
      <c r="W359" s="8" t="s">
        <v>60</v>
      </c>
      <c r="X359" s="8" t="s">
        <v>61</v>
      </c>
      <c r="Y359" s="10">
        <v>21.48</v>
      </c>
    </row>
    <row r="360" spans="1:25" s="8" customFormat="1" x14ac:dyDescent="0.3">
      <c r="A360" s="8">
        <v>2034306131</v>
      </c>
      <c r="B360" s="8" t="s">
        <v>642</v>
      </c>
      <c r="C360" s="8" t="s">
        <v>175</v>
      </c>
      <c r="D360" s="8" t="str">
        <f t="shared" si="5"/>
        <v>MICHAEL KILEY</v>
      </c>
      <c r="E360" s="8" t="s">
        <v>64</v>
      </c>
      <c r="F360" s="8" t="s">
        <v>53</v>
      </c>
      <c r="G360" s="13">
        <v>0.7</v>
      </c>
      <c r="H360" s="8" t="s">
        <v>54</v>
      </c>
      <c r="I360" s="14" t="s">
        <v>54</v>
      </c>
      <c r="J360" s="15">
        <v>8307933</v>
      </c>
      <c r="K360" s="8" t="s">
        <v>55</v>
      </c>
      <c r="L360" s="8" t="s">
        <v>56</v>
      </c>
      <c r="M360" s="8" t="str">
        <f>CONCATENATE(L360," ",K360)</f>
        <v>GREGORY TEIPEL</v>
      </c>
      <c r="N360" s="8" t="s">
        <v>57</v>
      </c>
      <c r="O360" s="9">
        <v>46094</v>
      </c>
      <c r="P360" s="9">
        <v>46155</v>
      </c>
      <c r="Q360" s="23">
        <f>DATEDIF(O360,P360,"M")</f>
        <v>2</v>
      </c>
      <c r="R360" s="33" t="s">
        <v>536</v>
      </c>
      <c r="S360" s="33" t="s">
        <v>1037</v>
      </c>
      <c r="T360" s="10">
        <v>36.76</v>
      </c>
      <c r="U360" s="8">
        <v>1</v>
      </c>
      <c r="V360" s="8" t="s">
        <v>58</v>
      </c>
      <c r="W360" s="8" t="s">
        <v>60</v>
      </c>
      <c r="X360" s="8" t="s">
        <v>61</v>
      </c>
      <c r="Y360" s="10">
        <v>25.73</v>
      </c>
    </row>
    <row r="361" spans="1:25" s="8" customFormat="1" x14ac:dyDescent="0.3">
      <c r="A361" s="8">
        <v>2034306133</v>
      </c>
      <c r="B361" s="8" t="s">
        <v>642</v>
      </c>
      <c r="C361" s="8" t="s">
        <v>175</v>
      </c>
      <c r="D361" s="8" t="str">
        <f t="shared" si="5"/>
        <v>MICHAEL KILEY</v>
      </c>
      <c r="E361" s="8" t="s">
        <v>64</v>
      </c>
      <c r="F361" s="8" t="s">
        <v>483</v>
      </c>
      <c r="G361" s="16">
        <v>0.375</v>
      </c>
      <c r="H361" s="8" t="s">
        <v>484</v>
      </c>
      <c r="I361" s="14" t="s">
        <v>484</v>
      </c>
      <c r="J361" s="15">
        <v>8307933</v>
      </c>
      <c r="K361" s="8" t="s">
        <v>55</v>
      </c>
      <c r="L361" s="8" t="s">
        <v>56</v>
      </c>
      <c r="M361" s="8" t="str">
        <f>CONCATENATE(L361," ",K361)</f>
        <v>GREGORY TEIPEL</v>
      </c>
      <c r="N361" s="8" t="s">
        <v>57</v>
      </c>
      <c r="O361" s="9">
        <v>46094</v>
      </c>
      <c r="P361" s="9">
        <v>46155</v>
      </c>
      <c r="Q361" s="23">
        <f>DATEDIF(O361,P361,"M")</f>
        <v>2</v>
      </c>
      <c r="R361" s="33" t="s">
        <v>536</v>
      </c>
      <c r="S361" s="33" t="s">
        <v>1037</v>
      </c>
      <c r="T361" s="10">
        <v>53.44</v>
      </c>
      <c r="U361" s="8">
        <v>1</v>
      </c>
      <c r="V361" s="8" t="s">
        <v>58</v>
      </c>
      <c r="W361" s="8" t="s">
        <v>60</v>
      </c>
      <c r="X361" s="8" t="s">
        <v>61</v>
      </c>
      <c r="Y361" s="10">
        <v>20.04</v>
      </c>
    </row>
    <row r="362" spans="1:25" s="8" customFormat="1" x14ac:dyDescent="0.3">
      <c r="A362" s="8">
        <v>2034256768</v>
      </c>
      <c r="B362" s="8" t="s">
        <v>143</v>
      </c>
      <c r="C362" s="8" t="s">
        <v>639</v>
      </c>
      <c r="D362" s="8" t="str">
        <f t="shared" si="5"/>
        <v>KRISTEN JOHNSON</v>
      </c>
      <c r="E362" s="8" t="s">
        <v>182</v>
      </c>
      <c r="F362" s="8" t="s">
        <v>53</v>
      </c>
      <c r="G362" s="13">
        <v>0.9</v>
      </c>
      <c r="H362" s="8" t="s">
        <v>65</v>
      </c>
      <c r="I362" s="14" t="s">
        <v>65</v>
      </c>
      <c r="J362" s="15">
        <v>8307933</v>
      </c>
      <c r="K362" s="8" t="s">
        <v>55</v>
      </c>
      <c r="L362" s="8" t="s">
        <v>56</v>
      </c>
      <c r="M362" s="8" t="str">
        <f>CONCATENATE(L362," ",K362)</f>
        <v>GREGORY TEIPEL</v>
      </c>
      <c r="N362" s="8" t="s">
        <v>57</v>
      </c>
      <c r="O362" s="9">
        <v>46096</v>
      </c>
      <c r="P362" s="9">
        <v>46157</v>
      </c>
      <c r="Q362" s="23">
        <f>DATEDIF(O362,P362,"M")</f>
        <v>2</v>
      </c>
      <c r="R362" s="33" t="s">
        <v>536</v>
      </c>
      <c r="S362" s="33" t="s">
        <v>1037</v>
      </c>
      <c r="T362" s="10">
        <v>32.25</v>
      </c>
      <c r="U362" s="8">
        <v>1</v>
      </c>
      <c r="V362" s="8" t="s">
        <v>58</v>
      </c>
      <c r="W362" s="8" t="s">
        <v>60</v>
      </c>
      <c r="X362" s="8" t="s">
        <v>61</v>
      </c>
      <c r="Y362" s="10">
        <v>29.02</v>
      </c>
    </row>
    <row r="363" spans="1:25" s="8" customFormat="1" x14ac:dyDescent="0.3">
      <c r="A363" s="8">
        <v>2034301217</v>
      </c>
      <c r="B363" s="8" t="s">
        <v>684</v>
      </c>
      <c r="C363" s="8" t="s">
        <v>685</v>
      </c>
      <c r="D363" s="8" t="str">
        <f t="shared" si="5"/>
        <v>TRENT RAY</v>
      </c>
      <c r="E363" s="8" t="s">
        <v>295</v>
      </c>
      <c r="F363" s="8" t="s">
        <v>53</v>
      </c>
      <c r="G363" s="13">
        <v>0.3</v>
      </c>
      <c r="H363" s="8" t="s">
        <v>54</v>
      </c>
      <c r="I363" s="14" t="s">
        <v>992</v>
      </c>
      <c r="J363" s="15">
        <v>20411454</v>
      </c>
      <c r="K363" s="8" t="s">
        <v>686</v>
      </c>
      <c r="L363" s="8" t="s">
        <v>249</v>
      </c>
      <c r="M363" s="8" t="s">
        <v>1035</v>
      </c>
      <c r="N363" s="8" t="s">
        <v>57</v>
      </c>
      <c r="O363" s="9">
        <v>46094</v>
      </c>
      <c r="P363" s="9">
        <v>46155</v>
      </c>
      <c r="Q363" s="23">
        <f>DATEDIF(O363,P363,"M")</f>
        <v>2</v>
      </c>
      <c r="R363" s="33" t="s">
        <v>536</v>
      </c>
      <c r="S363" s="33" t="s">
        <v>1037</v>
      </c>
      <c r="T363" s="10">
        <v>25.88</v>
      </c>
      <c r="U363" s="8">
        <v>1</v>
      </c>
      <c r="V363" s="8" t="s">
        <v>58</v>
      </c>
      <c r="W363" s="8" t="s">
        <v>60</v>
      </c>
      <c r="X363" s="8" t="s">
        <v>61</v>
      </c>
      <c r="Y363" s="10">
        <v>25.88</v>
      </c>
    </row>
    <row r="364" spans="1:25" s="8" customFormat="1" x14ac:dyDescent="0.3">
      <c r="A364" s="8">
        <v>2034139833</v>
      </c>
      <c r="B364" s="8" t="s">
        <v>250</v>
      </c>
      <c r="C364" s="8" t="s">
        <v>109</v>
      </c>
      <c r="D364" s="8" t="str">
        <f t="shared" si="5"/>
        <v>ROBERT SCOTT</v>
      </c>
      <c r="E364" s="8" t="s">
        <v>93</v>
      </c>
      <c r="F364" s="8" t="s">
        <v>53</v>
      </c>
      <c r="G364" s="13">
        <v>0.7</v>
      </c>
      <c r="H364" s="8" t="s">
        <v>97</v>
      </c>
      <c r="I364" s="14" t="s">
        <v>117</v>
      </c>
      <c r="J364" s="15">
        <v>20872981</v>
      </c>
      <c r="K364" s="8" t="s">
        <v>213</v>
      </c>
      <c r="L364" s="8" t="s">
        <v>214</v>
      </c>
      <c r="M364" s="8" t="str">
        <f>CONCATENATE(L364," ",K364)</f>
        <v>Robert Adcock</v>
      </c>
      <c r="N364" s="8" t="s">
        <v>57</v>
      </c>
      <c r="O364" s="9">
        <v>46087</v>
      </c>
      <c r="P364" s="9">
        <v>46148</v>
      </c>
      <c r="Q364" s="23">
        <f>DATEDIF(O364,P364,"M")</f>
        <v>2</v>
      </c>
      <c r="R364" s="33" t="s">
        <v>536</v>
      </c>
      <c r="S364" s="33" t="s">
        <v>1037</v>
      </c>
      <c r="T364" s="10">
        <v>24.61</v>
      </c>
      <c r="U364" s="8">
        <v>1</v>
      </c>
      <c r="V364" s="8" t="s">
        <v>58</v>
      </c>
      <c r="W364" s="8" t="s">
        <v>60</v>
      </c>
      <c r="X364" s="8" t="s">
        <v>61</v>
      </c>
      <c r="Y364" s="10">
        <v>17.23</v>
      </c>
    </row>
    <row r="365" spans="1:25" s="8" customFormat="1" x14ac:dyDescent="0.3">
      <c r="A365" s="8">
        <v>2034139834</v>
      </c>
      <c r="B365" s="8" t="s">
        <v>250</v>
      </c>
      <c r="C365" s="8" t="s">
        <v>109</v>
      </c>
      <c r="D365" s="8" t="str">
        <f t="shared" si="5"/>
        <v>ROBERT SCOTT</v>
      </c>
      <c r="E365" s="8" t="s">
        <v>93</v>
      </c>
      <c r="F365" s="8" t="s">
        <v>53</v>
      </c>
      <c r="G365" s="13">
        <v>0.9</v>
      </c>
      <c r="H365" s="8" t="s">
        <v>65</v>
      </c>
      <c r="I365" s="14" t="s">
        <v>65</v>
      </c>
      <c r="J365" s="15">
        <v>20872981</v>
      </c>
      <c r="K365" s="8" t="s">
        <v>213</v>
      </c>
      <c r="L365" s="8" t="s">
        <v>214</v>
      </c>
      <c r="M365" s="8" t="str">
        <f>CONCATENATE(L365," ",K365)</f>
        <v>Robert Adcock</v>
      </c>
      <c r="N365" s="8" t="s">
        <v>57</v>
      </c>
      <c r="O365" s="9">
        <v>46087</v>
      </c>
      <c r="P365" s="9">
        <v>46148</v>
      </c>
      <c r="Q365" s="23">
        <f>DATEDIF(O365,P365,"M")</f>
        <v>2</v>
      </c>
      <c r="R365" s="33" t="s">
        <v>536</v>
      </c>
      <c r="S365" s="33" t="s">
        <v>1037</v>
      </c>
      <c r="T365" s="10">
        <v>128.69</v>
      </c>
      <c r="U365" s="8">
        <v>1</v>
      </c>
      <c r="V365" s="8" t="s">
        <v>58</v>
      </c>
      <c r="W365" s="8" t="s">
        <v>60</v>
      </c>
      <c r="X365" s="8" t="s">
        <v>61</v>
      </c>
      <c r="Y365" s="10">
        <v>115.82</v>
      </c>
    </row>
    <row r="366" spans="1:25" s="8" customFormat="1" x14ac:dyDescent="0.3">
      <c r="A366" s="8">
        <v>2034375765</v>
      </c>
      <c r="B366" s="8" t="s">
        <v>643</v>
      </c>
      <c r="C366" s="8" t="s">
        <v>202</v>
      </c>
      <c r="D366" s="8" t="str">
        <f t="shared" si="5"/>
        <v>DAVID DYBEL</v>
      </c>
      <c r="E366" s="8" t="s">
        <v>644</v>
      </c>
      <c r="F366" s="8" t="s">
        <v>53</v>
      </c>
      <c r="G366" s="13">
        <v>0.7</v>
      </c>
      <c r="H366" s="8" t="s">
        <v>97</v>
      </c>
      <c r="I366" s="14" t="s">
        <v>117</v>
      </c>
      <c r="J366" s="15">
        <v>8977234</v>
      </c>
      <c r="K366" s="8" t="s">
        <v>115</v>
      </c>
      <c r="L366" s="8" t="s">
        <v>116</v>
      </c>
      <c r="M366" s="8" t="str">
        <f>CONCATENATE(L366," ",K366)</f>
        <v>RYAN CALTAGIRONE</v>
      </c>
      <c r="N366" s="8" t="s">
        <v>57</v>
      </c>
      <c r="O366" s="9">
        <v>46098</v>
      </c>
      <c r="P366" s="9">
        <v>46159</v>
      </c>
      <c r="Q366" s="23">
        <f>DATEDIF(O366,P366,"M")</f>
        <v>2</v>
      </c>
      <c r="R366" s="33" t="s">
        <v>536</v>
      </c>
      <c r="S366" s="33" t="s">
        <v>1037</v>
      </c>
      <c r="T366" s="10">
        <v>25.73</v>
      </c>
      <c r="U366" s="8">
        <v>1</v>
      </c>
      <c r="V366" s="8" t="s">
        <v>58</v>
      </c>
      <c r="W366" s="8" t="s">
        <v>60</v>
      </c>
      <c r="X366" s="8" t="s">
        <v>61</v>
      </c>
      <c r="Y366" s="10">
        <v>18.010000000000002</v>
      </c>
    </row>
    <row r="367" spans="1:25" s="8" customFormat="1" x14ac:dyDescent="0.3">
      <c r="A367" s="8">
        <v>2033874817</v>
      </c>
      <c r="B367" s="8" t="s">
        <v>633</v>
      </c>
      <c r="C367" s="8" t="s">
        <v>634</v>
      </c>
      <c r="D367" s="8" t="str">
        <f t="shared" si="5"/>
        <v>BREANNA MADDOX</v>
      </c>
      <c r="E367" s="8" t="s">
        <v>70</v>
      </c>
      <c r="F367" s="8" t="s">
        <v>444</v>
      </c>
      <c r="G367" s="13">
        <v>0.9</v>
      </c>
      <c r="H367" s="8" t="s">
        <v>567</v>
      </c>
      <c r="I367" s="14" t="s">
        <v>981</v>
      </c>
      <c r="J367" s="15">
        <v>8977234</v>
      </c>
      <c r="K367" s="8" t="s">
        <v>115</v>
      </c>
      <c r="L367" s="8" t="s">
        <v>116</v>
      </c>
      <c r="M367" s="8" t="str">
        <f>CONCATENATE(L367," ",K367)</f>
        <v>RYAN CALTAGIRONE</v>
      </c>
      <c r="N367" s="8" t="s">
        <v>57</v>
      </c>
      <c r="O367" s="9">
        <v>46097</v>
      </c>
      <c r="P367" s="9">
        <v>46158</v>
      </c>
      <c r="Q367" s="23">
        <f>DATEDIF(O367,P367,"M")</f>
        <v>2</v>
      </c>
      <c r="R367" s="33" t="s">
        <v>536</v>
      </c>
      <c r="S367" s="33" t="s">
        <v>1037</v>
      </c>
      <c r="T367" s="10">
        <v>17.48</v>
      </c>
      <c r="U367" s="8">
        <v>1</v>
      </c>
      <c r="V367" s="8" t="s">
        <v>58</v>
      </c>
      <c r="W367" s="8" t="s">
        <v>60</v>
      </c>
      <c r="X367" s="8" t="s">
        <v>61</v>
      </c>
      <c r="Y367" s="10">
        <v>15.73</v>
      </c>
    </row>
    <row r="368" spans="1:25" s="8" customFormat="1" x14ac:dyDescent="0.3">
      <c r="A368" s="8">
        <v>2034375763</v>
      </c>
      <c r="B368" s="8" t="s">
        <v>643</v>
      </c>
      <c r="C368" s="8" t="s">
        <v>202</v>
      </c>
      <c r="D368" s="8" t="str">
        <f t="shared" si="5"/>
        <v>DAVID DYBEL</v>
      </c>
      <c r="E368" s="8" t="s">
        <v>644</v>
      </c>
      <c r="F368" s="8" t="s">
        <v>444</v>
      </c>
      <c r="G368" s="13">
        <v>0.9</v>
      </c>
      <c r="H368" s="8" t="s">
        <v>567</v>
      </c>
      <c r="I368" s="14" t="s">
        <v>981</v>
      </c>
      <c r="J368" s="15">
        <v>8977234</v>
      </c>
      <c r="K368" s="8" t="s">
        <v>115</v>
      </c>
      <c r="L368" s="8" t="s">
        <v>116</v>
      </c>
      <c r="M368" s="8" t="str">
        <f>CONCATENATE(L368," ",K368)</f>
        <v>RYAN CALTAGIRONE</v>
      </c>
      <c r="N368" s="8" t="s">
        <v>57</v>
      </c>
      <c r="O368" s="9">
        <v>46098</v>
      </c>
      <c r="P368" s="9">
        <v>46159</v>
      </c>
      <c r="Q368" s="23">
        <f>DATEDIF(O368,P368,"M")</f>
        <v>2</v>
      </c>
      <c r="R368" s="33" t="s">
        <v>536</v>
      </c>
      <c r="S368" s="33" t="s">
        <v>1037</v>
      </c>
      <c r="T368" s="10">
        <v>132</v>
      </c>
      <c r="U368" s="8">
        <v>1</v>
      </c>
      <c r="V368" s="8" t="s">
        <v>58</v>
      </c>
      <c r="W368" s="8" t="s">
        <v>60</v>
      </c>
      <c r="X368" s="8" t="s">
        <v>61</v>
      </c>
      <c r="Y368" s="10">
        <v>118.8</v>
      </c>
    </row>
    <row r="369" spans="1:25" s="8" customFormat="1" x14ac:dyDescent="0.3">
      <c r="A369" s="8">
        <v>2034375764</v>
      </c>
      <c r="B369" s="8" t="s">
        <v>643</v>
      </c>
      <c r="C369" s="8" t="s">
        <v>202</v>
      </c>
      <c r="D369" s="8" t="str">
        <f t="shared" si="5"/>
        <v>DAVID DYBEL</v>
      </c>
      <c r="E369" s="8" t="s">
        <v>644</v>
      </c>
      <c r="F369" s="8" t="s">
        <v>53</v>
      </c>
      <c r="G369" s="13">
        <v>0.7</v>
      </c>
      <c r="H369" s="8" t="s">
        <v>54</v>
      </c>
      <c r="I369" s="14" t="s">
        <v>54</v>
      </c>
      <c r="J369" s="15">
        <v>8977234</v>
      </c>
      <c r="K369" s="8" t="s">
        <v>115</v>
      </c>
      <c r="L369" s="8" t="s">
        <v>116</v>
      </c>
      <c r="M369" s="8" t="str">
        <f>CONCATENATE(L369," ",K369)</f>
        <v>RYAN CALTAGIRONE</v>
      </c>
      <c r="N369" s="8" t="s">
        <v>57</v>
      </c>
      <c r="O369" s="9">
        <v>46098</v>
      </c>
      <c r="P369" s="9">
        <v>46159</v>
      </c>
      <c r="Q369" s="23">
        <f>DATEDIF(O369,P369,"M")</f>
        <v>2</v>
      </c>
      <c r="R369" s="33" t="s">
        <v>536</v>
      </c>
      <c r="S369" s="33" t="s">
        <v>1037</v>
      </c>
      <c r="T369" s="10">
        <v>24.78</v>
      </c>
      <c r="U369" s="8">
        <v>1</v>
      </c>
      <c r="V369" s="8" t="s">
        <v>58</v>
      </c>
      <c r="W369" s="8" t="s">
        <v>60</v>
      </c>
      <c r="X369" s="8" t="s">
        <v>61</v>
      </c>
      <c r="Y369" s="10">
        <v>17.350000000000001</v>
      </c>
    </row>
    <row r="370" spans="1:25" s="8" customFormat="1" x14ac:dyDescent="0.3">
      <c r="A370" s="8">
        <v>2033874816</v>
      </c>
      <c r="B370" s="8" t="s">
        <v>633</v>
      </c>
      <c r="C370" s="8" t="s">
        <v>634</v>
      </c>
      <c r="D370" s="8" t="str">
        <f t="shared" si="5"/>
        <v>BREANNA MADDOX</v>
      </c>
      <c r="E370" s="8" t="s">
        <v>70</v>
      </c>
      <c r="F370" s="8" t="s">
        <v>53</v>
      </c>
      <c r="G370" s="13">
        <v>0.7</v>
      </c>
      <c r="H370" s="8" t="s">
        <v>54</v>
      </c>
      <c r="I370" s="14" t="s">
        <v>54</v>
      </c>
      <c r="J370" s="15">
        <v>8977234</v>
      </c>
      <c r="K370" s="8" t="s">
        <v>115</v>
      </c>
      <c r="L370" s="8" t="s">
        <v>116</v>
      </c>
      <c r="M370" s="8" t="str">
        <f>CONCATENATE(L370," ",K370)</f>
        <v>RYAN CALTAGIRONE</v>
      </c>
      <c r="N370" s="8" t="s">
        <v>57</v>
      </c>
      <c r="O370" s="9">
        <v>46097</v>
      </c>
      <c r="P370" s="9">
        <v>46158</v>
      </c>
      <c r="Q370" s="23">
        <f>DATEDIF(O370,P370,"M")</f>
        <v>2</v>
      </c>
      <c r="R370" s="33" t="s">
        <v>536</v>
      </c>
      <c r="S370" s="33" t="s">
        <v>1037</v>
      </c>
      <c r="T370" s="10">
        <v>73.22</v>
      </c>
      <c r="U370" s="8">
        <v>1</v>
      </c>
      <c r="V370" s="8" t="s">
        <v>58</v>
      </c>
      <c r="W370" s="8" t="s">
        <v>60</v>
      </c>
      <c r="X370" s="8" t="s">
        <v>61</v>
      </c>
      <c r="Y370" s="10">
        <v>51.25</v>
      </c>
    </row>
    <row r="371" spans="1:25" s="8" customFormat="1" x14ac:dyDescent="0.3">
      <c r="A371" s="8">
        <v>2034375766</v>
      </c>
      <c r="B371" s="8" t="s">
        <v>643</v>
      </c>
      <c r="C371" s="8" t="s">
        <v>202</v>
      </c>
      <c r="D371" s="8" t="str">
        <f t="shared" si="5"/>
        <v>DAVID DYBEL</v>
      </c>
      <c r="E371" s="8" t="s">
        <v>644</v>
      </c>
      <c r="F371" s="8" t="s">
        <v>483</v>
      </c>
      <c r="G371" s="16">
        <v>0.375</v>
      </c>
      <c r="H371" s="8" t="s">
        <v>484</v>
      </c>
      <c r="I371" s="14" t="s">
        <v>484</v>
      </c>
      <c r="J371" s="15">
        <v>8977234</v>
      </c>
      <c r="K371" s="8" t="s">
        <v>115</v>
      </c>
      <c r="L371" s="8" t="s">
        <v>116</v>
      </c>
      <c r="M371" s="8" t="str">
        <f>CONCATENATE(L371," ",K371)</f>
        <v>RYAN CALTAGIRONE</v>
      </c>
      <c r="N371" s="8" t="s">
        <v>57</v>
      </c>
      <c r="O371" s="9">
        <v>46098</v>
      </c>
      <c r="P371" s="9">
        <v>46159</v>
      </c>
      <c r="Q371" s="23">
        <f>DATEDIF(O371,P371,"M")</f>
        <v>2</v>
      </c>
      <c r="R371" s="33" t="s">
        <v>536</v>
      </c>
      <c r="S371" s="33" t="s">
        <v>1037</v>
      </c>
      <c r="T371" s="10">
        <v>28.91</v>
      </c>
      <c r="U371" s="8">
        <v>1</v>
      </c>
      <c r="V371" s="8" t="s">
        <v>58</v>
      </c>
      <c r="W371" s="8" t="s">
        <v>60</v>
      </c>
      <c r="X371" s="8" t="s">
        <v>61</v>
      </c>
      <c r="Y371" s="10">
        <v>10.84</v>
      </c>
    </row>
    <row r="372" spans="1:25" s="8" customFormat="1" x14ac:dyDescent="0.3">
      <c r="A372" s="8">
        <v>2034262726</v>
      </c>
      <c r="B372" s="8" t="s">
        <v>871</v>
      </c>
      <c r="C372" s="8" t="s">
        <v>818</v>
      </c>
      <c r="D372" s="8" t="str">
        <f t="shared" si="5"/>
        <v>ANDREW DUNN</v>
      </c>
      <c r="E372" s="8" t="s">
        <v>114</v>
      </c>
      <c r="F372" s="8" t="s">
        <v>483</v>
      </c>
      <c r="G372" s="16">
        <v>0.375</v>
      </c>
      <c r="H372" s="8" t="s">
        <v>484</v>
      </c>
      <c r="I372" s="14" t="s">
        <v>484</v>
      </c>
      <c r="J372" s="15">
        <v>8977234</v>
      </c>
      <c r="K372" s="8" t="s">
        <v>115</v>
      </c>
      <c r="L372" s="8" t="s">
        <v>116</v>
      </c>
      <c r="M372" s="8" t="str">
        <f>CONCATENATE(L372," ",K372)</f>
        <v>RYAN CALTAGIRONE</v>
      </c>
      <c r="N372" s="8" t="s">
        <v>57</v>
      </c>
      <c r="O372" s="9">
        <v>46092</v>
      </c>
      <c r="P372" s="9">
        <v>46153</v>
      </c>
      <c r="Q372" s="23">
        <f>DATEDIF(O372,P372,"M")</f>
        <v>2</v>
      </c>
      <c r="R372" s="33" t="s">
        <v>536</v>
      </c>
      <c r="S372" s="33" t="s">
        <v>1037</v>
      </c>
      <c r="T372" s="10">
        <v>40.409999999999997</v>
      </c>
      <c r="U372" s="8">
        <v>1</v>
      </c>
      <c r="V372" s="8" t="s">
        <v>58</v>
      </c>
      <c r="W372" s="8" t="s">
        <v>60</v>
      </c>
      <c r="X372" s="8" t="s">
        <v>61</v>
      </c>
      <c r="Y372" s="10">
        <v>15.15</v>
      </c>
    </row>
    <row r="373" spans="1:25" s="8" customFormat="1" x14ac:dyDescent="0.3">
      <c r="A373" s="8">
        <v>2033874818</v>
      </c>
      <c r="B373" s="8" t="s">
        <v>633</v>
      </c>
      <c r="C373" s="8" t="s">
        <v>634</v>
      </c>
      <c r="D373" s="8" t="str">
        <f t="shared" si="5"/>
        <v>BREANNA MADDOX</v>
      </c>
      <c r="E373" s="8" t="s">
        <v>70</v>
      </c>
      <c r="F373" s="8" t="s">
        <v>483</v>
      </c>
      <c r="G373" s="16">
        <v>0.375</v>
      </c>
      <c r="H373" s="8" t="s">
        <v>484</v>
      </c>
      <c r="I373" s="14" t="s">
        <v>484</v>
      </c>
      <c r="J373" s="15">
        <v>8977234</v>
      </c>
      <c r="K373" s="8" t="s">
        <v>115</v>
      </c>
      <c r="L373" s="8" t="s">
        <v>116</v>
      </c>
      <c r="M373" s="8" t="str">
        <f>CONCATENATE(L373," ",K373)</f>
        <v>RYAN CALTAGIRONE</v>
      </c>
      <c r="N373" s="8" t="s">
        <v>57</v>
      </c>
      <c r="O373" s="9">
        <v>46097</v>
      </c>
      <c r="P373" s="9">
        <v>46158</v>
      </c>
      <c r="Q373" s="23">
        <f>DATEDIF(O373,P373,"M")</f>
        <v>2</v>
      </c>
      <c r="R373" s="33" t="s">
        <v>536</v>
      </c>
      <c r="S373" s="33" t="s">
        <v>1037</v>
      </c>
      <c r="T373" s="10">
        <v>61.4</v>
      </c>
      <c r="U373" s="8">
        <v>1</v>
      </c>
      <c r="V373" s="8" t="s">
        <v>58</v>
      </c>
      <c r="W373" s="8" t="s">
        <v>60</v>
      </c>
      <c r="X373" s="8" t="s">
        <v>61</v>
      </c>
      <c r="Y373" s="10">
        <v>23.02</v>
      </c>
    </row>
    <row r="374" spans="1:25" s="8" customFormat="1" x14ac:dyDescent="0.3">
      <c r="A374" s="8">
        <v>2033375395</v>
      </c>
      <c r="B374" s="8" t="s">
        <v>435</v>
      </c>
      <c r="C374" s="8" t="s">
        <v>436</v>
      </c>
      <c r="D374" s="8" t="str">
        <f t="shared" si="5"/>
        <v>SERGIO GALIINDO</v>
      </c>
      <c r="E374" s="8" t="s">
        <v>80</v>
      </c>
      <c r="F374" s="8" t="s">
        <v>53</v>
      </c>
      <c r="G374" s="13">
        <v>0.7</v>
      </c>
      <c r="H374" s="8" t="s">
        <v>54</v>
      </c>
      <c r="I374" s="14" t="s">
        <v>54</v>
      </c>
      <c r="J374" s="15">
        <v>21348299</v>
      </c>
      <c r="K374" s="8" t="s">
        <v>262</v>
      </c>
      <c r="L374" s="8" t="s">
        <v>263</v>
      </c>
      <c r="M374" s="8" t="str">
        <f>CONCATENATE(L374," ",K374)</f>
        <v>BARRY BRENNER</v>
      </c>
      <c r="N374" s="8" t="s">
        <v>57</v>
      </c>
      <c r="O374" s="9">
        <v>46054</v>
      </c>
      <c r="P374" s="9">
        <v>46143</v>
      </c>
      <c r="Q374" s="23">
        <f>DATEDIF(O374,P374,"M")</f>
        <v>3</v>
      </c>
      <c r="R374" s="33" t="s">
        <v>536</v>
      </c>
      <c r="S374" s="33" t="s">
        <v>1037</v>
      </c>
      <c r="T374" s="10">
        <v>290.83999999999997</v>
      </c>
      <c r="U374" s="8">
        <v>1</v>
      </c>
      <c r="V374" s="8" t="s">
        <v>58</v>
      </c>
      <c r="W374" s="8" t="s">
        <v>60</v>
      </c>
      <c r="X374" s="8" t="s">
        <v>61</v>
      </c>
      <c r="Y374" s="10">
        <v>203.59</v>
      </c>
    </row>
    <row r="375" spans="1:25" s="8" customFormat="1" x14ac:dyDescent="0.3">
      <c r="A375" s="8">
        <v>2033375396</v>
      </c>
      <c r="B375" s="8" t="s">
        <v>435</v>
      </c>
      <c r="C375" s="8" t="s">
        <v>436</v>
      </c>
      <c r="D375" s="8" t="str">
        <f t="shared" si="5"/>
        <v>SERGIO GALIINDO</v>
      </c>
      <c r="E375" s="8" t="s">
        <v>80</v>
      </c>
      <c r="F375" s="8" t="s">
        <v>483</v>
      </c>
      <c r="G375" s="16">
        <v>0.375</v>
      </c>
      <c r="H375" s="8" t="s">
        <v>484</v>
      </c>
      <c r="I375" s="14" t="s">
        <v>484</v>
      </c>
      <c r="J375" s="15">
        <v>21348299</v>
      </c>
      <c r="K375" s="8" t="s">
        <v>262</v>
      </c>
      <c r="L375" s="8" t="s">
        <v>263</v>
      </c>
      <c r="M375" s="8" t="str">
        <f>CONCATENATE(L375," ",K375)</f>
        <v>BARRY BRENNER</v>
      </c>
      <c r="N375" s="8" t="s">
        <v>57</v>
      </c>
      <c r="O375" s="9">
        <v>46054</v>
      </c>
      <c r="P375" s="9">
        <v>46143</v>
      </c>
      <c r="Q375" s="23">
        <f>DATEDIF(O375,P375,"M")</f>
        <v>3</v>
      </c>
      <c r="R375" s="33" t="s">
        <v>536</v>
      </c>
      <c r="S375" s="33" t="s">
        <v>1037</v>
      </c>
      <c r="T375" s="10">
        <v>374.42</v>
      </c>
      <c r="U375" s="8">
        <v>1</v>
      </c>
      <c r="V375" s="8" t="s">
        <v>58</v>
      </c>
      <c r="W375" s="8" t="s">
        <v>60</v>
      </c>
      <c r="X375" s="8" t="s">
        <v>61</v>
      </c>
      <c r="Y375" s="10">
        <v>140.41</v>
      </c>
    </row>
    <row r="376" spans="1:25" s="8" customFormat="1" x14ac:dyDescent="0.3">
      <c r="A376" s="8">
        <v>2033220286</v>
      </c>
      <c r="B376" s="8" t="s">
        <v>431</v>
      </c>
      <c r="C376" s="8" t="s">
        <v>432</v>
      </c>
      <c r="D376" s="8" t="str">
        <f t="shared" si="5"/>
        <v>TIFFANY MCBRIDE</v>
      </c>
      <c r="E376" s="8" t="s">
        <v>141</v>
      </c>
      <c r="F376" s="8" t="s">
        <v>444</v>
      </c>
      <c r="G376" s="13">
        <v>0.75</v>
      </c>
      <c r="H376" s="8" t="s">
        <v>454</v>
      </c>
      <c r="I376" s="14" t="s">
        <v>980</v>
      </c>
      <c r="J376" s="15">
        <v>8307933</v>
      </c>
      <c r="K376" s="8" t="s">
        <v>55</v>
      </c>
      <c r="L376" s="8" t="s">
        <v>56</v>
      </c>
      <c r="M376" s="8" t="str">
        <f>CONCATENATE(L376," ",K376)</f>
        <v>GREGORY TEIPEL</v>
      </c>
      <c r="N376" s="8" t="s">
        <v>57</v>
      </c>
      <c r="O376" s="9">
        <v>46059</v>
      </c>
      <c r="P376" s="9">
        <v>46148</v>
      </c>
      <c r="Q376" s="23">
        <f>DATEDIF(O376,P376,"M")</f>
        <v>3</v>
      </c>
      <c r="R376" s="33" t="s">
        <v>536</v>
      </c>
      <c r="S376" s="33" t="s">
        <v>1037</v>
      </c>
      <c r="T376" s="10">
        <v>-80.55</v>
      </c>
      <c r="U376" s="8">
        <v>1</v>
      </c>
      <c r="V376" s="8" t="s">
        <v>58</v>
      </c>
      <c r="W376" s="8" t="s">
        <v>60</v>
      </c>
      <c r="X376" s="8" t="s">
        <v>61</v>
      </c>
      <c r="Y376" s="10">
        <v>-60.41</v>
      </c>
    </row>
    <row r="377" spans="1:25" s="8" customFormat="1" x14ac:dyDescent="0.3">
      <c r="A377" s="8">
        <v>2033144397</v>
      </c>
      <c r="B377" s="8" t="s">
        <v>402</v>
      </c>
      <c r="C377" s="8" t="s">
        <v>403</v>
      </c>
      <c r="D377" s="8" t="str">
        <f t="shared" si="5"/>
        <v>JORDIS LUNDGREN</v>
      </c>
      <c r="E377" s="8" t="s">
        <v>404</v>
      </c>
      <c r="F377" s="8" t="s">
        <v>444</v>
      </c>
      <c r="G377" s="13">
        <v>0.75</v>
      </c>
      <c r="H377" s="8" t="s">
        <v>454</v>
      </c>
      <c r="I377" s="14" t="s">
        <v>980</v>
      </c>
      <c r="J377" s="15">
        <v>8307933</v>
      </c>
      <c r="K377" s="8" t="s">
        <v>55</v>
      </c>
      <c r="L377" s="8" t="s">
        <v>56</v>
      </c>
      <c r="M377" s="8" t="str">
        <f>CONCATENATE(L377," ",K377)</f>
        <v>GREGORY TEIPEL</v>
      </c>
      <c r="N377" s="8" t="s">
        <v>57</v>
      </c>
      <c r="O377" s="9">
        <v>46059</v>
      </c>
      <c r="P377" s="9">
        <v>46148</v>
      </c>
      <c r="Q377" s="23">
        <f>DATEDIF(O377,P377,"M")</f>
        <v>3</v>
      </c>
      <c r="R377" s="33" t="s">
        <v>536</v>
      </c>
      <c r="S377" s="33" t="s">
        <v>1037</v>
      </c>
      <c r="T377" s="10">
        <v>24.4</v>
      </c>
      <c r="U377" s="8">
        <v>1</v>
      </c>
      <c r="V377" s="8" t="s">
        <v>58</v>
      </c>
      <c r="W377" s="8" t="s">
        <v>60</v>
      </c>
      <c r="X377" s="8" t="s">
        <v>61</v>
      </c>
      <c r="Y377" s="10">
        <v>18.3</v>
      </c>
    </row>
    <row r="378" spans="1:25" s="8" customFormat="1" x14ac:dyDescent="0.3">
      <c r="A378" s="8">
        <v>2033220285</v>
      </c>
      <c r="B378" s="8" t="s">
        <v>431</v>
      </c>
      <c r="C378" s="8" t="s">
        <v>432</v>
      </c>
      <c r="D378" s="8" t="str">
        <f t="shared" si="5"/>
        <v>TIFFANY MCBRIDE</v>
      </c>
      <c r="E378" s="8" t="s">
        <v>141</v>
      </c>
      <c r="F378" s="8" t="s">
        <v>53</v>
      </c>
      <c r="G378" s="13">
        <v>0.7</v>
      </c>
      <c r="H378" s="8" t="s">
        <v>54</v>
      </c>
      <c r="I378" s="14" t="s">
        <v>54</v>
      </c>
      <c r="J378" s="15">
        <v>8307933</v>
      </c>
      <c r="K378" s="8" t="s">
        <v>55</v>
      </c>
      <c r="L378" s="8" t="s">
        <v>56</v>
      </c>
      <c r="M378" s="8" t="str">
        <f>CONCATENATE(L378," ",K378)</f>
        <v>GREGORY TEIPEL</v>
      </c>
      <c r="N378" s="8" t="s">
        <v>57</v>
      </c>
      <c r="O378" s="9">
        <v>46059</v>
      </c>
      <c r="P378" s="9">
        <v>46148</v>
      </c>
      <c r="Q378" s="23">
        <f>DATEDIF(O378,P378,"M")</f>
        <v>3</v>
      </c>
      <c r="R378" s="33" t="s">
        <v>536</v>
      </c>
      <c r="S378" s="33" t="s">
        <v>1037</v>
      </c>
      <c r="T378" s="10">
        <v>-51.19</v>
      </c>
      <c r="U378" s="8">
        <v>1</v>
      </c>
      <c r="V378" s="8" t="s">
        <v>58</v>
      </c>
      <c r="W378" s="8" t="s">
        <v>60</v>
      </c>
      <c r="X378" s="8" t="s">
        <v>61</v>
      </c>
      <c r="Y378" s="10">
        <v>-35.83</v>
      </c>
    </row>
    <row r="379" spans="1:25" s="8" customFormat="1" x14ac:dyDescent="0.3">
      <c r="A379" s="8">
        <v>2033144396</v>
      </c>
      <c r="B379" s="8" t="s">
        <v>402</v>
      </c>
      <c r="C379" s="8" t="s">
        <v>403</v>
      </c>
      <c r="D379" s="8" t="str">
        <f t="shared" si="5"/>
        <v>JORDIS LUNDGREN</v>
      </c>
      <c r="E379" s="8" t="s">
        <v>404</v>
      </c>
      <c r="F379" s="8" t="s">
        <v>53</v>
      </c>
      <c r="G379" s="13">
        <v>0.7</v>
      </c>
      <c r="H379" s="8" t="s">
        <v>54</v>
      </c>
      <c r="I379" s="14" t="s">
        <v>54</v>
      </c>
      <c r="J379" s="15">
        <v>8307933</v>
      </c>
      <c r="K379" s="8" t="s">
        <v>55</v>
      </c>
      <c r="L379" s="8" t="s">
        <v>56</v>
      </c>
      <c r="M379" s="8" t="str">
        <f>CONCATENATE(L379," ",K379)</f>
        <v>GREGORY TEIPEL</v>
      </c>
      <c r="N379" s="8" t="s">
        <v>57</v>
      </c>
      <c r="O379" s="9">
        <v>46059</v>
      </c>
      <c r="P379" s="9">
        <v>46148</v>
      </c>
      <c r="Q379" s="23">
        <f>DATEDIF(O379,P379,"M")</f>
        <v>3</v>
      </c>
      <c r="R379" s="33" t="s">
        <v>536</v>
      </c>
      <c r="S379" s="33" t="s">
        <v>1037</v>
      </c>
      <c r="T379" s="10">
        <v>31.28</v>
      </c>
      <c r="U379" s="8">
        <v>1</v>
      </c>
      <c r="V379" s="8" t="s">
        <v>58</v>
      </c>
      <c r="W379" s="8" t="s">
        <v>60</v>
      </c>
      <c r="X379" s="8" t="s">
        <v>61</v>
      </c>
      <c r="Y379" s="10">
        <v>21.9</v>
      </c>
    </row>
    <row r="380" spans="1:25" s="8" customFormat="1" x14ac:dyDescent="0.3">
      <c r="A380" s="8">
        <v>2033144398</v>
      </c>
      <c r="B380" s="8" t="s">
        <v>402</v>
      </c>
      <c r="C380" s="8" t="s">
        <v>403</v>
      </c>
      <c r="D380" s="8" t="str">
        <f t="shared" si="5"/>
        <v>JORDIS LUNDGREN</v>
      </c>
      <c r="E380" s="8" t="s">
        <v>404</v>
      </c>
      <c r="F380" s="8" t="s">
        <v>483</v>
      </c>
      <c r="G380" s="16">
        <v>0.375</v>
      </c>
      <c r="H380" s="8" t="s">
        <v>484</v>
      </c>
      <c r="I380" s="14" t="s">
        <v>484</v>
      </c>
      <c r="J380" s="15">
        <v>8307933</v>
      </c>
      <c r="K380" s="8" t="s">
        <v>55</v>
      </c>
      <c r="L380" s="8" t="s">
        <v>56</v>
      </c>
      <c r="M380" s="8" t="str">
        <f>CONCATENATE(L380," ",K380)</f>
        <v>GREGORY TEIPEL</v>
      </c>
      <c r="N380" s="8" t="s">
        <v>57</v>
      </c>
      <c r="O380" s="9">
        <v>46059</v>
      </c>
      <c r="P380" s="9">
        <v>46148</v>
      </c>
      <c r="Q380" s="23">
        <f>DATEDIF(O380,P380,"M")</f>
        <v>3</v>
      </c>
      <c r="R380" s="33" t="s">
        <v>536</v>
      </c>
      <c r="S380" s="33" t="s">
        <v>1037</v>
      </c>
      <c r="T380" s="10">
        <v>45.42</v>
      </c>
      <c r="U380" s="8">
        <v>1</v>
      </c>
      <c r="V380" s="8" t="s">
        <v>58</v>
      </c>
      <c r="W380" s="8" t="s">
        <v>60</v>
      </c>
      <c r="X380" s="8" t="s">
        <v>61</v>
      </c>
      <c r="Y380" s="10">
        <v>17.03</v>
      </c>
    </row>
    <row r="381" spans="1:25" s="8" customFormat="1" x14ac:dyDescent="0.3">
      <c r="A381" s="8">
        <v>2033578547</v>
      </c>
      <c r="B381" s="8" t="s">
        <v>624</v>
      </c>
      <c r="C381" s="8" t="s">
        <v>625</v>
      </c>
      <c r="D381" s="8" t="str">
        <f t="shared" si="5"/>
        <v>MICHELLE ENGELSKIRCH</v>
      </c>
      <c r="E381" s="8" t="s">
        <v>93</v>
      </c>
      <c r="F381" s="8" t="s">
        <v>444</v>
      </c>
      <c r="G381" s="13">
        <v>0.9</v>
      </c>
      <c r="H381" s="8" t="s">
        <v>567</v>
      </c>
      <c r="I381" s="14" t="s">
        <v>981</v>
      </c>
      <c r="J381" s="15">
        <v>20872981</v>
      </c>
      <c r="K381" s="8" t="s">
        <v>213</v>
      </c>
      <c r="L381" s="8" t="s">
        <v>214</v>
      </c>
      <c r="M381" s="8" t="str">
        <f>CONCATENATE(L381," ",K381)</f>
        <v>Robert Adcock</v>
      </c>
      <c r="N381" s="8" t="s">
        <v>57</v>
      </c>
      <c r="O381" s="9">
        <v>46066</v>
      </c>
      <c r="P381" s="9">
        <v>46155</v>
      </c>
      <c r="Q381" s="23">
        <f>DATEDIF(O381,P381,"M")</f>
        <v>3</v>
      </c>
      <c r="R381" s="33" t="s">
        <v>536</v>
      </c>
      <c r="S381" s="33" t="s">
        <v>1037</v>
      </c>
      <c r="T381" s="10">
        <v>138</v>
      </c>
      <c r="U381" s="8">
        <v>1</v>
      </c>
      <c r="V381" s="8" t="s">
        <v>58</v>
      </c>
      <c r="W381" s="8" t="s">
        <v>60</v>
      </c>
      <c r="X381" s="8" t="s">
        <v>61</v>
      </c>
      <c r="Y381" s="10">
        <v>124.2</v>
      </c>
    </row>
    <row r="382" spans="1:25" s="8" customFormat="1" x14ac:dyDescent="0.3">
      <c r="A382" s="8">
        <v>2033609328</v>
      </c>
      <c r="B382" s="8" t="s">
        <v>664</v>
      </c>
      <c r="C382" s="8" t="s">
        <v>665</v>
      </c>
      <c r="D382" s="8" t="str">
        <f t="shared" si="5"/>
        <v>YU JAO</v>
      </c>
      <c r="E382" s="8" t="s">
        <v>223</v>
      </c>
      <c r="F382" s="8" t="s">
        <v>475</v>
      </c>
      <c r="G382" s="13">
        <v>0.28999999999999998</v>
      </c>
      <c r="H382" s="8" t="s">
        <v>482</v>
      </c>
      <c r="I382" s="14" t="s">
        <v>994</v>
      </c>
      <c r="J382" s="15">
        <v>8977234</v>
      </c>
      <c r="K382" s="8" t="s">
        <v>115</v>
      </c>
      <c r="L382" s="8" t="s">
        <v>116</v>
      </c>
      <c r="M382" s="8" t="str">
        <f>CONCATENATE(L382," ",K382)</f>
        <v>RYAN CALTAGIRONE</v>
      </c>
      <c r="N382" s="8" t="s">
        <v>57</v>
      </c>
      <c r="O382" s="9">
        <v>46065</v>
      </c>
      <c r="P382" s="9">
        <v>46154</v>
      </c>
      <c r="Q382" s="23">
        <f>DATEDIF(O382,P382,"M")</f>
        <v>3</v>
      </c>
      <c r="R382" s="33" t="s">
        <v>536</v>
      </c>
      <c r="S382" s="33" t="s">
        <v>1037</v>
      </c>
      <c r="T382" s="10">
        <v>15</v>
      </c>
      <c r="U382" s="8">
        <v>1</v>
      </c>
      <c r="V382" s="8" t="s">
        <v>58</v>
      </c>
      <c r="W382" s="8" t="s">
        <v>60</v>
      </c>
      <c r="X382" s="8" t="s">
        <v>61</v>
      </c>
      <c r="Y382" s="10">
        <v>4.3499999999999996</v>
      </c>
    </row>
    <row r="383" spans="1:25" s="8" customFormat="1" x14ac:dyDescent="0.3">
      <c r="A383" s="8">
        <v>2033609326</v>
      </c>
      <c r="B383" s="8" t="s">
        <v>664</v>
      </c>
      <c r="C383" s="8" t="s">
        <v>665</v>
      </c>
      <c r="D383" s="8" t="str">
        <f t="shared" si="5"/>
        <v>YU JAO</v>
      </c>
      <c r="E383" s="8" t="s">
        <v>223</v>
      </c>
      <c r="F383" s="8" t="s">
        <v>524</v>
      </c>
      <c r="G383" s="13">
        <v>0.28999999999999998</v>
      </c>
      <c r="H383" s="8" t="s">
        <v>528</v>
      </c>
      <c r="I383" s="14" t="s">
        <v>528</v>
      </c>
      <c r="J383" s="15">
        <v>8977234</v>
      </c>
      <c r="K383" s="8" t="s">
        <v>115</v>
      </c>
      <c r="L383" s="8" t="s">
        <v>116</v>
      </c>
      <c r="M383" s="8" t="str">
        <f>CONCATENATE(L383," ",K383)</f>
        <v>RYAN CALTAGIRONE</v>
      </c>
      <c r="N383" s="8" t="s">
        <v>57</v>
      </c>
      <c r="O383" s="9">
        <v>46065</v>
      </c>
      <c r="P383" s="9">
        <v>46154</v>
      </c>
      <c r="Q383" s="23">
        <f>DATEDIF(O383,P383,"M")</f>
        <v>3</v>
      </c>
      <c r="R383" s="33" t="s">
        <v>536</v>
      </c>
      <c r="S383" s="33" t="s">
        <v>1037</v>
      </c>
      <c r="T383" s="10">
        <v>111.32</v>
      </c>
      <c r="U383" s="8">
        <v>1</v>
      </c>
      <c r="V383" s="8" t="s">
        <v>58</v>
      </c>
      <c r="W383" s="8" t="s">
        <v>60</v>
      </c>
      <c r="X383" s="8" t="s">
        <v>61</v>
      </c>
      <c r="Y383" s="10">
        <v>32.28</v>
      </c>
    </row>
    <row r="384" spans="1:25" s="8" customFormat="1" x14ac:dyDescent="0.3">
      <c r="A384" s="8">
        <v>2033609327</v>
      </c>
      <c r="B384" s="8" t="s">
        <v>664</v>
      </c>
      <c r="C384" s="8" t="s">
        <v>665</v>
      </c>
      <c r="D384" s="8" t="str">
        <f t="shared" si="5"/>
        <v>YU JAO</v>
      </c>
      <c r="E384" s="8" t="s">
        <v>223</v>
      </c>
      <c r="F384" s="8" t="s">
        <v>53</v>
      </c>
      <c r="G384" s="13">
        <v>0.7</v>
      </c>
      <c r="H384" s="8" t="s">
        <v>54</v>
      </c>
      <c r="I384" s="14" t="s">
        <v>54</v>
      </c>
      <c r="J384" s="15">
        <v>8977234</v>
      </c>
      <c r="K384" s="8" t="s">
        <v>115</v>
      </c>
      <c r="L384" s="8" t="s">
        <v>116</v>
      </c>
      <c r="M384" s="8" t="str">
        <f>CONCATENATE(L384," ",K384)</f>
        <v>RYAN CALTAGIRONE</v>
      </c>
      <c r="N384" s="8" t="s">
        <v>57</v>
      </c>
      <c r="O384" s="9">
        <v>46065</v>
      </c>
      <c r="P384" s="9">
        <v>46154</v>
      </c>
      <c r="Q384" s="23">
        <f>DATEDIF(O384,P384,"M")</f>
        <v>3</v>
      </c>
      <c r="R384" s="33" t="s">
        <v>536</v>
      </c>
      <c r="S384" s="33" t="s">
        <v>1037</v>
      </c>
      <c r="T384" s="10">
        <v>75.69</v>
      </c>
      <c r="U384" s="8">
        <v>1</v>
      </c>
      <c r="V384" s="8" t="s">
        <v>58</v>
      </c>
      <c r="W384" s="8" t="s">
        <v>60</v>
      </c>
      <c r="X384" s="8" t="s">
        <v>61</v>
      </c>
      <c r="Y384" s="10">
        <v>52.98</v>
      </c>
    </row>
    <row r="385" spans="1:25" s="8" customFormat="1" x14ac:dyDescent="0.3">
      <c r="A385" s="8">
        <v>2033170077</v>
      </c>
      <c r="B385" s="8" t="s">
        <v>623</v>
      </c>
      <c r="C385" s="8" t="s">
        <v>453</v>
      </c>
      <c r="D385" s="8" t="str">
        <f t="shared" si="5"/>
        <v>KATHERINE CEZAR</v>
      </c>
      <c r="E385" s="8" t="s">
        <v>93</v>
      </c>
      <c r="F385" s="8" t="s">
        <v>444</v>
      </c>
      <c r="G385" s="13">
        <v>0.9</v>
      </c>
      <c r="H385" s="8" t="s">
        <v>567</v>
      </c>
      <c r="I385" s="14" t="s">
        <v>981</v>
      </c>
      <c r="J385" s="15">
        <v>9079571</v>
      </c>
      <c r="K385" s="8" t="s">
        <v>164</v>
      </c>
      <c r="L385" s="8" t="s">
        <v>165</v>
      </c>
      <c r="M385" s="8" t="str">
        <f>CONCATENATE(L385," ",K385)</f>
        <v>ADAM RICHTER</v>
      </c>
      <c r="N385" s="8" t="s">
        <v>57</v>
      </c>
      <c r="O385" s="9">
        <v>46038</v>
      </c>
      <c r="P385" s="9">
        <v>46158</v>
      </c>
      <c r="Q385" s="23">
        <f>DATEDIF(O385,P385,"M")</f>
        <v>4</v>
      </c>
      <c r="R385" s="33" t="s">
        <v>536</v>
      </c>
      <c r="S385" s="33" t="s">
        <v>1037</v>
      </c>
      <c r="T385" s="10">
        <v>26.54</v>
      </c>
      <c r="U385" s="8">
        <v>1</v>
      </c>
      <c r="V385" s="8" t="s">
        <v>58</v>
      </c>
      <c r="W385" s="8" t="s">
        <v>60</v>
      </c>
      <c r="X385" s="8" t="s">
        <v>61</v>
      </c>
      <c r="Y385" s="10">
        <v>23.89</v>
      </c>
    </row>
    <row r="386" spans="1:25" s="8" customFormat="1" x14ac:dyDescent="0.3">
      <c r="A386" s="8">
        <v>2033057488</v>
      </c>
      <c r="B386" s="8" t="s">
        <v>367</v>
      </c>
      <c r="C386" s="8" t="s">
        <v>368</v>
      </c>
      <c r="D386" s="8" t="str">
        <f t="shared" si="5"/>
        <v>TAYLOR MONBRUM</v>
      </c>
      <c r="E386" s="8" t="s">
        <v>80</v>
      </c>
      <c r="F386" s="8" t="s">
        <v>53</v>
      </c>
      <c r="G386" s="13">
        <v>0.7</v>
      </c>
      <c r="H386" s="8" t="s">
        <v>54</v>
      </c>
      <c r="I386" s="14" t="s">
        <v>54</v>
      </c>
      <c r="J386" s="15" t="s">
        <v>1017</v>
      </c>
      <c r="K386" s="8" t="s">
        <v>262</v>
      </c>
      <c r="L386" s="8" t="s">
        <v>263</v>
      </c>
      <c r="M386" s="8" t="str">
        <f>CONCATENATE(L386," ",K386)</f>
        <v>BARRY BRENNER</v>
      </c>
      <c r="N386" s="8" t="s">
        <v>57</v>
      </c>
      <c r="O386" s="9">
        <v>46037</v>
      </c>
      <c r="P386" s="9">
        <v>46157</v>
      </c>
      <c r="Q386" s="23">
        <f>DATEDIF(O386,P386,"M")</f>
        <v>4</v>
      </c>
      <c r="R386" s="33" t="s">
        <v>536</v>
      </c>
      <c r="S386" s="33" t="s">
        <v>1037</v>
      </c>
      <c r="T386" s="10">
        <v>11.5</v>
      </c>
      <c r="U386" s="8">
        <v>1</v>
      </c>
      <c r="V386" s="8" t="s">
        <v>58</v>
      </c>
      <c r="W386" s="8" t="s">
        <v>60</v>
      </c>
      <c r="X386" s="8" t="s">
        <v>61</v>
      </c>
      <c r="Y386" s="10">
        <v>8.0500000000000007</v>
      </c>
    </row>
    <row r="387" spans="1:25" s="8" customFormat="1" x14ac:dyDescent="0.3">
      <c r="A387" s="8">
        <v>2033057489</v>
      </c>
      <c r="B387" s="8" t="s">
        <v>367</v>
      </c>
      <c r="C387" s="8" t="s">
        <v>368</v>
      </c>
      <c r="D387" s="8" t="str">
        <f t="shared" ref="D387:D450" si="6">CONCATENATE(C387," ",B387)</f>
        <v>TAYLOR MONBRUM</v>
      </c>
      <c r="E387" s="8" t="s">
        <v>80</v>
      </c>
      <c r="F387" s="8" t="s">
        <v>483</v>
      </c>
      <c r="G387" s="16">
        <v>0.375</v>
      </c>
      <c r="H387" s="8" t="s">
        <v>484</v>
      </c>
      <c r="I387" s="14" t="s">
        <v>484</v>
      </c>
      <c r="J387" s="15" t="s">
        <v>1017</v>
      </c>
      <c r="K387" s="8" t="s">
        <v>262</v>
      </c>
      <c r="L387" s="8" t="s">
        <v>263</v>
      </c>
      <c r="M387" s="8" t="str">
        <f>CONCATENATE(L387," ",K387)</f>
        <v>BARRY BRENNER</v>
      </c>
      <c r="N387" s="8" t="s">
        <v>57</v>
      </c>
      <c r="O387" s="9">
        <v>46037</v>
      </c>
      <c r="P387" s="9">
        <v>46157</v>
      </c>
      <c r="Q387" s="23">
        <f>DATEDIF(O387,P387,"M")</f>
        <v>4</v>
      </c>
      <c r="R387" s="33" t="s">
        <v>536</v>
      </c>
      <c r="S387" s="33" t="s">
        <v>1037</v>
      </c>
      <c r="T387" s="10">
        <v>54.7</v>
      </c>
      <c r="U387" s="8">
        <v>1</v>
      </c>
      <c r="V387" s="8" t="s">
        <v>58</v>
      </c>
      <c r="W387" s="8" t="s">
        <v>60</v>
      </c>
      <c r="X387" s="8" t="s">
        <v>61</v>
      </c>
      <c r="Y387" s="10">
        <v>20.51</v>
      </c>
    </row>
    <row r="388" spans="1:25" s="8" customFormat="1" x14ac:dyDescent="0.3">
      <c r="A388" s="8">
        <v>2032628420</v>
      </c>
      <c r="B388" s="8" t="s">
        <v>319</v>
      </c>
      <c r="C388" s="8" t="s">
        <v>320</v>
      </c>
      <c r="D388" s="8" t="str">
        <f t="shared" si="6"/>
        <v>LISA EMS</v>
      </c>
      <c r="E388" s="8" t="s">
        <v>75</v>
      </c>
      <c r="F388" s="8" t="s">
        <v>53</v>
      </c>
      <c r="G388" s="13">
        <v>0.7</v>
      </c>
      <c r="H388" s="8" t="s">
        <v>54</v>
      </c>
      <c r="I388" s="14" t="s">
        <v>54</v>
      </c>
      <c r="J388" s="15">
        <v>20003537</v>
      </c>
      <c r="K388" s="8" t="s">
        <v>120</v>
      </c>
      <c r="L388" s="8" t="s">
        <v>183</v>
      </c>
      <c r="M388" s="8" t="str">
        <f>CONCATENATE(L388," ",K388)</f>
        <v>Chad Yale</v>
      </c>
      <c r="N388" s="8" t="s">
        <v>57</v>
      </c>
      <c r="O388" s="9">
        <v>46023</v>
      </c>
      <c r="P388" s="9">
        <v>46143</v>
      </c>
      <c r="Q388" s="23">
        <f>DATEDIF(O388,P388,"M")</f>
        <v>4</v>
      </c>
      <c r="R388" s="33" t="s">
        <v>536</v>
      </c>
      <c r="S388" s="33" t="s">
        <v>1037</v>
      </c>
      <c r="T388" s="10">
        <v>194.5</v>
      </c>
      <c r="U388" s="8">
        <v>1</v>
      </c>
      <c r="V388" s="8" t="s">
        <v>58</v>
      </c>
      <c r="W388" s="8" t="s">
        <v>60</v>
      </c>
      <c r="X388" s="8" t="s">
        <v>61</v>
      </c>
      <c r="Y388" s="10">
        <v>136.15</v>
      </c>
    </row>
    <row r="389" spans="1:25" s="8" customFormat="1" x14ac:dyDescent="0.3">
      <c r="A389" s="8">
        <v>2033141960</v>
      </c>
      <c r="B389" s="8" t="s">
        <v>864</v>
      </c>
      <c r="C389" s="8" t="s">
        <v>865</v>
      </c>
      <c r="D389" s="8" t="str">
        <f t="shared" si="6"/>
        <v>JOSHUA AVENT</v>
      </c>
      <c r="E389" s="8" t="s">
        <v>182</v>
      </c>
      <c r="F389" s="8" t="s">
        <v>483</v>
      </c>
      <c r="G389" s="16">
        <v>0.375</v>
      </c>
      <c r="H389" s="8" t="s">
        <v>484</v>
      </c>
      <c r="I389" s="14" t="s">
        <v>484</v>
      </c>
      <c r="J389" s="15">
        <v>17437820</v>
      </c>
      <c r="K389" s="8" t="s">
        <v>655</v>
      </c>
      <c r="L389" s="8" t="s">
        <v>656</v>
      </c>
      <c r="M389" s="8" t="str">
        <f>CONCATENATE(L389," ",K389)</f>
        <v>COLLEEN FINNIGAN</v>
      </c>
      <c r="N389" s="8" t="s">
        <v>57</v>
      </c>
      <c r="O389" s="9">
        <v>46037</v>
      </c>
      <c r="P389" s="9">
        <v>46157</v>
      </c>
      <c r="Q389" s="23">
        <f>DATEDIF(O389,P389,"M")</f>
        <v>4</v>
      </c>
      <c r="R389" s="33" t="s">
        <v>536</v>
      </c>
      <c r="S389" s="33" t="s">
        <v>1037</v>
      </c>
      <c r="T389" s="10">
        <v>94.2</v>
      </c>
      <c r="U389" s="8">
        <v>1</v>
      </c>
      <c r="V389" s="8" t="s">
        <v>58</v>
      </c>
      <c r="W389" s="8" t="s">
        <v>60</v>
      </c>
      <c r="X389" s="8" t="s">
        <v>61</v>
      </c>
      <c r="Y389" s="10">
        <v>35.32</v>
      </c>
    </row>
    <row r="390" spans="1:25" s="8" customFormat="1" x14ac:dyDescent="0.3">
      <c r="A390" s="8">
        <v>2032195793</v>
      </c>
      <c r="B390" s="8" t="s">
        <v>283</v>
      </c>
      <c r="C390" s="8" t="s">
        <v>284</v>
      </c>
      <c r="D390" s="8" t="str">
        <f t="shared" si="6"/>
        <v>NIKEITA GALLIMORE</v>
      </c>
      <c r="E390" s="8" t="s">
        <v>80</v>
      </c>
      <c r="F390" s="8" t="s">
        <v>53</v>
      </c>
      <c r="G390" s="13">
        <v>0.7</v>
      </c>
      <c r="H390" s="8" t="s">
        <v>54</v>
      </c>
      <c r="I390" s="14" t="s">
        <v>54</v>
      </c>
      <c r="J390" s="15">
        <v>9213293</v>
      </c>
      <c r="K390" s="8" t="s">
        <v>171</v>
      </c>
      <c r="L390" s="8" t="s">
        <v>172</v>
      </c>
      <c r="M390" s="8" t="str">
        <f>CONCATENATE(L390," ",K390)</f>
        <v>GARY PORTUGAL</v>
      </c>
      <c r="N390" s="8" t="s">
        <v>57</v>
      </c>
      <c r="O390" s="9">
        <v>46023</v>
      </c>
      <c r="P390" s="9">
        <v>46143</v>
      </c>
      <c r="Q390" s="23">
        <f>DATEDIF(O390,P390,"M")</f>
        <v>4</v>
      </c>
      <c r="R390" s="33" t="s">
        <v>536</v>
      </c>
      <c r="S390" s="33" t="s">
        <v>1037</v>
      </c>
      <c r="T390" s="10">
        <v>11.5</v>
      </c>
      <c r="U390" s="8">
        <v>1</v>
      </c>
      <c r="V390" s="8" t="s">
        <v>58</v>
      </c>
      <c r="W390" s="8" t="s">
        <v>60</v>
      </c>
      <c r="X390" s="8" t="s">
        <v>61</v>
      </c>
      <c r="Y390" s="10">
        <v>8.0500000000000007</v>
      </c>
    </row>
    <row r="391" spans="1:25" s="8" customFormat="1" x14ac:dyDescent="0.3">
      <c r="A391" s="8">
        <v>2033120369</v>
      </c>
      <c r="B391" s="8" t="s">
        <v>386</v>
      </c>
      <c r="C391" s="8" t="s">
        <v>387</v>
      </c>
      <c r="D391" s="8" t="str">
        <f t="shared" si="6"/>
        <v>JOHANNA NELSON</v>
      </c>
      <c r="E391" s="8" t="s">
        <v>52</v>
      </c>
      <c r="F391" s="8" t="s">
        <v>53</v>
      </c>
      <c r="G391" s="13">
        <v>0.7</v>
      </c>
      <c r="H391" s="8" t="s">
        <v>54</v>
      </c>
      <c r="I391" s="14" t="s">
        <v>54</v>
      </c>
      <c r="J391" s="15">
        <v>9213293</v>
      </c>
      <c r="K391" s="8" t="s">
        <v>171</v>
      </c>
      <c r="L391" s="8" t="s">
        <v>172</v>
      </c>
      <c r="M391" s="8" t="str">
        <f>CONCATENATE(L391," ",K391)</f>
        <v>GARY PORTUGAL</v>
      </c>
      <c r="N391" s="8" t="s">
        <v>57</v>
      </c>
      <c r="O391" s="9">
        <v>46036</v>
      </c>
      <c r="P391" s="9">
        <v>46156</v>
      </c>
      <c r="Q391" s="23">
        <f>DATEDIF(O391,P391,"M")</f>
        <v>4</v>
      </c>
      <c r="R391" s="33" t="s">
        <v>536</v>
      </c>
      <c r="S391" s="33" t="s">
        <v>1037</v>
      </c>
      <c r="T391" s="10">
        <v>41.59</v>
      </c>
      <c r="U391" s="8">
        <v>1</v>
      </c>
      <c r="V391" s="8" t="s">
        <v>58</v>
      </c>
      <c r="W391" s="8" t="s">
        <v>60</v>
      </c>
      <c r="X391" s="8" t="s">
        <v>61</v>
      </c>
      <c r="Y391" s="10">
        <v>29.11</v>
      </c>
    </row>
    <row r="392" spans="1:25" s="8" customFormat="1" x14ac:dyDescent="0.3">
      <c r="A392" s="8">
        <v>2032195794</v>
      </c>
      <c r="B392" s="8" t="s">
        <v>283</v>
      </c>
      <c r="C392" s="8" t="s">
        <v>284</v>
      </c>
      <c r="D392" s="8" t="str">
        <f t="shared" si="6"/>
        <v>NIKEITA GALLIMORE</v>
      </c>
      <c r="E392" s="8" t="s">
        <v>80</v>
      </c>
      <c r="F392" s="8" t="s">
        <v>483</v>
      </c>
      <c r="G392" s="16">
        <v>0.375</v>
      </c>
      <c r="H392" s="8" t="s">
        <v>484</v>
      </c>
      <c r="I392" s="14" t="s">
        <v>484</v>
      </c>
      <c r="J392" s="15">
        <v>9213293</v>
      </c>
      <c r="K392" s="8" t="s">
        <v>171</v>
      </c>
      <c r="L392" s="8" t="s">
        <v>172</v>
      </c>
      <c r="M392" s="8" t="str">
        <f>CONCATENATE(L392," ",K392)</f>
        <v>GARY PORTUGAL</v>
      </c>
      <c r="N392" s="8" t="s">
        <v>57</v>
      </c>
      <c r="O392" s="9">
        <v>46023</v>
      </c>
      <c r="P392" s="9">
        <v>46143</v>
      </c>
      <c r="Q392" s="23">
        <f>DATEDIF(O392,P392,"M")</f>
        <v>4</v>
      </c>
      <c r="R392" s="33" t="s">
        <v>536</v>
      </c>
      <c r="S392" s="33" t="s">
        <v>1037</v>
      </c>
      <c r="T392" s="10">
        <v>78.760000000000005</v>
      </c>
      <c r="U392" s="8">
        <v>1</v>
      </c>
      <c r="V392" s="8" t="s">
        <v>58</v>
      </c>
      <c r="W392" s="8" t="s">
        <v>60</v>
      </c>
      <c r="X392" s="8" t="s">
        <v>61</v>
      </c>
      <c r="Y392" s="10">
        <v>29.54</v>
      </c>
    </row>
    <row r="393" spans="1:25" s="8" customFormat="1" x14ac:dyDescent="0.3">
      <c r="A393" s="8">
        <v>2033071419</v>
      </c>
      <c r="B393" s="8" t="s">
        <v>369</v>
      </c>
      <c r="C393" s="8" t="s">
        <v>370</v>
      </c>
      <c r="D393" s="8" t="str">
        <f t="shared" si="6"/>
        <v>PATRICK DOANE</v>
      </c>
      <c r="E393" s="8" t="s">
        <v>371</v>
      </c>
      <c r="F393" s="8" t="s">
        <v>444</v>
      </c>
      <c r="G393" s="13">
        <v>0.75</v>
      </c>
      <c r="H393" s="8" t="s">
        <v>454</v>
      </c>
      <c r="I393" s="14" t="s">
        <v>980</v>
      </c>
      <c r="J393" s="15">
        <v>8307933</v>
      </c>
      <c r="K393" s="8" t="s">
        <v>55</v>
      </c>
      <c r="L393" s="8" t="s">
        <v>56</v>
      </c>
      <c r="M393" s="8" t="str">
        <f>CONCATENATE(L393," ",K393)</f>
        <v>GREGORY TEIPEL</v>
      </c>
      <c r="N393" s="8" t="s">
        <v>57</v>
      </c>
      <c r="O393" s="9">
        <v>46034</v>
      </c>
      <c r="P393" s="9">
        <v>46154</v>
      </c>
      <c r="Q393" s="23">
        <f>DATEDIF(O393,P393,"M")</f>
        <v>4</v>
      </c>
      <c r="R393" s="33" t="s">
        <v>536</v>
      </c>
      <c r="S393" s="33" t="s">
        <v>1037</v>
      </c>
      <c r="T393" s="10">
        <v>302.35000000000002</v>
      </c>
      <c r="U393" s="8">
        <v>1</v>
      </c>
      <c r="V393" s="8" t="s">
        <v>58</v>
      </c>
      <c r="W393" s="8" t="s">
        <v>60</v>
      </c>
      <c r="X393" s="8" t="s">
        <v>61</v>
      </c>
      <c r="Y393" s="10">
        <v>226.76</v>
      </c>
    </row>
    <row r="394" spans="1:25" s="8" customFormat="1" x14ac:dyDescent="0.3">
      <c r="A394" s="8">
        <v>2033054176</v>
      </c>
      <c r="B394" s="8" t="s">
        <v>365</v>
      </c>
      <c r="C394" s="8" t="s">
        <v>366</v>
      </c>
      <c r="D394" s="8" t="str">
        <f t="shared" si="6"/>
        <v>CARLA CULTON</v>
      </c>
      <c r="E394" s="8" t="s">
        <v>70</v>
      </c>
      <c r="F394" s="8" t="s">
        <v>444</v>
      </c>
      <c r="G394" s="13">
        <v>0.75</v>
      </c>
      <c r="H394" s="8" t="s">
        <v>451</v>
      </c>
      <c r="I394" s="14" t="s">
        <v>980</v>
      </c>
      <c r="J394" s="15">
        <v>8307933</v>
      </c>
      <c r="K394" s="8" t="s">
        <v>55</v>
      </c>
      <c r="L394" s="8" t="s">
        <v>56</v>
      </c>
      <c r="M394" s="8" t="str">
        <f>CONCATENATE(L394," ",K394)</f>
        <v>GREGORY TEIPEL</v>
      </c>
      <c r="N394" s="8" t="s">
        <v>57</v>
      </c>
      <c r="O394" s="9">
        <v>46038</v>
      </c>
      <c r="P394" s="9">
        <v>46158</v>
      </c>
      <c r="Q394" s="23">
        <f>DATEDIF(O394,P394,"M")</f>
        <v>4</v>
      </c>
      <c r="R394" s="33" t="s">
        <v>536</v>
      </c>
      <c r="S394" s="33" t="s">
        <v>1037</v>
      </c>
      <c r="T394" s="10">
        <v>48.58</v>
      </c>
      <c r="U394" s="8">
        <v>1</v>
      </c>
      <c r="V394" s="8" t="s">
        <v>58</v>
      </c>
      <c r="W394" s="8" t="s">
        <v>60</v>
      </c>
      <c r="X394" s="8" t="s">
        <v>61</v>
      </c>
      <c r="Y394" s="10">
        <v>36.44</v>
      </c>
    </row>
    <row r="395" spans="1:25" s="8" customFormat="1" x14ac:dyDescent="0.3">
      <c r="A395" s="8">
        <v>2033071418</v>
      </c>
      <c r="B395" s="8" t="s">
        <v>369</v>
      </c>
      <c r="C395" s="8" t="s">
        <v>370</v>
      </c>
      <c r="D395" s="8" t="str">
        <f t="shared" si="6"/>
        <v>PATRICK DOANE</v>
      </c>
      <c r="E395" s="8" t="s">
        <v>371</v>
      </c>
      <c r="F395" s="8" t="s">
        <v>53</v>
      </c>
      <c r="G395" s="13">
        <v>0.7</v>
      </c>
      <c r="H395" s="8" t="s">
        <v>54</v>
      </c>
      <c r="I395" s="14" t="s">
        <v>54</v>
      </c>
      <c r="J395" s="15">
        <v>8307933</v>
      </c>
      <c r="K395" s="8" t="s">
        <v>55</v>
      </c>
      <c r="L395" s="8" t="s">
        <v>56</v>
      </c>
      <c r="M395" s="8" t="str">
        <f>CONCATENATE(L395," ",K395)</f>
        <v>GREGORY TEIPEL</v>
      </c>
      <c r="N395" s="8" t="s">
        <v>57</v>
      </c>
      <c r="O395" s="9">
        <v>46034</v>
      </c>
      <c r="P395" s="9">
        <v>46154</v>
      </c>
      <c r="Q395" s="23">
        <f>DATEDIF(O395,P395,"M")</f>
        <v>4</v>
      </c>
      <c r="R395" s="33" t="s">
        <v>536</v>
      </c>
      <c r="S395" s="33" t="s">
        <v>1037</v>
      </c>
      <c r="T395" s="10">
        <v>32.979999999999997</v>
      </c>
      <c r="U395" s="8">
        <v>1</v>
      </c>
      <c r="V395" s="8" t="s">
        <v>58</v>
      </c>
      <c r="W395" s="8" t="s">
        <v>60</v>
      </c>
      <c r="X395" s="8" t="s">
        <v>61</v>
      </c>
      <c r="Y395" s="10">
        <v>23.09</v>
      </c>
    </row>
    <row r="396" spans="1:25" s="8" customFormat="1" x14ac:dyDescent="0.3">
      <c r="A396" s="8">
        <v>2033054175</v>
      </c>
      <c r="B396" s="8" t="s">
        <v>365</v>
      </c>
      <c r="C396" s="8" t="s">
        <v>366</v>
      </c>
      <c r="D396" s="8" t="str">
        <f t="shared" si="6"/>
        <v>CARLA CULTON</v>
      </c>
      <c r="E396" s="8" t="s">
        <v>70</v>
      </c>
      <c r="F396" s="8" t="s">
        <v>53</v>
      </c>
      <c r="G396" s="13">
        <v>0.7</v>
      </c>
      <c r="H396" s="8" t="s">
        <v>54</v>
      </c>
      <c r="I396" s="14" t="s">
        <v>54</v>
      </c>
      <c r="J396" s="15">
        <v>8307933</v>
      </c>
      <c r="K396" s="8" t="s">
        <v>55</v>
      </c>
      <c r="L396" s="8" t="s">
        <v>56</v>
      </c>
      <c r="M396" s="8" t="str">
        <f>CONCATENATE(L396," ",K396)</f>
        <v>GREGORY TEIPEL</v>
      </c>
      <c r="N396" s="8" t="s">
        <v>57</v>
      </c>
      <c r="O396" s="9">
        <v>46038</v>
      </c>
      <c r="P396" s="9">
        <v>46158</v>
      </c>
      <c r="Q396" s="23">
        <f>DATEDIF(O396,P396,"M")</f>
        <v>4</v>
      </c>
      <c r="R396" s="33" t="s">
        <v>536</v>
      </c>
      <c r="S396" s="33" t="s">
        <v>1037</v>
      </c>
      <c r="T396" s="10">
        <v>89.52</v>
      </c>
      <c r="U396" s="8">
        <v>1</v>
      </c>
      <c r="V396" s="8" t="s">
        <v>58</v>
      </c>
      <c r="W396" s="8" t="s">
        <v>60</v>
      </c>
      <c r="X396" s="8" t="s">
        <v>61</v>
      </c>
      <c r="Y396" s="10">
        <v>62.66</v>
      </c>
    </row>
    <row r="397" spans="1:25" s="8" customFormat="1" x14ac:dyDescent="0.3">
      <c r="A397" s="8">
        <v>2032029592</v>
      </c>
      <c r="B397" s="8" t="s">
        <v>221</v>
      </c>
      <c r="C397" s="8" t="s">
        <v>222</v>
      </c>
      <c r="D397" s="8" t="str">
        <f t="shared" si="6"/>
        <v>HEATHER DANIELS</v>
      </c>
      <c r="E397" s="8" t="s">
        <v>223</v>
      </c>
      <c r="F397" s="8" t="s">
        <v>53</v>
      </c>
      <c r="G397" s="13">
        <v>0.7</v>
      </c>
      <c r="H397" s="8" t="s">
        <v>54</v>
      </c>
      <c r="I397" s="14" t="s">
        <v>54</v>
      </c>
      <c r="J397" s="15">
        <v>18754354</v>
      </c>
      <c r="K397" s="8" t="s">
        <v>224</v>
      </c>
      <c r="L397" s="8" t="s">
        <v>225</v>
      </c>
      <c r="M397" s="8" t="str">
        <f>CONCATENATE(L397," ",K397)</f>
        <v>JACOB YALE</v>
      </c>
      <c r="N397" s="8" t="s">
        <v>57</v>
      </c>
      <c r="O397" s="9">
        <v>46023</v>
      </c>
      <c r="P397" s="9">
        <v>46143</v>
      </c>
      <c r="Q397" s="23">
        <f>DATEDIF(O397,P397,"M")</f>
        <v>4</v>
      </c>
      <c r="R397" s="33" t="s">
        <v>536</v>
      </c>
      <c r="S397" s="33" t="s">
        <v>1037</v>
      </c>
      <c r="T397" s="10">
        <v>128.80000000000001</v>
      </c>
      <c r="U397" s="8">
        <v>1</v>
      </c>
      <c r="V397" s="8" t="s">
        <v>58</v>
      </c>
      <c r="W397" s="8" t="s">
        <v>60</v>
      </c>
      <c r="X397" s="8" t="s">
        <v>61</v>
      </c>
      <c r="Y397" s="10">
        <v>90.16</v>
      </c>
    </row>
    <row r="398" spans="1:25" s="8" customFormat="1" x14ac:dyDescent="0.3">
      <c r="A398" s="8">
        <v>2033064593</v>
      </c>
      <c r="B398" s="8" t="s">
        <v>749</v>
      </c>
      <c r="C398" s="8" t="s">
        <v>750</v>
      </c>
      <c r="D398" s="8" t="str">
        <f t="shared" si="6"/>
        <v>SHIRLEY GOTTLIEB</v>
      </c>
      <c r="E398" s="8" t="s">
        <v>114</v>
      </c>
      <c r="F398" s="8" t="s">
        <v>529</v>
      </c>
      <c r="G398" s="13">
        <v>0.47</v>
      </c>
      <c r="H398" s="8" t="s">
        <v>725</v>
      </c>
      <c r="I398" s="14" t="s">
        <v>725</v>
      </c>
      <c r="J398" s="15">
        <v>18142208</v>
      </c>
      <c r="K398" s="8" t="s">
        <v>469</v>
      </c>
      <c r="L398" s="8" t="s">
        <v>751</v>
      </c>
      <c r="M398" s="8" t="str">
        <f>CONCATENATE(L398," ",K398)</f>
        <v>Jill Shepard</v>
      </c>
      <c r="N398" s="8" t="s">
        <v>57</v>
      </c>
      <c r="O398" s="9">
        <v>46032</v>
      </c>
      <c r="P398" s="9">
        <v>46152</v>
      </c>
      <c r="Q398" s="23">
        <f>DATEDIF(O398,P398,"M")</f>
        <v>4</v>
      </c>
      <c r="R398" s="33" t="s">
        <v>536</v>
      </c>
      <c r="S398" s="33" t="s">
        <v>1037</v>
      </c>
      <c r="T398" s="10">
        <v>76.209999999999994</v>
      </c>
      <c r="U398" s="8">
        <v>1</v>
      </c>
      <c r="V398" s="8" t="s">
        <v>58</v>
      </c>
      <c r="W398" s="8" t="s">
        <v>60</v>
      </c>
      <c r="X398" s="8" t="s">
        <v>61</v>
      </c>
      <c r="Y398" s="10">
        <v>35.82</v>
      </c>
    </row>
    <row r="399" spans="1:25" s="8" customFormat="1" x14ac:dyDescent="0.3">
      <c r="A399" s="8">
        <v>2033064965</v>
      </c>
      <c r="B399" s="8" t="s">
        <v>561</v>
      </c>
      <c r="C399" s="8" t="s">
        <v>562</v>
      </c>
      <c r="D399" s="8" t="str">
        <f t="shared" si="6"/>
        <v>JAYLA TERRY</v>
      </c>
      <c r="E399" s="8" t="s">
        <v>256</v>
      </c>
      <c r="F399" s="8" t="s">
        <v>499</v>
      </c>
      <c r="G399" s="13">
        <v>0.38</v>
      </c>
      <c r="H399" s="8" t="s">
        <v>502</v>
      </c>
      <c r="I399" s="14" t="s">
        <v>502</v>
      </c>
      <c r="J399" s="15" t="s">
        <v>1025</v>
      </c>
      <c r="K399" s="8" t="s">
        <v>535</v>
      </c>
      <c r="L399" s="8" t="s">
        <v>149</v>
      </c>
      <c r="M399" s="8" t="str">
        <f>CONCATENATE(L399," ",K399)</f>
        <v>JOHN ROKEN</v>
      </c>
      <c r="N399" s="8" t="s">
        <v>57</v>
      </c>
      <c r="O399" s="9">
        <v>46034</v>
      </c>
      <c r="P399" s="9">
        <v>46154</v>
      </c>
      <c r="Q399" s="23">
        <f>DATEDIF(O399,P399,"M")</f>
        <v>4</v>
      </c>
      <c r="R399" s="33" t="s">
        <v>536</v>
      </c>
      <c r="S399" s="33" t="s">
        <v>1037</v>
      </c>
      <c r="T399" s="10">
        <v>27.15</v>
      </c>
      <c r="U399" s="8">
        <v>1</v>
      </c>
      <c r="V399" s="8" t="s">
        <v>58</v>
      </c>
      <c r="W399" s="8" t="s">
        <v>60</v>
      </c>
      <c r="X399" s="8" t="s">
        <v>61</v>
      </c>
      <c r="Y399" s="10">
        <v>10.32</v>
      </c>
    </row>
    <row r="400" spans="1:25" s="8" customFormat="1" x14ac:dyDescent="0.3">
      <c r="A400" s="8">
        <v>2033129762</v>
      </c>
      <c r="B400" s="8" t="s">
        <v>563</v>
      </c>
      <c r="C400" s="8" t="s">
        <v>564</v>
      </c>
      <c r="D400" s="8" t="str">
        <f t="shared" si="6"/>
        <v>DANICA DEVITO</v>
      </c>
      <c r="E400" s="8" t="s">
        <v>256</v>
      </c>
      <c r="F400" s="8" t="s">
        <v>499</v>
      </c>
      <c r="G400" s="13">
        <v>0.38</v>
      </c>
      <c r="H400" s="8" t="s">
        <v>502</v>
      </c>
      <c r="I400" s="14" t="s">
        <v>502</v>
      </c>
      <c r="J400" s="15" t="s">
        <v>1025</v>
      </c>
      <c r="K400" s="8" t="s">
        <v>535</v>
      </c>
      <c r="L400" s="8" t="s">
        <v>149</v>
      </c>
      <c r="M400" s="8" t="str">
        <f>CONCATENATE(L400," ",K400)</f>
        <v>JOHN ROKEN</v>
      </c>
      <c r="N400" s="8" t="s">
        <v>57</v>
      </c>
      <c r="O400" s="9">
        <v>46036</v>
      </c>
      <c r="P400" s="9">
        <v>46156</v>
      </c>
      <c r="Q400" s="23">
        <f>DATEDIF(O400,P400,"M")</f>
        <v>4</v>
      </c>
      <c r="R400" s="33" t="s">
        <v>536</v>
      </c>
      <c r="S400" s="33" t="s">
        <v>1037</v>
      </c>
      <c r="T400" s="10">
        <v>27.15</v>
      </c>
      <c r="U400" s="8">
        <v>1</v>
      </c>
      <c r="V400" s="8" t="s">
        <v>58</v>
      </c>
      <c r="W400" s="8" t="s">
        <v>60</v>
      </c>
      <c r="X400" s="8" t="s">
        <v>61</v>
      </c>
      <c r="Y400" s="10">
        <v>10.32</v>
      </c>
    </row>
    <row r="401" spans="1:25" s="8" customFormat="1" x14ac:dyDescent="0.3">
      <c r="A401" s="8">
        <v>2033171034</v>
      </c>
      <c r="B401" s="8" t="s">
        <v>880</v>
      </c>
      <c r="C401" s="8" t="s">
        <v>881</v>
      </c>
      <c r="D401" s="8" t="str">
        <f t="shared" si="6"/>
        <v>JON SCZEPKOWSKI</v>
      </c>
      <c r="E401" s="8" t="s">
        <v>256</v>
      </c>
      <c r="F401" s="8" t="s">
        <v>499</v>
      </c>
      <c r="G401" s="13">
        <v>0.38</v>
      </c>
      <c r="H401" s="8" t="s">
        <v>502</v>
      </c>
      <c r="I401" s="14" t="s">
        <v>502</v>
      </c>
      <c r="J401" s="15" t="s">
        <v>1025</v>
      </c>
      <c r="K401" s="8" t="s">
        <v>535</v>
      </c>
      <c r="L401" s="8" t="s">
        <v>149</v>
      </c>
      <c r="M401" s="8" t="str">
        <f>CONCATENATE(L401," ",K401)</f>
        <v>JOHN ROKEN</v>
      </c>
      <c r="N401" s="8" t="s">
        <v>57</v>
      </c>
      <c r="O401" s="9">
        <v>46038</v>
      </c>
      <c r="P401" s="9">
        <v>46158</v>
      </c>
      <c r="Q401" s="23">
        <f>DATEDIF(O401,P401,"M")</f>
        <v>4</v>
      </c>
      <c r="R401" s="33" t="s">
        <v>536</v>
      </c>
      <c r="S401" s="33" t="s">
        <v>1037</v>
      </c>
      <c r="T401" s="10">
        <v>46.13</v>
      </c>
      <c r="U401" s="8">
        <v>1</v>
      </c>
      <c r="V401" s="8" t="s">
        <v>58</v>
      </c>
      <c r="W401" s="8" t="s">
        <v>60</v>
      </c>
      <c r="X401" s="8" t="s">
        <v>61</v>
      </c>
      <c r="Y401" s="10">
        <v>17.53</v>
      </c>
    </row>
    <row r="402" spans="1:25" s="8" customFormat="1" x14ac:dyDescent="0.3">
      <c r="A402" s="8">
        <v>2033064966</v>
      </c>
      <c r="B402" s="8" t="s">
        <v>561</v>
      </c>
      <c r="C402" s="8" t="s">
        <v>562</v>
      </c>
      <c r="D402" s="8" t="str">
        <f t="shared" si="6"/>
        <v>JAYLA TERRY</v>
      </c>
      <c r="E402" s="8" t="s">
        <v>256</v>
      </c>
      <c r="F402" s="8" t="s">
        <v>533</v>
      </c>
      <c r="G402" s="13">
        <v>0.6</v>
      </c>
      <c r="H402" s="8" t="s">
        <v>534</v>
      </c>
      <c r="I402" s="14" t="s">
        <v>534</v>
      </c>
      <c r="J402" s="15" t="s">
        <v>1025</v>
      </c>
      <c r="K402" s="8" t="s">
        <v>535</v>
      </c>
      <c r="L402" s="8" t="s">
        <v>149</v>
      </c>
      <c r="M402" s="8" t="str">
        <f>CONCATENATE(L402," ",K402)</f>
        <v>JOHN ROKEN</v>
      </c>
      <c r="N402" s="8" t="s">
        <v>57</v>
      </c>
      <c r="O402" s="9">
        <v>46034</v>
      </c>
      <c r="P402" s="9">
        <v>46154</v>
      </c>
      <c r="Q402" s="23">
        <f>DATEDIF(O402,P402,"M")</f>
        <v>4</v>
      </c>
      <c r="R402" s="33" t="s">
        <v>536</v>
      </c>
      <c r="S402" s="33" t="s">
        <v>1037</v>
      </c>
      <c r="T402" s="10">
        <v>40.159999999999997</v>
      </c>
      <c r="U402" s="8">
        <v>1</v>
      </c>
      <c r="V402" s="8" t="s">
        <v>58</v>
      </c>
      <c r="W402" s="8" t="s">
        <v>60</v>
      </c>
      <c r="X402" s="8" t="s">
        <v>61</v>
      </c>
      <c r="Y402" s="10">
        <v>24.1</v>
      </c>
    </row>
    <row r="403" spans="1:25" s="8" customFormat="1" x14ac:dyDescent="0.3">
      <c r="A403" s="8">
        <v>2033129763</v>
      </c>
      <c r="B403" s="8" t="s">
        <v>563</v>
      </c>
      <c r="C403" s="8" t="s">
        <v>564</v>
      </c>
      <c r="D403" s="8" t="str">
        <f t="shared" si="6"/>
        <v>DANICA DEVITO</v>
      </c>
      <c r="E403" s="8" t="s">
        <v>256</v>
      </c>
      <c r="F403" s="8" t="s">
        <v>533</v>
      </c>
      <c r="G403" s="13">
        <v>0.6</v>
      </c>
      <c r="H403" s="8" t="s">
        <v>534</v>
      </c>
      <c r="I403" s="14" t="s">
        <v>534</v>
      </c>
      <c r="J403" s="15" t="s">
        <v>1025</v>
      </c>
      <c r="K403" s="8" t="s">
        <v>535</v>
      </c>
      <c r="L403" s="8" t="s">
        <v>149</v>
      </c>
      <c r="M403" s="8" t="str">
        <f>CONCATENATE(L403," ",K403)</f>
        <v>JOHN ROKEN</v>
      </c>
      <c r="N403" s="8" t="s">
        <v>57</v>
      </c>
      <c r="O403" s="9">
        <v>46036</v>
      </c>
      <c r="P403" s="9">
        <v>46156</v>
      </c>
      <c r="Q403" s="23">
        <f>DATEDIF(O403,P403,"M")</f>
        <v>4</v>
      </c>
      <c r="R403" s="33" t="s">
        <v>536</v>
      </c>
      <c r="S403" s="33" t="s">
        <v>1037</v>
      </c>
      <c r="T403" s="10">
        <v>40.159999999999997</v>
      </c>
      <c r="U403" s="8">
        <v>1</v>
      </c>
      <c r="V403" s="8" t="s">
        <v>58</v>
      </c>
      <c r="W403" s="8" t="s">
        <v>60</v>
      </c>
      <c r="X403" s="8" t="s">
        <v>61</v>
      </c>
      <c r="Y403" s="10">
        <v>24.1</v>
      </c>
    </row>
    <row r="404" spans="1:25" s="8" customFormat="1" x14ac:dyDescent="0.3">
      <c r="A404" s="8">
        <v>2033130829</v>
      </c>
      <c r="B404" s="8" t="s">
        <v>396</v>
      </c>
      <c r="C404" s="8" t="s">
        <v>155</v>
      </c>
      <c r="D404" s="8" t="str">
        <f t="shared" si="6"/>
        <v>AMY PRADZIAD</v>
      </c>
      <c r="E404" s="8" t="s">
        <v>52</v>
      </c>
      <c r="F404" s="8" t="s">
        <v>53</v>
      </c>
      <c r="G404" s="13">
        <v>0.7</v>
      </c>
      <c r="H404" s="8" t="s">
        <v>54</v>
      </c>
      <c r="I404" s="14" t="s">
        <v>54</v>
      </c>
      <c r="J404" s="15">
        <v>17516272</v>
      </c>
      <c r="K404" s="8" t="s">
        <v>311</v>
      </c>
      <c r="L404" s="8" t="s">
        <v>312</v>
      </c>
      <c r="M404" s="8" t="str">
        <f>CONCATENATE(L404," ",K404)</f>
        <v>Kenneth Weitzman</v>
      </c>
      <c r="N404" s="8" t="s">
        <v>57</v>
      </c>
      <c r="O404" s="9">
        <v>46037</v>
      </c>
      <c r="P404" s="9">
        <v>46157</v>
      </c>
      <c r="Q404" s="23">
        <f>DATEDIF(O404,P404,"M")</f>
        <v>4</v>
      </c>
      <c r="R404" s="33" t="s">
        <v>536</v>
      </c>
      <c r="S404" s="33" t="s">
        <v>1037</v>
      </c>
      <c r="T404" s="10">
        <v>22.72</v>
      </c>
      <c r="U404" s="8">
        <v>1</v>
      </c>
      <c r="V404" s="8" t="s">
        <v>58</v>
      </c>
      <c r="W404" s="8" t="s">
        <v>60</v>
      </c>
      <c r="X404" s="8" t="s">
        <v>61</v>
      </c>
      <c r="Y404" s="10">
        <v>15.9</v>
      </c>
    </row>
    <row r="405" spans="1:25" s="8" customFormat="1" x14ac:dyDescent="0.3">
      <c r="A405" s="8">
        <v>2033170438</v>
      </c>
      <c r="B405" s="8" t="s">
        <v>415</v>
      </c>
      <c r="C405" s="8" t="s">
        <v>416</v>
      </c>
      <c r="D405" s="8" t="str">
        <f t="shared" si="6"/>
        <v>LAURALEA KEAYS</v>
      </c>
      <c r="E405" s="8" t="s">
        <v>52</v>
      </c>
      <c r="F405" s="8" t="s">
        <v>53</v>
      </c>
      <c r="G405" s="13">
        <v>0.7</v>
      </c>
      <c r="H405" s="8" t="s">
        <v>54</v>
      </c>
      <c r="I405" s="14" t="s">
        <v>54</v>
      </c>
      <c r="J405" s="15">
        <v>17516272</v>
      </c>
      <c r="K405" s="8" t="s">
        <v>311</v>
      </c>
      <c r="L405" s="8" t="s">
        <v>312</v>
      </c>
      <c r="M405" s="8" t="str">
        <f>CONCATENATE(L405," ",K405)</f>
        <v>Kenneth Weitzman</v>
      </c>
      <c r="N405" s="8" t="s">
        <v>57</v>
      </c>
      <c r="O405" s="9">
        <v>46039</v>
      </c>
      <c r="P405" s="9">
        <v>46159</v>
      </c>
      <c r="Q405" s="23">
        <f>DATEDIF(O405,P405,"M")</f>
        <v>4</v>
      </c>
      <c r="R405" s="33" t="s">
        <v>536</v>
      </c>
      <c r="S405" s="33" t="s">
        <v>1037</v>
      </c>
      <c r="T405" s="10">
        <v>33.979999999999997</v>
      </c>
      <c r="U405" s="8">
        <v>1</v>
      </c>
      <c r="V405" s="8" t="s">
        <v>58</v>
      </c>
      <c r="W405" s="8" t="s">
        <v>60</v>
      </c>
      <c r="X405" s="8" t="s">
        <v>61</v>
      </c>
      <c r="Y405" s="10">
        <v>23.79</v>
      </c>
    </row>
    <row r="406" spans="1:25" s="8" customFormat="1" x14ac:dyDescent="0.3">
      <c r="A406" s="8">
        <v>2033130830</v>
      </c>
      <c r="B406" s="8" t="s">
        <v>396</v>
      </c>
      <c r="C406" s="8" t="s">
        <v>155</v>
      </c>
      <c r="D406" s="8" t="str">
        <f t="shared" si="6"/>
        <v>AMY PRADZIAD</v>
      </c>
      <c r="E406" s="8" t="s">
        <v>52</v>
      </c>
      <c r="F406" s="8" t="s">
        <v>483</v>
      </c>
      <c r="G406" s="16">
        <v>0.375</v>
      </c>
      <c r="H406" s="8" t="s">
        <v>484</v>
      </c>
      <c r="I406" s="14" t="s">
        <v>484</v>
      </c>
      <c r="J406" s="15">
        <v>17516272</v>
      </c>
      <c r="K406" s="8" t="s">
        <v>311</v>
      </c>
      <c r="L406" s="8" t="s">
        <v>312</v>
      </c>
      <c r="M406" s="8" t="str">
        <f>CONCATENATE(L406," ",K406)</f>
        <v>Kenneth Weitzman</v>
      </c>
      <c r="N406" s="8" t="s">
        <v>57</v>
      </c>
      <c r="O406" s="9">
        <v>46037</v>
      </c>
      <c r="P406" s="9">
        <v>46157</v>
      </c>
      <c r="Q406" s="23">
        <f>DATEDIF(O406,P406,"M")</f>
        <v>4</v>
      </c>
      <c r="R406" s="33" t="s">
        <v>536</v>
      </c>
      <c r="S406" s="33" t="s">
        <v>1037</v>
      </c>
      <c r="T406" s="10">
        <v>24.54</v>
      </c>
      <c r="U406" s="8">
        <v>1</v>
      </c>
      <c r="V406" s="8" t="s">
        <v>58</v>
      </c>
      <c r="W406" s="8" t="s">
        <v>60</v>
      </c>
      <c r="X406" s="8" t="s">
        <v>61</v>
      </c>
      <c r="Y406" s="10">
        <v>9.1999999999999993</v>
      </c>
    </row>
    <row r="407" spans="1:25" s="8" customFormat="1" x14ac:dyDescent="0.3">
      <c r="A407" s="8">
        <v>2033190870</v>
      </c>
      <c r="B407" s="8" t="s">
        <v>882</v>
      </c>
      <c r="C407" s="8" t="s">
        <v>637</v>
      </c>
      <c r="D407" s="8" t="str">
        <f t="shared" si="6"/>
        <v>SUSAN KURTEN</v>
      </c>
      <c r="E407" s="8" t="s">
        <v>256</v>
      </c>
      <c r="F407" s="8" t="s">
        <v>499</v>
      </c>
      <c r="G407" s="13">
        <v>0.08</v>
      </c>
      <c r="H407" s="8" t="s">
        <v>500</v>
      </c>
      <c r="I407" s="14" t="s">
        <v>992</v>
      </c>
      <c r="J407" s="15">
        <v>20411454</v>
      </c>
      <c r="K407" s="8" t="s">
        <v>883</v>
      </c>
      <c r="L407" s="8" t="s">
        <v>884</v>
      </c>
      <c r="M407" s="8" t="s">
        <v>1035</v>
      </c>
      <c r="N407" s="8" t="s">
        <v>57</v>
      </c>
      <c r="O407" s="9">
        <v>46039</v>
      </c>
      <c r="P407" s="9">
        <v>46159</v>
      </c>
      <c r="Q407" s="23">
        <f>DATEDIF(O407,P407,"M")</f>
        <v>4</v>
      </c>
      <c r="R407" s="33" t="s">
        <v>536</v>
      </c>
      <c r="S407" s="33" t="s">
        <v>1037</v>
      </c>
      <c r="T407" s="10">
        <v>104.77</v>
      </c>
      <c r="U407" s="8">
        <v>1</v>
      </c>
      <c r="V407" s="8" t="s">
        <v>58</v>
      </c>
      <c r="W407" s="8" t="s">
        <v>60</v>
      </c>
      <c r="X407" s="8" t="s">
        <v>61</v>
      </c>
      <c r="Y407" s="10">
        <v>104.77</v>
      </c>
    </row>
    <row r="408" spans="1:25" s="8" customFormat="1" x14ac:dyDescent="0.3">
      <c r="A408" s="8">
        <v>2033190871</v>
      </c>
      <c r="B408" s="8" t="s">
        <v>882</v>
      </c>
      <c r="C408" s="8" t="s">
        <v>637</v>
      </c>
      <c r="D408" s="8" t="str">
        <f t="shared" si="6"/>
        <v>SUSAN KURTEN</v>
      </c>
      <c r="E408" s="8" t="s">
        <v>256</v>
      </c>
      <c r="F408" s="8" t="s">
        <v>499</v>
      </c>
      <c r="G408" s="13">
        <v>0.08</v>
      </c>
      <c r="H408" s="8" t="s">
        <v>501</v>
      </c>
      <c r="I408" s="14" t="s">
        <v>992</v>
      </c>
      <c r="J408" s="15">
        <v>20411454</v>
      </c>
      <c r="K408" s="8" t="s">
        <v>883</v>
      </c>
      <c r="L408" s="8" t="s">
        <v>884</v>
      </c>
      <c r="M408" s="8" t="s">
        <v>1035</v>
      </c>
      <c r="N408" s="8" t="s">
        <v>57</v>
      </c>
      <c r="O408" s="9">
        <v>46039</v>
      </c>
      <c r="P408" s="9">
        <v>46159</v>
      </c>
      <c r="Q408" s="23">
        <f>DATEDIF(O408,P408,"M")</f>
        <v>4</v>
      </c>
      <c r="R408" s="33" t="s">
        <v>536</v>
      </c>
      <c r="S408" s="33" t="s">
        <v>1037</v>
      </c>
      <c r="T408" s="10">
        <v>0.56999999999999995</v>
      </c>
      <c r="U408" s="8">
        <v>1</v>
      </c>
      <c r="V408" s="8" t="s">
        <v>58</v>
      </c>
      <c r="W408" s="8" t="s">
        <v>60</v>
      </c>
      <c r="X408" s="8" t="s">
        <v>61</v>
      </c>
      <c r="Y408" s="10">
        <v>0.56999999999999995</v>
      </c>
    </row>
    <row r="409" spans="1:25" s="8" customFormat="1" x14ac:dyDescent="0.3">
      <c r="A409" s="8">
        <v>2033115853</v>
      </c>
      <c r="B409" s="8" t="s">
        <v>621</v>
      </c>
      <c r="C409" s="8" t="s">
        <v>622</v>
      </c>
      <c r="D409" s="8" t="str">
        <f t="shared" si="6"/>
        <v>FELICIA SMITH</v>
      </c>
      <c r="E409" s="8" t="s">
        <v>600</v>
      </c>
      <c r="F409" s="8" t="s">
        <v>444</v>
      </c>
      <c r="G409" s="13">
        <v>0.75</v>
      </c>
      <c r="H409" s="8" t="s">
        <v>451</v>
      </c>
      <c r="I409" s="14" t="s">
        <v>980</v>
      </c>
      <c r="J409" s="15">
        <v>1706194</v>
      </c>
      <c r="K409" s="8" t="s">
        <v>146</v>
      </c>
      <c r="L409" s="8" t="s">
        <v>147</v>
      </c>
      <c r="M409" s="8" t="str">
        <f>CONCATENATE(L409," ",K409)</f>
        <v>MATTHEW DAUGHERTY</v>
      </c>
      <c r="N409" s="8" t="s">
        <v>57</v>
      </c>
      <c r="O409" s="9">
        <v>46035</v>
      </c>
      <c r="P409" s="9">
        <v>46155</v>
      </c>
      <c r="Q409" s="23">
        <f>DATEDIF(O409,P409,"M")</f>
        <v>4</v>
      </c>
      <c r="R409" s="33" t="s">
        <v>536</v>
      </c>
      <c r="S409" s="33" t="s">
        <v>1037</v>
      </c>
      <c r="T409" s="10">
        <v>58.93</v>
      </c>
      <c r="U409" s="8">
        <v>1</v>
      </c>
      <c r="V409" s="8" t="s">
        <v>58</v>
      </c>
      <c r="W409" s="8" t="s">
        <v>60</v>
      </c>
      <c r="X409" s="8" t="s">
        <v>61</v>
      </c>
      <c r="Y409" s="10">
        <v>44.2</v>
      </c>
    </row>
    <row r="410" spans="1:25" s="8" customFormat="1" x14ac:dyDescent="0.3">
      <c r="A410" s="8">
        <v>2032913539</v>
      </c>
      <c r="B410" s="8" t="s">
        <v>357</v>
      </c>
      <c r="C410" s="8" t="s">
        <v>358</v>
      </c>
      <c r="D410" s="8" t="str">
        <f t="shared" si="6"/>
        <v>ALAN DARRINGTON</v>
      </c>
      <c r="E410" s="8" t="s">
        <v>103</v>
      </c>
      <c r="F410" s="8" t="s">
        <v>444</v>
      </c>
      <c r="G410" s="13">
        <v>0.75</v>
      </c>
      <c r="H410" s="8" t="s">
        <v>451</v>
      </c>
      <c r="I410" s="14" t="s">
        <v>980</v>
      </c>
      <c r="J410" s="15">
        <v>1706194</v>
      </c>
      <c r="K410" s="8" t="s">
        <v>146</v>
      </c>
      <c r="L410" s="8" t="s">
        <v>147</v>
      </c>
      <c r="M410" s="8" t="str">
        <f>CONCATENATE(L410," ",K410)</f>
        <v>MATTHEW DAUGHERTY</v>
      </c>
      <c r="N410" s="8" t="s">
        <v>57</v>
      </c>
      <c r="O410" s="9">
        <v>46034</v>
      </c>
      <c r="P410" s="9">
        <v>46154</v>
      </c>
      <c r="Q410" s="23">
        <f>DATEDIF(O410,P410,"M")</f>
        <v>4</v>
      </c>
      <c r="R410" s="33" t="s">
        <v>536</v>
      </c>
      <c r="S410" s="33" t="s">
        <v>1037</v>
      </c>
      <c r="T410" s="10">
        <v>101.2</v>
      </c>
      <c r="U410" s="8">
        <v>1</v>
      </c>
      <c r="V410" s="8" t="s">
        <v>58</v>
      </c>
      <c r="W410" s="8" t="s">
        <v>60</v>
      </c>
      <c r="X410" s="8" t="s">
        <v>61</v>
      </c>
      <c r="Y410" s="10">
        <v>75.900000000000006</v>
      </c>
    </row>
    <row r="411" spans="1:25" s="8" customFormat="1" x14ac:dyDescent="0.3">
      <c r="A411" s="8">
        <v>2033106166</v>
      </c>
      <c r="B411" s="8" t="s">
        <v>619</v>
      </c>
      <c r="C411" s="8" t="s">
        <v>620</v>
      </c>
      <c r="D411" s="8" t="str">
        <f t="shared" si="6"/>
        <v>VALENTIN BACHVAROV</v>
      </c>
      <c r="E411" s="8" t="s">
        <v>270</v>
      </c>
      <c r="F411" s="8" t="s">
        <v>444</v>
      </c>
      <c r="G411" s="13">
        <v>0.9</v>
      </c>
      <c r="H411" s="8" t="s">
        <v>567</v>
      </c>
      <c r="I411" s="14" t="s">
        <v>981</v>
      </c>
      <c r="J411" s="15">
        <v>1706194</v>
      </c>
      <c r="K411" s="8" t="s">
        <v>146</v>
      </c>
      <c r="L411" s="8" t="s">
        <v>147</v>
      </c>
      <c r="M411" s="8" t="str">
        <f>CONCATENATE(L411," ",K411)</f>
        <v>MATTHEW DAUGHERTY</v>
      </c>
      <c r="N411" s="8" t="s">
        <v>57</v>
      </c>
      <c r="O411" s="9">
        <v>46035</v>
      </c>
      <c r="P411" s="9">
        <v>46155</v>
      </c>
      <c r="Q411" s="23">
        <f>DATEDIF(O411,P411,"M")</f>
        <v>4</v>
      </c>
      <c r="R411" s="33" t="s">
        <v>536</v>
      </c>
      <c r="S411" s="33" t="s">
        <v>1037</v>
      </c>
      <c r="T411" s="10">
        <v>152.33000000000001</v>
      </c>
      <c r="U411" s="8">
        <v>1</v>
      </c>
      <c r="V411" s="8" t="s">
        <v>58</v>
      </c>
      <c r="W411" s="8" t="s">
        <v>60</v>
      </c>
      <c r="X411" s="8" t="s">
        <v>61</v>
      </c>
      <c r="Y411" s="10">
        <v>137.1</v>
      </c>
    </row>
    <row r="412" spans="1:25" s="8" customFormat="1" x14ac:dyDescent="0.3">
      <c r="A412" s="8">
        <v>2032592980</v>
      </c>
      <c r="B412" s="8" t="s">
        <v>617</v>
      </c>
      <c r="C412" s="8" t="s">
        <v>618</v>
      </c>
      <c r="D412" s="8" t="str">
        <f t="shared" si="6"/>
        <v>CHRISTOPHER RICHARDSON</v>
      </c>
      <c r="E412" s="8" t="s">
        <v>70</v>
      </c>
      <c r="F412" s="8" t="s">
        <v>444</v>
      </c>
      <c r="G412" s="13">
        <v>0.9</v>
      </c>
      <c r="H412" s="8" t="s">
        <v>567</v>
      </c>
      <c r="I412" s="14" t="s">
        <v>981</v>
      </c>
      <c r="J412" s="15">
        <v>1706194</v>
      </c>
      <c r="K412" s="8" t="s">
        <v>146</v>
      </c>
      <c r="L412" s="8" t="s">
        <v>147</v>
      </c>
      <c r="M412" s="8" t="str">
        <f>CONCATENATE(L412," ",K412)</f>
        <v>MATTHEW DAUGHERTY</v>
      </c>
      <c r="N412" s="8" t="s">
        <v>57</v>
      </c>
      <c r="O412" s="9">
        <v>46023</v>
      </c>
      <c r="P412" s="9">
        <v>46143</v>
      </c>
      <c r="Q412" s="23">
        <f>DATEDIF(O412,P412,"M")</f>
        <v>4</v>
      </c>
      <c r="R412" s="33" t="s">
        <v>536</v>
      </c>
      <c r="S412" s="33" t="s">
        <v>1037</v>
      </c>
      <c r="T412" s="10">
        <v>258.75</v>
      </c>
      <c r="U412" s="8">
        <v>1</v>
      </c>
      <c r="V412" s="8" t="s">
        <v>58</v>
      </c>
      <c r="W412" s="8" t="s">
        <v>60</v>
      </c>
      <c r="X412" s="8" t="s">
        <v>61</v>
      </c>
      <c r="Y412" s="10">
        <v>232.88</v>
      </c>
    </row>
    <row r="413" spans="1:25" s="8" customFormat="1" x14ac:dyDescent="0.3">
      <c r="A413" s="8">
        <v>2032547221</v>
      </c>
      <c r="B413" s="8" t="s">
        <v>292</v>
      </c>
      <c r="C413" s="8" t="s">
        <v>165</v>
      </c>
      <c r="D413" s="8" t="str">
        <f t="shared" si="6"/>
        <v>ADAM FRISCH</v>
      </c>
      <c r="E413" s="8" t="s">
        <v>70</v>
      </c>
      <c r="F413" s="8" t="s">
        <v>444</v>
      </c>
      <c r="G413" s="13">
        <v>0.9</v>
      </c>
      <c r="H413" s="8" t="s">
        <v>567</v>
      </c>
      <c r="I413" s="14" t="s">
        <v>981</v>
      </c>
      <c r="J413" s="15">
        <v>1706194</v>
      </c>
      <c r="K413" s="8" t="s">
        <v>146</v>
      </c>
      <c r="L413" s="8" t="s">
        <v>147</v>
      </c>
      <c r="M413" s="8" t="str">
        <f>CONCATENATE(L413," ",K413)</f>
        <v>MATTHEW DAUGHERTY</v>
      </c>
      <c r="N413" s="8" t="s">
        <v>57</v>
      </c>
      <c r="O413" s="9">
        <v>46023</v>
      </c>
      <c r="P413" s="9">
        <v>46143</v>
      </c>
      <c r="Q413" s="23">
        <f>DATEDIF(O413,P413,"M")</f>
        <v>4</v>
      </c>
      <c r="R413" s="33" t="s">
        <v>536</v>
      </c>
      <c r="S413" s="33" t="s">
        <v>1037</v>
      </c>
      <c r="T413" s="10">
        <v>279.25</v>
      </c>
      <c r="U413" s="8">
        <v>1</v>
      </c>
      <c r="V413" s="8" t="s">
        <v>58</v>
      </c>
      <c r="W413" s="8" t="s">
        <v>60</v>
      </c>
      <c r="X413" s="8" t="s">
        <v>61</v>
      </c>
      <c r="Y413" s="10">
        <v>251.32</v>
      </c>
    </row>
    <row r="414" spans="1:25" s="8" customFormat="1" x14ac:dyDescent="0.3">
      <c r="A414" s="8">
        <v>2033115854</v>
      </c>
      <c r="B414" s="8" t="s">
        <v>621</v>
      </c>
      <c r="C414" s="8" t="s">
        <v>622</v>
      </c>
      <c r="D414" s="8" t="str">
        <f t="shared" si="6"/>
        <v>FELICIA SMITH</v>
      </c>
      <c r="E414" s="8" t="s">
        <v>600</v>
      </c>
      <c r="F414" s="8" t="s">
        <v>475</v>
      </c>
      <c r="G414" s="13">
        <v>0.28999999999999998</v>
      </c>
      <c r="H414" s="8" t="s">
        <v>482</v>
      </c>
      <c r="I414" s="14" t="s">
        <v>994</v>
      </c>
      <c r="J414" s="15">
        <v>1706194</v>
      </c>
      <c r="K414" s="8" t="s">
        <v>146</v>
      </c>
      <c r="L414" s="8" t="s">
        <v>147</v>
      </c>
      <c r="M414" s="8" t="str">
        <f>CONCATENATE(L414," ",K414)</f>
        <v>MATTHEW DAUGHERTY</v>
      </c>
      <c r="N414" s="8" t="s">
        <v>57</v>
      </c>
      <c r="O414" s="9">
        <v>46035</v>
      </c>
      <c r="P414" s="9">
        <v>46155</v>
      </c>
      <c r="Q414" s="23">
        <f>DATEDIF(O414,P414,"M")</f>
        <v>4</v>
      </c>
      <c r="R414" s="33" t="s">
        <v>536</v>
      </c>
      <c r="S414" s="33" t="s">
        <v>1037</v>
      </c>
      <c r="T414" s="10">
        <v>15</v>
      </c>
      <c r="U414" s="8">
        <v>1</v>
      </c>
      <c r="V414" s="8" t="s">
        <v>58</v>
      </c>
      <c r="W414" s="8" t="s">
        <v>60</v>
      </c>
      <c r="X414" s="8" t="s">
        <v>61</v>
      </c>
      <c r="Y414" s="10">
        <v>4.3499999999999996</v>
      </c>
    </row>
    <row r="415" spans="1:25" s="8" customFormat="1" x14ac:dyDescent="0.3">
      <c r="A415" s="8">
        <v>2033115852</v>
      </c>
      <c r="B415" s="8" t="s">
        <v>621</v>
      </c>
      <c r="C415" s="8" t="s">
        <v>622</v>
      </c>
      <c r="D415" s="8" t="str">
        <f t="shared" si="6"/>
        <v>FELICIA SMITH</v>
      </c>
      <c r="E415" s="8" t="s">
        <v>600</v>
      </c>
      <c r="F415" s="8" t="s">
        <v>524</v>
      </c>
      <c r="G415" s="13">
        <v>0.28999999999999998</v>
      </c>
      <c r="H415" s="8" t="s">
        <v>528</v>
      </c>
      <c r="I415" s="14" t="s">
        <v>528</v>
      </c>
      <c r="J415" s="15">
        <v>1706194</v>
      </c>
      <c r="K415" s="8" t="s">
        <v>146</v>
      </c>
      <c r="L415" s="8" t="s">
        <v>147</v>
      </c>
      <c r="M415" s="8" t="str">
        <f>CONCATENATE(L415," ",K415)</f>
        <v>MATTHEW DAUGHERTY</v>
      </c>
      <c r="N415" s="8" t="s">
        <v>57</v>
      </c>
      <c r="O415" s="9">
        <v>46035</v>
      </c>
      <c r="P415" s="9">
        <v>46155</v>
      </c>
      <c r="Q415" s="23">
        <f>DATEDIF(O415,P415,"M")</f>
        <v>4</v>
      </c>
      <c r="R415" s="33" t="s">
        <v>536</v>
      </c>
      <c r="S415" s="33" t="s">
        <v>1037</v>
      </c>
      <c r="T415" s="10">
        <v>422.96</v>
      </c>
      <c r="U415" s="8">
        <v>1</v>
      </c>
      <c r="V415" s="8" t="s">
        <v>58</v>
      </c>
      <c r="W415" s="8" t="s">
        <v>60</v>
      </c>
      <c r="X415" s="8" t="s">
        <v>61</v>
      </c>
      <c r="Y415" s="10">
        <v>122.66</v>
      </c>
    </row>
    <row r="416" spans="1:25" s="8" customFormat="1" x14ac:dyDescent="0.3">
      <c r="A416" s="8">
        <v>2032913540</v>
      </c>
      <c r="B416" s="8" t="s">
        <v>357</v>
      </c>
      <c r="C416" s="8" t="s">
        <v>358</v>
      </c>
      <c r="D416" s="8" t="str">
        <f t="shared" si="6"/>
        <v>ALAN DARRINGTON</v>
      </c>
      <c r="E416" s="8" t="s">
        <v>103</v>
      </c>
      <c r="F416" s="8" t="s">
        <v>53</v>
      </c>
      <c r="G416" s="13">
        <v>0.7</v>
      </c>
      <c r="H416" s="8" t="s">
        <v>54</v>
      </c>
      <c r="I416" s="14" t="s">
        <v>54</v>
      </c>
      <c r="J416" s="15">
        <v>1706194</v>
      </c>
      <c r="K416" s="8" t="s">
        <v>146</v>
      </c>
      <c r="L416" s="8" t="s">
        <v>147</v>
      </c>
      <c r="M416" s="8" t="str">
        <f>CONCATENATE(L416," ",K416)</f>
        <v>MATTHEW DAUGHERTY</v>
      </c>
      <c r="N416" s="8" t="s">
        <v>57</v>
      </c>
      <c r="O416" s="9">
        <v>46034</v>
      </c>
      <c r="P416" s="9">
        <v>46154</v>
      </c>
      <c r="Q416" s="23">
        <f>DATEDIF(O416,P416,"M")</f>
        <v>4</v>
      </c>
      <c r="R416" s="33" t="s">
        <v>536</v>
      </c>
      <c r="S416" s="33" t="s">
        <v>1037</v>
      </c>
      <c r="T416" s="10">
        <v>29.2</v>
      </c>
      <c r="U416" s="8">
        <v>1</v>
      </c>
      <c r="V416" s="8" t="s">
        <v>58</v>
      </c>
      <c r="W416" s="8" t="s">
        <v>60</v>
      </c>
      <c r="X416" s="8" t="s">
        <v>61</v>
      </c>
      <c r="Y416" s="10">
        <v>20.440000000000001</v>
      </c>
    </row>
    <row r="417" spans="1:25" s="8" customFormat="1" x14ac:dyDescent="0.3">
      <c r="A417" s="8">
        <v>2032547222</v>
      </c>
      <c r="B417" s="8" t="s">
        <v>292</v>
      </c>
      <c r="C417" s="8" t="s">
        <v>165</v>
      </c>
      <c r="D417" s="8" t="str">
        <f t="shared" si="6"/>
        <v>ADAM FRISCH</v>
      </c>
      <c r="E417" s="8" t="s">
        <v>70</v>
      </c>
      <c r="F417" s="8" t="s">
        <v>53</v>
      </c>
      <c r="G417" s="13">
        <v>0.7</v>
      </c>
      <c r="H417" s="8" t="s">
        <v>54</v>
      </c>
      <c r="I417" s="14" t="s">
        <v>54</v>
      </c>
      <c r="J417" s="15">
        <v>1706194</v>
      </c>
      <c r="K417" s="8" t="s">
        <v>146</v>
      </c>
      <c r="L417" s="8" t="s">
        <v>147</v>
      </c>
      <c r="M417" s="8" t="str">
        <f>CONCATENATE(L417," ",K417)</f>
        <v>MATTHEW DAUGHERTY</v>
      </c>
      <c r="N417" s="8" t="s">
        <v>57</v>
      </c>
      <c r="O417" s="9">
        <v>46023</v>
      </c>
      <c r="P417" s="9">
        <v>46143</v>
      </c>
      <c r="Q417" s="23">
        <f>DATEDIF(O417,P417,"M")</f>
        <v>4</v>
      </c>
      <c r="R417" s="33" t="s">
        <v>536</v>
      </c>
      <c r="S417" s="33" t="s">
        <v>1037</v>
      </c>
      <c r="T417" s="10">
        <v>143.15</v>
      </c>
      <c r="U417" s="8">
        <v>1</v>
      </c>
      <c r="V417" s="8" t="s">
        <v>58</v>
      </c>
      <c r="W417" s="8" t="s">
        <v>60</v>
      </c>
      <c r="X417" s="8" t="s">
        <v>61</v>
      </c>
      <c r="Y417" s="10">
        <v>100.2</v>
      </c>
    </row>
    <row r="418" spans="1:25" s="8" customFormat="1" x14ac:dyDescent="0.3">
      <c r="A418" s="8">
        <v>2033106167</v>
      </c>
      <c r="B418" s="8" t="s">
        <v>619</v>
      </c>
      <c r="C418" s="8" t="s">
        <v>620</v>
      </c>
      <c r="D418" s="8" t="str">
        <f t="shared" si="6"/>
        <v>VALENTIN BACHVAROV</v>
      </c>
      <c r="E418" s="8" t="s">
        <v>270</v>
      </c>
      <c r="F418" s="8" t="s">
        <v>483</v>
      </c>
      <c r="G418" s="16">
        <v>0.375</v>
      </c>
      <c r="H418" s="8" t="s">
        <v>484</v>
      </c>
      <c r="I418" s="14" t="s">
        <v>484</v>
      </c>
      <c r="J418" s="15">
        <v>1706194</v>
      </c>
      <c r="K418" s="8" t="s">
        <v>146</v>
      </c>
      <c r="L418" s="8" t="s">
        <v>147</v>
      </c>
      <c r="M418" s="8" t="str">
        <f>CONCATENATE(L418," ",K418)</f>
        <v>MATTHEW DAUGHERTY</v>
      </c>
      <c r="N418" s="8" t="s">
        <v>57</v>
      </c>
      <c r="O418" s="9">
        <v>46035</v>
      </c>
      <c r="P418" s="9">
        <v>46155</v>
      </c>
      <c r="Q418" s="23">
        <f>DATEDIF(O418,P418,"M")</f>
        <v>4</v>
      </c>
      <c r="R418" s="33" t="s">
        <v>536</v>
      </c>
      <c r="S418" s="33" t="s">
        <v>1037</v>
      </c>
      <c r="T418" s="10">
        <v>71.22</v>
      </c>
      <c r="U418" s="8">
        <v>1</v>
      </c>
      <c r="V418" s="8" t="s">
        <v>58</v>
      </c>
      <c r="W418" s="8" t="s">
        <v>60</v>
      </c>
      <c r="X418" s="8" t="s">
        <v>61</v>
      </c>
      <c r="Y418" s="10">
        <v>26.71</v>
      </c>
    </row>
    <row r="419" spans="1:25" s="8" customFormat="1" x14ac:dyDescent="0.3">
      <c r="A419" s="8">
        <v>2032913541</v>
      </c>
      <c r="B419" s="8" t="s">
        <v>357</v>
      </c>
      <c r="C419" s="8" t="s">
        <v>358</v>
      </c>
      <c r="D419" s="8" t="str">
        <f t="shared" si="6"/>
        <v>ALAN DARRINGTON</v>
      </c>
      <c r="E419" s="8" t="s">
        <v>103</v>
      </c>
      <c r="F419" s="8" t="s">
        <v>483</v>
      </c>
      <c r="G419" s="16">
        <v>0.375</v>
      </c>
      <c r="H419" s="8" t="s">
        <v>484</v>
      </c>
      <c r="I419" s="14" t="s">
        <v>484</v>
      </c>
      <c r="J419" s="15">
        <v>1706194</v>
      </c>
      <c r="K419" s="8" t="s">
        <v>146</v>
      </c>
      <c r="L419" s="8" t="s">
        <v>147</v>
      </c>
      <c r="M419" s="8" t="str">
        <f>CONCATENATE(L419," ",K419)</f>
        <v>MATTHEW DAUGHERTY</v>
      </c>
      <c r="N419" s="8" t="s">
        <v>57</v>
      </c>
      <c r="O419" s="9">
        <v>46034</v>
      </c>
      <c r="P419" s="9">
        <v>46154</v>
      </c>
      <c r="Q419" s="23">
        <f>DATEDIF(O419,P419,"M")</f>
        <v>4</v>
      </c>
      <c r="R419" s="33" t="s">
        <v>536</v>
      </c>
      <c r="S419" s="33" t="s">
        <v>1037</v>
      </c>
      <c r="T419" s="10">
        <v>85.94</v>
      </c>
      <c r="U419" s="8">
        <v>1</v>
      </c>
      <c r="V419" s="8" t="s">
        <v>58</v>
      </c>
      <c r="W419" s="8" t="s">
        <v>60</v>
      </c>
      <c r="X419" s="8" t="s">
        <v>61</v>
      </c>
      <c r="Y419" s="10">
        <v>32.229999999999997</v>
      </c>
    </row>
    <row r="420" spans="1:25" s="8" customFormat="1" x14ac:dyDescent="0.3">
      <c r="A420" s="8">
        <v>2033084715</v>
      </c>
      <c r="B420" s="8" t="s">
        <v>372</v>
      </c>
      <c r="C420" s="8" t="s">
        <v>373</v>
      </c>
      <c r="D420" s="8" t="str">
        <f t="shared" si="6"/>
        <v>APRIL KESTLER</v>
      </c>
      <c r="E420" s="8" t="s">
        <v>80</v>
      </c>
      <c r="F420" s="8" t="s">
        <v>53</v>
      </c>
      <c r="G420" s="13">
        <v>0.7</v>
      </c>
      <c r="H420" s="8" t="s">
        <v>54</v>
      </c>
      <c r="I420" s="14" t="s">
        <v>54</v>
      </c>
      <c r="J420" s="15">
        <v>21607778</v>
      </c>
      <c r="K420" s="8" t="s">
        <v>374</v>
      </c>
      <c r="L420" s="8" t="s">
        <v>375</v>
      </c>
      <c r="M420" s="8" t="str">
        <f>CONCATENATE(L420," ",K420)</f>
        <v>Noah Dionesotes</v>
      </c>
      <c r="N420" s="8" t="s">
        <v>57</v>
      </c>
      <c r="O420" s="9">
        <v>46036</v>
      </c>
      <c r="P420" s="9">
        <v>46156</v>
      </c>
      <c r="Q420" s="23">
        <f>DATEDIF(O420,P420,"M")</f>
        <v>4</v>
      </c>
      <c r="R420" s="33" t="s">
        <v>536</v>
      </c>
      <c r="S420" s="33" t="s">
        <v>1037</v>
      </c>
      <c r="T420" s="10">
        <v>19</v>
      </c>
      <c r="U420" s="8">
        <v>1</v>
      </c>
      <c r="V420" s="8" t="s">
        <v>58</v>
      </c>
      <c r="W420" s="8" t="s">
        <v>60</v>
      </c>
      <c r="X420" s="8" t="s">
        <v>61</v>
      </c>
      <c r="Y420" s="10">
        <v>13.3</v>
      </c>
    </row>
    <row r="421" spans="1:25" s="8" customFormat="1" x14ac:dyDescent="0.3">
      <c r="A421" s="8">
        <v>2033084716</v>
      </c>
      <c r="B421" s="8" t="s">
        <v>372</v>
      </c>
      <c r="C421" s="8" t="s">
        <v>373</v>
      </c>
      <c r="D421" s="8" t="str">
        <f t="shared" si="6"/>
        <v>APRIL KESTLER</v>
      </c>
      <c r="E421" s="8" t="s">
        <v>80</v>
      </c>
      <c r="F421" s="8" t="s">
        <v>483</v>
      </c>
      <c r="G421" s="16">
        <v>0.375</v>
      </c>
      <c r="H421" s="8" t="s">
        <v>484</v>
      </c>
      <c r="I421" s="14" t="s">
        <v>484</v>
      </c>
      <c r="J421" s="15">
        <v>21607778</v>
      </c>
      <c r="K421" s="8" t="s">
        <v>374</v>
      </c>
      <c r="L421" s="8" t="s">
        <v>375</v>
      </c>
      <c r="M421" s="8" t="str">
        <f>CONCATENATE(L421," ",K421)</f>
        <v>Noah Dionesotes</v>
      </c>
      <c r="N421" s="8" t="s">
        <v>57</v>
      </c>
      <c r="O421" s="9">
        <v>46036</v>
      </c>
      <c r="P421" s="9">
        <v>46156</v>
      </c>
      <c r="Q421" s="23">
        <f>DATEDIF(O421,P421,"M")</f>
        <v>4</v>
      </c>
      <c r="R421" s="33" t="s">
        <v>536</v>
      </c>
      <c r="S421" s="33" t="s">
        <v>1037</v>
      </c>
      <c r="T421" s="10">
        <v>78.760000000000005</v>
      </c>
      <c r="U421" s="8">
        <v>1</v>
      </c>
      <c r="V421" s="8" t="s">
        <v>58</v>
      </c>
      <c r="W421" s="8" t="s">
        <v>60</v>
      </c>
      <c r="X421" s="8" t="s">
        <v>61</v>
      </c>
      <c r="Y421" s="10">
        <v>29.54</v>
      </c>
    </row>
    <row r="422" spans="1:25" s="8" customFormat="1" x14ac:dyDescent="0.3">
      <c r="A422" s="8">
        <v>2033010787</v>
      </c>
      <c r="B422" s="8" t="s">
        <v>363</v>
      </c>
      <c r="C422" s="8" t="s">
        <v>364</v>
      </c>
      <c r="D422" s="8" t="str">
        <f t="shared" si="6"/>
        <v>RAQUEL LAKE</v>
      </c>
      <c r="E422" s="8" t="s">
        <v>93</v>
      </c>
      <c r="F422" s="8" t="s">
        <v>53</v>
      </c>
      <c r="G422" s="13">
        <v>0.7</v>
      </c>
      <c r="H422" s="8" t="s">
        <v>97</v>
      </c>
      <c r="I422" s="14" t="s">
        <v>117</v>
      </c>
      <c r="J422" s="15">
        <v>20872981</v>
      </c>
      <c r="K422" s="8" t="s">
        <v>213</v>
      </c>
      <c r="L422" s="8" t="s">
        <v>214</v>
      </c>
      <c r="M422" s="8" t="str">
        <f>CONCATENATE(L422," ",K422)</f>
        <v>Robert Adcock</v>
      </c>
      <c r="N422" s="8" t="s">
        <v>57</v>
      </c>
      <c r="O422" s="9">
        <v>46037</v>
      </c>
      <c r="P422" s="9">
        <v>46157</v>
      </c>
      <c r="Q422" s="23">
        <f>DATEDIF(O422,P422,"M")</f>
        <v>4</v>
      </c>
      <c r="R422" s="33" t="s">
        <v>536</v>
      </c>
      <c r="S422" s="33" t="s">
        <v>1037</v>
      </c>
      <c r="T422" s="10">
        <v>24.61</v>
      </c>
      <c r="U422" s="8">
        <v>1</v>
      </c>
      <c r="V422" s="8" t="s">
        <v>58</v>
      </c>
      <c r="W422" s="8" t="s">
        <v>60</v>
      </c>
      <c r="X422" s="8" t="s">
        <v>61</v>
      </c>
      <c r="Y422" s="10">
        <v>17.23</v>
      </c>
    </row>
    <row r="423" spans="1:25" s="8" customFormat="1" x14ac:dyDescent="0.3">
      <c r="A423" s="8">
        <v>2033089935</v>
      </c>
      <c r="B423" s="8" t="s">
        <v>381</v>
      </c>
      <c r="C423" s="8" t="s">
        <v>149</v>
      </c>
      <c r="D423" s="8" t="str">
        <f t="shared" si="6"/>
        <v>JOHN STAVLAS</v>
      </c>
      <c r="E423" s="8" t="s">
        <v>93</v>
      </c>
      <c r="F423" s="8" t="s">
        <v>53</v>
      </c>
      <c r="G423" s="13">
        <v>0.7</v>
      </c>
      <c r="H423" s="8" t="s">
        <v>97</v>
      </c>
      <c r="I423" s="14" t="s">
        <v>117</v>
      </c>
      <c r="J423" s="15">
        <v>5442438</v>
      </c>
      <c r="K423" s="8" t="s">
        <v>95</v>
      </c>
      <c r="L423" s="8" t="s">
        <v>96</v>
      </c>
      <c r="M423" s="8" t="str">
        <f>CONCATENATE(L423," ",K423)</f>
        <v>Ronald Max</v>
      </c>
      <c r="N423" s="8" t="s">
        <v>57</v>
      </c>
      <c r="O423" s="9">
        <v>46035</v>
      </c>
      <c r="P423" s="9">
        <v>46155</v>
      </c>
      <c r="Q423" s="23">
        <f>DATEDIF(O423,P423,"M")</f>
        <v>4</v>
      </c>
      <c r="R423" s="33" t="s">
        <v>536</v>
      </c>
      <c r="S423" s="33" t="s">
        <v>1037</v>
      </c>
      <c r="T423" s="10">
        <v>24.61</v>
      </c>
      <c r="U423" s="8">
        <v>1</v>
      </c>
      <c r="V423" s="8" t="s">
        <v>58</v>
      </c>
      <c r="W423" s="8" t="s">
        <v>60</v>
      </c>
      <c r="X423" s="8" t="s">
        <v>61</v>
      </c>
      <c r="Y423" s="10">
        <v>17.23</v>
      </c>
    </row>
    <row r="424" spans="1:25" s="8" customFormat="1" x14ac:dyDescent="0.3">
      <c r="A424" s="8">
        <v>2033088373</v>
      </c>
      <c r="B424" s="8" t="s">
        <v>378</v>
      </c>
      <c r="C424" s="8" t="s">
        <v>379</v>
      </c>
      <c r="D424" s="8" t="str">
        <f t="shared" si="6"/>
        <v>MERISSA WILLIE</v>
      </c>
      <c r="E424" s="8" t="s">
        <v>93</v>
      </c>
      <c r="F424" s="8" t="s">
        <v>53</v>
      </c>
      <c r="G424" s="13">
        <v>0.7</v>
      </c>
      <c r="H424" s="8" t="s">
        <v>97</v>
      </c>
      <c r="I424" s="14" t="s">
        <v>117</v>
      </c>
      <c r="J424" s="15">
        <v>5442438</v>
      </c>
      <c r="K424" s="8" t="s">
        <v>95</v>
      </c>
      <c r="L424" s="8" t="s">
        <v>96</v>
      </c>
      <c r="M424" s="8" t="str">
        <f>CONCATENATE(L424," ",K424)</f>
        <v>Ronald Max</v>
      </c>
      <c r="N424" s="8" t="s">
        <v>57</v>
      </c>
      <c r="O424" s="9">
        <v>46038</v>
      </c>
      <c r="P424" s="9">
        <v>46158</v>
      </c>
      <c r="Q424" s="23">
        <f>DATEDIF(O424,P424,"M")</f>
        <v>4</v>
      </c>
      <c r="R424" s="33" t="s">
        <v>536</v>
      </c>
      <c r="S424" s="33" t="s">
        <v>1037</v>
      </c>
      <c r="T424" s="10">
        <v>55.58</v>
      </c>
      <c r="U424" s="8">
        <v>1</v>
      </c>
      <c r="V424" s="8" t="s">
        <v>58</v>
      </c>
      <c r="W424" s="8" t="s">
        <v>60</v>
      </c>
      <c r="X424" s="8" t="s">
        <v>61</v>
      </c>
      <c r="Y424" s="10">
        <v>38.909999999999997</v>
      </c>
    </row>
    <row r="425" spans="1:25" s="8" customFormat="1" x14ac:dyDescent="0.3">
      <c r="A425" s="8">
        <v>2033088374</v>
      </c>
      <c r="B425" s="8" t="s">
        <v>378</v>
      </c>
      <c r="C425" s="8" t="s">
        <v>379</v>
      </c>
      <c r="D425" s="8" t="str">
        <f t="shared" si="6"/>
        <v>MERISSA WILLIE</v>
      </c>
      <c r="E425" s="8" t="s">
        <v>93</v>
      </c>
      <c r="F425" s="8" t="s">
        <v>444</v>
      </c>
      <c r="G425" s="13">
        <v>0.9</v>
      </c>
      <c r="H425" s="8" t="s">
        <v>567</v>
      </c>
      <c r="I425" s="14" t="s">
        <v>981</v>
      </c>
      <c r="J425" s="15">
        <v>5442438</v>
      </c>
      <c r="K425" s="8" t="s">
        <v>95</v>
      </c>
      <c r="L425" s="8" t="s">
        <v>96</v>
      </c>
      <c r="M425" s="8" t="str">
        <f>CONCATENATE(L425," ",K425)</f>
        <v>Ronald Max</v>
      </c>
      <c r="N425" s="8" t="s">
        <v>57</v>
      </c>
      <c r="O425" s="9">
        <v>46038</v>
      </c>
      <c r="P425" s="9">
        <v>46158</v>
      </c>
      <c r="Q425" s="23">
        <f>DATEDIF(O425,P425,"M")</f>
        <v>4</v>
      </c>
      <c r="R425" s="33" t="s">
        <v>536</v>
      </c>
      <c r="S425" s="33" t="s">
        <v>1037</v>
      </c>
      <c r="T425" s="10">
        <v>27.5</v>
      </c>
      <c r="U425" s="8">
        <v>1</v>
      </c>
      <c r="V425" s="8" t="s">
        <v>58</v>
      </c>
      <c r="W425" s="8" t="s">
        <v>60</v>
      </c>
      <c r="X425" s="8" t="s">
        <v>61</v>
      </c>
      <c r="Y425" s="10">
        <v>24.75</v>
      </c>
    </row>
    <row r="426" spans="1:25" s="8" customFormat="1" x14ac:dyDescent="0.3">
      <c r="A426" s="8">
        <v>2033089936</v>
      </c>
      <c r="B426" s="8" t="s">
        <v>381</v>
      </c>
      <c r="C426" s="8" t="s">
        <v>149</v>
      </c>
      <c r="D426" s="8" t="str">
        <f t="shared" si="6"/>
        <v>JOHN STAVLAS</v>
      </c>
      <c r="E426" s="8" t="s">
        <v>93</v>
      </c>
      <c r="F426" s="8" t="s">
        <v>444</v>
      </c>
      <c r="G426" s="13">
        <v>0.9</v>
      </c>
      <c r="H426" s="8" t="s">
        <v>567</v>
      </c>
      <c r="I426" s="14" t="s">
        <v>981</v>
      </c>
      <c r="J426" s="15">
        <v>5442438</v>
      </c>
      <c r="K426" s="8" t="s">
        <v>95</v>
      </c>
      <c r="L426" s="8" t="s">
        <v>96</v>
      </c>
      <c r="M426" s="8" t="str">
        <f>CONCATENATE(L426," ",K426)</f>
        <v>Ronald Max</v>
      </c>
      <c r="N426" s="8" t="s">
        <v>57</v>
      </c>
      <c r="O426" s="9">
        <v>46035</v>
      </c>
      <c r="P426" s="9">
        <v>46155</v>
      </c>
      <c r="Q426" s="23">
        <f>DATEDIF(O426,P426,"M")</f>
        <v>4</v>
      </c>
      <c r="R426" s="33" t="s">
        <v>536</v>
      </c>
      <c r="S426" s="33" t="s">
        <v>1037</v>
      </c>
      <c r="T426" s="10">
        <v>165.12</v>
      </c>
      <c r="U426" s="8">
        <v>1</v>
      </c>
      <c r="V426" s="8" t="s">
        <v>58</v>
      </c>
      <c r="W426" s="8" t="s">
        <v>60</v>
      </c>
      <c r="X426" s="8" t="s">
        <v>61</v>
      </c>
      <c r="Y426" s="10">
        <v>148.61000000000001</v>
      </c>
    </row>
    <row r="427" spans="1:25" s="8" customFormat="1" x14ac:dyDescent="0.3">
      <c r="A427" s="8">
        <v>2033127916</v>
      </c>
      <c r="B427" s="8" t="s">
        <v>771</v>
      </c>
      <c r="C427" s="8" t="s">
        <v>227</v>
      </c>
      <c r="D427" s="8" t="str">
        <f t="shared" si="6"/>
        <v>KIMBERLY SMITHSON</v>
      </c>
      <c r="E427" s="8" t="s">
        <v>114</v>
      </c>
      <c r="F427" s="8" t="s">
        <v>475</v>
      </c>
      <c r="G427" s="13">
        <v>0.38</v>
      </c>
      <c r="H427" s="8" t="s">
        <v>652</v>
      </c>
      <c r="I427" s="14" t="s">
        <v>652</v>
      </c>
      <c r="J427" s="15">
        <v>8977234</v>
      </c>
      <c r="K427" s="8" t="s">
        <v>115</v>
      </c>
      <c r="L427" s="8" t="s">
        <v>116</v>
      </c>
      <c r="M427" s="8" t="str">
        <f>CONCATENATE(L427," ",K427)</f>
        <v>RYAN CALTAGIRONE</v>
      </c>
      <c r="N427" s="8" t="s">
        <v>57</v>
      </c>
      <c r="O427" s="9">
        <v>46038</v>
      </c>
      <c r="P427" s="9">
        <v>46158</v>
      </c>
      <c r="Q427" s="23">
        <f>DATEDIF(O427,P427,"M")</f>
        <v>4</v>
      </c>
      <c r="R427" s="33" t="s">
        <v>536</v>
      </c>
      <c r="S427" s="33" t="s">
        <v>1037</v>
      </c>
      <c r="T427" s="10">
        <v>15</v>
      </c>
      <c r="U427" s="8">
        <v>1</v>
      </c>
      <c r="V427" s="8" t="s">
        <v>58</v>
      </c>
      <c r="W427" s="8" t="s">
        <v>60</v>
      </c>
      <c r="X427" s="8" t="s">
        <v>61</v>
      </c>
      <c r="Y427" s="10">
        <v>5.7</v>
      </c>
    </row>
    <row r="428" spans="1:25" s="8" customFormat="1" x14ac:dyDescent="0.3">
      <c r="A428" s="8">
        <v>2033127914</v>
      </c>
      <c r="B428" s="8" t="s">
        <v>771</v>
      </c>
      <c r="C428" s="8" t="s">
        <v>227</v>
      </c>
      <c r="D428" s="8" t="str">
        <f t="shared" si="6"/>
        <v>KIMBERLY SMITHSON</v>
      </c>
      <c r="E428" s="8" t="s">
        <v>114</v>
      </c>
      <c r="F428" s="8" t="s">
        <v>499</v>
      </c>
      <c r="G428" s="13">
        <v>0.38</v>
      </c>
      <c r="H428" s="8" t="s">
        <v>502</v>
      </c>
      <c r="I428" s="14" t="s">
        <v>502</v>
      </c>
      <c r="J428" s="15">
        <v>8977234</v>
      </c>
      <c r="K428" s="8" t="s">
        <v>115</v>
      </c>
      <c r="L428" s="8" t="s">
        <v>116</v>
      </c>
      <c r="M428" s="8" t="str">
        <f>CONCATENATE(L428," ",K428)</f>
        <v>RYAN CALTAGIRONE</v>
      </c>
      <c r="N428" s="8" t="s">
        <v>57</v>
      </c>
      <c r="O428" s="9">
        <v>46038</v>
      </c>
      <c r="P428" s="9">
        <v>46158</v>
      </c>
      <c r="Q428" s="23">
        <f>DATEDIF(O428,P428,"M")</f>
        <v>4</v>
      </c>
      <c r="R428" s="33" t="s">
        <v>536</v>
      </c>
      <c r="S428" s="33" t="s">
        <v>1037</v>
      </c>
      <c r="T428" s="10">
        <v>16.87</v>
      </c>
      <c r="U428" s="8">
        <v>1</v>
      </c>
      <c r="V428" s="8" t="s">
        <v>58</v>
      </c>
      <c r="W428" s="8" t="s">
        <v>60</v>
      </c>
      <c r="X428" s="8" t="s">
        <v>61</v>
      </c>
      <c r="Y428" s="10">
        <v>6.41</v>
      </c>
    </row>
    <row r="429" spans="1:25" s="8" customFormat="1" x14ac:dyDescent="0.3">
      <c r="A429" s="8">
        <v>2033127915</v>
      </c>
      <c r="B429" s="8" t="s">
        <v>771</v>
      </c>
      <c r="C429" s="8" t="s">
        <v>227</v>
      </c>
      <c r="D429" s="8" t="str">
        <f t="shared" si="6"/>
        <v>KIMBERLY SMITHSON</v>
      </c>
      <c r="E429" s="8" t="s">
        <v>114</v>
      </c>
      <c r="F429" s="8" t="s">
        <v>483</v>
      </c>
      <c r="G429" s="16">
        <v>0.375</v>
      </c>
      <c r="H429" s="8" t="s">
        <v>484</v>
      </c>
      <c r="I429" s="14" t="s">
        <v>484</v>
      </c>
      <c r="J429" s="15">
        <v>8977234</v>
      </c>
      <c r="K429" s="8" t="s">
        <v>115</v>
      </c>
      <c r="L429" s="8" t="s">
        <v>116</v>
      </c>
      <c r="M429" s="8" t="str">
        <f>CONCATENATE(L429," ",K429)</f>
        <v>RYAN CALTAGIRONE</v>
      </c>
      <c r="N429" s="8" t="s">
        <v>57</v>
      </c>
      <c r="O429" s="9">
        <v>46038</v>
      </c>
      <c r="P429" s="9">
        <v>46158</v>
      </c>
      <c r="Q429" s="23">
        <f>DATEDIF(O429,P429,"M")</f>
        <v>4</v>
      </c>
      <c r="R429" s="33" t="s">
        <v>536</v>
      </c>
      <c r="S429" s="33" t="s">
        <v>1037</v>
      </c>
      <c r="T429" s="10">
        <v>58.11</v>
      </c>
      <c r="U429" s="8">
        <v>1</v>
      </c>
      <c r="V429" s="8" t="s">
        <v>58</v>
      </c>
      <c r="W429" s="8" t="s">
        <v>60</v>
      </c>
      <c r="X429" s="8" t="s">
        <v>61</v>
      </c>
      <c r="Y429" s="10">
        <v>21.79</v>
      </c>
    </row>
    <row r="430" spans="1:25" s="8" customFormat="1" x14ac:dyDescent="0.3">
      <c r="A430" s="8">
        <v>2032650556</v>
      </c>
      <c r="B430" s="8" t="s">
        <v>331</v>
      </c>
      <c r="C430" s="8" t="s">
        <v>332</v>
      </c>
      <c r="D430" s="8" t="str">
        <f t="shared" si="6"/>
        <v>MARIA REYNA</v>
      </c>
      <c r="E430" s="8" t="s">
        <v>52</v>
      </c>
      <c r="F430" s="8" t="s">
        <v>53</v>
      </c>
      <c r="G430" s="13">
        <v>0.7</v>
      </c>
      <c r="H430" s="8" t="s">
        <v>54</v>
      </c>
      <c r="I430" s="14" t="s">
        <v>54</v>
      </c>
      <c r="J430" s="15" t="s">
        <v>1017</v>
      </c>
      <c r="K430" s="8" t="s">
        <v>262</v>
      </c>
      <c r="L430" s="8" t="s">
        <v>263</v>
      </c>
      <c r="M430" s="8" t="str">
        <f>CONCATENATE(L430," ",K430)</f>
        <v>BARRY BRENNER</v>
      </c>
      <c r="N430" s="8" t="s">
        <v>57</v>
      </c>
      <c r="O430" s="9">
        <v>46004</v>
      </c>
      <c r="P430" s="9">
        <v>46155</v>
      </c>
      <c r="Q430" s="23">
        <f>DATEDIF(O430,P430,"M")</f>
        <v>5</v>
      </c>
      <c r="R430" s="33" t="s">
        <v>536</v>
      </c>
      <c r="S430" s="33" t="s">
        <v>1037</v>
      </c>
      <c r="T430" s="10">
        <v>33.979999999999997</v>
      </c>
      <c r="U430" s="8">
        <v>1</v>
      </c>
      <c r="V430" s="8" t="s">
        <v>58</v>
      </c>
      <c r="W430" s="8" t="s">
        <v>60</v>
      </c>
      <c r="X430" s="8" t="s">
        <v>61</v>
      </c>
      <c r="Y430" s="10">
        <v>23.79</v>
      </c>
    </row>
    <row r="431" spans="1:25" s="8" customFormat="1" x14ac:dyDescent="0.3">
      <c r="A431" s="8">
        <v>2032657543</v>
      </c>
      <c r="B431" s="8" t="s">
        <v>334</v>
      </c>
      <c r="C431" s="8" t="s">
        <v>335</v>
      </c>
      <c r="D431" s="8" t="str">
        <f t="shared" si="6"/>
        <v>AWA SALL</v>
      </c>
      <c r="E431" s="8" t="s">
        <v>80</v>
      </c>
      <c r="F431" s="8" t="s">
        <v>53</v>
      </c>
      <c r="G431" s="13">
        <v>0.7</v>
      </c>
      <c r="H431" s="8" t="s">
        <v>54</v>
      </c>
      <c r="I431" s="14" t="s">
        <v>54</v>
      </c>
      <c r="J431" s="15" t="s">
        <v>1017</v>
      </c>
      <c r="K431" s="8" t="s">
        <v>262</v>
      </c>
      <c r="L431" s="8" t="s">
        <v>263</v>
      </c>
      <c r="M431" s="8" t="str">
        <f>CONCATENATE(L431," ",K431)</f>
        <v>BARRY BRENNER</v>
      </c>
      <c r="N431" s="8" t="s">
        <v>57</v>
      </c>
      <c r="O431" s="9">
        <v>46004</v>
      </c>
      <c r="P431" s="9">
        <v>46155</v>
      </c>
      <c r="Q431" s="23">
        <f>DATEDIF(O431,P431,"M")</f>
        <v>5</v>
      </c>
      <c r="R431" s="33" t="s">
        <v>536</v>
      </c>
      <c r="S431" s="33" t="s">
        <v>1037</v>
      </c>
      <c r="T431" s="10">
        <v>58.24</v>
      </c>
      <c r="U431" s="8">
        <v>1</v>
      </c>
      <c r="V431" s="8" t="s">
        <v>58</v>
      </c>
      <c r="W431" s="8" t="s">
        <v>60</v>
      </c>
      <c r="X431" s="8" t="s">
        <v>61</v>
      </c>
      <c r="Y431" s="10">
        <v>40.770000000000003</v>
      </c>
    </row>
    <row r="432" spans="1:25" s="8" customFormat="1" x14ac:dyDescent="0.3">
      <c r="A432" s="8">
        <v>2032634421</v>
      </c>
      <c r="B432" s="8" t="s">
        <v>767</v>
      </c>
      <c r="C432" s="8" t="s">
        <v>768</v>
      </c>
      <c r="D432" s="8" t="str">
        <f t="shared" si="6"/>
        <v>COURTNEY HARDING</v>
      </c>
      <c r="E432" s="8" t="s">
        <v>256</v>
      </c>
      <c r="F432" s="8" t="s">
        <v>475</v>
      </c>
      <c r="G432" s="13">
        <v>0.38</v>
      </c>
      <c r="H432" s="8" t="s">
        <v>652</v>
      </c>
      <c r="I432" s="14" t="s">
        <v>652</v>
      </c>
      <c r="J432" s="15">
        <v>17425766</v>
      </c>
      <c r="K432" s="8" t="s">
        <v>544</v>
      </c>
      <c r="L432" s="8" t="s">
        <v>324</v>
      </c>
      <c r="M432" s="8" t="str">
        <f>CONCATENATE(L432," ",K432)</f>
        <v>CAROL FOLEY</v>
      </c>
      <c r="N432" s="8" t="s">
        <v>57</v>
      </c>
      <c r="O432" s="9">
        <v>46003</v>
      </c>
      <c r="P432" s="9">
        <v>46154</v>
      </c>
      <c r="Q432" s="23">
        <f>DATEDIF(O432,P432,"M")</f>
        <v>5</v>
      </c>
      <c r="R432" s="33" t="s">
        <v>536</v>
      </c>
      <c r="S432" s="33" t="s">
        <v>1037</v>
      </c>
      <c r="T432" s="10">
        <v>15</v>
      </c>
      <c r="U432" s="8">
        <v>1</v>
      </c>
      <c r="V432" s="8" t="s">
        <v>58</v>
      </c>
      <c r="W432" s="8" t="s">
        <v>60</v>
      </c>
      <c r="X432" s="8" t="s">
        <v>61</v>
      </c>
      <c r="Y432" s="10">
        <v>5.7</v>
      </c>
    </row>
    <row r="433" spans="1:25" s="8" customFormat="1" x14ac:dyDescent="0.3">
      <c r="A433" s="8">
        <v>2032634420</v>
      </c>
      <c r="B433" s="8" t="s">
        <v>767</v>
      </c>
      <c r="C433" s="8" t="s">
        <v>768</v>
      </c>
      <c r="D433" s="8" t="str">
        <f t="shared" si="6"/>
        <v>COURTNEY HARDING</v>
      </c>
      <c r="E433" s="8" t="s">
        <v>256</v>
      </c>
      <c r="F433" s="8" t="s">
        <v>499</v>
      </c>
      <c r="G433" s="13">
        <v>0.38</v>
      </c>
      <c r="H433" s="8" t="s">
        <v>502</v>
      </c>
      <c r="I433" s="14" t="s">
        <v>502</v>
      </c>
      <c r="J433" s="15">
        <v>17425766</v>
      </c>
      <c r="K433" s="8" t="s">
        <v>544</v>
      </c>
      <c r="L433" s="8" t="s">
        <v>324</v>
      </c>
      <c r="M433" s="8" t="str">
        <f>CONCATENATE(L433," ",K433)</f>
        <v>CAROL FOLEY</v>
      </c>
      <c r="N433" s="8" t="s">
        <v>57</v>
      </c>
      <c r="O433" s="9">
        <v>46003</v>
      </c>
      <c r="P433" s="9">
        <v>46154</v>
      </c>
      <c r="Q433" s="23">
        <f>DATEDIF(O433,P433,"M")</f>
        <v>5</v>
      </c>
      <c r="R433" s="33" t="s">
        <v>536</v>
      </c>
      <c r="S433" s="33" t="s">
        <v>1037</v>
      </c>
      <c r="T433" s="10">
        <v>58.29</v>
      </c>
      <c r="U433" s="8">
        <v>1</v>
      </c>
      <c r="V433" s="8" t="s">
        <v>58</v>
      </c>
      <c r="W433" s="8" t="s">
        <v>60</v>
      </c>
      <c r="X433" s="8" t="s">
        <v>61</v>
      </c>
      <c r="Y433" s="10">
        <v>22.15</v>
      </c>
    </row>
    <row r="434" spans="1:25" s="8" customFormat="1" x14ac:dyDescent="0.3">
      <c r="A434" s="8">
        <v>2032605130</v>
      </c>
      <c r="B434" s="8" t="s">
        <v>301</v>
      </c>
      <c r="C434" s="8" t="s">
        <v>302</v>
      </c>
      <c r="D434" s="8" t="str">
        <f t="shared" si="6"/>
        <v>CHARLIE BEMORAS</v>
      </c>
      <c r="E434" s="8" t="s">
        <v>80</v>
      </c>
      <c r="F434" s="8" t="s">
        <v>53</v>
      </c>
      <c r="G434" s="13">
        <v>0.7</v>
      </c>
      <c r="H434" s="8" t="s">
        <v>54</v>
      </c>
      <c r="I434" s="14" t="s">
        <v>54</v>
      </c>
      <c r="J434" s="15">
        <v>20003537</v>
      </c>
      <c r="K434" s="8" t="s">
        <v>120</v>
      </c>
      <c r="L434" s="8" t="s">
        <v>183</v>
      </c>
      <c r="M434" s="8" t="str">
        <f>CONCATENATE(L434," ",K434)</f>
        <v>Chad Yale</v>
      </c>
      <c r="N434" s="8" t="s">
        <v>57</v>
      </c>
      <c r="O434" s="9">
        <v>46002</v>
      </c>
      <c r="P434" s="9">
        <v>46153</v>
      </c>
      <c r="Q434" s="23">
        <f>DATEDIF(O434,P434,"M")</f>
        <v>5</v>
      </c>
      <c r="R434" s="33" t="s">
        <v>536</v>
      </c>
      <c r="S434" s="33" t="s">
        <v>1037</v>
      </c>
      <c r="T434" s="10">
        <v>49.8</v>
      </c>
      <c r="U434" s="8">
        <v>1</v>
      </c>
      <c r="V434" s="8" t="s">
        <v>58</v>
      </c>
      <c r="W434" s="8" t="s">
        <v>60</v>
      </c>
      <c r="X434" s="8" t="s">
        <v>61</v>
      </c>
      <c r="Y434" s="10">
        <v>34.86</v>
      </c>
    </row>
    <row r="435" spans="1:25" s="8" customFormat="1" x14ac:dyDescent="0.3">
      <c r="A435" s="8">
        <v>2032605394</v>
      </c>
      <c r="B435" s="8" t="s">
        <v>303</v>
      </c>
      <c r="C435" s="8" t="s">
        <v>304</v>
      </c>
      <c r="D435" s="8" t="str">
        <f t="shared" si="6"/>
        <v>DIANE TENZINGER</v>
      </c>
      <c r="E435" s="8" t="s">
        <v>80</v>
      </c>
      <c r="F435" s="8" t="s">
        <v>53</v>
      </c>
      <c r="G435" s="13">
        <v>0.7</v>
      </c>
      <c r="H435" s="8" t="s">
        <v>54</v>
      </c>
      <c r="I435" s="14" t="s">
        <v>54</v>
      </c>
      <c r="J435" s="15">
        <v>9213293</v>
      </c>
      <c r="K435" s="8" t="s">
        <v>171</v>
      </c>
      <c r="L435" s="8" t="s">
        <v>172</v>
      </c>
      <c r="M435" s="8" t="str">
        <f>CONCATENATE(L435," ",K435)</f>
        <v>GARY PORTUGAL</v>
      </c>
      <c r="N435" s="8" t="s">
        <v>57</v>
      </c>
      <c r="O435" s="9">
        <v>46008</v>
      </c>
      <c r="P435" s="9">
        <v>46159</v>
      </c>
      <c r="Q435" s="23">
        <f>DATEDIF(O435,P435,"M")</f>
        <v>5</v>
      </c>
      <c r="R435" s="33" t="s">
        <v>536</v>
      </c>
      <c r="S435" s="33" t="s">
        <v>1037</v>
      </c>
      <c r="T435" s="10">
        <v>37.18</v>
      </c>
      <c r="U435" s="8">
        <v>1</v>
      </c>
      <c r="V435" s="8" t="s">
        <v>58</v>
      </c>
      <c r="W435" s="8" t="s">
        <v>60</v>
      </c>
      <c r="X435" s="8" t="s">
        <v>61</v>
      </c>
      <c r="Y435" s="10">
        <v>26.03</v>
      </c>
    </row>
    <row r="436" spans="1:25" s="8" customFormat="1" x14ac:dyDescent="0.3">
      <c r="A436" s="8">
        <v>2032679124</v>
      </c>
      <c r="B436" s="8" t="s">
        <v>346</v>
      </c>
      <c r="C436" s="8" t="s">
        <v>155</v>
      </c>
      <c r="D436" s="8" t="str">
        <f t="shared" si="6"/>
        <v>AMY CHAO</v>
      </c>
      <c r="E436" s="8" t="s">
        <v>80</v>
      </c>
      <c r="F436" s="8" t="s">
        <v>53</v>
      </c>
      <c r="G436" s="13">
        <v>0.7</v>
      </c>
      <c r="H436" s="8" t="s">
        <v>54</v>
      </c>
      <c r="I436" s="14" t="s">
        <v>54</v>
      </c>
      <c r="J436" s="15">
        <v>9213293</v>
      </c>
      <c r="K436" s="8" t="s">
        <v>171</v>
      </c>
      <c r="L436" s="8" t="s">
        <v>172</v>
      </c>
      <c r="M436" s="8" t="str">
        <f>CONCATENATE(L436," ",K436)</f>
        <v>GARY PORTUGAL</v>
      </c>
      <c r="N436" s="8" t="s">
        <v>57</v>
      </c>
      <c r="O436" s="9">
        <v>46006</v>
      </c>
      <c r="P436" s="9">
        <v>46157</v>
      </c>
      <c r="Q436" s="23">
        <f>DATEDIF(O436,P436,"M")</f>
        <v>5</v>
      </c>
      <c r="R436" s="33" t="s">
        <v>536</v>
      </c>
      <c r="S436" s="33" t="s">
        <v>1037</v>
      </c>
      <c r="T436" s="10">
        <v>39.35</v>
      </c>
      <c r="U436" s="8">
        <v>1</v>
      </c>
      <c r="V436" s="8" t="s">
        <v>58</v>
      </c>
      <c r="W436" s="8" t="s">
        <v>60</v>
      </c>
      <c r="X436" s="8" t="s">
        <v>61</v>
      </c>
      <c r="Y436" s="10">
        <v>27.54</v>
      </c>
    </row>
    <row r="437" spans="1:25" s="8" customFormat="1" x14ac:dyDescent="0.3">
      <c r="A437" s="8">
        <v>2032648207</v>
      </c>
      <c r="B437" s="8" t="s">
        <v>879</v>
      </c>
      <c r="C437" s="8" t="s">
        <v>860</v>
      </c>
      <c r="D437" s="8" t="str">
        <f t="shared" si="6"/>
        <v>THEODORE WIGGINS</v>
      </c>
      <c r="E437" s="8" t="s">
        <v>256</v>
      </c>
      <c r="F437" s="8" t="s">
        <v>499</v>
      </c>
      <c r="G437" s="13">
        <v>0.38</v>
      </c>
      <c r="H437" s="8" t="s">
        <v>502</v>
      </c>
      <c r="I437" s="14" t="s">
        <v>502</v>
      </c>
      <c r="J437" s="15" t="s">
        <v>1025</v>
      </c>
      <c r="K437" s="8" t="s">
        <v>535</v>
      </c>
      <c r="L437" s="8" t="s">
        <v>149</v>
      </c>
      <c r="M437" s="8" t="str">
        <f>CONCATENATE(L437," ",K437)</f>
        <v>JOHN ROKEN</v>
      </c>
      <c r="N437" s="8" t="s">
        <v>57</v>
      </c>
      <c r="O437" s="9">
        <v>46004</v>
      </c>
      <c r="P437" s="9">
        <v>46155</v>
      </c>
      <c r="Q437" s="23">
        <f>DATEDIF(O437,P437,"M")</f>
        <v>5</v>
      </c>
      <c r="R437" s="33" t="s">
        <v>536</v>
      </c>
      <c r="S437" s="33" t="s">
        <v>1037</v>
      </c>
      <c r="T437" s="10">
        <v>77.55</v>
      </c>
      <c r="U437" s="8">
        <v>1</v>
      </c>
      <c r="V437" s="8" t="s">
        <v>58</v>
      </c>
      <c r="W437" s="8" t="s">
        <v>60</v>
      </c>
      <c r="X437" s="8" t="s">
        <v>61</v>
      </c>
      <c r="Y437" s="10">
        <v>29.47</v>
      </c>
    </row>
    <row r="438" spans="1:25" s="8" customFormat="1" x14ac:dyDescent="0.3">
      <c r="A438" s="8">
        <v>2032612599</v>
      </c>
      <c r="B438" s="8" t="s">
        <v>309</v>
      </c>
      <c r="C438" s="8" t="s">
        <v>310</v>
      </c>
      <c r="D438" s="8" t="str">
        <f t="shared" si="6"/>
        <v>JORGE GALVEZ</v>
      </c>
      <c r="E438" s="8" t="s">
        <v>80</v>
      </c>
      <c r="F438" s="8" t="s">
        <v>53</v>
      </c>
      <c r="G438" s="13">
        <v>0.7</v>
      </c>
      <c r="H438" s="8" t="s">
        <v>54</v>
      </c>
      <c r="I438" s="14" t="s">
        <v>54</v>
      </c>
      <c r="J438" s="15">
        <v>17516272</v>
      </c>
      <c r="K438" s="8" t="s">
        <v>311</v>
      </c>
      <c r="L438" s="8" t="s">
        <v>312</v>
      </c>
      <c r="M438" s="8" t="str">
        <f>CONCATENATE(L438," ",K438)</f>
        <v>Kenneth Weitzman</v>
      </c>
      <c r="N438" s="8" t="s">
        <v>57</v>
      </c>
      <c r="O438" s="9">
        <v>46002</v>
      </c>
      <c r="P438" s="9">
        <v>46153</v>
      </c>
      <c r="Q438" s="23">
        <f>DATEDIF(O438,P438,"M")</f>
        <v>5</v>
      </c>
      <c r="R438" s="33" t="s">
        <v>536</v>
      </c>
      <c r="S438" s="33" t="s">
        <v>1037</v>
      </c>
      <c r="T438" s="10">
        <v>18.45</v>
      </c>
      <c r="U438" s="8">
        <v>1</v>
      </c>
      <c r="V438" s="8" t="s">
        <v>58</v>
      </c>
      <c r="W438" s="8" t="s">
        <v>60</v>
      </c>
      <c r="X438" s="8" t="s">
        <v>61</v>
      </c>
      <c r="Y438" s="10">
        <v>12.92</v>
      </c>
    </row>
    <row r="439" spans="1:25" s="8" customFormat="1" x14ac:dyDescent="0.3">
      <c r="A439" s="8">
        <v>2032638602</v>
      </c>
      <c r="B439" s="8" t="s">
        <v>325</v>
      </c>
      <c r="C439" s="8" t="s">
        <v>326</v>
      </c>
      <c r="D439" s="8" t="str">
        <f t="shared" si="6"/>
        <v>ANA MENDEZ</v>
      </c>
      <c r="E439" s="8" t="s">
        <v>80</v>
      </c>
      <c r="F439" s="8" t="s">
        <v>53</v>
      </c>
      <c r="G439" s="13">
        <v>0.7</v>
      </c>
      <c r="H439" s="8" t="s">
        <v>54</v>
      </c>
      <c r="I439" s="14" t="s">
        <v>54</v>
      </c>
      <c r="J439" s="15">
        <v>17516272</v>
      </c>
      <c r="K439" s="8" t="s">
        <v>311</v>
      </c>
      <c r="L439" s="8" t="s">
        <v>312</v>
      </c>
      <c r="M439" s="8" t="str">
        <f>CONCATENATE(L439," ",K439)</f>
        <v>Kenneth Weitzman</v>
      </c>
      <c r="N439" s="8" t="s">
        <v>57</v>
      </c>
      <c r="O439" s="9">
        <v>46003</v>
      </c>
      <c r="P439" s="9">
        <v>46154</v>
      </c>
      <c r="Q439" s="23">
        <f>DATEDIF(O439,P439,"M")</f>
        <v>5</v>
      </c>
      <c r="R439" s="33" t="s">
        <v>536</v>
      </c>
      <c r="S439" s="33" t="s">
        <v>1037</v>
      </c>
      <c r="T439" s="10">
        <v>18.45</v>
      </c>
      <c r="U439" s="8">
        <v>1</v>
      </c>
      <c r="V439" s="8" t="s">
        <v>58</v>
      </c>
      <c r="W439" s="8" t="s">
        <v>60</v>
      </c>
      <c r="X439" s="8" t="s">
        <v>61</v>
      </c>
      <c r="Y439" s="10">
        <v>12.92</v>
      </c>
    </row>
    <row r="440" spans="1:25" s="8" customFormat="1" x14ac:dyDescent="0.3">
      <c r="A440" s="8">
        <v>2032634843</v>
      </c>
      <c r="B440" s="8" t="s">
        <v>323</v>
      </c>
      <c r="C440" s="8" t="s">
        <v>324</v>
      </c>
      <c r="D440" s="8" t="str">
        <f t="shared" si="6"/>
        <v>CAROL MAYBIN</v>
      </c>
      <c r="E440" s="8" t="s">
        <v>52</v>
      </c>
      <c r="F440" s="8" t="s">
        <v>53</v>
      </c>
      <c r="G440" s="13">
        <v>0.7</v>
      </c>
      <c r="H440" s="8" t="s">
        <v>54</v>
      </c>
      <c r="I440" s="14" t="s">
        <v>54</v>
      </c>
      <c r="J440" s="15">
        <v>17516272</v>
      </c>
      <c r="K440" s="8" t="s">
        <v>311</v>
      </c>
      <c r="L440" s="8" t="s">
        <v>312</v>
      </c>
      <c r="M440" s="8" t="str">
        <f>CONCATENATE(L440," ",K440)</f>
        <v>Kenneth Weitzman</v>
      </c>
      <c r="N440" s="8" t="s">
        <v>57</v>
      </c>
      <c r="O440" s="9">
        <v>46003</v>
      </c>
      <c r="P440" s="9">
        <v>46154</v>
      </c>
      <c r="Q440" s="23">
        <f>DATEDIF(O440,P440,"M")</f>
        <v>5</v>
      </c>
      <c r="R440" s="33" t="s">
        <v>536</v>
      </c>
      <c r="S440" s="33" t="s">
        <v>1037</v>
      </c>
      <c r="T440" s="10">
        <v>57.27</v>
      </c>
      <c r="U440" s="8">
        <v>1</v>
      </c>
      <c r="V440" s="8" t="s">
        <v>58</v>
      </c>
      <c r="W440" s="8" t="s">
        <v>60</v>
      </c>
      <c r="X440" s="8" t="s">
        <v>61</v>
      </c>
      <c r="Y440" s="10">
        <v>40.090000000000003</v>
      </c>
    </row>
    <row r="441" spans="1:25" s="8" customFormat="1" x14ac:dyDescent="0.3">
      <c r="A441" s="8">
        <v>2032621540</v>
      </c>
      <c r="B441" s="8" t="s">
        <v>315</v>
      </c>
      <c r="C441" s="8" t="s">
        <v>316</v>
      </c>
      <c r="D441" s="8" t="str">
        <f t="shared" si="6"/>
        <v>RONALD MAX</v>
      </c>
      <c r="E441" s="8" t="s">
        <v>93</v>
      </c>
      <c r="F441" s="8" t="s">
        <v>53</v>
      </c>
      <c r="G441" s="13">
        <v>0.7</v>
      </c>
      <c r="H441" s="8" t="s">
        <v>97</v>
      </c>
      <c r="I441" s="14" t="s">
        <v>117</v>
      </c>
      <c r="J441" s="15">
        <v>5442438</v>
      </c>
      <c r="K441" s="8" t="s">
        <v>95</v>
      </c>
      <c r="L441" s="8" t="s">
        <v>96</v>
      </c>
      <c r="M441" s="8" t="str">
        <f>CONCATENATE(L441," ",K441)</f>
        <v>Ronald Max</v>
      </c>
      <c r="N441" s="8" t="s">
        <v>57</v>
      </c>
      <c r="O441" s="9">
        <v>46003</v>
      </c>
      <c r="P441" s="9">
        <v>46154</v>
      </c>
      <c r="Q441" s="23">
        <f>DATEDIF(O441,P441,"M")</f>
        <v>5</v>
      </c>
      <c r="R441" s="33" t="s">
        <v>536</v>
      </c>
      <c r="S441" s="33" t="s">
        <v>1037</v>
      </c>
      <c r="T441" s="10">
        <v>24.61</v>
      </c>
      <c r="U441" s="8">
        <v>1</v>
      </c>
      <c r="V441" s="8" t="s">
        <v>58</v>
      </c>
      <c r="W441" s="8" t="s">
        <v>60</v>
      </c>
      <c r="X441" s="8" t="s">
        <v>61</v>
      </c>
      <c r="Y441" s="10">
        <v>17.23</v>
      </c>
    </row>
    <row r="442" spans="1:25" s="8" customFormat="1" x14ac:dyDescent="0.3">
      <c r="A442" s="8">
        <v>2032692415</v>
      </c>
      <c r="B442" s="8" t="s">
        <v>350</v>
      </c>
      <c r="C442" s="8" t="s">
        <v>351</v>
      </c>
      <c r="D442" s="8" t="str">
        <f t="shared" si="6"/>
        <v>JUSTIN GREENWELL</v>
      </c>
      <c r="E442" s="8" t="s">
        <v>93</v>
      </c>
      <c r="F442" s="8" t="s">
        <v>444</v>
      </c>
      <c r="G442" s="13">
        <v>0.9</v>
      </c>
      <c r="H442" s="8" t="s">
        <v>567</v>
      </c>
      <c r="I442" s="14" t="s">
        <v>981</v>
      </c>
      <c r="J442" s="15">
        <v>5442438</v>
      </c>
      <c r="K442" s="8" t="s">
        <v>95</v>
      </c>
      <c r="L442" s="8" t="s">
        <v>96</v>
      </c>
      <c r="M442" s="8" t="str">
        <f>CONCATENATE(L442," ",K442)</f>
        <v>Ronald Max</v>
      </c>
      <c r="N442" s="8" t="s">
        <v>57</v>
      </c>
      <c r="O442" s="9">
        <v>46007</v>
      </c>
      <c r="P442" s="9">
        <v>46158</v>
      </c>
      <c r="Q442" s="23">
        <f>DATEDIF(O442,P442,"M")</f>
        <v>5</v>
      </c>
      <c r="R442" s="33" t="s">
        <v>536</v>
      </c>
      <c r="S442" s="33" t="s">
        <v>1037</v>
      </c>
      <c r="T442" s="10">
        <v>98.92</v>
      </c>
      <c r="U442" s="8">
        <v>1</v>
      </c>
      <c r="V442" s="8" t="s">
        <v>58</v>
      </c>
      <c r="W442" s="8" t="s">
        <v>60</v>
      </c>
      <c r="X442" s="8" t="s">
        <v>61</v>
      </c>
      <c r="Y442" s="10">
        <v>89.03</v>
      </c>
    </row>
    <row r="443" spans="1:25" s="8" customFormat="1" x14ac:dyDescent="0.3">
      <c r="A443" s="8">
        <v>2032692414</v>
      </c>
      <c r="B443" s="8" t="s">
        <v>350</v>
      </c>
      <c r="C443" s="8" t="s">
        <v>351</v>
      </c>
      <c r="D443" s="8" t="str">
        <f t="shared" si="6"/>
        <v>JUSTIN GREENWELL</v>
      </c>
      <c r="E443" s="8" t="s">
        <v>93</v>
      </c>
      <c r="F443" s="8" t="s">
        <v>53</v>
      </c>
      <c r="G443" s="13">
        <v>0.9</v>
      </c>
      <c r="H443" s="8" t="s">
        <v>65</v>
      </c>
      <c r="I443" s="14" t="s">
        <v>65</v>
      </c>
      <c r="J443" s="15">
        <v>5442438</v>
      </c>
      <c r="K443" s="8" t="s">
        <v>95</v>
      </c>
      <c r="L443" s="8" t="s">
        <v>96</v>
      </c>
      <c r="M443" s="8" t="str">
        <f>CONCATENATE(L443," ",K443)</f>
        <v>Ronald Max</v>
      </c>
      <c r="N443" s="8" t="s">
        <v>57</v>
      </c>
      <c r="O443" s="9">
        <v>46007</v>
      </c>
      <c r="P443" s="9">
        <v>46158</v>
      </c>
      <c r="Q443" s="23">
        <f>DATEDIF(O443,P443,"M")</f>
        <v>5</v>
      </c>
      <c r="R443" s="33" t="s">
        <v>536</v>
      </c>
      <c r="S443" s="33" t="s">
        <v>1037</v>
      </c>
      <c r="T443" s="10">
        <v>56.75</v>
      </c>
      <c r="U443" s="8">
        <v>1</v>
      </c>
      <c r="V443" s="8" t="s">
        <v>58</v>
      </c>
      <c r="W443" s="8" t="s">
        <v>60</v>
      </c>
      <c r="X443" s="8" t="s">
        <v>61</v>
      </c>
      <c r="Y443" s="10">
        <v>51.08</v>
      </c>
    </row>
    <row r="444" spans="1:25" s="8" customFormat="1" x14ac:dyDescent="0.3">
      <c r="A444" s="8">
        <v>2032676548</v>
      </c>
      <c r="B444" s="8" t="s">
        <v>560</v>
      </c>
      <c r="C444" s="8" t="s">
        <v>100</v>
      </c>
      <c r="D444" s="8" t="str">
        <f t="shared" si="6"/>
        <v>FRANK ANILO</v>
      </c>
      <c r="E444" s="8" t="s">
        <v>256</v>
      </c>
      <c r="F444" s="8" t="s">
        <v>499</v>
      </c>
      <c r="G444" s="13">
        <v>0.38</v>
      </c>
      <c r="H444" s="8" t="s">
        <v>502</v>
      </c>
      <c r="I444" s="14" t="s">
        <v>502</v>
      </c>
      <c r="J444" s="15">
        <v>15950276</v>
      </c>
      <c r="K444" s="8" t="s">
        <v>559</v>
      </c>
      <c r="L444" s="8" t="s">
        <v>470</v>
      </c>
      <c r="M444" s="8" t="str">
        <f>CONCATENATE(L444," ",K444)</f>
        <v>Ryan Stocker</v>
      </c>
      <c r="N444" s="8" t="s">
        <v>57</v>
      </c>
      <c r="O444" s="9">
        <v>46005</v>
      </c>
      <c r="P444" s="9">
        <v>46156</v>
      </c>
      <c r="Q444" s="23">
        <f>DATEDIF(O444,P444,"M")</f>
        <v>5</v>
      </c>
      <c r="R444" s="33" t="s">
        <v>536</v>
      </c>
      <c r="S444" s="33" t="s">
        <v>1037</v>
      </c>
      <c r="T444" s="10">
        <v>19.309999999999999</v>
      </c>
      <c r="U444" s="8">
        <v>1</v>
      </c>
      <c r="V444" s="8" t="s">
        <v>58</v>
      </c>
      <c r="W444" s="8" t="s">
        <v>60</v>
      </c>
      <c r="X444" s="8" t="s">
        <v>61</v>
      </c>
      <c r="Y444" s="10">
        <v>7.34</v>
      </c>
    </row>
    <row r="445" spans="1:25" s="8" customFormat="1" x14ac:dyDescent="0.3">
      <c r="A445" s="8">
        <v>2032676547</v>
      </c>
      <c r="B445" s="8" t="s">
        <v>560</v>
      </c>
      <c r="C445" s="8" t="s">
        <v>100</v>
      </c>
      <c r="D445" s="8" t="str">
        <f t="shared" si="6"/>
        <v>FRANK ANILO</v>
      </c>
      <c r="E445" s="8" t="s">
        <v>256</v>
      </c>
      <c r="F445" s="8" t="s">
        <v>483</v>
      </c>
      <c r="G445" s="16">
        <v>0.375</v>
      </c>
      <c r="H445" s="8" t="s">
        <v>484</v>
      </c>
      <c r="I445" s="14" t="s">
        <v>484</v>
      </c>
      <c r="J445" s="15">
        <v>15950276</v>
      </c>
      <c r="K445" s="8" t="s">
        <v>559</v>
      </c>
      <c r="L445" s="8" t="s">
        <v>470</v>
      </c>
      <c r="M445" s="8" t="str">
        <f>CONCATENATE(L445," ",K445)</f>
        <v>Ryan Stocker</v>
      </c>
      <c r="N445" s="8" t="s">
        <v>57</v>
      </c>
      <c r="O445" s="9">
        <v>46005</v>
      </c>
      <c r="P445" s="9">
        <v>46156</v>
      </c>
      <c r="Q445" s="23">
        <f>DATEDIF(O445,P445,"M")</f>
        <v>5</v>
      </c>
      <c r="R445" s="33" t="s">
        <v>536</v>
      </c>
      <c r="S445" s="33" t="s">
        <v>1037</v>
      </c>
      <c r="T445" s="10">
        <v>37.32</v>
      </c>
      <c r="U445" s="8">
        <v>1</v>
      </c>
      <c r="V445" s="8" t="s">
        <v>58</v>
      </c>
      <c r="W445" s="8" t="s">
        <v>60</v>
      </c>
      <c r="X445" s="8" t="s">
        <v>61</v>
      </c>
      <c r="Y445" s="10">
        <v>14</v>
      </c>
    </row>
    <row r="446" spans="1:25" s="8" customFormat="1" x14ac:dyDescent="0.3">
      <c r="A446" s="8">
        <v>2032676549</v>
      </c>
      <c r="B446" s="8" t="s">
        <v>560</v>
      </c>
      <c r="C446" s="8" t="s">
        <v>100</v>
      </c>
      <c r="D446" s="8" t="str">
        <f t="shared" si="6"/>
        <v>FRANK ANILO</v>
      </c>
      <c r="E446" s="8" t="s">
        <v>256</v>
      </c>
      <c r="F446" s="8" t="s">
        <v>533</v>
      </c>
      <c r="G446" s="13">
        <v>0.6</v>
      </c>
      <c r="H446" s="8" t="s">
        <v>534</v>
      </c>
      <c r="I446" s="14" t="s">
        <v>534</v>
      </c>
      <c r="J446" s="15">
        <v>15950276</v>
      </c>
      <c r="K446" s="8" t="s">
        <v>559</v>
      </c>
      <c r="L446" s="8" t="s">
        <v>470</v>
      </c>
      <c r="M446" s="8" t="str">
        <f>CONCATENATE(L446," ",K446)</f>
        <v>Ryan Stocker</v>
      </c>
      <c r="N446" s="8" t="s">
        <v>57</v>
      </c>
      <c r="O446" s="9">
        <v>46005</v>
      </c>
      <c r="P446" s="9">
        <v>46156</v>
      </c>
      <c r="Q446" s="23">
        <f>DATEDIF(O446,P446,"M")</f>
        <v>5</v>
      </c>
      <c r="R446" s="33" t="s">
        <v>536</v>
      </c>
      <c r="S446" s="33" t="s">
        <v>1037</v>
      </c>
      <c r="T446" s="10">
        <v>46.45</v>
      </c>
      <c r="U446" s="8">
        <v>1</v>
      </c>
      <c r="V446" s="8" t="s">
        <v>58</v>
      </c>
      <c r="W446" s="8" t="s">
        <v>60</v>
      </c>
      <c r="X446" s="8" t="s">
        <v>61</v>
      </c>
      <c r="Y446" s="10">
        <v>27.87</v>
      </c>
    </row>
    <row r="447" spans="1:25" s="8" customFormat="1" x14ac:dyDescent="0.3">
      <c r="A447" s="8">
        <v>2032673611</v>
      </c>
      <c r="B447" s="8" t="s">
        <v>558</v>
      </c>
      <c r="C447" s="8" t="s">
        <v>479</v>
      </c>
      <c r="D447" s="8" t="str">
        <f t="shared" si="6"/>
        <v>MARY PELLECHIA</v>
      </c>
      <c r="E447" s="8" t="s">
        <v>256</v>
      </c>
      <c r="F447" s="8" t="s">
        <v>533</v>
      </c>
      <c r="G447" s="13">
        <v>0.6</v>
      </c>
      <c r="H447" s="8" t="s">
        <v>534</v>
      </c>
      <c r="I447" s="14" t="s">
        <v>534</v>
      </c>
      <c r="J447" s="15">
        <v>15950276</v>
      </c>
      <c r="K447" s="8" t="s">
        <v>559</v>
      </c>
      <c r="L447" s="8" t="s">
        <v>470</v>
      </c>
      <c r="M447" s="8" t="str">
        <f>CONCATENATE(L447," ",K447)</f>
        <v>Ryan Stocker</v>
      </c>
      <c r="N447" s="8" t="s">
        <v>57</v>
      </c>
      <c r="O447" s="9">
        <v>46005</v>
      </c>
      <c r="P447" s="9">
        <v>46156</v>
      </c>
      <c r="Q447" s="23">
        <f>DATEDIF(O447,P447,"M")</f>
        <v>5</v>
      </c>
      <c r="R447" s="33" t="s">
        <v>536</v>
      </c>
      <c r="S447" s="33" t="s">
        <v>1037</v>
      </c>
      <c r="T447" s="10">
        <v>52.69</v>
      </c>
      <c r="U447" s="8">
        <v>1</v>
      </c>
      <c r="V447" s="8" t="s">
        <v>58</v>
      </c>
      <c r="W447" s="8" t="s">
        <v>60</v>
      </c>
      <c r="X447" s="8" t="s">
        <v>61</v>
      </c>
      <c r="Y447" s="10">
        <v>31.61</v>
      </c>
    </row>
    <row r="448" spans="1:25" s="8" customFormat="1" x14ac:dyDescent="0.3">
      <c r="A448" s="8">
        <v>2032150171</v>
      </c>
      <c r="B448" s="8" t="s">
        <v>258</v>
      </c>
      <c r="C448" s="8" t="s">
        <v>259</v>
      </c>
      <c r="D448" s="8" t="str">
        <f t="shared" si="6"/>
        <v>SANDLINE AUGUSTIN</v>
      </c>
      <c r="E448" s="8" t="s">
        <v>93</v>
      </c>
      <c r="F448" s="8" t="s">
        <v>53</v>
      </c>
      <c r="G448" s="13">
        <v>0.9</v>
      </c>
      <c r="H448" s="8" t="s">
        <v>65</v>
      </c>
      <c r="I448" s="14" t="s">
        <v>65</v>
      </c>
      <c r="J448" s="15">
        <v>9079571</v>
      </c>
      <c r="K448" s="8" t="s">
        <v>164</v>
      </c>
      <c r="L448" s="8" t="s">
        <v>165</v>
      </c>
      <c r="M448" s="8" t="str">
        <f>CONCATENATE(L448," ",K448)</f>
        <v>ADAM RICHTER</v>
      </c>
      <c r="N448" s="8" t="s">
        <v>57</v>
      </c>
      <c r="O448" s="9">
        <v>45975</v>
      </c>
      <c r="P448" s="9">
        <v>46156</v>
      </c>
      <c r="Q448" s="23">
        <f>DATEDIF(O448,P448,"M")</f>
        <v>6</v>
      </c>
      <c r="R448" s="33" t="s">
        <v>536</v>
      </c>
      <c r="S448" s="33" t="s">
        <v>1037</v>
      </c>
      <c r="T448" s="10">
        <v>34.42</v>
      </c>
      <c r="U448" s="8">
        <v>1</v>
      </c>
      <c r="V448" s="8" t="s">
        <v>58</v>
      </c>
      <c r="W448" s="8" t="s">
        <v>60</v>
      </c>
      <c r="X448" s="8" t="s">
        <v>61</v>
      </c>
      <c r="Y448" s="10">
        <v>30.98</v>
      </c>
    </row>
    <row r="449" spans="1:25" s="8" customFormat="1" x14ac:dyDescent="0.3">
      <c r="A449" s="8">
        <v>2032175460</v>
      </c>
      <c r="B449" s="8" t="s">
        <v>275</v>
      </c>
      <c r="C449" s="8" t="s">
        <v>276</v>
      </c>
      <c r="D449" s="8" t="str">
        <f t="shared" si="6"/>
        <v>KRISTINA CAMPAGNA</v>
      </c>
      <c r="E449" s="8" t="s">
        <v>80</v>
      </c>
      <c r="F449" s="8" t="s">
        <v>53</v>
      </c>
      <c r="G449" s="13">
        <v>0.7</v>
      </c>
      <c r="H449" s="8" t="s">
        <v>54</v>
      </c>
      <c r="I449" s="14" t="s">
        <v>54</v>
      </c>
      <c r="J449" s="15" t="s">
        <v>1017</v>
      </c>
      <c r="K449" s="8" t="s">
        <v>262</v>
      </c>
      <c r="L449" s="8" t="s">
        <v>263</v>
      </c>
      <c r="M449" s="8" t="str">
        <f>CONCATENATE(L449," ",K449)</f>
        <v>BARRY BRENNER</v>
      </c>
      <c r="N449" s="8" t="s">
        <v>57</v>
      </c>
      <c r="O449" s="9">
        <v>45976</v>
      </c>
      <c r="P449" s="9">
        <v>46157</v>
      </c>
      <c r="Q449" s="23">
        <f>DATEDIF(O449,P449,"M")</f>
        <v>6</v>
      </c>
      <c r="R449" s="33" t="s">
        <v>536</v>
      </c>
      <c r="S449" s="33" t="s">
        <v>1037</v>
      </c>
      <c r="T449" s="10">
        <v>11.5</v>
      </c>
      <c r="U449" s="8">
        <v>1</v>
      </c>
      <c r="V449" s="8" t="s">
        <v>58</v>
      </c>
      <c r="W449" s="8" t="s">
        <v>60</v>
      </c>
      <c r="X449" s="8" t="s">
        <v>61</v>
      </c>
      <c r="Y449" s="10">
        <v>8.0500000000000007</v>
      </c>
    </row>
    <row r="450" spans="1:25" s="8" customFormat="1" x14ac:dyDescent="0.3">
      <c r="A450" s="8">
        <v>2032151221</v>
      </c>
      <c r="B450" s="8" t="s">
        <v>260</v>
      </c>
      <c r="C450" s="8" t="s">
        <v>261</v>
      </c>
      <c r="D450" s="8" t="str">
        <f t="shared" si="6"/>
        <v>CHRIS GIGLIO</v>
      </c>
      <c r="E450" s="8" t="s">
        <v>80</v>
      </c>
      <c r="F450" s="8" t="s">
        <v>53</v>
      </c>
      <c r="G450" s="13">
        <v>0.7</v>
      </c>
      <c r="H450" s="8" t="s">
        <v>54</v>
      </c>
      <c r="I450" s="14" t="s">
        <v>54</v>
      </c>
      <c r="J450" s="15" t="s">
        <v>1017</v>
      </c>
      <c r="K450" s="8" t="s">
        <v>262</v>
      </c>
      <c r="L450" s="8" t="s">
        <v>263</v>
      </c>
      <c r="M450" s="8" t="str">
        <f>CONCATENATE(L450," ",K450)</f>
        <v>BARRY BRENNER</v>
      </c>
      <c r="N450" s="8" t="s">
        <v>57</v>
      </c>
      <c r="O450" s="9">
        <v>45975</v>
      </c>
      <c r="P450" s="9">
        <v>46156</v>
      </c>
      <c r="Q450" s="23">
        <f>DATEDIF(O450,P450,"M")</f>
        <v>6</v>
      </c>
      <c r="R450" s="33" t="s">
        <v>536</v>
      </c>
      <c r="S450" s="33" t="s">
        <v>1037</v>
      </c>
      <c r="T450" s="10">
        <v>58.24</v>
      </c>
      <c r="U450" s="8">
        <v>1</v>
      </c>
      <c r="V450" s="8" t="s">
        <v>58</v>
      </c>
      <c r="W450" s="8" t="s">
        <v>60</v>
      </c>
      <c r="X450" s="8" t="s">
        <v>61</v>
      </c>
      <c r="Y450" s="10">
        <v>40.770000000000003</v>
      </c>
    </row>
    <row r="451" spans="1:25" s="8" customFormat="1" x14ac:dyDescent="0.3">
      <c r="A451" s="8">
        <v>2032191483</v>
      </c>
      <c r="B451" s="8" t="s">
        <v>858</v>
      </c>
      <c r="C451" s="8" t="s">
        <v>859</v>
      </c>
      <c r="D451" s="8" t="str">
        <f t="shared" ref="D451:D514" si="7">CONCATENATE(C451," ",B451)</f>
        <v>NEDELJKA PEPIC</v>
      </c>
      <c r="E451" s="8" t="s">
        <v>52</v>
      </c>
      <c r="F451" s="8" t="s">
        <v>483</v>
      </c>
      <c r="G451" s="16">
        <v>0.375</v>
      </c>
      <c r="H451" s="8" t="s">
        <v>484</v>
      </c>
      <c r="I451" s="14" t="s">
        <v>484</v>
      </c>
      <c r="J451" s="15" t="s">
        <v>1017</v>
      </c>
      <c r="K451" s="8" t="s">
        <v>262</v>
      </c>
      <c r="L451" s="8" t="s">
        <v>263</v>
      </c>
      <c r="M451" s="8" t="str">
        <f>CONCATENATE(L451," ",K451)</f>
        <v>BARRY BRENNER</v>
      </c>
      <c r="N451" s="8" t="s">
        <v>57</v>
      </c>
      <c r="O451" s="9">
        <v>45977</v>
      </c>
      <c r="P451" s="9">
        <v>46158</v>
      </c>
      <c r="Q451" s="23">
        <f>DATEDIF(O451,P451,"M")</f>
        <v>6</v>
      </c>
      <c r="R451" s="33" t="s">
        <v>536</v>
      </c>
      <c r="S451" s="33" t="s">
        <v>1037</v>
      </c>
      <c r="T451" s="10">
        <v>41.04</v>
      </c>
      <c r="U451" s="8">
        <v>1</v>
      </c>
      <c r="V451" s="8" t="s">
        <v>58</v>
      </c>
      <c r="W451" s="8" t="s">
        <v>60</v>
      </c>
      <c r="X451" s="8" t="s">
        <v>61</v>
      </c>
      <c r="Y451" s="10">
        <v>15.39</v>
      </c>
    </row>
    <row r="452" spans="1:25" s="8" customFormat="1" x14ac:dyDescent="0.3">
      <c r="A452" s="8">
        <v>2032175461</v>
      </c>
      <c r="B452" s="8" t="s">
        <v>275</v>
      </c>
      <c r="C452" s="8" t="s">
        <v>276</v>
      </c>
      <c r="D452" s="8" t="str">
        <f t="shared" si="7"/>
        <v>KRISTINA CAMPAGNA</v>
      </c>
      <c r="E452" s="8" t="s">
        <v>80</v>
      </c>
      <c r="F452" s="8" t="s">
        <v>483</v>
      </c>
      <c r="G452" s="16">
        <v>0.375</v>
      </c>
      <c r="H452" s="8" t="s">
        <v>484</v>
      </c>
      <c r="I452" s="14" t="s">
        <v>484</v>
      </c>
      <c r="J452" s="15" t="s">
        <v>1017</v>
      </c>
      <c r="K452" s="8" t="s">
        <v>262</v>
      </c>
      <c r="L452" s="8" t="s">
        <v>263</v>
      </c>
      <c r="M452" s="8" t="str">
        <f>CONCATENATE(L452," ",K452)</f>
        <v>BARRY BRENNER</v>
      </c>
      <c r="N452" s="8" t="s">
        <v>57</v>
      </c>
      <c r="O452" s="9">
        <v>45976</v>
      </c>
      <c r="P452" s="9">
        <v>46157</v>
      </c>
      <c r="Q452" s="23">
        <f>DATEDIF(O452,P452,"M")</f>
        <v>6</v>
      </c>
      <c r="R452" s="33" t="s">
        <v>536</v>
      </c>
      <c r="S452" s="33" t="s">
        <v>1037</v>
      </c>
      <c r="T452" s="10">
        <v>61.64</v>
      </c>
      <c r="U452" s="8">
        <v>1</v>
      </c>
      <c r="V452" s="8" t="s">
        <v>58</v>
      </c>
      <c r="W452" s="8" t="s">
        <v>60</v>
      </c>
      <c r="X452" s="8" t="s">
        <v>61</v>
      </c>
      <c r="Y452" s="10">
        <v>23.12</v>
      </c>
    </row>
    <row r="453" spans="1:25" s="8" customFormat="1" x14ac:dyDescent="0.3">
      <c r="A453" s="8">
        <v>2031949601</v>
      </c>
      <c r="B453" s="8" t="s">
        <v>217</v>
      </c>
      <c r="C453" s="8" t="s">
        <v>218</v>
      </c>
      <c r="D453" s="8" t="str">
        <f t="shared" si="7"/>
        <v>DESEREE PADILLA</v>
      </c>
      <c r="E453" s="8" t="s">
        <v>70</v>
      </c>
      <c r="F453" s="8" t="s">
        <v>53</v>
      </c>
      <c r="G453" s="13">
        <v>0.42</v>
      </c>
      <c r="H453" s="8" t="s">
        <v>94</v>
      </c>
      <c r="I453" s="14" t="s">
        <v>94</v>
      </c>
      <c r="J453" s="15">
        <v>21435997</v>
      </c>
      <c r="K453" s="8" t="s">
        <v>219</v>
      </c>
      <c r="L453" s="8" t="s">
        <v>220</v>
      </c>
      <c r="M453" s="8" t="str">
        <f>CONCATENATE(L453," ",K453)</f>
        <v>Christopher Brousseau</v>
      </c>
      <c r="N453" s="8" t="s">
        <v>57</v>
      </c>
      <c r="O453" s="9">
        <v>45969</v>
      </c>
      <c r="P453" s="9">
        <v>46150</v>
      </c>
      <c r="Q453" s="23">
        <f>DATEDIF(O453,P453,"M")</f>
        <v>6</v>
      </c>
      <c r="R453" s="33" t="s">
        <v>536</v>
      </c>
      <c r="S453" s="33" t="s">
        <v>1037</v>
      </c>
      <c r="T453" s="10">
        <v>13.18</v>
      </c>
      <c r="U453" s="8">
        <v>1</v>
      </c>
      <c r="V453" s="8" t="s">
        <v>58</v>
      </c>
      <c r="W453" s="8" t="s">
        <v>60</v>
      </c>
      <c r="X453" s="8" t="s">
        <v>61</v>
      </c>
      <c r="Y453" s="10">
        <v>5.54</v>
      </c>
    </row>
    <row r="454" spans="1:25" s="8" customFormat="1" x14ac:dyDescent="0.3">
      <c r="A454" s="8">
        <v>2031949600</v>
      </c>
      <c r="B454" s="8" t="s">
        <v>217</v>
      </c>
      <c r="C454" s="8" t="s">
        <v>218</v>
      </c>
      <c r="D454" s="8" t="str">
        <f t="shared" si="7"/>
        <v>DESEREE PADILLA</v>
      </c>
      <c r="E454" s="8" t="s">
        <v>70</v>
      </c>
      <c r="F454" s="8" t="s">
        <v>53</v>
      </c>
      <c r="G454" s="13">
        <v>0.7</v>
      </c>
      <c r="H454" s="8" t="s">
        <v>54</v>
      </c>
      <c r="I454" s="14" t="s">
        <v>54</v>
      </c>
      <c r="J454" s="15">
        <v>21435997</v>
      </c>
      <c r="K454" s="8" t="s">
        <v>219</v>
      </c>
      <c r="L454" s="8" t="s">
        <v>220</v>
      </c>
      <c r="M454" s="8" t="str">
        <f>CONCATENATE(L454," ",K454)</f>
        <v>Christopher Brousseau</v>
      </c>
      <c r="N454" s="8" t="s">
        <v>57</v>
      </c>
      <c r="O454" s="9">
        <v>45969</v>
      </c>
      <c r="P454" s="9">
        <v>46150</v>
      </c>
      <c r="Q454" s="23">
        <f>DATEDIF(O454,P454,"M")</f>
        <v>6</v>
      </c>
      <c r="R454" s="33" t="s">
        <v>536</v>
      </c>
      <c r="S454" s="33" t="s">
        <v>1037</v>
      </c>
      <c r="T454" s="10">
        <v>28.38</v>
      </c>
      <c r="U454" s="8">
        <v>1</v>
      </c>
      <c r="V454" s="8" t="s">
        <v>58</v>
      </c>
      <c r="W454" s="8" t="s">
        <v>60</v>
      </c>
      <c r="X454" s="8" t="s">
        <v>61</v>
      </c>
      <c r="Y454" s="10">
        <v>19.87</v>
      </c>
    </row>
    <row r="455" spans="1:25" s="8" customFormat="1" x14ac:dyDescent="0.3">
      <c r="A455" s="8">
        <v>2032159933</v>
      </c>
      <c r="B455" s="8" t="s">
        <v>268</v>
      </c>
      <c r="C455" s="8" t="s">
        <v>269</v>
      </c>
      <c r="D455" s="8" t="str">
        <f t="shared" si="7"/>
        <v>ERIC SCHAENZER</v>
      </c>
      <c r="E455" s="8" t="s">
        <v>270</v>
      </c>
      <c r="F455" s="8" t="s">
        <v>53</v>
      </c>
      <c r="G455" s="13">
        <v>0.7</v>
      </c>
      <c r="H455" s="8" t="s">
        <v>54</v>
      </c>
      <c r="I455" s="14" t="s">
        <v>54</v>
      </c>
      <c r="J455" s="15">
        <v>21435997</v>
      </c>
      <c r="K455" s="8" t="s">
        <v>219</v>
      </c>
      <c r="L455" s="8" t="s">
        <v>220</v>
      </c>
      <c r="M455" s="8" t="str">
        <f>CONCATENATE(L455," ",K455)</f>
        <v>Christopher Brousseau</v>
      </c>
      <c r="N455" s="8" t="s">
        <v>57</v>
      </c>
      <c r="O455" s="9">
        <v>45976</v>
      </c>
      <c r="P455" s="9">
        <v>46157</v>
      </c>
      <c r="Q455" s="23">
        <f>DATEDIF(O455,P455,"M")</f>
        <v>6</v>
      </c>
      <c r="R455" s="33" t="s">
        <v>536</v>
      </c>
      <c r="S455" s="33" t="s">
        <v>1037</v>
      </c>
      <c r="T455" s="10">
        <v>45.46</v>
      </c>
      <c r="U455" s="8">
        <v>1</v>
      </c>
      <c r="V455" s="8" t="s">
        <v>58</v>
      </c>
      <c r="W455" s="8" t="s">
        <v>60</v>
      </c>
      <c r="X455" s="8" t="s">
        <v>61</v>
      </c>
      <c r="Y455" s="10">
        <v>31.82</v>
      </c>
    </row>
    <row r="456" spans="1:25" s="8" customFormat="1" x14ac:dyDescent="0.3">
      <c r="A456" s="8">
        <v>2032077734</v>
      </c>
      <c r="B456" s="8" t="s">
        <v>230</v>
      </c>
      <c r="C456" s="8" t="s">
        <v>231</v>
      </c>
      <c r="D456" s="8" t="str">
        <f t="shared" si="7"/>
        <v>CHRISTY DALY</v>
      </c>
      <c r="E456" s="8" t="s">
        <v>70</v>
      </c>
      <c r="F456" s="8" t="s">
        <v>53</v>
      </c>
      <c r="G456" s="13">
        <v>0.7</v>
      </c>
      <c r="H456" s="8" t="s">
        <v>54</v>
      </c>
      <c r="I456" s="14" t="s">
        <v>54</v>
      </c>
      <c r="J456" s="15">
        <v>21435997</v>
      </c>
      <c r="K456" s="8" t="s">
        <v>219</v>
      </c>
      <c r="L456" s="8" t="s">
        <v>220</v>
      </c>
      <c r="M456" s="8" t="str">
        <f>CONCATENATE(L456," ",K456)</f>
        <v>Christopher Brousseau</v>
      </c>
      <c r="N456" s="8" t="s">
        <v>57</v>
      </c>
      <c r="O456" s="9">
        <v>45972</v>
      </c>
      <c r="P456" s="9">
        <v>46153</v>
      </c>
      <c r="Q456" s="23">
        <f>DATEDIF(O456,P456,"M")</f>
        <v>6</v>
      </c>
      <c r="R456" s="33" t="s">
        <v>536</v>
      </c>
      <c r="S456" s="33" t="s">
        <v>1037</v>
      </c>
      <c r="T456" s="10">
        <v>89.52</v>
      </c>
      <c r="U456" s="8">
        <v>1</v>
      </c>
      <c r="V456" s="8" t="s">
        <v>58</v>
      </c>
      <c r="W456" s="8" t="s">
        <v>60</v>
      </c>
      <c r="X456" s="8" t="s">
        <v>61</v>
      </c>
      <c r="Y456" s="10">
        <v>62.66</v>
      </c>
    </row>
    <row r="457" spans="1:25" s="8" customFormat="1" x14ac:dyDescent="0.3">
      <c r="A457" s="8">
        <v>2032159934</v>
      </c>
      <c r="B457" s="8" t="s">
        <v>268</v>
      </c>
      <c r="C457" s="8" t="s">
        <v>269</v>
      </c>
      <c r="D457" s="8" t="str">
        <f t="shared" si="7"/>
        <v>ERIC SCHAENZER</v>
      </c>
      <c r="E457" s="8" t="s">
        <v>270</v>
      </c>
      <c r="F457" s="8" t="s">
        <v>483</v>
      </c>
      <c r="G457" s="16">
        <v>0.375</v>
      </c>
      <c r="H457" s="8" t="s">
        <v>484</v>
      </c>
      <c r="I457" s="14" t="s">
        <v>484</v>
      </c>
      <c r="J457" s="15">
        <v>21435997</v>
      </c>
      <c r="K457" s="8" t="s">
        <v>219</v>
      </c>
      <c r="L457" s="8" t="s">
        <v>220</v>
      </c>
      <c r="M457" s="8" t="str">
        <f>CONCATENATE(L457," ",K457)</f>
        <v>Christopher Brousseau</v>
      </c>
      <c r="N457" s="8" t="s">
        <v>57</v>
      </c>
      <c r="O457" s="9">
        <v>45976</v>
      </c>
      <c r="P457" s="9">
        <v>46157</v>
      </c>
      <c r="Q457" s="23">
        <f>DATEDIF(O457,P457,"M")</f>
        <v>6</v>
      </c>
      <c r="R457" s="33" t="s">
        <v>536</v>
      </c>
      <c r="S457" s="33" t="s">
        <v>1037</v>
      </c>
      <c r="T457" s="10">
        <v>36.36</v>
      </c>
      <c r="U457" s="8">
        <v>1</v>
      </c>
      <c r="V457" s="8" t="s">
        <v>58</v>
      </c>
      <c r="W457" s="8" t="s">
        <v>60</v>
      </c>
      <c r="X457" s="8" t="s">
        <v>61</v>
      </c>
      <c r="Y457" s="10">
        <v>13.64</v>
      </c>
    </row>
    <row r="458" spans="1:25" s="8" customFormat="1" x14ac:dyDescent="0.3">
      <c r="A458" s="8">
        <v>2032175763</v>
      </c>
      <c r="B458" s="8" t="s">
        <v>700</v>
      </c>
      <c r="C458" s="8" t="s">
        <v>639</v>
      </c>
      <c r="D458" s="8" t="str">
        <f t="shared" si="7"/>
        <v>KRISTEN RIDER</v>
      </c>
      <c r="E458" s="8" t="s">
        <v>64</v>
      </c>
      <c r="F458" s="8" t="s">
        <v>475</v>
      </c>
      <c r="G458" s="13">
        <v>0.19</v>
      </c>
      <c r="H458" s="8" t="s">
        <v>765</v>
      </c>
      <c r="I458" s="14" t="s">
        <v>765</v>
      </c>
      <c r="J458" s="15" t="s">
        <v>1031</v>
      </c>
      <c r="K458" s="8" t="s">
        <v>701</v>
      </c>
      <c r="L458" s="8" t="s">
        <v>702</v>
      </c>
      <c r="M458" s="8" t="str">
        <f>CONCATENATE(L458," ",K458)</f>
        <v>Dominic Lytle</v>
      </c>
      <c r="N458" s="8" t="s">
        <v>57</v>
      </c>
      <c r="O458" s="9">
        <v>45976</v>
      </c>
      <c r="P458" s="9">
        <v>46157</v>
      </c>
      <c r="Q458" s="23">
        <f>DATEDIF(O458,P458,"M")</f>
        <v>6</v>
      </c>
      <c r="R458" s="33" t="s">
        <v>536</v>
      </c>
      <c r="S458" s="33" t="s">
        <v>1037</v>
      </c>
      <c r="T458" s="10">
        <v>15</v>
      </c>
      <c r="U458" s="8">
        <v>1</v>
      </c>
      <c r="V458" s="8" t="s">
        <v>58</v>
      </c>
      <c r="W458" s="8" t="s">
        <v>60</v>
      </c>
      <c r="X458" s="8" t="s">
        <v>61</v>
      </c>
      <c r="Y458" s="10">
        <v>2.85</v>
      </c>
    </row>
    <row r="459" spans="1:25" s="8" customFormat="1" x14ac:dyDescent="0.3">
      <c r="A459" s="8">
        <v>2032175762</v>
      </c>
      <c r="B459" s="8" t="s">
        <v>700</v>
      </c>
      <c r="C459" s="8" t="s">
        <v>639</v>
      </c>
      <c r="D459" s="8" t="str">
        <f t="shared" si="7"/>
        <v>KRISTEN RIDER</v>
      </c>
      <c r="E459" s="8" t="s">
        <v>64</v>
      </c>
      <c r="F459" s="8" t="s">
        <v>524</v>
      </c>
      <c r="G459" s="13">
        <v>0.19</v>
      </c>
      <c r="H459" s="8" t="s">
        <v>694</v>
      </c>
      <c r="I459" s="14" t="s">
        <v>982</v>
      </c>
      <c r="J459" s="15" t="s">
        <v>1031</v>
      </c>
      <c r="K459" s="8" t="s">
        <v>701</v>
      </c>
      <c r="L459" s="8" t="s">
        <v>702</v>
      </c>
      <c r="M459" s="8" t="str">
        <f>CONCATENATE(L459," ",K459)</f>
        <v>Dominic Lytle</v>
      </c>
      <c r="N459" s="8" t="s">
        <v>57</v>
      </c>
      <c r="O459" s="9">
        <v>45976</v>
      </c>
      <c r="P459" s="9">
        <v>46157</v>
      </c>
      <c r="Q459" s="23">
        <f>DATEDIF(O459,P459,"M")</f>
        <v>6</v>
      </c>
      <c r="R459" s="33" t="s">
        <v>536</v>
      </c>
      <c r="S459" s="33" t="s">
        <v>1037</v>
      </c>
      <c r="T459" s="10">
        <v>164.39</v>
      </c>
      <c r="U459" s="8">
        <v>1</v>
      </c>
      <c r="V459" s="8" t="s">
        <v>58</v>
      </c>
      <c r="W459" s="8" t="s">
        <v>60</v>
      </c>
      <c r="X459" s="8" t="s">
        <v>61</v>
      </c>
      <c r="Y459" s="10">
        <v>31.23</v>
      </c>
    </row>
    <row r="460" spans="1:25" s="8" customFormat="1" x14ac:dyDescent="0.3">
      <c r="A460" s="8">
        <v>2032175761</v>
      </c>
      <c r="B460" s="8" t="s">
        <v>700</v>
      </c>
      <c r="C460" s="8" t="s">
        <v>639</v>
      </c>
      <c r="D460" s="8" t="str">
        <f t="shared" si="7"/>
        <v>KRISTEN RIDER</v>
      </c>
      <c r="E460" s="8" t="s">
        <v>64</v>
      </c>
      <c r="F460" s="8" t="s">
        <v>483</v>
      </c>
      <c r="G460" s="16">
        <v>0.375</v>
      </c>
      <c r="H460" s="8" t="s">
        <v>484</v>
      </c>
      <c r="I460" s="14" t="s">
        <v>484</v>
      </c>
      <c r="J460" s="15" t="s">
        <v>1031</v>
      </c>
      <c r="K460" s="8" t="s">
        <v>701</v>
      </c>
      <c r="L460" s="8" t="s">
        <v>702</v>
      </c>
      <c r="M460" s="8" t="str">
        <f>CONCATENATE(L460," ",K460)</f>
        <v>Dominic Lytle</v>
      </c>
      <c r="N460" s="8" t="s">
        <v>57</v>
      </c>
      <c r="O460" s="9">
        <v>45976</v>
      </c>
      <c r="P460" s="9">
        <v>46157</v>
      </c>
      <c r="Q460" s="23">
        <f>DATEDIF(O460,P460,"M")</f>
        <v>6</v>
      </c>
      <c r="R460" s="33" t="s">
        <v>536</v>
      </c>
      <c r="S460" s="33" t="s">
        <v>1037</v>
      </c>
      <c r="T460" s="10">
        <v>58.15</v>
      </c>
      <c r="U460" s="8">
        <v>1</v>
      </c>
      <c r="V460" s="8" t="s">
        <v>58</v>
      </c>
      <c r="W460" s="8" t="s">
        <v>60</v>
      </c>
      <c r="X460" s="8" t="s">
        <v>61</v>
      </c>
      <c r="Y460" s="10">
        <v>21.81</v>
      </c>
    </row>
    <row r="461" spans="1:25" s="8" customFormat="1" x14ac:dyDescent="0.3">
      <c r="A461" s="8">
        <v>2032203620</v>
      </c>
      <c r="B461" s="8" t="s">
        <v>129</v>
      </c>
      <c r="C461" s="8" t="s">
        <v>107</v>
      </c>
      <c r="D461" s="8" t="str">
        <f t="shared" si="7"/>
        <v>TIMOTHY LOVING</v>
      </c>
      <c r="E461" s="8" t="s">
        <v>52</v>
      </c>
      <c r="F461" s="8" t="s">
        <v>475</v>
      </c>
      <c r="G461" s="13">
        <v>0.28999999999999998</v>
      </c>
      <c r="H461" s="8" t="s">
        <v>482</v>
      </c>
      <c r="I461" s="14" t="s">
        <v>994</v>
      </c>
      <c r="J461" s="15">
        <v>21605264</v>
      </c>
      <c r="K461" s="8" t="s">
        <v>130</v>
      </c>
      <c r="L461" s="8" t="s">
        <v>131</v>
      </c>
      <c r="M461" s="8" t="str">
        <f>CONCATENATE(L461," ",K461)</f>
        <v>Erica Solivan</v>
      </c>
      <c r="N461" s="8" t="s">
        <v>57</v>
      </c>
      <c r="O461" s="9">
        <v>45978</v>
      </c>
      <c r="P461" s="9">
        <v>46159</v>
      </c>
      <c r="Q461" s="23">
        <f>DATEDIF(O461,P461,"M")</f>
        <v>6</v>
      </c>
      <c r="R461" s="33" t="s">
        <v>536</v>
      </c>
      <c r="S461" s="33" t="s">
        <v>1037</v>
      </c>
      <c r="T461" s="10">
        <v>15</v>
      </c>
      <c r="U461" s="8">
        <v>1</v>
      </c>
      <c r="V461" s="8" t="s">
        <v>58</v>
      </c>
      <c r="W461" s="8" t="s">
        <v>60</v>
      </c>
      <c r="X461" s="8" t="s">
        <v>61</v>
      </c>
      <c r="Y461" s="10">
        <v>4.3499999999999996</v>
      </c>
    </row>
    <row r="462" spans="1:25" s="8" customFormat="1" x14ac:dyDescent="0.3">
      <c r="A462" s="8">
        <v>2031525342</v>
      </c>
      <c r="B462" s="8" t="s">
        <v>607</v>
      </c>
      <c r="C462" s="8" t="s">
        <v>608</v>
      </c>
      <c r="D462" s="8" t="str">
        <f t="shared" si="7"/>
        <v>DESTANIE SANTILLAN</v>
      </c>
      <c r="E462" s="8" t="s">
        <v>70</v>
      </c>
      <c r="F462" s="8" t="s">
        <v>444</v>
      </c>
      <c r="G462" s="13">
        <v>0.9</v>
      </c>
      <c r="H462" s="8" t="s">
        <v>567</v>
      </c>
      <c r="I462" s="14" t="s">
        <v>981</v>
      </c>
      <c r="J462" s="15">
        <v>8307933</v>
      </c>
      <c r="K462" s="8" t="s">
        <v>55</v>
      </c>
      <c r="L462" s="8" t="s">
        <v>56</v>
      </c>
      <c r="M462" s="8" t="str">
        <f>CONCATENATE(L462," ",K462)</f>
        <v>GREGORY TEIPEL</v>
      </c>
      <c r="N462" s="8" t="s">
        <v>57</v>
      </c>
      <c r="O462" s="9">
        <v>45967</v>
      </c>
      <c r="P462" s="9">
        <v>46148</v>
      </c>
      <c r="Q462" s="23">
        <f>DATEDIF(O462,P462,"M")</f>
        <v>6</v>
      </c>
      <c r="R462" s="33" t="s">
        <v>536</v>
      </c>
      <c r="S462" s="33" t="s">
        <v>1037</v>
      </c>
      <c r="T462" s="10">
        <v>48.91</v>
      </c>
      <c r="U462" s="8">
        <v>1</v>
      </c>
      <c r="V462" s="8" t="s">
        <v>58</v>
      </c>
      <c r="W462" s="8" t="s">
        <v>60</v>
      </c>
      <c r="X462" s="8" t="s">
        <v>61</v>
      </c>
      <c r="Y462" s="10">
        <v>44.02</v>
      </c>
    </row>
    <row r="463" spans="1:25" s="8" customFormat="1" x14ac:dyDescent="0.3">
      <c r="A463" s="8">
        <v>2031848857</v>
      </c>
      <c r="B463" s="8" t="s">
        <v>209</v>
      </c>
      <c r="C463" s="8" t="s">
        <v>210</v>
      </c>
      <c r="D463" s="8" t="str">
        <f t="shared" si="7"/>
        <v>RENEE RITCHEY</v>
      </c>
      <c r="E463" s="8" t="s">
        <v>70</v>
      </c>
      <c r="F463" s="8" t="s">
        <v>529</v>
      </c>
      <c r="G463" s="13">
        <v>0.51</v>
      </c>
      <c r="H463" s="8" t="s">
        <v>531</v>
      </c>
      <c r="I463" s="14" t="s">
        <v>530</v>
      </c>
      <c r="J463" s="15">
        <v>8307933</v>
      </c>
      <c r="K463" s="8" t="s">
        <v>55</v>
      </c>
      <c r="L463" s="8" t="s">
        <v>56</v>
      </c>
      <c r="M463" s="8" t="str">
        <f>CONCATENATE(L463," ",K463)</f>
        <v>GREGORY TEIPEL</v>
      </c>
      <c r="N463" s="8" t="s">
        <v>57</v>
      </c>
      <c r="O463" s="9">
        <v>45967</v>
      </c>
      <c r="P463" s="9">
        <v>46148</v>
      </c>
      <c r="Q463" s="23">
        <f>DATEDIF(O463,P463,"M")</f>
        <v>6</v>
      </c>
      <c r="R463" s="33" t="s">
        <v>536</v>
      </c>
      <c r="S463" s="33" t="s">
        <v>1037</v>
      </c>
      <c r="T463" s="10">
        <v>5.95</v>
      </c>
      <c r="U463" s="8">
        <v>1</v>
      </c>
      <c r="V463" s="8" t="s">
        <v>58</v>
      </c>
      <c r="W463" s="8" t="s">
        <v>60</v>
      </c>
      <c r="X463" s="8" t="s">
        <v>61</v>
      </c>
      <c r="Y463" s="10">
        <v>3.03</v>
      </c>
    </row>
    <row r="464" spans="1:25" s="8" customFormat="1" x14ac:dyDescent="0.3">
      <c r="A464" s="8">
        <v>2031848856</v>
      </c>
      <c r="B464" s="8" t="s">
        <v>209</v>
      </c>
      <c r="C464" s="8" t="s">
        <v>210</v>
      </c>
      <c r="D464" s="8" t="str">
        <f t="shared" si="7"/>
        <v>RENEE RITCHEY</v>
      </c>
      <c r="E464" s="8" t="s">
        <v>70</v>
      </c>
      <c r="F464" s="8" t="s">
        <v>529</v>
      </c>
      <c r="G464" s="13">
        <v>0.51</v>
      </c>
      <c r="H464" s="8" t="s">
        <v>530</v>
      </c>
      <c r="I464" s="14" t="s">
        <v>530</v>
      </c>
      <c r="J464" s="15">
        <v>8307933</v>
      </c>
      <c r="K464" s="8" t="s">
        <v>55</v>
      </c>
      <c r="L464" s="8" t="s">
        <v>56</v>
      </c>
      <c r="M464" s="8" t="str">
        <f>CONCATENATE(L464," ",K464)</f>
        <v>GREGORY TEIPEL</v>
      </c>
      <c r="N464" s="8" t="s">
        <v>57</v>
      </c>
      <c r="O464" s="9">
        <v>45967</v>
      </c>
      <c r="P464" s="9">
        <v>46148</v>
      </c>
      <c r="Q464" s="23">
        <f>DATEDIF(O464,P464,"M")</f>
        <v>6</v>
      </c>
      <c r="R464" s="33" t="s">
        <v>536</v>
      </c>
      <c r="S464" s="33" t="s">
        <v>1037</v>
      </c>
      <c r="T464" s="10">
        <v>132.28</v>
      </c>
      <c r="U464" s="8">
        <v>1</v>
      </c>
      <c r="V464" s="8" t="s">
        <v>58</v>
      </c>
      <c r="W464" s="8" t="s">
        <v>60</v>
      </c>
      <c r="X464" s="8" t="s">
        <v>61</v>
      </c>
      <c r="Y464" s="10">
        <v>67.459999999999994</v>
      </c>
    </row>
    <row r="465" spans="1:25" s="8" customFormat="1" x14ac:dyDescent="0.3">
      <c r="A465" s="8">
        <v>2031848858</v>
      </c>
      <c r="B465" s="8" t="s">
        <v>209</v>
      </c>
      <c r="C465" s="8" t="s">
        <v>210</v>
      </c>
      <c r="D465" s="8" t="str">
        <f t="shared" si="7"/>
        <v>RENEE RITCHEY</v>
      </c>
      <c r="E465" s="8" t="s">
        <v>70</v>
      </c>
      <c r="F465" s="8" t="s">
        <v>53</v>
      </c>
      <c r="G465" s="13">
        <v>0.7</v>
      </c>
      <c r="H465" s="8" t="s">
        <v>54</v>
      </c>
      <c r="I465" s="14" t="s">
        <v>54</v>
      </c>
      <c r="J465" s="15">
        <v>8307933</v>
      </c>
      <c r="K465" s="8" t="s">
        <v>55</v>
      </c>
      <c r="L465" s="8" t="s">
        <v>56</v>
      </c>
      <c r="M465" s="8" t="str">
        <f>CONCATENATE(L465," ",K465)</f>
        <v>GREGORY TEIPEL</v>
      </c>
      <c r="N465" s="8" t="s">
        <v>57</v>
      </c>
      <c r="O465" s="9">
        <v>45967</v>
      </c>
      <c r="P465" s="9">
        <v>46148</v>
      </c>
      <c r="Q465" s="23">
        <f>DATEDIF(O465,P465,"M")</f>
        <v>6</v>
      </c>
      <c r="R465" s="33" t="s">
        <v>536</v>
      </c>
      <c r="S465" s="33" t="s">
        <v>1037</v>
      </c>
      <c r="T465" s="10">
        <v>13</v>
      </c>
      <c r="U465" s="8">
        <v>1</v>
      </c>
      <c r="V465" s="8" t="s">
        <v>58</v>
      </c>
      <c r="W465" s="8" t="s">
        <v>60</v>
      </c>
      <c r="X465" s="8" t="s">
        <v>61</v>
      </c>
      <c r="Y465" s="10">
        <v>9.1</v>
      </c>
    </row>
    <row r="466" spans="1:25" s="8" customFormat="1" x14ac:dyDescent="0.3">
      <c r="A466" s="8">
        <v>2032115127</v>
      </c>
      <c r="B466" s="8" t="s">
        <v>251</v>
      </c>
      <c r="C466" s="8" t="s">
        <v>252</v>
      </c>
      <c r="D466" s="8" t="str">
        <f t="shared" si="7"/>
        <v>JOSEPH MATHEW</v>
      </c>
      <c r="E466" s="8" t="s">
        <v>80</v>
      </c>
      <c r="F466" s="8" t="s">
        <v>53</v>
      </c>
      <c r="G466" s="13">
        <v>0.7</v>
      </c>
      <c r="H466" s="8" t="s">
        <v>54</v>
      </c>
      <c r="I466" s="14" t="s">
        <v>54</v>
      </c>
      <c r="J466" s="15">
        <v>8307933</v>
      </c>
      <c r="K466" s="8" t="s">
        <v>55</v>
      </c>
      <c r="L466" s="8" t="s">
        <v>56</v>
      </c>
      <c r="M466" s="8" t="str">
        <f>CONCATENATE(L466," ",K466)</f>
        <v>GREGORY TEIPEL</v>
      </c>
      <c r="N466" s="8" t="s">
        <v>57</v>
      </c>
      <c r="O466" s="9">
        <v>45976</v>
      </c>
      <c r="P466" s="9">
        <v>46157</v>
      </c>
      <c r="Q466" s="23">
        <f>DATEDIF(O466,P466,"M")</f>
        <v>6</v>
      </c>
      <c r="R466" s="33" t="s">
        <v>536</v>
      </c>
      <c r="S466" s="33" t="s">
        <v>1037</v>
      </c>
      <c r="T466" s="10">
        <v>96</v>
      </c>
      <c r="U466" s="8">
        <v>1</v>
      </c>
      <c r="V466" s="8" t="s">
        <v>58</v>
      </c>
      <c r="W466" s="8" t="s">
        <v>60</v>
      </c>
      <c r="X466" s="8" t="s">
        <v>61</v>
      </c>
      <c r="Y466" s="10">
        <v>67.2</v>
      </c>
    </row>
    <row r="467" spans="1:25" s="8" customFormat="1" x14ac:dyDescent="0.3">
      <c r="A467" s="8">
        <v>2032155021</v>
      </c>
      <c r="B467" s="8" t="s">
        <v>264</v>
      </c>
      <c r="C467" s="8" t="s">
        <v>265</v>
      </c>
      <c r="D467" s="8" t="str">
        <f t="shared" si="7"/>
        <v>KORI CORTHRON</v>
      </c>
      <c r="E467" s="8" t="s">
        <v>93</v>
      </c>
      <c r="F467" s="8" t="s">
        <v>53</v>
      </c>
      <c r="G467" s="13">
        <v>0.7</v>
      </c>
      <c r="H467" s="8" t="s">
        <v>97</v>
      </c>
      <c r="I467" s="14" t="s">
        <v>117</v>
      </c>
      <c r="J467" s="15">
        <v>21128342</v>
      </c>
      <c r="K467" s="8" t="s">
        <v>266</v>
      </c>
      <c r="L467" s="8" t="s">
        <v>267</v>
      </c>
      <c r="M467" s="8" t="str">
        <f>CONCATENATE(L467," ",K467)</f>
        <v>John Karns</v>
      </c>
      <c r="N467" s="8" t="s">
        <v>57</v>
      </c>
      <c r="O467" s="9">
        <v>45975</v>
      </c>
      <c r="P467" s="9">
        <v>46156</v>
      </c>
      <c r="Q467" s="23">
        <f>DATEDIF(O467,P467,"M")</f>
        <v>6</v>
      </c>
      <c r="R467" s="33" t="s">
        <v>536</v>
      </c>
      <c r="S467" s="33" t="s">
        <v>1037</v>
      </c>
      <c r="T467" s="10">
        <v>24.61</v>
      </c>
      <c r="U467" s="8">
        <v>1</v>
      </c>
      <c r="V467" s="8" t="s">
        <v>58</v>
      </c>
      <c r="W467" s="8" t="s">
        <v>60</v>
      </c>
      <c r="X467" s="8" t="s">
        <v>61</v>
      </c>
      <c r="Y467" s="10">
        <v>17.23</v>
      </c>
    </row>
    <row r="468" spans="1:25" s="8" customFormat="1" x14ac:dyDescent="0.3">
      <c r="A468" s="8">
        <v>2032155019</v>
      </c>
      <c r="B468" s="8" t="s">
        <v>264</v>
      </c>
      <c r="C468" s="8" t="s">
        <v>265</v>
      </c>
      <c r="D468" s="8" t="str">
        <f t="shared" si="7"/>
        <v>KORI CORTHRON</v>
      </c>
      <c r="E468" s="8" t="s">
        <v>93</v>
      </c>
      <c r="F468" s="8" t="s">
        <v>53</v>
      </c>
      <c r="G468" s="13">
        <v>0.42</v>
      </c>
      <c r="H468" s="8" t="s">
        <v>94</v>
      </c>
      <c r="I468" s="14" t="s">
        <v>94</v>
      </c>
      <c r="J468" s="15">
        <v>21128342</v>
      </c>
      <c r="K468" s="8" t="s">
        <v>266</v>
      </c>
      <c r="L468" s="8" t="s">
        <v>267</v>
      </c>
      <c r="M468" s="8" t="str">
        <f>CONCATENATE(L468," ",K468)</f>
        <v>John Karns</v>
      </c>
      <c r="N468" s="8" t="s">
        <v>57</v>
      </c>
      <c r="O468" s="9">
        <v>45975</v>
      </c>
      <c r="P468" s="9">
        <v>46156</v>
      </c>
      <c r="Q468" s="23">
        <f>DATEDIF(O468,P468,"M")</f>
        <v>6</v>
      </c>
      <c r="R468" s="33" t="s">
        <v>536</v>
      </c>
      <c r="S468" s="33" t="s">
        <v>1037</v>
      </c>
      <c r="T468" s="10">
        <v>38.85</v>
      </c>
      <c r="U468" s="8">
        <v>1</v>
      </c>
      <c r="V468" s="8" t="s">
        <v>58</v>
      </c>
      <c r="W468" s="8" t="s">
        <v>60</v>
      </c>
      <c r="X468" s="8" t="s">
        <v>61</v>
      </c>
      <c r="Y468" s="10">
        <v>16.32</v>
      </c>
    </row>
    <row r="469" spans="1:25" s="8" customFormat="1" x14ac:dyDescent="0.3">
      <c r="A469" s="8">
        <v>2032155020</v>
      </c>
      <c r="B469" s="8" t="s">
        <v>264</v>
      </c>
      <c r="C469" s="8" t="s">
        <v>265</v>
      </c>
      <c r="D469" s="8" t="str">
        <f t="shared" si="7"/>
        <v>KORI CORTHRON</v>
      </c>
      <c r="E469" s="8" t="s">
        <v>93</v>
      </c>
      <c r="F469" s="8" t="s">
        <v>53</v>
      </c>
      <c r="G469" s="13">
        <v>0.9</v>
      </c>
      <c r="H469" s="8" t="s">
        <v>65</v>
      </c>
      <c r="I469" s="14" t="s">
        <v>65</v>
      </c>
      <c r="J469" s="15">
        <v>21128342</v>
      </c>
      <c r="K469" s="8" t="s">
        <v>266</v>
      </c>
      <c r="L469" s="8" t="s">
        <v>267</v>
      </c>
      <c r="M469" s="8" t="str">
        <f>CONCATENATE(L469," ",K469)</f>
        <v>John Karns</v>
      </c>
      <c r="N469" s="8" t="s">
        <v>57</v>
      </c>
      <c r="O469" s="9">
        <v>45975</v>
      </c>
      <c r="P469" s="9">
        <v>46156</v>
      </c>
      <c r="Q469" s="23">
        <f>DATEDIF(O469,P469,"M")</f>
        <v>6</v>
      </c>
      <c r="R469" s="33" t="s">
        <v>536</v>
      </c>
      <c r="S469" s="33" t="s">
        <v>1037</v>
      </c>
      <c r="T469" s="10">
        <v>50.31</v>
      </c>
      <c r="U469" s="8">
        <v>1</v>
      </c>
      <c r="V469" s="8" t="s">
        <v>58</v>
      </c>
      <c r="W469" s="8" t="s">
        <v>60</v>
      </c>
      <c r="X469" s="8" t="s">
        <v>61</v>
      </c>
      <c r="Y469" s="10">
        <v>45.28</v>
      </c>
    </row>
    <row r="470" spans="1:25" s="8" customFormat="1" x14ac:dyDescent="0.3">
      <c r="A470" s="8">
        <v>2031848655</v>
      </c>
      <c r="B470" s="8" t="s">
        <v>609</v>
      </c>
      <c r="C470" s="8" t="s">
        <v>225</v>
      </c>
      <c r="D470" s="8" t="str">
        <f t="shared" si="7"/>
        <v>JACOB WORTHEY</v>
      </c>
      <c r="E470" s="8" t="s">
        <v>270</v>
      </c>
      <c r="F470" s="8" t="s">
        <v>444</v>
      </c>
      <c r="G470" s="13">
        <v>0.9</v>
      </c>
      <c r="H470" s="8" t="s">
        <v>567</v>
      </c>
      <c r="I470" s="14" t="s">
        <v>981</v>
      </c>
      <c r="J470" s="15">
        <v>1706194</v>
      </c>
      <c r="K470" s="8" t="s">
        <v>146</v>
      </c>
      <c r="L470" s="8" t="s">
        <v>147</v>
      </c>
      <c r="M470" s="8" t="str">
        <f>CONCATENATE(L470," ",K470)</f>
        <v>MATTHEW DAUGHERTY</v>
      </c>
      <c r="N470" s="8" t="s">
        <v>57</v>
      </c>
      <c r="O470" s="9">
        <v>45962</v>
      </c>
      <c r="P470" s="9">
        <v>46143</v>
      </c>
      <c r="Q470" s="23">
        <f>DATEDIF(O470,P470,"M")</f>
        <v>6</v>
      </c>
      <c r="R470" s="33" t="s">
        <v>536</v>
      </c>
      <c r="S470" s="33" t="s">
        <v>1037</v>
      </c>
      <c r="T470" s="10">
        <v>81.63</v>
      </c>
      <c r="U470" s="8">
        <v>1</v>
      </c>
      <c r="V470" s="8" t="s">
        <v>58</v>
      </c>
      <c r="W470" s="8" t="s">
        <v>60</v>
      </c>
      <c r="X470" s="8" t="s">
        <v>61</v>
      </c>
      <c r="Y470" s="10">
        <v>73.47</v>
      </c>
    </row>
    <row r="471" spans="1:25" s="8" customFormat="1" x14ac:dyDescent="0.3">
      <c r="A471" s="8">
        <v>2031848654</v>
      </c>
      <c r="B471" s="8" t="s">
        <v>609</v>
      </c>
      <c r="C471" s="8" t="s">
        <v>225</v>
      </c>
      <c r="D471" s="8" t="str">
        <f t="shared" si="7"/>
        <v>JACOB WORTHEY</v>
      </c>
      <c r="E471" s="8" t="s">
        <v>270</v>
      </c>
      <c r="F471" s="8" t="s">
        <v>483</v>
      </c>
      <c r="G471" s="16">
        <v>0.375</v>
      </c>
      <c r="H471" s="8" t="s">
        <v>484</v>
      </c>
      <c r="I471" s="14" t="s">
        <v>484</v>
      </c>
      <c r="J471" s="15">
        <v>1706194</v>
      </c>
      <c r="K471" s="8" t="s">
        <v>146</v>
      </c>
      <c r="L471" s="8" t="s">
        <v>147</v>
      </c>
      <c r="M471" s="8" t="str">
        <f>CONCATENATE(L471," ",K471)</f>
        <v>MATTHEW DAUGHERTY</v>
      </c>
      <c r="N471" s="8" t="s">
        <v>57</v>
      </c>
      <c r="O471" s="9">
        <v>45962</v>
      </c>
      <c r="P471" s="9">
        <v>46143</v>
      </c>
      <c r="Q471" s="23">
        <f>DATEDIF(O471,P471,"M")</f>
        <v>6</v>
      </c>
      <c r="R471" s="33" t="s">
        <v>536</v>
      </c>
      <c r="S471" s="33" t="s">
        <v>1037</v>
      </c>
      <c r="T471" s="10">
        <v>62.35</v>
      </c>
      <c r="U471" s="8">
        <v>1</v>
      </c>
      <c r="V471" s="8" t="s">
        <v>58</v>
      </c>
      <c r="W471" s="8" t="s">
        <v>60</v>
      </c>
      <c r="X471" s="8" t="s">
        <v>61</v>
      </c>
      <c r="Y471" s="10">
        <v>23.38</v>
      </c>
    </row>
    <row r="472" spans="1:25" s="8" customFormat="1" x14ac:dyDescent="0.3">
      <c r="A472" s="8">
        <v>2031921688</v>
      </c>
      <c r="B472" s="8" t="s">
        <v>211</v>
      </c>
      <c r="C472" s="8" t="s">
        <v>212</v>
      </c>
      <c r="D472" s="8" t="str">
        <f t="shared" si="7"/>
        <v>DESIREE GWALTNEY</v>
      </c>
      <c r="E472" s="8" t="s">
        <v>93</v>
      </c>
      <c r="F472" s="8" t="s">
        <v>53</v>
      </c>
      <c r="G472" s="13">
        <v>0.7</v>
      </c>
      <c r="H472" s="8" t="s">
        <v>97</v>
      </c>
      <c r="I472" s="14" t="s">
        <v>117</v>
      </c>
      <c r="J472" s="15">
        <v>20872981</v>
      </c>
      <c r="K472" s="8" t="s">
        <v>213</v>
      </c>
      <c r="L472" s="8" t="s">
        <v>214</v>
      </c>
      <c r="M472" s="8" t="str">
        <f>CONCATENATE(L472," ",K472)</f>
        <v>Robert Adcock</v>
      </c>
      <c r="N472" s="8" t="s">
        <v>57</v>
      </c>
      <c r="O472" s="9">
        <v>45976</v>
      </c>
      <c r="P472" s="9">
        <v>46157</v>
      </c>
      <c r="Q472" s="23">
        <f>DATEDIF(O472,P472,"M")</f>
        <v>6</v>
      </c>
      <c r="R472" s="33" t="s">
        <v>536</v>
      </c>
      <c r="S472" s="33" t="s">
        <v>1037</v>
      </c>
      <c r="T472" s="10">
        <v>24.61</v>
      </c>
      <c r="U472" s="8">
        <v>1</v>
      </c>
      <c r="V472" s="8" t="s">
        <v>58</v>
      </c>
      <c r="W472" s="8" t="s">
        <v>60</v>
      </c>
      <c r="X472" s="8" t="s">
        <v>61</v>
      </c>
      <c r="Y472" s="10">
        <v>17.23</v>
      </c>
    </row>
    <row r="473" spans="1:25" s="8" customFormat="1" x14ac:dyDescent="0.3">
      <c r="A473" s="8">
        <v>2031921687</v>
      </c>
      <c r="B473" s="8" t="s">
        <v>211</v>
      </c>
      <c r="C473" s="8" t="s">
        <v>212</v>
      </c>
      <c r="D473" s="8" t="str">
        <f t="shared" si="7"/>
        <v>DESIREE GWALTNEY</v>
      </c>
      <c r="E473" s="8" t="s">
        <v>93</v>
      </c>
      <c r="F473" s="8" t="s">
        <v>53</v>
      </c>
      <c r="G473" s="13">
        <v>0.42</v>
      </c>
      <c r="H473" s="8" t="s">
        <v>94</v>
      </c>
      <c r="I473" s="14" t="s">
        <v>94</v>
      </c>
      <c r="J473" s="15">
        <v>20872981</v>
      </c>
      <c r="K473" s="8" t="s">
        <v>213</v>
      </c>
      <c r="L473" s="8" t="s">
        <v>214</v>
      </c>
      <c r="M473" s="8" t="str">
        <f>CONCATENATE(L473," ",K473)</f>
        <v>Robert Adcock</v>
      </c>
      <c r="N473" s="8" t="s">
        <v>57</v>
      </c>
      <c r="O473" s="9">
        <v>45976</v>
      </c>
      <c r="P473" s="9">
        <v>46157</v>
      </c>
      <c r="Q473" s="23">
        <f>DATEDIF(O473,P473,"M")</f>
        <v>6</v>
      </c>
      <c r="R473" s="33" t="s">
        <v>536</v>
      </c>
      <c r="S473" s="33" t="s">
        <v>1037</v>
      </c>
      <c r="T473" s="10">
        <v>27.8</v>
      </c>
      <c r="U473" s="8">
        <v>1</v>
      </c>
      <c r="V473" s="8" t="s">
        <v>58</v>
      </c>
      <c r="W473" s="8" t="s">
        <v>60</v>
      </c>
      <c r="X473" s="8" t="s">
        <v>61</v>
      </c>
      <c r="Y473" s="10">
        <v>11.68</v>
      </c>
    </row>
    <row r="474" spans="1:25" s="8" customFormat="1" x14ac:dyDescent="0.3">
      <c r="A474" s="8">
        <v>2031713685</v>
      </c>
      <c r="B474" s="8" t="s">
        <v>205</v>
      </c>
      <c r="C474" s="8" t="s">
        <v>206</v>
      </c>
      <c r="D474" s="8" t="str">
        <f t="shared" si="7"/>
        <v>JA'NET RANDALL</v>
      </c>
      <c r="E474" s="8" t="s">
        <v>93</v>
      </c>
      <c r="F474" s="8" t="s">
        <v>53</v>
      </c>
      <c r="G474" s="13">
        <v>0.7</v>
      </c>
      <c r="H474" s="8" t="s">
        <v>97</v>
      </c>
      <c r="I474" s="14" t="s">
        <v>117</v>
      </c>
      <c r="J474" s="15">
        <v>5442438</v>
      </c>
      <c r="K474" s="8" t="s">
        <v>95</v>
      </c>
      <c r="L474" s="8" t="s">
        <v>96</v>
      </c>
      <c r="M474" s="8" t="str">
        <f>CONCATENATE(L474," ",K474)</f>
        <v>Ronald Max</v>
      </c>
      <c r="N474" s="8" t="s">
        <v>57</v>
      </c>
      <c r="O474" s="9">
        <v>45969</v>
      </c>
      <c r="P474" s="9">
        <v>46150</v>
      </c>
      <c r="Q474" s="23">
        <f>DATEDIF(O474,P474,"M")</f>
        <v>6</v>
      </c>
      <c r="R474" s="33" t="s">
        <v>536</v>
      </c>
      <c r="S474" s="33" t="s">
        <v>1037</v>
      </c>
      <c r="T474" s="10">
        <v>24.61</v>
      </c>
      <c r="U474" s="8">
        <v>1</v>
      </c>
      <c r="V474" s="8" t="s">
        <v>58</v>
      </c>
      <c r="W474" s="8" t="s">
        <v>60</v>
      </c>
      <c r="X474" s="8" t="s">
        <v>61</v>
      </c>
      <c r="Y474" s="10">
        <v>17.23</v>
      </c>
    </row>
    <row r="475" spans="1:25" s="8" customFormat="1" x14ac:dyDescent="0.3">
      <c r="A475" s="8">
        <v>2031713686</v>
      </c>
      <c r="B475" s="8" t="s">
        <v>205</v>
      </c>
      <c r="C475" s="8" t="s">
        <v>206</v>
      </c>
      <c r="D475" s="8" t="str">
        <f t="shared" si="7"/>
        <v>JA'NET RANDALL</v>
      </c>
      <c r="E475" s="8" t="s">
        <v>93</v>
      </c>
      <c r="F475" s="8" t="s">
        <v>444</v>
      </c>
      <c r="G475" s="13">
        <v>0.9</v>
      </c>
      <c r="H475" s="8" t="s">
        <v>567</v>
      </c>
      <c r="I475" s="14" t="s">
        <v>981</v>
      </c>
      <c r="J475" s="15">
        <v>5442438</v>
      </c>
      <c r="K475" s="8" t="s">
        <v>95</v>
      </c>
      <c r="L475" s="8" t="s">
        <v>96</v>
      </c>
      <c r="M475" s="8" t="str">
        <f>CONCATENATE(L475," ",K475)</f>
        <v>Ronald Max</v>
      </c>
      <c r="N475" s="8" t="s">
        <v>57</v>
      </c>
      <c r="O475" s="9">
        <v>45969</v>
      </c>
      <c r="P475" s="9">
        <v>46150</v>
      </c>
      <c r="Q475" s="23">
        <f>DATEDIF(O475,P475,"M")</f>
        <v>6</v>
      </c>
      <c r="R475" s="33" t="s">
        <v>536</v>
      </c>
      <c r="S475" s="33" t="s">
        <v>1037</v>
      </c>
      <c r="T475" s="10">
        <v>119.44</v>
      </c>
      <c r="U475" s="8">
        <v>1</v>
      </c>
      <c r="V475" s="8" t="s">
        <v>58</v>
      </c>
      <c r="W475" s="8" t="s">
        <v>60</v>
      </c>
      <c r="X475" s="8" t="s">
        <v>61</v>
      </c>
      <c r="Y475" s="10">
        <v>107.5</v>
      </c>
    </row>
    <row r="476" spans="1:25" s="8" customFormat="1" x14ac:dyDescent="0.3">
      <c r="A476" s="8">
        <v>2031713984</v>
      </c>
      <c r="B476" s="8" t="s">
        <v>207</v>
      </c>
      <c r="C476" s="8" t="s">
        <v>208</v>
      </c>
      <c r="D476" s="8" t="str">
        <f t="shared" si="7"/>
        <v>DWAYNE WILLAMS</v>
      </c>
      <c r="E476" s="8" t="s">
        <v>93</v>
      </c>
      <c r="F476" s="8" t="s">
        <v>53</v>
      </c>
      <c r="G476" s="13">
        <v>0.9</v>
      </c>
      <c r="H476" s="8" t="s">
        <v>65</v>
      </c>
      <c r="I476" s="14" t="s">
        <v>65</v>
      </c>
      <c r="J476" s="15">
        <v>5442438</v>
      </c>
      <c r="K476" s="8" t="s">
        <v>95</v>
      </c>
      <c r="L476" s="8" t="s">
        <v>96</v>
      </c>
      <c r="M476" s="8" t="str">
        <f>CONCATENATE(L476," ",K476)</f>
        <v>Ronald Max</v>
      </c>
      <c r="N476" s="8" t="s">
        <v>57</v>
      </c>
      <c r="O476" s="9">
        <v>45969</v>
      </c>
      <c r="P476" s="9">
        <v>46150</v>
      </c>
      <c r="Q476" s="23">
        <f>DATEDIF(O476,P476,"M")</f>
        <v>6</v>
      </c>
      <c r="R476" s="33" t="s">
        <v>536</v>
      </c>
      <c r="S476" s="33" t="s">
        <v>1037</v>
      </c>
      <c r="T476" s="10">
        <v>80.83</v>
      </c>
      <c r="U476" s="8">
        <v>1</v>
      </c>
      <c r="V476" s="8" t="s">
        <v>58</v>
      </c>
      <c r="W476" s="8" t="s">
        <v>60</v>
      </c>
      <c r="X476" s="8" t="s">
        <v>61</v>
      </c>
      <c r="Y476" s="10">
        <v>72.75</v>
      </c>
    </row>
    <row r="477" spans="1:25" s="8" customFormat="1" x14ac:dyDescent="0.3">
      <c r="A477" s="8">
        <v>2032095170</v>
      </c>
      <c r="B477" s="8" t="s">
        <v>236</v>
      </c>
      <c r="C477" s="8" t="s">
        <v>237</v>
      </c>
      <c r="D477" s="8" t="str">
        <f t="shared" si="7"/>
        <v>NICOLE PITZAFERRO</v>
      </c>
      <c r="E477" s="8" t="s">
        <v>80</v>
      </c>
      <c r="F477" s="8" t="s">
        <v>53</v>
      </c>
      <c r="G477" s="13">
        <v>0.7</v>
      </c>
      <c r="H477" s="8" t="s">
        <v>54</v>
      </c>
      <c r="I477" s="14" t="s">
        <v>54</v>
      </c>
      <c r="J477" s="15">
        <v>19396223</v>
      </c>
      <c r="K477" s="8" t="s">
        <v>81</v>
      </c>
      <c r="L477" s="8" t="s">
        <v>82</v>
      </c>
      <c r="M477" s="8" t="str">
        <f>CONCATENATE(L477," ",K477)</f>
        <v>Saadia Abdul</v>
      </c>
      <c r="N477" s="8" t="s">
        <v>57</v>
      </c>
      <c r="O477" s="9">
        <v>45972</v>
      </c>
      <c r="P477" s="9">
        <v>46153</v>
      </c>
      <c r="Q477" s="23">
        <f>DATEDIF(O477,P477,"M")</f>
        <v>6</v>
      </c>
      <c r="R477" s="33" t="s">
        <v>536</v>
      </c>
      <c r="S477" s="33" t="s">
        <v>1037</v>
      </c>
      <c r="T477" s="10">
        <v>59.4</v>
      </c>
      <c r="U477" s="8">
        <v>1</v>
      </c>
      <c r="V477" s="8" t="s">
        <v>58</v>
      </c>
      <c r="W477" s="8" t="s">
        <v>60</v>
      </c>
      <c r="X477" s="8" t="s">
        <v>61</v>
      </c>
      <c r="Y477" s="10">
        <v>41.58</v>
      </c>
    </row>
    <row r="478" spans="1:25" s="8" customFormat="1" x14ac:dyDescent="0.3">
      <c r="A478" s="8">
        <v>2031641176</v>
      </c>
      <c r="B478" s="8" t="s">
        <v>878</v>
      </c>
      <c r="C478" s="8" t="s">
        <v>472</v>
      </c>
      <c r="D478" s="8" t="str">
        <f t="shared" si="7"/>
        <v>ELIZABETH SPROAT</v>
      </c>
      <c r="E478" s="8" t="s">
        <v>256</v>
      </c>
      <c r="F478" s="8" t="s">
        <v>499</v>
      </c>
      <c r="G478" s="13">
        <v>0.38</v>
      </c>
      <c r="H478" s="8" t="s">
        <v>502</v>
      </c>
      <c r="I478" s="14" t="s">
        <v>502</v>
      </c>
      <c r="J478" s="15">
        <v>17425766</v>
      </c>
      <c r="K478" s="8" t="s">
        <v>544</v>
      </c>
      <c r="L478" s="8" t="s">
        <v>324</v>
      </c>
      <c r="M478" s="8" t="str">
        <f>CONCATENATE(L478," ",K478)</f>
        <v>CAROL FOLEY</v>
      </c>
      <c r="N478" s="8" t="s">
        <v>57</v>
      </c>
      <c r="O478" s="9">
        <v>45946</v>
      </c>
      <c r="P478" s="9">
        <v>46158</v>
      </c>
      <c r="Q478" s="23">
        <f>DATEDIF(O478,P478,"M")</f>
        <v>7</v>
      </c>
      <c r="R478" s="33" t="s">
        <v>536</v>
      </c>
      <c r="S478" s="33" t="s">
        <v>1037</v>
      </c>
      <c r="T478" s="10">
        <v>61.39</v>
      </c>
      <c r="U478" s="8">
        <v>1</v>
      </c>
      <c r="V478" s="8" t="s">
        <v>58</v>
      </c>
      <c r="W478" s="8" t="s">
        <v>60</v>
      </c>
      <c r="X478" s="8" t="s">
        <v>61</v>
      </c>
      <c r="Y478" s="10">
        <v>23.33</v>
      </c>
    </row>
    <row r="479" spans="1:25" s="8" customFormat="1" x14ac:dyDescent="0.3">
      <c r="A479" s="8">
        <v>2031270408</v>
      </c>
      <c r="B479" s="8" t="s">
        <v>186</v>
      </c>
      <c r="C479" s="8" t="s">
        <v>187</v>
      </c>
      <c r="D479" s="8" t="str">
        <f t="shared" si="7"/>
        <v>SHEILA REUTER</v>
      </c>
      <c r="E479" s="8" t="s">
        <v>188</v>
      </c>
      <c r="F479" s="8" t="s">
        <v>444</v>
      </c>
      <c r="G479" s="13">
        <v>0.75</v>
      </c>
      <c r="H479" s="8" t="s">
        <v>451</v>
      </c>
      <c r="I479" s="14" t="s">
        <v>980</v>
      </c>
      <c r="J479" s="15">
        <v>8307933</v>
      </c>
      <c r="K479" s="8" t="s">
        <v>55</v>
      </c>
      <c r="L479" s="8" t="s">
        <v>56</v>
      </c>
      <c r="M479" s="8" t="str">
        <f>CONCATENATE(L479," ",K479)</f>
        <v>GREGORY TEIPEL</v>
      </c>
      <c r="N479" s="8" t="s">
        <v>57</v>
      </c>
      <c r="O479" s="9">
        <v>45941</v>
      </c>
      <c r="P479" s="9">
        <v>46153</v>
      </c>
      <c r="Q479" s="23">
        <f>DATEDIF(O479,P479,"M")</f>
        <v>7</v>
      </c>
      <c r="R479" s="33" t="s">
        <v>536</v>
      </c>
      <c r="S479" s="33" t="s">
        <v>1037</v>
      </c>
      <c r="T479" s="10">
        <v>85.15</v>
      </c>
      <c r="U479" s="8">
        <v>1</v>
      </c>
      <c r="V479" s="8" t="s">
        <v>58</v>
      </c>
      <c r="W479" s="8" t="s">
        <v>60</v>
      </c>
      <c r="X479" s="8" t="s">
        <v>61</v>
      </c>
      <c r="Y479" s="10">
        <v>63.86</v>
      </c>
    </row>
    <row r="480" spans="1:25" s="8" customFormat="1" x14ac:dyDescent="0.3">
      <c r="A480" s="8">
        <v>2031270409</v>
      </c>
      <c r="B480" s="8" t="s">
        <v>186</v>
      </c>
      <c r="C480" s="8" t="s">
        <v>187</v>
      </c>
      <c r="D480" s="8" t="str">
        <f t="shared" si="7"/>
        <v>SHEILA REUTER</v>
      </c>
      <c r="E480" s="8" t="s">
        <v>188</v>
      </c>
      <c r="F480" s="8" t="s">
        <v>53</v>
      </c>
      <c r="G480" s="13">
        <v>0.9</v>
      </c>
      <c r="H480" s="8" t="s">
        <v>65</v>
      </c>
      <c r="I480" s="14" t="s">
        <v>65</v>
      </c>
      <c r="J480" s="15">
        <v>8307933</v>
      </c>
      <c r="K480" s="8" t="s">
        <v>55</v>
      </c>
      <c r="L480" s="8" t="s">
        <v>56</v>
      </c>
      <c r="M480" s="8" t="str">
        <f>CONCATENATE(L480," ",K480)</f>
        <v>GREGORY TEIPEL</v>
      </c>
      <c r="N480" s="8" t="s">
        <v>57</v>
      </c>
      <c r="O480" s="9">
        <v>45941</v>
      </c>
      <c r="P480" s="9">
        <v>46153</v>
      </c>
      <c r="Q480" s="23">
        <f>DATEDIF(O480,P480,"M")</f>
        <v>7</v>
      </c>
      <c r="R480" s="33" t="s">
        <v>536</v>
      </c>
      <c r="S480" s="33" t="s">
        <v>1037</v>
      </c>
      <c r="T480" s="10">
        <v>37.42</v>
      </c>
      <c r="U480" s="8">
        <v>1</v>
      </c>
      <c r="V480" s="8" t="s">
        <v>58</v>
      </c>
      <c r="W480" s="8" t="s">
        <v>60</v>
      </c>
      <c r="X480" s="8" t="s">
        <v>61</v>
      </c>
      <c r="Y480" s="10">
        <v>33.68</v>
      </c>
    </row>
    <row r="481" spans="1:25" s="8" customFormat="1" x14ac:dyDescent="0.3">
      <c r="A481" s="8">
        <v>2031593002</v>
      </c>
      <c r="B481" s="8" t="s">
        <v>193</v>
      </c>
      <c r="C481" s="8" t="s">
        <v>56</v>
      </c>
      <c r="D481" s="8" t="str">
        <f t="shared" si="7"/>
        <v>GREGORY ROTILI</v>
      </c>
      <c r="E481" s="8" t="s">
        <v>93</v>
      </c>
      <c r="F481" s="8" t="s">
        <v>53</v>
      </c>
      <c r="G481" s="13">
        <v>0.7</v>
      </c>
      <c r="H481" s="8" t="s">
        <v>97</v>
      </c>
      <c r="I481" s="14" t="s">
        <v>117</v>
      </c>
      <c r="J481" s="15">
        <v>5442438</v>
      </c>
      <c r="K481" s="8" t="s">
        <v>95</v>
      </c>
      <c r="L481" s="8" t="s">
        <v>96</v>
      </c>
      <c r="M481" s="8" t="str">
        <f>CONCATENATE(L481," ",K481)</f>
        <v>Ronald Max</v>
      </c>
      <c r="N481" s="8" t="s">
        <v>57</v>
      </c>
      <c r="O481" s="9">
        <v>45944</v>
      </c>
      <c r="P481" s="9">
        <v>46156</v>
      </c>
      <c r="Q481" s="23">
        <f>DATEDIF(O481,P481,"M")</f>
        <v>7</v>
      </c>
      <c r="R481" s="33" t="s">
        <v>536</v>
      </c>
      <c r="S481" s="33" t="s">
        <v>1037</v>
      </c>
      <c r="T481" s="10">
        <v>24.61</v>
      </c>
      <c r="U481" s="8">
        <v>1</v>
      </c>
      <c r="V481" s="8" t="s">
        <v>58</v>
      </c>
      <c r="W481" s="8" t="s">
        <v>60</v>
      </c>
      <c r="X481" s="8" t="s">
        <v>61</v>
      </c>
      <c r="Y481" s="10">
        <v>17.23</v>
      </c>
    </row>
    <row r="482" spans="1:25" s="8" customFormat="1" x14ac:dyDescent="0.3">
      <c r="A482" s="8">
        <v>2031593003</v>
      </c>
      <c r="B482" s="8" t="s">
        <v>193</v>
      </c>
      <c r="C482" s="8" t="s">
        <v>56</v>
      </c>
      <c r="D482" s="8" t="str">
        <f t="shared" si="7"/>
        <v>GREGORY ROTILI</v>
      </c>
      <c r="E482" s="8" t="s">
        <v>93</v>
      </c>
      <c r="F482" s="8" t="s">
        <v>444</v>
      </c>
      <c r="G482" s="13">
        <v>0.9</v>
      </c>
      <c r="H482" s="8" t="s">
        <v>567</v>
      </c>
      <c r="I482" s="14" t="s">
        <v>981</v>
      </c>
      <c r="J482" s="15">
        <v>5442438</v>
      </c>
      <c r="K482" s="8" t="s">
        <v>95</v>
      </c>
      <c r="L482" s="8" t="s">
        <v>96</v>
      </c>
      <c r="M482" s="8" t="str">
        <f>CONCATENATE(L482," ",K482)</f>
        <v>Ronald Max</v>
      </c>
      <c r="N482" s="8" t="s">
        <v>57</v>
      </c>
      <c r="O482" s="9">
        <v>45944</v>
      </c>
      <c r="P482" s="9">
        <v>46156</v>
      </c>
      <c r="Q482" s="23">
        <f>DATEDIF(O482,P482,"M")</f>
        <v>7</v>
      </c>
      <c r="R482" s="33" t="s">
        <v>536</v>
      </c>
      <c r="S482" s="33" t="s">
        <v>1037</v>
      </c>
      <c r="T482" s="10">
        <v>31.71</v>
      </c>
      <c r="U482" s="8">
        <v>1</v>
      </c>
      <c r="V482" s="8" t="s">
        <v>58</v>
      </c>
      <c r="W482" s="8" t="s">
        <v>60</v>
      </c>
      <c r="X482" s="8" t="s">
        <v>61</v>
      </c>
      <c r="Y482" s="10">
        <v>28.54</v>
      </c>
    </row>
    <row r="483" spans="1:25" s="8" customFormat="1" x14ac:dyDescent="0.3">
      <c r="A483" s="8">
        <v>2031057792</v>
      </c>
      <c r="B483" s="8" t="s">
        <v>181</v>
      </c>
      <c r="C483" s="8" t="s">
        <v>149</v>
      </c>
      <c r="D483" s="8" t="str">
        <f t="shared" si="7"/>
        <v>JOHN ORT</v>
      </c>
      <c r="E483" s="8" t="s">
        <v>182</v>
      </c>
      <c r="F483" s="8" t="s">
        <v>53</v>
      </c>
      <c r="G483" s="13">
        <v>0.7</v>
      </c>
      <c r="H483" s="8" t="s">
        <v>54</v>
      </c>
      <c r="I483" s="14" t="s">
        <v>54</v>
      </c>
      <c r="J483" s="15" t="s">
        <v>1009</v>
      </c>
      <c r="K483" s="8" t="s">
        <v>120</v>
      </c>
      <c r="L483" s="8" t="s">
        <v>183</v>
      </c>
      <c r="M483" s="8" t="str">
        <f>CONCATENATE(L483," ",K483)</f>
        <v>Chad Yale</v>
      </c>
      <c r="N483" s="8" t="s">
        <v>57</v>
      </c>
      <c r="O483" s="9">
        <v>45915</v>
      </c>
      <c r="P483" s="9">
        <v>46157</v>
      </c>
      <c r="Q483" s="23">
        <f>DATEDIF(O483,P483,"M")</f>
        <v>8</v>
      </c>
      <c r="R483" s="33" t="s">
        <v>536</v>
      </c>
      <c r="S483" s="33" t="s">
        <v>1037</v>
      </c>
      <c r="T483" s="10">
        <v>30.68</v>
      </c>
      <c r="U483" s="8">
        <v>1</v>
      </c>
      <c r="V483" s="8" t="s">
        <v>58</v>
      </c>
      <c r="W483" s="8" t="s">
        <v>60</v>
      </c>
      <c r="X483" s="8" t="s">
        <v>61</v>
      </c>
      <c r="Y483" s="10">
        <v>21.48</v>
      </c>
    </row>
    <row r="484" spans="1:25" s="8" customFormat="1" x14ac:dyDescent="0.3">
      <c r="A484" s="8">
        <v>2030336751</v>
      </c>
      <c r="B484" s="8" t="s">
        <v>139</v>
      </c>
      <c r="C484" s="8" t="s">
        <v>140</v>
      </c>
      <c r="D484" s="8" t="str">
        <f t="shared" si="7"/>
        <v>LAUREN SLOSS</v>
      </c>
      <c r="E484" s="8" t="s">
        <v>141</v>
      </c>
      <c r="F484" s="8" t="s">
        <v>444</v>
      </c>
      <c r="G484" s="13">
        <v>0.9</v>
      </c>
      <c r="H484" s="8" t="s">
        <v>567</v>
      </c>
      <c r="I484" s="14" t="s">
        <v>981</v>
      </c>
      <c r="J484" s="15">
        <v>8307933</v>
      </c>
      <c r="K484" s="8" t="s">
        <v>55</v>
      </c>
      <c r="L484" s="8" t="s">
        <v>56</v>
      </c>
      <c r="M484" s="8" t="str">
        <f>CONCATENATE(L484," ",K484)</f>
        <v>GREGORY TEIPEL</v>
      </c>
      <c r="N484" s="8" t="s">
        <v>57</v>
      </c>
      <c r="O484" s="9">
        <v>45906</v>
      </c>
      <c r="P484" s="9">
        <v>46148</v>
      </c>
      <c r="Q484" s="23">
        <f>DATEDIF(O484,P484,"M")</f>
        <v>8</v>
      </c>
      <c r="R484" s="33" t="s">
        <v>536</v>
      </c>
      <c r="S484" s="33" t="s">
        <v>1037</v>
      </c>
      <c r="T484" s="10">
        <v>216.41</v>
      </c>
      <c r="U484" s="8">
        <v>1</v>
      </c>
      <c r="V484" s="8" t="s">
        <v>58</v>
      </c>
      <c r="W484" s="8" t="s">
        <v>60</v>
      </c>
      <c r="X484" s="8" t="s">
        <v>61</v>
      </c>
      <c r="Y484" s="10">
        <v>194.77</v>
      </c>
    </row>
    <row r="485" spans="1:25" s="8" customFormat="1" x14ac:dyDescent="0.3">
      <c r="A485" s="8">
        <v>2030739941</v>
      </c>
      <c r="B485" s="8" t="s">
        <v>98</v>
      </c>
      <c r="C485" s="8" t="s">
        <v>378</v>
      </c>
      <c r="D485" s="8" t="str">
        <f t="shared" si="7"/>
        <v>WILLIE THOMAS</v>
      </c>
      <c r="E485" s="8" t="s">
        <v>70</v>
      </c>
      <c r="F485" s="8" t="s">
        <v>529</v>
      </c>
      <c r="G485" s="13">
        <v>0.51</v>
      </c>
      <c r="H485" s="8" t="s">
        <v>531</v>
      </c>
      <c r="I485" s="14" t="s">
        <v>530</v>
      </c>
      <c r="J485" s="15">
        <v>8307933</v>
      </c>
      <c r="K485" s="8" t="s">
        <v>55</v>
      </c>
      <c r="L485" s="8" t="s">
        <v>56</v>
      </c>
      <c r="M485" s="8" t="str">
        <f>CONCATENATE(L485," ",K485)</f>
        <v>GREGORY TEIPEL</v>
      </c>
      <c r="N485" s="8" t="s">
        <v>57</v>
      </c>
      <c r="O485" s="9">
        <v>45906</v>
      </c>
      <c r="P485" s="9">
        <v>46148</v>
      </c>
      <c r="Q485" s="23">
        <f>DATEDIF(O485,P485,"M")</f>
        <v>8</v>
      </c>
      <c r="R485" s="33" t="s">
        <v>536</v>
      </c>
      <c r="S485" s="33" t="s">
        <v>1037</v>
      </c>
      <c r="T485" s="10">
        <v>14.95</v>
      </c>
      <c r="U485" s="8">
        <v>1</v>
      </c>
      <c r="V485" s="8" t="s">
        <v>58</v>
      </c>
      <c r="W485" s="8" t="s">
        <v>60</v>
      </c>
      <c r="X485" s="8" t="s">
        <v>61</v>
      </c>
      <c r="Y485" s="10">
        <v>7.62</v>
      </c>
    </row>
    <row r="486" spans="1:25" s="8" customFormat="1" x14ac:dyDescent="0.3">
      <c r="A486" s="8">
        <v>2030739940</v>
      </c>
      <c r="B486" s="8" t="s">
        <v>98</v>
      </c>
      <c r="C486" s="8" t="s">
        <v>378</v>
      </c>
      <c r="D486" s="8" t="str">
        <f t="shared" si="7"/>
        <v>WILLIE THOMAS</v>
      </c>
      <c r="E486" s="8" t="s">
        <v>70</v>
      </c>
      <c r="F486" s="8" t="s">
        <v>529</v>
      </c>
      <c r="G486" s="13">
        <v>0.51</v>
      </c>
      <c r="H486" s="8" t="s">
        <v>530</v>
      </c>
      <c r="I486" s="14" t="s">
        <v>530</v>
      </c>
      <c r="J486" s="15">
        <v>8307933</v>
      </c>
      <c r="K486" s="8" t="s">
        <v>55</v>
      </c>
      <c r="L486" s="8" t="s">
        <v>56</v>
      </c>
      <c r="M486" s="8" t="str">
        <f>CONCATENATE(L486," ",K486)</f>
        <v>GREGORY TEIPEL</v>
      </c>
      <c r="N486" s="8" t="s">
        <v>57</v>
      </c>
      <c r="O486" s="9">
        <v>45906</v>
      </c>
      <c r="P486" s="9">
        <v>46148</v>
      </c>
      <c r="Q486" s="23">
        <f>DATEDIF(O486,P486,"M")</f>
        <v>8</v>
      </c>
      <c r="R486" s="33" t="s">
        <v>536</v>
      </c>
      <c r="S486" s="33" t="s">
        <v>1037</v>
      </c>
      <c r="T486" s="10">
        <v>176.78</v>
      </c>
      <c r="U486" s="8">
        <v>1</v>
      </c>
      <c r="V486" s="8" t="s">
        <v>58</v>
      </c>
      <c r="W486" s="8" t="s">
        <v>60</v>
      </c>
      <c r="X486" s="8" t="s">
        <v>61</v>
      </c>
      <c r="Y486" s="10">
        <v>90.16</v>
      </c>
    </row>
    <row r="487" spans="1:25" s="8" customFormat="1" x14ac:dyDescent="0.3">
      <c r="A487" s="8">
        <v>2030336752</v>
      </c>
      <c r="B487" s="8" t="s">
        <v>139</v>
      </c>
      <c r="C487" s="8" t="s">
        <v>140</v>
      </c>
      <c r="D487" s="8" t="str">
        <f t="shared" si="7"/>
        <v>LAUREN SLOSS</v>
      </c>
      <c r="E487" s="8" t="s">
        <v>141</v>
      </c>
      <c r="F487" s="8" t="s">
        <v>53</v>
      </c>
      <c r="G487" s="13">
        <v>0.7</v>
      </c>
      <c r="H487" s="8" t="s">
        <v>54</v>
      </c>
      <c r="I487" s="14" t="s">
        <v>54</v>
      </c>
      <c r="J487" s="15">
        <v>8307933</v>
      </c>
      <c r="K487" s="8" t="s">
        <v>55</v>
      </c>
      <c r="L487" s="8" t="s">
        <v>56</v>
      </c>
      <c r="M487" s="8" t="str">
        <f>CONCATENATE(L487," ",K487)</f>
        <v>GREGORY TEIPEL</v>
      </c>
      <c r="N487" s="8" t="s">
        <v>57</v>
      </c>
      <c r="O487" s="9">
        <v>45906</v>
      </c>
      <c r="P487" s="9">
        <v>46148</v>
      </c>
      <c r="Q487" s="23">
        <f>DATEDIF(O487,P487,"M")</f>
        <v>8</v>
      </c>
      <c r="R487" s="33" t="s">
        <v>536</v>
      </c>
      <c r="S487" s="33" t="s">
        <v>1037</v>
      </c>
      <c r="T487" s="10">
        <v>31.88</v>
      </c>
      <c r="U487" s="8">
        <v>1</v>
      </c>
      <c r="V487" s="8" t="s">
        <v>58</v>
      </c>
      <c r="W487" s="8" t="s">
        <v>60</v>
      </c>
      <c r="X487" s="8" t="s">
        <v>61</v>
      </c>
      <c r="Y487" s="10">
        <v>22.32</v>
      </c>
    </row>
    <row r="488" spans="1:25" s="8" customFormat="1" x14ac:dyDescent="0.3">
      <c r="A488" s="8">
        <v>2030999705</v>
      </c>
      <c r="B488" s="8" t="s">
        <v>852</v>
      </c>
      <c r="C488" s="8" t="s">
        <v>853</v>
      </c>
      <c r="D488" s="8" t="str">
        <f t="shared" si="7"/>
        <v>RAJIV ZAVERI</v>
      </c>
      <c r="E488" s="8" t="s">
        <v>141</v>
      </c>
      <c r="F488" s="8" t="s">
        <v>483</v>
      </c>
      <c r="G488" s="16">
        <v>0.375</v>
      </c>
      <c r="H488" s="8" t="s">
        <v>484</v>
      </c>
      <c r="I488" s="14" t="s">
        <v>484</v>
      </c>
      <c r="J488" s="15">
        <v>8307933</v>
      </c>
      <c r="K488" s="8" t="s">
        <v>55</v>
      </c>
      <c r="L488" s="8" t="s">
        <v>56</v>
      </c>
      <c r="M488" s="8" t="str">
        <f>CONCATENATE(L488," ",K488)</f>
        <v>GREGORY TEIPEL</v>
      </c>
      <c r="N488" s="8" t="s">
        <v>57</v>
      </c>
      <c r="O488" s="9">
        <v>45913</v>
      </c>
      <c r="P488" s="9">
        <v>46155</v>
      </c>
      <c r="Q488" s="23">
        <f>DATEDIF(O488,P488,"M")</f>
        <v>8</v>
      </c>
      <c r="R488" s="33" t="s">
        <v>536</v>
      </c>
      <c r="S488" s="33" t="s">
        <v>1037</v>
      </c>
      <c r="T488" s="10">
        <v>46.27</v>
      </c>
      <c r="U488" s="8">
        <v>1</v>
      </c>
      <c r="V488" s="8" t="s">
        <v>58</v>
      </c>
      <c r="W488" s="8" t="s">
        <v>60</v>
      </c>
      <c r="X488" s="8" t="s">
        <v>61</v>
      </c>
      <c r="Y488" s="10">
        <v>17.350000000000001</v>
      </c>
    </row>
    <row r="489" spans="1:25" s="8" customFormat="1" x14ac:dyDescent="0.3">
      <c r="A489" s="8">
        <v>2030691612</v>
      </c>
      <c r="B489" s="8" t="s">
        <v>763</v>
      </c>
      <c r="C489" s="8" t="s">
        <v>764</v>
      </c>
      <c r="D489" s="8" t="str">
        <f t="shared" si="7"/>
        <v>VALLE ROSANGELA</v>
      </c>
      <c r="E489" s="8" t="s">
        <v>52</v>
      </c>
      <c r="F489" s="8" t="s">
        <v>475</v>
      </c>
      <c r="G489" s="13">
        <v>0.28999999999999998</v>
      </c>
      <c r="H489" s="8" t="s">
        <v>482</v>
      </c>
      <c r="I489" s="14" t="s">
        <v>994</v>
      </c>
      <c r="J489" s="15">
        <v>8977234</v>
      </c>
      <c r="K489" s="8" t="s">
        <v>115</v>
      </c>
      <c r="L489" s="8" t="s">
        <v>116</v>
      </c>
      <c r="M489" s="8" t="str">
        <f>CONCATENATE(L489," ",K489)</f>
        <v>RYAN CALTAGIRONE</v>
      </c>
      <c r="N489" s="8" t="s">
        <v>57</v>
      </c>
      <c r="O489" s="9">
        <v>45901</v>
      </c>
      <c r="P489" s="9">
        <v>46143</v>
      </c>
      <c r="Q489" s="23">
        <f>DATEDIF(O489,P489,"M")</f>
        <v>8</v>
      </c>
      <c r="R489" s="33" t="s">
        <v>536</v>
      </c>
      <c r="S489" s="33" t="s">
        <v>1037</v>
      </c>
      <c r="T489" s="10">
        <v>15</v>
      </c>
      <c r="U489" s="8">
        <v>1</v>
      </c>
      <c r="V489" s="8" t="s">
        <v>58</v>
      </c>
      <c r="W489" s="8" t="s">
        <v>60</v>
      </c>
      <c r="X489" s="8" t="s">
        <v>61</v>
      </c>
      <c r="Y489" s="10">
        <v>4.3499999999999996</v>
      </c>
    </row>
    <row r="490" spans="1:25" s="8" customFormat="1" x14ac:dyDescent="0.3">
      <c r="A490" s="8">
        <v>2030501935</v>
      </c>
      <c r="B490" s="8" t="s">
        <v>162</v>
      </c>
      <c r="C490" s="8" t="s">
        <v>163</v>
      </c>
      <c r="D490" s="8" t="str">
        <f t="shared" si="7"/>
        <v>JAMES LEWIS</v>
      </c>
      <c r="E490" s="8" t="s">
        <v>93</v>
      </c>
      <c r="F490" s="8" t="s">
        <v>53</v>
      </c>
      <c r="G490" s="13">
        <v>0.7</v>
      </c>
      <c r="H490" s="8" t="s">
        <v>97</v>
      </c>
      <c r="I490" s="14" t="s">
        <v>117</v>
      </c>
      <c r="J490" s="15">
        <v>9079571</v>
      </c>
      <c r="K490" s="8" t="s">
        <v>164</v>
      </c>
      <c r="L490" s="8" t="s">
        <v>165</v>
      </c>
      <c r="M490" s="8" t="str">
        <f>CONCATENATE(L490," ",K490)</f>
        <v>ADAM RICHTER</v>
      </c>
      <c r="N490" s="8" t="s">
        <v>57</v>
      </c>
      <c r="O490" s="9">
        <v>45884</v>
      </c>
      <c r="P490" s="9">
        <v>46157</v>
      </c>
      <c r="Q490" s="23">
        <f>DATEDIF(O490,P490,"M")</f>
        <v>9</v>
      </c>
      <c r="R490" s="33" t="s">
        <v>536</v>
      </c>
      <c r="S490" s="33" t="s">
        <v>1037</v>
      </c>
      <c r="T490" s="10">
        <v>24.61</v>
      </c>
      <c r="U490" s="8">
        <v>1</v>
      </c>
      <c r="V490" s="8" t="s">
        <v>58</v>
      </c>
      <c r="W490" s="8" t="s">
        <v>60</v>
      </c>
      <c r="X490" s="8" t="s">
        <v>61</v>
      </c>
      <c r="Y490" s="10">
        <v>17.23</v>
      </c>
    </row>
    <row r="491" spans="1:25" s="8" customFormat="1" x14ac:dyDescent="0.3">
      <c r="A491" s="8">
        <v>2030312928</v>
      </c>
      <c r="B491" s="8" t="s">
        <v>453</v>
      </c>
      <c r="C491" s="8" t="s">
        <v>604</v>
      </c>
      <c r="D491" s="8" t="str">
        <f t="shared" si="7"/>
        <v>BROOKS KATHERINE</v>
      </c>
      <c r="E491" s="8" t="s">
        <v>605</v>
      </c>
      <c r="F491" s="8" t="s">
        <v>444</v>
      </c>
      <c r="G491" s="13">
        <v>0.9</v>
      </c>
      <c r="H491" s="8" t="s">
        <v>567</v>
      </c>
      <c r="I491" s="14" t="s">
        <v>981</v>
      </c>
      <c r="J491" s="15">
        <v>9079571</v>
      </c>
      <c r="K491" s="8" t="s">
        <v>164</v>
      </c>
      <c r="L491" s="8" t="s">
        <v>165</v>
      </c>
      <c r="M491" s="8" t="str">
        <f>CONCATENATE(L491," ",K491)</f>
        <v>ADAM RICHTER</v>
      </c>
      <c r="N491" s="8" t="s">
        <v>57</v>
      </c>
      <c r="O491" s="9">
        <v>45874</v>
      </c>
      <c r="P491" s="9">
        <v>46147</v>
      </c>
      <c r="Q491" s="23">
        <f>DATEDIF(O491,P491,"M")</f>
        <v>9</v>
      </c>
      <c r="R491" s="33" t="s">
        <v>536</v>
      </c>
      <c r="S491" s="33" t="s">
        <v>1037</v>
      </c>
      <c r="T491" s="10">
        <v>44.18</v>
      </c>
      <c r="U491" s="8">
        <v>1</v>
      </c>
      <c r="V491" s="8" t="s">
        <v>58</v>
      </c>
      <c r="W491" s="8" t="s">
        <v>60</v>
      </c>
      <c r="X491" s="8" t="s">
        <v>61</v>
      </c>
      <c r="Y491" s="10">
        <v>39.76</v>
      </c>
    </row>
    <row r="492" spans="1:25" s="8" customFormat="1" x14ac:dyDescent="0.3">
      <c r="A492" s="8">
        <v>2030501934</v>
      </c>
      <c r="B492" s="8" t="s">
        <v>162</v>
      </c>
      <c r="C492" s="8" t="s">
        <v>163</v>
      </c>
      <c r="D492" s="8" t="str">
        <f t="shared" si="7"/>
        <v>JAMES LEWIS</v>
      </c>
      <c r="E492" s="8" t="s">
        <v>93</v>
      </c>
      <c r="F492" s="8" t="s">
        <v>444</v>
      </c>
      <c r="G492" s="13">
        <v>0.9</v>
      </c>
      <c r="H492" s="8" t="s">
        <v>567</v>
      </c>
      <c r="I492" s="14" t="s">
        <v>981</v>
      </c>
      <c r="J492" s="15">
        <v>9079571</v>
      </c>
      <c r="K492" s="8" t="s">
        <v>164</v>
      </c>
      <c r="L492" s="8" t="s">
        <v>165</v>
      </c>
      <c r="M492" s="8" t="str">
        <f>CONCATENATE(L492," ",K492)</f>
        <v>ADAM RICHTER</v>
      </c>
      <c r="N492" s="8" t="s">
        <v>57</v>
      </c>
      <c r="O492" s="9">
        <v>45884</v>
      </c>
      <c r="P492" s="9">
        <v>46157</v>
      </c>
      <c r="Q492" s="23">
        <f>DATEDIF(O492,P492,"M")</f>
        <v>9</v>
      </c>
      <c r="R492" s="33" t="s">
        <v>536</v>
      </c>
      <c r="S492" s="33" t="s">
        <v>1037</v>
      </c>
      <c r="T492" s="10">
        <v>77.959999999999994</v>
      </c>
      <c r="U492" s="8">
        <v>1</v>
      </c>
      <c r="V492" s="8" t="s">
        <v>58</v>
      </c>
      <c r="W492" s="8" t="s">
        <v>60</v>
      </c>
      <c r="X492" s="8" t="s">
        <v>61</v>
      </c>
      <c r="Y492" s="10">
        <v>70.16</v>
      </c>
    </row>
    <row r="493" spans="1:25" s="8" customFormat="1" x14ac:dyDescent="0.3">
      <c r="A493" s="8">
        <v>2024372431</v>
      </c>
      <c r="B493" s="8" t="s">
        <v>653</v>
      </c>
      <c r="C493" s="8" t="s">
        <v>654</v>
      </c>
      <c r="D493" s="8" t="str">
        <f t="shared" si="7"/>
        <v>LANDON BRITT</v>
      </c>
      <c r="E493" s="8" t="s">
        <v>420</v>
      </c>
      <c r="F493" s="8" t="s">
        <v>524</v>
      </c>
      <c r="G493" s="13">
        <v>0.28999999999999998</v>
      </c>
      <c r="H493" s="8" t="s">
        <v>528</v>
      </c>
      <c r="I493" s="14" t="s">
        <v>528</v>
      </c>
      <c r="J493" s="15">
        <v>17437820</v>
      </c>
      <c r="K493" s="8" t="s">
        <v>655</v>
      </c>
      <c r="L493" s="8" t="s">
        <v>656</v>
      </c>
      <c r="M493" s="8" t="str">
        <f>CONCATENATE(L493," ",K493)</f>
        <v>COLLEEN FINNIGAN</v>
      </c>
      <c r="N493" s="8" t="s">
        <v>57</v>
      </c>
      <c r="O493" s="9">
        <v>45882</v>
      </c>
      <c r="P493" s="9">
        <v>46155</v>
      </c>
      <c r="Q493" s="23">
        <f>DATEDIF(O493,P493,"M")</f>
        <v>9</v>
      </c>
      <c r="R493" s="33" t="s">
        <v>536</v>
      </c>
      <c r="S493" s="33" t="s">
        <v>1037</v>
      </c>
      <c r="T493" s="10">
        <v>315.83999999999997</v>
      </c>
      <c r="U493" s="8">
        <v>1</v>
      </c>
      <c r="V493" s="8" t="s">
        <v>58</v>
      </c>
      <c r="W493" s="8" t="s">
        <v>60</v>
      </c>
      <c r="X493" s="8" t="s">
        <v>61</v>
      </c>
      <c r="Y493" s="10">
        <v>91.59</v>
      </c>
    </row>
    <row r="494" spans="1:25" s="8" customFormat="1" x14ac:dyDescent="0.3">
      <c r="A494" s="8">
        <v>2030447483</v>
      </c>
      <c r="B494" s="8" t="s">
        <v>144</v>
      </c>
      <c r="C494" s="8" t="s">
        <v>145</v>
      </c>
      <c r="D494" s="8" t="str">
        <f t="shared" si="7"/>
        <v>SANDRA MANSFIELD</v>
      </c>
      <c r="E494" s="8" t="s">
        <v>52</v>
      </c>
      <c r="F494" s="8" t="s">
        <v>53</v>
      </c>
      <c r="G494" s="13">
        <v>0.7</v>
      </c>
      <c r="H494" s="8" t="s">
        <v>54</v>
      </c>
      <c r="I494" s="14" t="s">
        <v>54</v>
      </c>
      <c r="J494" s="15">
        <v>1706194</v>
      </c>
      <c r="K494" s="8" t="s">
        <v>146</v>
      </c>
      <c r="L494" s="8" t="s">
        <v>147</v>
      </c>
      <c r="M494" s="8" t="str">
        <f>CONCATENATE(L494," ",K494)</f>
        <v>MATTHEW DAUGHERTY</v>
      </c>
      <c r="N494" s="8" t="s">
        <v>57</v>
      </c>
      <c r="O494" s="9">
        <v>45882</v>
      </c>
      <c r="P494" s="9">
        <v>46155</v>
      </c>
      <c r="Q494" s="23">
        <f>DATEDIF(O494,P494,"M")</f>
        <v>9</v>
      </c>
      <c r="R494" s="33" t="s">
        <v>536</v>
      </c>
      <c r="S494" s="33" t="s">
        <v>1037</v>
      </c>
      <c r="T494" s="10">
        <v>10.53</v>
      </c>
      <c r="U494" s="8">
        <v>1</v>
      </c>
      <c r="V494" s="8" t="s">
        <v>58</v>
      </c>
      <c r="W494" s="8" t="s">
        <v>60</v>
      </c>
      <c r="X494" s="8" t="s">
        <v>61</v>
      </c>
      <c r="Y494" s="10">
        <v>7.37</v>
      </c>
    </row>
    <row r="495" spans="1:25" s="8" customFormat="1" x14ac:dyDescent="0.3">
      <c r="A495" s="8">
        <v>2030447484</v>
      </c>
      <c r="B495" s="8" t="s">
        <v>144</v>
      </c>
      <c r="C495" s="8" t="s">
        <v>145</v>
      </c>
      <c r="D495" s="8" t="str">
        <f t="shared" si="7"/>
        <v>SANDRA MANSFIELD</v>
      </c>
      <c r="E495" s="8" t="s">
        <v>52</v>
      </c>
      <c r="F495" s="8" t="s">
        <v>483</v>
      </c>
      <c r="G495" s="16">
        <v>0.375</v>
      </c>
      <c r="H495" s="8" t="s">
        <v>484</v>
      </c>
      <c r="I495" s="14" t="s">
        <v>484</v>
      </c>
      <c r="J495" s="15">
        <v>1706194</v>
      </c>
      <c r="K495" s="8" t="s">
        <v>146</v>
      </c>
      <c r="L495" s="8" t="s">
        <v>147</v>
      </c>
      <c r="M495" s="8" t="str">
        <f>CONCATENATE(L495," ",K495)</f>
        <v>MATTHEW DAUGHERTY</v>
      </c>
      <c r="N495" s="8" t="s">
        <v>57</v>
      </c>
      <c r="O495" s="9">
        <v>45882</v>
      </c>
      <c r="P495" s="9">
        <v>46155</v>
      </c>
      <c r="Q495" s="23">
        <f>DATEDIF(O495,P495,"M")</f>
        <v>9</v>
      </c>
      <c r="R495" s="33" t="s">
        <v>536</v>
      </c>
      <c r="S495" s="33" t="s">
        <v>1037</v>
      </c>
      <c r="T495" s="10">
        <v>73.17</v>
      </c>
      <c r="U495" s="8">
        <v>1</v>
      </c>
      <c r="V495" s="8" t="s">
        <v>58</v>
      </c>
      <c r="W495" s="8" t="s">
        <v>60</v>
      </c>
      <c r="X495" s="8" t="s">
        <v>61</v>
      </c>
      <c r="Y495" s="10">
        <v>27.44</v>
      </c>
    </row>
    <row r="496" spans="1:25" s="8" customFormat="1" x14ac:dyDescent="0.3">
      <c r="A496" s="8">
        <v>2030488870</v>
      </c>
      <c r="B496" s="8" t="s">
        <v>160</v>
      </c>
      <c r="C496" s="8" t="s">
        <v>161</v>
      </c>
      <c r="D496" s="8" t="str">
        <f t="shared" si="7"/>
        <v>KAI BARNES</v>
      </c>
      <c r="E496" s="8" t="s">
        <v>93</v>
      </c>
      <c r="F496" s="8" t="s">
        <v>53</v>
      </c>
      <c r="G496" s="13">
        <v>0.7</v>
      </c>
      <c r="H496" s="8" t="s">
        <v>97</v>
      </c>
      <c r="I496" s="14" t="s">
        <v>117</v>
      </c>
      <c r="J496" s="15">
        <v>5442438</v>
      </c>
      <c r="K496" s="8" t="s">
        <v>95</v>
      </c>
      <c r="L496" s="8" t="s">
        <v>96</v>
      </c>
      <c r="M496" s="8" t="str">
        <f>CONCATENATE(L496," ",K496)</f>
        <v>Ronald Max</v>
      </c>
      <c r="N496" s="8" t="s">
        <v>57</v>
      </c>
      <c r="O496" s="9">
        <v>45884</v>
      </c>
      <c r="P496" s="9">
        <v>46157</v>
      </c>
      <c r="Q496" s="23">
        <f>DATEDIF(O496,P496,"M")</f>
        <v>9</v>
      </c>
      <c r="R496" s="33" t="s">
        <v>536</v>
      </c>
      <c r="S496" s="33" t="s">
        <v>1037</v>
      </c>
      <c r="T496" s="10">
        <v>24.61</v>
      </c>
      <c r="U496" s="8">
        <v>1</v>
      </c>
      <c r="V496" s="8" t="s">
        <v>58</v>
      </c>
      <c r="W496" s="8" t="s">
        <v>60</v>
      </c>
      <c r="X496" s="8" t="s">
        <v>61</v>
      </c>
      <c r="Y496" s="10">
        <v>17.23</v>
      </c>
    </row>
    <row r="497" spans="1:25" s="8" customFormat="1" x14ac:dyDescent="0.3">
      <c r="A497" s="8">
        <v>2030488872</v>
      </c>
      <c r="B497" s="8" t="s">
        <v>160</v>
      </c>
      <c r="C497" s="8" t="s">
        <v>161</v>
      </c>
      <c r="D497" s="8" t="str">
        <f t="shared" si="7"/>
        <v>KAI BARNES</v>
      </c>
      <c r="E497" s="8" t="s">
        <v>93</v>
      </c>
      <c r="F497" s="8" t="s">
        <v>444</v>
      </c>
      <c r="G497" s="13">
        <v>0.9</v>
      </c>
      <c r="H497" s="8" t="s">
        <v>567</v>
      </c>
      <c r="I497" s="14" t="s">
        <v>981</v>
      </c>
      <c r="J497" s="15">
        <v>5442438</v>
      </c>
      <c r="K497" s="8" t="s">
        <v>95</v>
      </c>
      <c r="L497" s="8" t="s">
        <v>96</v>
      </c>
      <c r="M497" s="8" t="str">
        <f>CONCATENATE(L497," ",K497)</f>
        <v>Ronald Max</v>
      </c>
      <c r="N497" s="8" t="s">
        <v>57</v>
      </c>
      <c r="O497" s="9">
        <v>45884</v>
      </c>
      <c r="P497" s="9">
        <v>46157</v>
      </c>
      <c r="Q497" s="23">
        <f>DATEDIF(O497,P497,"M")</f>
        <v>9</v>
      </c>
      <c r="R497" s="33" t="s">
        <v>536</v>
      </c>
      <c r="S497" s="33" t="s">
        <v>1037</v>
      </c>
      <c r="T497" s="10">
        <v>46.94</v>
      </c>
      <c r="U497" s="8">
        <v>1</v>
      </c>
      <c r="V497" s="8" t="s">
        <v>58</v>
      </c>
      <c r="W497" s="8" t="s">
        <v>60</v>
      </c>
      <c r="X497" s="8" t="s">
        <v>61</v>
      </c>
      <c r="Y497" s="10">
        <v>42.25</v>
      </c>
    </row>
    <row r="498" spans="1:25" s="8" customFormat="1" x14ac:dyDescent="0.3">
      <c r="A498" s="8">
        <v>2030488871</v>
      </c>
      <c r="B498" s="8" t="s">
        <v>160</v>
      </c>
      <c r="C498" s="8" t="s">
        <v>161</v>
      </c>
      <c r="D498" s="8" t="str">
        <f t="shared" si="7"/>
        <v>KAI BARNES</v>
      </c>
      <c r="E498" s="8" t="s">
        <v>93</v>
      </c>
      <c r="F498" s="8" t="s">
        <v>53</v>
      </c>
      <c r="G498" s="13">
        <v>0.42</v>
      </c>
      <c r="H498" s="8" t="s">
        <v>94</v>
      </c>
      <c r="I498" s="14" t="s">
        <v>94</v>
      </c>
      <c r="J498" s="15">
        <v>5442438</v>
      </c>
      <c r="K498" s="8" t="s">
        <v>95</v>
      </c>
      <c r="L498" s="8" t="s">
        <v>96</v>
      </c>
      <c r="M498" s="8" t="str">
        <f>CONCATENATE(L498," ",K498)</f>
        <v>Ronald Max</v>
      </c>
      <c r="N498" s="8" t="s">
        <v>57</v>
      </c>
      <c r="O498" s="9">
        <v>45884</v>
      </c>
      <c r="P498" s="9">
        <v>46157</v>
      </c>
      <c r="Q498" s="23">
        <f>DATEDIF(O498,P498,"M")</f>
        <v>9</v>
      </c>
      <c r="R498" s="33" t="s">
        <v>536</v>
      </c>
      <c r="S498" s="33" t="s">
        <v>1037</v>
      </c>
      <c r="T498" s="10">
        <v>27.8</v>
      </c>
      <c r="U498" s="8">
        <v>1</v>
      </c>
      <c r="V498" s="8" t="s">
        <v>58</v>
      </c>
      <c r="W498" s="8" t="s">
        <v>60</v>
      </c>
      <c r="X498" s="8" t="s">
        <v>61</v>
      </c>
      <c r="Y498" s="10">
        <v>11.68</v>
      </c>
    </row>
    <row r="499" spans="1:25" s="8" customFormat="1" x14ac:dyDescent="0.3">
      <c r="A499" s="8">
        <v>2029980506</v>
      </c>
      <c r="B499" s="8" t="s">
        <v>112</v>
      </c>
      <c r="C499" s="8" t="s">
        <v>113</v>
      </c>
      <c r="D499" s="8" t="str">
        <f t="shared" si="7"/>
        <v>STALLKAMP RHONDA</v>
      </c>
      <c r="E499" s="8" t="s">
        <v>114</v>
      </c>
      <c r="F499" s="8" t="s">
        <v>53</v>
      </c>
      <c r="G499" s="13">
        <v>0.7</v>
      </c>
      <c r="H499" s="8" t="s">
        <v>117</v>
      </c>
      <c r="I499" s="14" t="s">
        <v>117</v>
      </c>
      <c r="J499" s="15">
        <v>8977234</v>
      </c>
      <c r="K499" s="8" t="s">
        <v>115</v>
      </c>
      <c r="L499" s="8" t="s">
        <v>116</v>
      </c>
      <c r="M499" s="8" t="str">
        <f>CONCATENATE(L499," ",K499)</f>
        <v>RYAN CALTAGIRONE</v>
      </c>
      <c r="N499" s="8" t="s">
        <v>57</v>
      </c>
      <c r="O499" s="9">
        <v>45884</v>
      </c>
      <c r="P499" s="9">
        <v>46157</v>
      </c>
      <c r="Q499" s="23">
        <f>DATEDIF(O499,P499,"M")</f>
        <v>9</v>
      </c>
      <c r="R499" s="33" t="s">
        <v>536</v>
      </c>
      <c r="S499" s="33" t="s">
        <v>1037</v>
      </c>
      <c r="T499" s="10">
        <v>21.44</v>
      </c>
      <c r="U499" s="8">
        <v>1</v>
      </c>
      <c r="V499" s="8" t="s">
        <v>58</v>
      </c>
      <c r="W499" s="8" t="s">
        <v>60</v>
      </c>
      <c r="X499" s="8" t="s">
        <v>61</v>
      </c>
      <c r="Y499" s="10">
        <v>15.01</v>
      </c>
    </row>
    <row r="500" spans="1:25" s="8" customFormat="1" x14ac:dyDescent="0.3">
      <c r="A500" s="8">
        <v>2029980504</v>
      </c>
      <c r="B500" s="8" t="s">
        <v>112</v>
      </c>
      <c r="C500" s="8" t="s">
        <v>113</v>
      </c>
      <c r="D500" s="8" t="str">
        <f t="shared" si="7"/>
        <v>STALLKAMP RHONDA</v>
      </c>
      <c r="E500" s="8" t="s">
        <v>114</v>
      </c>
      <c r="F500" s="8" t="s">
        <v>444</v>
      </c>
      <c r="G500" s="13">
        <v>0.75</v>
      </c>
      <c r="H500" s="8" t="s">
        <v>451</v>
      </c>
      <c r="I500" s="14" t="s">
        <v>980</v>
      </c>
      <c r="J500" s="15">
        <v>8977234</v>
      </c>
      <c r="K500" s="8" t="s">
        <v>115</v>
      </c>
      <c r="L500" s="8" t="s">
        <v>116</v>
      </c>
      <c r="M500" s="8" t="str">
        <f>CONCATENATE(L500," ",K500)</f>
        <v>RYAN CALTAGIRONE</v>
      </c>
      <c r="N500" s="8" t="s">
        <v>57</v>
      </c>
      <c r="O500" s="9">
        <v>45884</v>
      </c>
      <c r="P500" s="9">
        <v>46157</v>
      </c>
      <c r="Q500" s="23">
        <f>DATEDIF(O500,P500,"M")</f>
        <v>9</v>
      </c>
      <c r="R500" s="33" t="s">
        <v>536</v>
      </c>
      <c r="S500" s="33" t="s">
        <v>1037</v>
      </c>
      <c r="T500" s="10">
        <v>85.81</v>
      </c>
      <c r="U500" s="8">
        <v>1</v>
      </c>
      <c r="V500" s="8" t="s">
        <v>58</v>
      </c>
      <c r="W500" s="8" t="s">
        <v>60</v>
      </c>
      <c r="X500" s="8" t="s">
        <v>61</v>
      </c>
      <c r="Y500" s="10">
        <v>64.36</v>
      </c>
    </row>
    <row r="501" spans="1:25" s="8" customFormat="1" x14ac:dyDescent="0.3">
      <c r="A501" s="8">
        <v>2029980505</v>
      </c>
      <c r="B501" s="8" t="s">
        <v>112</v>
      </c>
      <c r="C501" s="8" t="s">
        <v>113</v>
      </c>
      <c r="D501" s="8" t="str">
        <f t="shared" si="7"/>
        <v>STALLKAMP RHONDA</v>
      </c>
      <c r="E501" s="8" t="s">
        <v>114</v>
      </c>
      <c r="F501" s="8" t="s">
        <v>53</v>
      </c>
      <c r="G501" s="13">
        <v>0.7</v>
      </c>
      <c r="H501" s="8" t="s">
        <v>54</v>
      </c>
      <c r="I501" s="14" t="s">
        <v>54</v>
      </c>
      <c r="J501" s="15">
        <v>8977234</v>
      </c>
      <c r="K501" s="8" t="s">
        <v>115</v>
      </c>
      <c r="L501" s="8" t="s">
        <v>116</v>
      </c>
      <c r="M501" s="8" t="str">
        <f>CONCATENATE(L501," ",K501)</f>
        <v>RYAN CALTAGIRONE</v>
      </c>
      <c r="N501" s="8" t="s">
        <v>57</v>
      </c>
      <c r="O501" s="9">
        <v>45884</v>
      </c>
      <c r="P501" s="9">
        <v>46157</v>
      </c>
      <c r="Q501" s="23">
        <f>DATEDIF(O501,P501,"M")</f>
        <v>9</v>
      </c>
      <c r="R501" s="33" t="s">
        <v>536</v>
      </c>
      <c r="S501" s="33" t="s">
        <v>1037</v>
      </c>
      <c r="T501" s="10">
        <v>24</v>
      </c>
      <c r="U501" s="8">
        <v>1</v>
      </c>
      <c r="V501" s="8" t="s">
        <v>58</v>
      </c>
      <c r="W501" s="8" t="s">
        <v>60</v>
      </c>
      <c r="X501" s="8" t="s">
        <v>61</v>
      </c>
      <c r="Y501" s="10">
        <v>16.8</v>
      </c>
    </row>
    <row r="502" spans="1:25" s="8" customFormat="1" x14ac:dyDescent="0.3">
      <c r="A502" s="8">
        <v>2030474774</v>
      </c>
      <c r="B502" s="8" t="s">
        <v>158</v>
      </c>
      <c r="C502" s="8" t="s">
        <v>159</v>
      </c>
      <c r="D502" s="8" t="str">
        <f t="shared" si="7"/>
        <v>RISTAN SOTIRI</v>
      </c>
      <c r="E502" s="8" t="s">
        <v>114</v>
      </c>
      <c r="F502" s="8" t="s">
        <v>53</v>
      </c>
      <c r="G502" s="13">
        <v>0.7</v>
      </c>
      <c r="H502" s="8" t="s">
        <v>54</v>
      </c>
      <c r="I502" s="14" t="s">
        <v>54</v>
      </c>
      <c r="J502" s="15">
        <v>8977234</v>
      </c>
      <c r="K502" s="8" t="s">
        <v>115</v>
      </c>
      <c r="L502" s="8" t="s">
        <v>116</v>
      </c>
      <c r="M502" s="8" t="str">
        <f>CONCATENATE(L502," ",K502)</f>
        <v>RYAN CALTAGIRONE</v>
      </c>
      <c r="N502" s="8" t="s">
        <v>57</v>
      </c>
      <c r="O502" s="9">
        <v>45883</v>
      </c>
      <c r="P502" s="9">
        <v>46156</v>
      </c>
      <c r="Q502" s="23">
        <f>DATEDIF(O502,P502,"M")</f>
        <v>9</v>
      </c>
      <c r="R502" s="33" t="s">
        <v>536</v>
      </c>
      <c r="S502" s="33" t="s">
        <v>1037</v>
      </c>
      <c r="T502" s="10">
        <v>122.88</v>
      </c>
      <c r="U502" s="8">
        <v>1</v>
      </c>
      <c r="V502" s="8" t="s">
        <v>58</v>
      </c>
      <c r="W502" s="8" t="s">
        <v>60</v>
      </c>
      <c r="X502" s="8" t="s">
        <v>61</v>
      </c>
      <c r="Y502" s="10">
        <v>86.02</v>
      </c>
    </row>
    <row r="503" spans="1:25" s="8" customFormat="1" x14ac:dyDescent="0.3">
      <c r="A503" s="8">
        <v>2029995394</v>
      </c>
      <c r="B503" s="8" t="s">
        <v>129</v>
      </c>
      <c r="C503" s="8" t="s">
        <v>107</v>
      </c>
      <c r="D503" s="8" t="str">
        <f t="shared" si="7"/>
        <v>TIMOTHY LOVING</v>
      </c>
      <c r="E503" s="8" t="s">
        <v>52</v>
      </c>
      <c r="F503" s="8" t="s">
        <v>53</v>
      </c>
      <c r="G503" s="13">
        <v>0.7</v>
      </c>
      <c r="H503" s="8" t="s">
        <v>97</v>
      </c>
      <c r="I503" s="14" t="s">
        <v>117</v>
      </c>
      <c r="J503" s="15">
        <v>21605264</v>
      </c>
      <c r="K503" s="8" t="s">
        <v>130</v>
      </c>
      <c r="L503" s="8" t="s">
        <v>131</v>
      </c>
      <c r="M503" s="8" t="str">
        <f>CONCATENATE(L503," ",K503)</f>
        <v>Erica Solivan</v>
      </c>
      <c r="N503" s="8" t="s">
        <v>57</v>
      </c>
      <c r="O503" s="9">
        <v>45855</v>
      </c>
      <c r="P503" s="9">
        <v>46159</v>
      </c>
      <c r="Q503" s="23">
        <f>DATEDIF(O503,P503,"M")</f>
        <v>10</v>
      </c>
      <c r="R503" s="33" t="s">
        <v>536</v>
      </c>
      <c r="S503" s="33" t="s">
        <v>1037</v>
      </c>
      <c r="T503" s="10">
        <v>25.73</v>
      </c>
      <c r="U503" s="8">
        <v>1</v>
      </c>
      <c r="V503" s="8" t="s">
        <v>58</v>
      </c>
      <c r="W503" s="8" t="s">
        <v>60</v>
      </c>
      <c r="X503" s="8" t="s">
        <v>61</v>
      </c>
      <c r="Y503" s="10">
        <v>18.010000000000002</v>
      </c>
    </row>
    <row r="504" spans="1:25" s="8" customFormat="1" x14ac:dyDescent="0.3">
      <c r="A504" s="8">
        <v>2029904976</v>
      </c>
      <c r="B504" s="8" t="s">
        <v>49</v>
      </c>
      <c r="C504" s="8" t="s">
        <v>50</v>
      </c>
      <c r="D504" s="8" t="str">
        <f t="shared" si="7"/>
        <v>BELANI AMIT</v>
      </c>
      <c r="E504" s="8" t="s">
        <v>52</v>
      </c>
      <c r="F504" s="8" t="s">
        <v>53</v>
      </c>
      <c r="G504" s="13">
        <v>0.7</v>
      </c>
      <c r="H504" s="8" t="s">
        <v>54</v>
      </c>
      <c r="I504" s="14" t="s">
        <v>54</v>
      </c>
      <c r="J504" s="15">
        <v>8307933</v>
      </c>
      <c r="K504" s="8" t="s">
        <v>55</v>
      </c>
      <c r="L504" s="8" t="s">
        <v>56</v>
      </c>
      <c r="M504" s="8" t="str">
        <f>CONCATENATE(L504," ",K504)</f>
        <v>GREGORY TEIPEL</v>
      </c>
      <c r="N504" s="8" t="s">
        <v>57</v>
      </c>
      <c r="O504" s="9">
        <v>45850</v>
      </c>
      <c r="P504" s="9">
        <v>46154</v>
      </c>
      <c r="Q504" s="23">
        <f>DATEDIF(O504,P504,"M")</f>
        <v>10</v>
      </c>
      <c r="R504" s="33" t="s">
        <v>536</v>
      </c>
      <c r="S504" s="33" t="s">
        <v>1037</v>
      </c>
      <c r="T504" s="10">
        <v>10.35</v>
      </c>
      <c r="U504" s="8">
        <v>1</v>
      </c>
      <c r="V504" s="8" t="s">
        <v>58</v>
      </c>
      <c r="W504" s="8" t="s">
        <v>60</v>
      </c>
      <c r="X504" s="8" t="s">
        <v>61</v>
      </c>
      <c r="Y504" s="10">
        <v>7.24</v>
      </c>
    </row>
    <row r="505" spans="1:25" s="8" customFormat="1" x14ac:dyDescent="0.3">
      <c r="A505" s="8">
        <v>2029904975</v>
      </c>
      <c r="B505" s="8" t="s">
        <v>49</v>
      </c>
      <c r="C505" s="8" t="s">
        <v>50</v>
      </c>
      <c r="D505" s="8" t="str">
        <f t="shared" si="7"/>
        <v>BELANI AMIT</v>
      </c>
      <c r="E505" s="8" t="s">
        <v>52</v>
      </c>
      <c r="F505" s="8" t="s">
        <v>483</v>
      </c>
      <c r="G505" s="16">
        <v>0.375</v>
      </c>
      <c r="H505" s="8" t="s">
        <v>484</v>
      </c>
      <c r="I505" s="14" t="s">
        <v>484</v>
      </c>
      <c r="J505" s="15">
        <v>8307933</v>
      </c>
      <c r="K505" s="8" t="s">
        <v>55</v>
      </c>
      <c r="L505" s="8" t="s">
        <v>56</v>
      </c>
      <c r="M505" s="8" t="str">
        <f>CONCATENATE(L505," ",K505)</f>
        <v>GREGORY TEIPEL</v>
      </c>
      <c r="N505" s="8" t="s">
        <v>57</v>
      </c>
      <c r="O505" s="9">
        <v>45850</v>
      </c>
      <c r="P505" s="9">
        <v>46154</v>
      </c>
      <c r="Q505" s="23">
        <f>DATEDIF(O505,P505,"M")</f>
        <v>10</v>
      </c>
      <c r="R505" s="33" t="s">
        <v>536</v>
      </c>
      <c r="S505" s="33" t="s">
        <v>1037</v>
      </c>
      <c r="T505" s="10">
        <v>102.62</v>
      </c>
      <c r="U505" s="8">
        <v>1</v>
      </c>
      <c r="V505" s="8" t="s">
        <v>58</v>
      </c>
      <c r="W505" s="8" t="s">
        <v>60</v>
      </c>
      <c r="X505" s="8" t="s">
        <v>61</v>
      </c>
      <c r="Y505" s="10">
        <v>38.479999999999997</v>
      </c>
    </row>
    <row r="506" spans="1:25" s="8" customFormat="1" x14ac:dyDescent="0.3">
      <c r="A506" s="8">
        <v>2029967974</v>
      </c>
      <c r="B506" s="8" t="s">
        <v>91</v>
      </c>
      <c r="C506" s="8" t="s">
        <v>92</v>
      </c>
      <c r="D506" s="8" t="str">
        <f t="shared" si="7"/>
        <v>SEMAB QURESHI</v>
      </c>
      <c r="E506" s="8" t="s">
        <v>93</v>
      </c>
      <c r="F506" s="8" t="s">
        <v>53</v>
      </c>
      <c r="G506" s="13">
        <v>0.7</v>
      </c>
      <c r="H506" s="8" t="s">
        <v>97</v>
      </c>
      <c r="I506" s="14" t="s">
        <v>117</v>
      </c>
      <c r="J506" s="15">
        <v>5442438</v>
      </c>
      <c r="K506" s="8" t="s">
        <v>95</v>
      </c>
      <c r="L506" s="8" t="s">
        <v>96</v>
      </c>
      <c r="M506" s="8" t="str">
        <f>CONCATENATE(L506," ",K506)</f>
        <v>Ronald Max</v>
      </c>
      <c r="N506" s="8" t="s">
        <v>57</v>
      </c>
      <c r="O506" s="9">
        <v>45854</v>
      </c>
      <c r="P506" s="9">
        <v>46158</v>
      </c>
      <c r="Q506" s="23">
        <f>DATEDIF(O506,P506,"M")</f>
        <v>10</v>
      </c>
      <c r="R506" s="33" t="s">
        <v>536</v>
      </c>
      <c r="S506" s="33" t="s">
        <v>1037</v>
      </c>
      <c r="T506" s="10">
        <v>24.61</v>
      </c>
      <c r="U506" s="8">
        <v>1</v>
      </c>
      <c r="V506" s="8" t="s">
        <v>58</v>
      </c>
      <c r="W506" s="8" t="s">
        <v>60</v>
      </c>
      <c r="X506" s="8" t="s">
        <v>61</v>
      </c>
      <c r="Y506" s="10">
        <v>17.23</v>
      </c>
    </row>
    <row r="507" spans="1:25" s="8" customFormat="1" x14ac:dyDescent="0.3">
      <c r="A507" s="8">
        <v>2029967975</v>
      </c>
      <c r="B507" s="8" t="s">
        <v>91</v>
      </c>
      <c r="C507" s="8" t="s">
        <v>92</v>
      </c>
      <c r="D507" s="8" t="str">
        <f t="shared" si="7"/>
        <v>SEMAB QURESHI</v>
      </c>
      <c r="E507" s="8" t="s">
        <v>93</v>
      </c>
      <c r="F507" s="8" t="s">
        <v>444</v>
      </c>
      <c r="G507" s="13">
        <v>0.9</v>
      </c>
      <c r="H507" s="8" t="s">
        <v>567</v>
      </c>
      <c r="I507" s="14" t="s">
        <v>981</v>
      </c>
      <c r="J507" s="15">
        <v>5442438</v>
      </c>
      <c r="K507" s="8" t="s">
        <v>95</v>
      </c>
      <c r="L507" s="8" t="s">
        <v>96</v>
      </c>
      <c r="M507" s="8" t="str">
        <f>CONCATENATE(L507," ",K507)</f>
        <v>Ronald Max</v>
      </c>
      <c r="N507" s="8" t="s">
        <v>57</v>
      </c>
      <c r="O507" s="9">
        <v>45854</v>
      </c>
      <c r="P507" s="9">
        <v>46158</v>
      </c>
      <c r="Q507" s="23">
        <f>DATEDIF(O507,P507,"M")</f>
        <v>10</v>
      </c>
      <c r="R507" s="33" t="s">
        <v>536</v>
      </c>
      <c r="S507" s="33" t="s">
        <v>1037</v>
      </c>
      <c r="T507" s="10">
        <v>107.63</v>
      </c>
      <c r="U507" s="8">
        <v>1</v>
      </c>
      <c r="V507" s="8" t="s">
        <v>58</v>
      </c>
      <c r="W507" s="8" t="s">
        <v>60</v>
      </c>
      <c r="X507" s="8" t="s">
        <v>61</v>
      </c>
      <c r="Y507" s="10">
        <v>96.87</v>
      </c>
    </row>
    <row r="508" spans="1:25" s="8" customFormat="1" x14ac:dyDescent="0.3">
      <c r="A508" s="8">
        <v>2029967973</v>
      </c>
      <c r="B508" s="8" t="s">
        <v>91</v>
      </c>
      <c r="C508" s="8" t="s">
        <v>92</v>
      </c>
      <c r="D508" s="8" t="str">
        <f t="shared" si="7"/>
        <v>SEMAB QURESHI</v>
      </c>
      <c r="E508" s="8" t="s">
        <v>93</v>
      </c>
      <c r="F508" s="8" t="s">
        <v>53</v>
      </c>
      <c r="G508" s="13">
        <v>0.42</v>
      </c>
      <c r="H508" s="8" t="s">
        <v>94</v>
      </c>
      <c r="I508" s="14" t="s">
        <v>94</v>
      </c>
      <c r="J508" s="15">
        <v>5442438</v>
      </c>
      <c r="K508" s="8" t="s">
        <v>95</v>
      </c>
      <c r="L508" s="8" t="s">
        <v>96</v>
      </c>
      <c r="M508" s="8" t="str">
        <f>CONCATENATE(L508," ",K508)</f>
        <v>Ronald Max</v>
      </c>
      <c r="N508" s="8" t="s">
        <v>57</v>
      </c>
      <c r="O508" s="9">
        <v>45854</v>
      </c>
      <c r="P508" s="9">
        <v>46158</v>
      </c>
      <c r="Q508" s="23">
        <f>DATEDIF(O508,P508,"M")</f>
        <v>10</v>
      </c>
      <c r="R508" s="33" t="s">
        <v>536</v>
      </c>
      <c r="S508" s="33" t="s">
        <v>1037</v>
      </c>
      <c r="T508" s="10">
        <v>32.81</v>
      </c>
      <c r="U508" s="8">
        <v>1</v>
      </c>
      <c r="V508" s="8" t="s">
        <v>58</v>
      </c>
      <c r="W508" s="8" t="s">
        <v>60</v>
      </c>
      <c r="X508" s="8" t="s">
        <v>61</v>
      </c>
      <c r="Y508" s="10">
        <v>13.78</v>
      </c>
    </row>
    <row r="509" spans="1:25" s="8" customFormat="1" x14ac:dyDescent="0.3">
      <c r="A509" s="8">
        <v>2029951925</v>
      </c>
      <c r="B509" s="8" t="s">
        <v>78</v>
      </c>
      <c r="C509" s="8" t="s">
        <v>79</v>
      </c>
      <c r="D509" s="8" t="str">
        <f t="shared" si="7"/>
        <v>URIEL MARTINEZ</v>
      </c>
      <c r="E509" s="8" t="s">
        <v>80</v>
      </c>
      <c r="F509" s="8" t="s">
        <v>444</v>
      </c>
      <c r="G509" s="13">
        <v>0.75</v>
      </c>
      <c r="H509" s="8" t="s">
        <v>454</v>
      </c>
      <c r="I509" s="14" t="s">
        <v>980</v>
      </c>
      <c r="J509" s="15">
        <v>19396223</v>
      </c>
      <c r="K509" s="8" t="s">
        <v>81</v>
      </c>
      <c r="L509" s="8" t="s">
        <v>82</v>
      </c>
      <c r="M509" s="8" t="str">
        <f>CONCATENATE(L509," ",K509)</f>
        <v>Saadia Abdul</v>
      </c>
      <c r="N509" s="8" t="s">
        <v>57</v>
      </c>
      <c r="O509" s="9">
        <v>45853</v>
      </c>
      <c r="P509" s="9">
        <v>46157</v>
      </c>
      <c r="Q509" s="23">
        <f>DATEDIF(O509,P509,"M")</f>
        <v>10</v>
      </c>
      <c r="R509" s="33" t="s">
        <v>536</v>
      </c>
      <c r="S509" s="33" t="s">
        <v>1037</v>
      </c>
      <c r="T509" s="10">
        <v>19.25</v>
      </c>
      <c r="U509" s="8">
        <v>1</v>
      </c>
      <c r="V509" s="8" t="s">
        <v>58</v>
      </c>
      <c r="W509" s="8" t="s">
        <v>60</v>
      </c>
      <c r="X509" s="8" t="s">
        <v>61</v>
      </c>
      <c r="Y509" s="10">
        <v>14.44</v>
      </c>
    </row>
    <row r="510" spans="1:25" s="8" customFormat="1" x14ac:dyDescent="0.3">
      <c r="A510" s="8">
        <v>2029878253</v>
      </c>
      <c r="B510" s="8" t="s">
        <v>603</v>
      </c>
      <c r="C510" s="8" t="s">
        <v>225</v>
      </c>
      <c r="D510" s="8" t="str">
        <f t="shared" si="7"/>
        <v>JACOB DEUSER</v>
      </c>
      <c r="E510" s="8" t="s">
        <v>80</v>
      </c>
      <c r="F510" s="8" t="s">
        <v>444</v>
      </c>
      <c r="G510" s="13">
        <v>0.75</v>
      </c>
      <c r="H510" s="8" t="s">
        <v>451</v>
      </c>
      <c r="I510" s="14" t="s">
        <v>980</v>
      </c>
      <c r="J510" s="15">
        <v>19396223</v>
      </c>
      <c r="K510" s="8" t="s">
        <v>81</v>
      </c>
      <c r="L510" s="8" t="s">
        <v>82</v>
      </c>
      <c r="M510" s="8" t="str">
        <f>CONCATENATE(L510," ",K510)</f>
        <v>Saadia Abdul</v>
      </c>
      <c r="N510" s="8" t="s">
        <v>57</v>
      </c>
      <c r="O510" s="9">
        <v>45853</v>
      </c>
      <c r="P510" s="9">
        <v>46157</v>
      </c>
      <c r="Q510" s="23">
        <f>DATEDIF(O510,P510,"M")</f>
        <v>10</v>
      </c>
      <c r="R510" s="33" t="s">
        <v>536</v>
      </c>
      <c r="S510" s="33" t="s">
        <v>1037</v>
      </c>
      <c r="T510" s="10">
        <v>15.97</v>
      </c>
      <c r="U510" s="8">
        <v>1</v>
      </c>
      <c r="V510" s="8" t="s">
        <v>58</v>
      </c>
      <c r="W510" s="8" t="s">
        <v>60</v>
      </c>
      <c r="X510" s="8" t="s">
        <v>61</v>
      </c>
      <c r="Y510" s="10">
        <v>11.98</v>
      </c>
    </row>
    <row r="511" spans="1:25" s="8" customFormat="1" x14ac:dyDescent="0.3">
      <c r="A511" s="8">
        <v>2029951924</v>
      </c>
      <c r="B511" s="8" t="s">
        <v>78</v>
      </c>
      <c r="C511" s="8" t="s">
        <v>79</v>
      </c>
      <c r="D511" s="8" t="str">
        <f t="shared" si="7"/>
        <v>URIEL MARTINEZ</v>
      </c>
      <c r="E511" s="8" t="s">
        <v>80</v>
      </c>
      <c r="F511" s="8" t="s">
        <v>53</v>
      </c>
      <c r="G511" s="13">
        <v>0.7</v>
      </c>
      <c r="H511" s="8" t="s">
        <v>54</v>
      </c>
      <c r="I511" s="14" t="s">
        <v>54</v>
      </c>
      <c r="J511" s="15">
        <v>19396223</v>
      </c>
      <c r="K511" s="8" t="s">
        <v>81</v>
      </c>
      <c r="L511" s="8" t="s">
        <v>82</v>
      </c>
      <c r="M511" s="8" t="str">
        <f>CONCATENATE(L511," ",K511)</f>
        <v>Saadia Abdul</v>
      </c>
      <c r="N511" s="8" t="s">
        <v>57</v>
      </c>
      <c r="O511" s="9">
        <v>45853</v>
      </c>
      <c r="P511" s="9">
        <v>46157</v>
      </c>
      <c r="Q511" s="23">
        <f>DATEDIF(O511,P511,"M")</f>
        <v>10</v>
      </c>
      <c r="R511" s="33" t="s">
        <v>536</v>
      </c>
      <c r="S511" s="33" t="s">
        <v>1037</v>
      </c>
      <c r="T511" s="10">
        <v>41.5</v>
      </c>
      <c r="U511" s="8">
        <v>1</v>
      </c>
      <c r="V511" s="8" t="s">
        <v>58</v>
      </c>
      <c r="W511" s="8" t="s">
        <v>60</v>
      </c>
      <c r="X511" s="8" t="s">
        <v>61</v>
      </c>
      <c r="Y511" s="10">
        <v>29.05</v>
      </c>
    </row>
    <row r="512" spans="1:25" s="8" customFormat="1" x14ac:dyDescent="0.3">
      <c r="A512" s="8">
        <v>2029878252</v>
      </c>
      <c r="B512" s="8" t="s">
        <v>603</v>
      </c>
      <c r="C512" s="8" t="s">
        <v>225</v>
      </c>
      <c r="D512" s="8" t="str">
        <f t="shared" si="7"/>
        <v>JACOB DEUSER</v>
      </c>
      <c r="E512" s="8" t="s">
        <v>80</v>
      </c>
      <c r="F512" s="8" t="s">
        <v>53</v>
      </c>
      <c r="G512" s="13">
        <v>0.7</v>
      </c>
      <c r="H512" s="8" t="s">
        <v>54</v>
      </c>
      <c r="I512" s="14" t="s">
        <v>54</v>
      </c>
      <c r="J512" s="15">
        <v>19396223</v>
      </c>
      <c r="K512" s="8" t="s">
        <v>81</v>
      </c>
      <c r="L512" s="8" t="s">
        <v>82</v>
      </c>
      <c r="M512" s="8" t="str">
        <f>CONCATENATE(L512," ",K512)</f>
        <v>Saadia Abdul</v>
      </c>
      <c r="N512" s="8" t="s">
        <v>57</v>
      </c>
      <c r="O512" s="9">
        <v>45853</v>
      </c>
      <c r="P512" s="9">
        <v>46157</v>
      </c>
      <c r="Q512" s="23">
        <f>DATEDIF(O512,P512,"M")</f>
        <v>10</v>
      </c>
      <c r="R512" s="33" t="s">
        <v>536</v>
      </c>
      <c r="S512" s="33" t="s">
        <v>1037</v>
      </c>
      <c r="T512" s="10">
        <v>39.25</v>
      </c>
      <c r="U512" s="8">
        <v>1</v>
      </c>
      <c r="V512" s="8" t="s">
        <v>58</v>
      </c>
      <c r="W512" s="8" t="s">
        <v>60</v>
      </c>
      <c r="X512" s="8" t="s">
        <v>61</v>
      </c>
      <c r="Y512" s="10">
        <v>27.48</v>
      </c>
    </row>
    <row r="513" spans="1:25" s="8" customFormat="1" x14ac:dyDescent="0.3">
      <c r="A513" s="8">
        <v>2029951923</v>
      </c>
      <c r="B513" s="8" t="s">
        <v>78</v>
      </c>
      <c r="C513" s="8" t="s">
        <v>79</v>
      </c>
      <c r="D513" s="8" t="str">
        <f t="shared" si="7"/>
        <v>URIEL MARTINEZ</v>
      </c>
      <c r="E513" s="8" t="s">
        <v>80</v>
      </c>
      <c r="F513" s="8" t="s">
        <v>483</v>
      </c>
      <c r="G513" s="16">
        <v>0.375</v>
      </c>
      <c r="H513" s="8" t="s">
        <v>484</v>
      </c>
      <c r="I513" s="14" t="s">
        <v>484</v>
      </c>
      <c r="J513" s="15">
        <v>19396223</v>
      </c>
      <c r="K513" s="8" t="s">
        <v>81</v>
      </c>
      <c r="L513" s="8" t="s">
        <v>82</v>
      </c>
      <c r="M513" s="8" t="str">
        <f>CONCATENATE(L513," ",K513)</f>
        <v>Saadia Abdul</v>
      </c>
      <c r="N513" s="8" t="s">
        <v>57</v>
      </c>
      <c r="O513" s="9">
        <v>45853</v>
      </c>
      <c r="P513" s="9">
        <v>46157</v>
      </c>
      <c r="Q513" s="23">
        <f>DATEDIF(O513,P513,"M")</f>
        <v>10</v>
      </c>
      <c r="R513" s="33" t="s">
        <v>536</v>
      </c>
      <c r="S513" s="33" t="s">
        <v>1037</v>
      </c>
      <c r="T513" s="10">
        <v>77.48</v>
      </c>
      <c r="U513" s="8">
        <v>1</v>
      </c>
      <c r="V513" s="8" t="s">
        <v>58</v>
      </c>
      <c r="W513" s="8" t="s">
        <v>60</v>
      </c>
      <c r="X513" s="8" t="s">
        <v>61</v>
      </c>
      <c r="Y513" s="10">
        <v>29.06</v>
      </c>
    </row>
    <row r="514" spans="1:25" s="8" customFormat="1" x14ac:dyDescent="0.3">
      <c r="A514" s="8">
        <v>2029935514</v>
      </c>
      <c r="B514" s="8" t="s">
        <v>73</v>
      </c>
      <c r="C514" s="8" t="s">
        <v>74</v>
      </c>
      <c r="D514" s="8" t="str">
        <f t="shared" si="7"/>
        <v>TERRIE PALAZZO</v>
      </c>
      <c r="E514" s="8" t="s">
        <v>75</v>
      </c>
      <c r="F514" s="8" t="s">
        <v>53</v>
      </c>
      <c r="G514" s="13">
        <v>0.7</v>
      </c>
      <c r="H514" s="8" t="s">
        <v>54</v>
      </c>
      <c r="I514" s="14" t="s">
        <v>54</v>
      </c>
      <c r="J514" s="15">
        <v>18581063</v>
      </c>
      <c r="K514" s="8" t="s">
        <v>76</v>
      </c>
      <c r="L514" s="8" t="s">
        <v>77</v>
      </c>
      <c r="M514" s="8" t="str">
        <f>CONCATENATE(L514," ",K514)</f>
        <v>Timothy Hodgman</v>
      </c>
      <c r="N514" s="8" t="s">
        <v>57</v>
      </c>
      <c r="O514" s="9">
        <v>45853</v>
      </c>
      <c r="P514" s="9">
        <v>46157</v>
      </c>
      <c r="Q514" s="23">
        <f>DATEDIF(O514,P514,"M")</f>
        <v>10</v>
      </c>
      <c r="R514" s="33" t="s">
        <v>536</v>
      </c>
      <c r="S514" s="33" t="s">
        <v>1037</v>
      </c>
      <c r="T514" s="10">
        <v>155.81</v>
      </c>
      <c r="U514" s="8">
        <v>1</v>
      </c>
      <c r="V514" s="8" t="s">
        <v>58</v>
      </c>
      <c r="W514" s="8" t="s">
        <v>60</v>
      </c>
      <c r="X514" s="8" t="s">
        <v>61</v>
      </c>
      <c r="Y514" s="10">
        <v>109.07</v>
      </c>
    </row>
    <row r="515" spans="1:25" s="8" customFormat="1" x14ac:dyDescent="0.3">
      <c r="A515" s="8">
        <v>2029971479</v>
      </c>
      <c r="B515" s="8" t="s">
        <v>106</v>
      </c>
      <c r="C515" s="8" t="s">
        <v>107</v>
      </c>
      <c r="D515" s="8" t="str">
        <f t="shared" ref="D515:D578" si="8">CONCATENATE(C515," ",B515)</f>
        <v>TIMOTHY HODGMAN</v>
      </c>
      <c r="E515" s="8" t="s">
        <v>75</v>
      </c>
      <c r="F515" s="8" t="s">
        <v>53</v>
      </c>
      <c r="G515" s="13">
        <v>0.7</v>
      </c>
      <c r="H515" s="8" t="s">
        <v>54</v>
      </c>
      <c r="I515" s="14" t="s">
        <v>54</v>
      </c>
      <c r="J515" s="15">
        <v>18581063</v>
      </c>
      <c r="K515" s="8" t="s">
        <v>76</v>
      </c>
      <c r="L515" s="8" t="s">
        <v>77</v>
      </c>
      <c r="M515" s="8" t="str">
        <f>CONCATENATE(L515," ",K515)</f>
        <v>Timothy Hodgman</v>
      </c>
      <c r="N515" s="8" t="s">
        <v>57</v>
      </c>
      <c r="O515" s="9">
        <v>45854</v>
      </c>
      <c r="P515" s="9">
        <v>46158</v>
      </c>
      <c r="Q515" s="23">
        <f>DATEDIF(O515,P515,"M")</f>
        <v>10</v>
      </c>
      <c r="R515" s="33" t="s">
        <v>536</v>
      </c>
      <c r="S515" s="33" t="s">
        <v>1037</v>
      </c>
      <c r="T515" s="10">
        <v>15.75</v>
      </c>
      <c r="U515" s="8">
        <v>1</v>
      </c>
      <c r="V515" s="8" t="s">
        <v>58</v>
      </c>
      <c r="W515" s="8" t="s">
        <v>60</v>
      </c>
      <c r="X515" s="8" t="s">
        <v>61</v>
      </c>
      <c r="Y515" s="10">
        <v>11.02</v>
      </c>
    </row>
    <row r="516" spans="1:25" s="8" customFormat="1" x14ac:dyDescent="0.3">
      <c r="A516" s="8">
        <v>2029971480</v>
      </c>
      <c r="B516" s="8" t="s">
        <v>106</v>
      </c>
      <c r="C516" s="8" t="s">
        <v>107</v>
      </c>
      <c r="D516" s="8" t="str">
        <f t="shared" si="8"/>
        <v>TIMOTHY HODGMAN</v>
      </c>
      <c r="E516" s="8" t="s">
        <v>75</v>
      </c>
      <c r="F516" s="8" t="s">
        <v>483</v>
      </c>
      <c r="G516" s="16">
        <v>0.375</v>
      </c>
      <c r="H516" s="8" t="s">
        <v>484</v>
      </c>
      <c r="I516" s="14" t="s">
        <v>484</v>
      </c>
      <c r="J516" s="15">
        <v>18581063</v>
      </c>
      <c r="K516" s="8" t="s">
        <v>76</v>
      </c>
      <c r="L516" s="8" t="s">
        <v>77</v>
      </c>
      <c r="M516" s="8" t="str">
        <f>CONCATENATE(L516," ",K516)</f>
        <v>Timothy Hodgman</v>
      </c>
      <c r="N516" s="8" t="s">
        <v>57</v>
      </c>
      <c r="O516" s="9">
        <v>45854</v>
      </c>
      <c r="P516" s="9">
        <v>46158</v>
      </c>
      <c r="Q516" s="23">
        <f>DATEDIF(O516,P516,"M")</f>
        <v>10</v>
      </c>
      <c r="R516" s="33" t="s">
        <v>536</v>
      </c>
      <c r="S516" s="33" t="s">
        <v>1037</v>
      </c>
      <c r="T516" s="10">
        <v>188.04</v>
      </c>
      <c r="U516" s="8">
        <v>1</v>
      </c>
      <c r="V516" s="8" t="s">
        <v>58</v>
      </c>
      <c r="W516" s="8" t="s">
        <v>60</v>
      </c>
      <c r="X516" s="8" t="s">
        <v>61</v>
      </c>
      <c r="Y516" s="10">
        <v>70.52</v>
      </c>
    </row>
    <row r="517" spans="1:25" s="8" customFormat="1" x14ac:dyDescent="0.3">
      <c r="A517" s="8">
        <v>2029358060</v>
      </c>
      <c r="B517" s="8" t="s">
        <v>744</v>
      </c>
      <c r="C517" s="8" t="s">
        <v>745</v>
      </c>
      <c r="D517" s="8" t="str">
        <f t="shared" si="8"/>
        <v>RAYMOND HADDAD</v>
      </c>
      <c r="E517" s="8" t="s">
        <v>256</v>
      </c>
      <c r="F517" s="8" t="s">
        <v>529</v>
      </c>
      <c r="G517" s="13">
        <v>0.47</v>
      </c>
      <c r="H517" s="8" t="s">
        <v>725</v>
      </c>
      <c r="I517" s="14" t="s">
        <v>725</v>
      </c>
      <c r="J517" s="15" t="s">
        <v>1033</v>
      </c>
      <c r="K517" s="8" t="s">
        <v>733</v>
      </c>
      <c r="L517" s="8" t="s">
        <v>734</v>
      </c>
      <c r="M517" s="8" t="str">
        <f>CONCATENATE(L517," ",K517)</f>
        <v>ANNE MARIE KOZACHECK</v>
      </c>
      <c r="N517" s="8" t="s">
        <v>57</v>
      </c>
      <c r="O517" s="9">
        <v>45817</v>
      </c>
      <c r="P517" s="9">
        <v>46151</v>
      </c>
      <c r="Q517" s="23">
        <f>DATEDIF(O517,P517,"M")</f>
        <v>11</v>
      </c>
      <c r="R517" s="33" t="s">
        <v>536</v>
      </c>
      <c r="S517" s="33" t="s">
        <v>1037</v>
      </c>
      <c r="T517" s="10">
        <v>60.6</v>
      </c>
      <c r="U517" s="8">
        <v>1</v>
      </c>
      <c r="V517" s="8" t="s">
        <v>58</v>
      </c>
      <c r="W517" s="8" t="s">
        <v>60</v>
      </c>
      <c r="X517" s="8" t="s">
        <v>61</v>
      </c>
      <c r="Y517" s="10">
        <v>28.48</v>
      </c>
    </row>
    <row r="518" spans="1:25" s="8" customFormat="1" x14ac:dyDescent="0.3">
      <c r="A518" s="8">
        <v>2029405218</v>
      </c>
      <c r="B518" s="8" t="s">
        <v>848</v>
      </c>
      <c r="C518" s="8" t="s">
        <v>849</v>
      </c>
      <c r="D518" s="8" t="str">
        <f t="shared" si="8"/>
        <v>MADISON VINITSKI</v>
      </c>
      <c r="E518" s="8" t="s">
        <v>298</v>
      </c>
      <c r="F518" s="8" t="s">
        <v>483</v>
      </c>
      <c r="G518" s="16">
        <v>0.375</v>
      </c>
      <c r="H518" s="8" t="s">
        <v>484</v>
      </c>
      <c r="I518" s="14" t="s">
        <v>484</v>
      </c>
      <c r="J518" s="15">
        <v>9213293</v>
      </c>
      <c r="K518" s="8" t="s">
        <v>171</v>
      </c>
      <c r="L518" s="8" t="s">
        <v>172</v>
      </c>
      <c r="M518" s="8" t="str">
        <f>CONCATENATE(L518," ",K518)</f>
        <v>GARY PORTUGAL</v>
      </c>
      <c r="N518" s="8" t="s">
        <v>57</v>
      </c>
      <c r="O518" s="9">
        <v>45820</v>
      </c>
      <c r="P518" s="9">
        <v>46154</v>
      </c>
      <c r="Q518" s="23">
        <f>DATEDIF(O518,P518,"M")</f>
        <v>11</v>
      </c>
      <c r="R518" s="33" t="s">
        <v>536</v>
      </c>
      <c r="S518" s="33" t="s">
        <v>1037</v>
      </c>
      <c r="T518" s="10">
        <v>38.4</v>
      </c>
      <c r="U518" s="8">
        <v>1</v>
      </c>
      <c r="V518" s="8" t="s">
        <v>58</v>
      </c>
      <c r="W518" s="8" t="s">
        <v>60</v>
      </c>
      <c r="X518" s="8" t="s">
        <v>61</v>
      </c>
      <c r="Y518" s="10">
        <v>14.4</v>
      </c>
    </row>
    <row r="519" spans="1:25" s="8" customFormat="1" x14ac:dyDescent="0.3">
      <c r="A519" s="8">
        <v>2029434655</v>
      </c>
      <c r="B519" s="8" t="s">
        <v>947</v>
      </c>
      <c r="C519" s="8" t="s">
        <v>453</v>
      </c>
      <c r="D519" s="8" t="str">
        <f t="shared" si="8"/>
        <v>KATHERINE BALLARD</v>
      </c>
      <c r="E519" s="8" t="s">
        <v>52</v>
      </c>
      <c r="F519" s="8" t="s">
        <v>53</v>
      </c>
      <c r="G519" s="13">
        <v>0.7</v>
      </c>
      <c r="H519" s="8" t="s">
        <v>54</v>
      </c>
      <c r="I519" s="14" t="s">
        <v>54</v>
      </c>
      <c r="J519" s="15">
        <v>18754354</v>
      </c>
      <c r="K519" s="8" t="s">
        <v>224</v>
      </c>
      <c r="L519" s="8" t="s">
        <v>225</v>
      </c>
      <c r="M519" s="8" t="str">
        <f>CONCATENATE(L519," ",K519)</f>
        <v>JACOB YALE</v>
      </c>
      <c r="N519" s="8" t="s">
        <v>57</v>
      </c>
      <c r="O519" s="9">
        <v>45821</v>
      </c>
      <c r="P519" s="9">
        <v>46155</v>
      </c>
      <c r="Q519" s="23">
        <f>DATEDIF(O519,P519,"M")</f>
        <v>11</v>
      </c>
      <c r="R519" s="33" t="s">
        <v>536</v>
      </c>
      <c r="S519" s="33" t="s">
        <v>1037</v>
      </c>
      <c r="T519" s="10">
        <v>83.79</v>
      </c>
      <c r="U519" s="8">
        <v>1</v>
      </c>
      <c r="V519" s="8" t="s">
        <v>58</v>
      </c>
      <c r="W519" s="8" t="s">
        <v>60</v>
      </c>
      <c r="X519" s="8" t="s">
        <v>61</v>
      </c>
      <c r="Y519" s="10">
        <v>58.65</v>
      </c>
    </row>
    <row r="520" spans="1:25" s="8" customFormat="1" x14ac:dyDescent="0.3">
      <c r="A520" s="8">
        <v>2029185271</v>
      </c>
      <c r="B520" s="8" t="s">
        <v>601</v>
      </c>
      <c r="C520" s="8" t="s">
        <v>468</v>
      </c>
      <c r="D520" s="8" t="str">
        <f t="shared" si="8"/>
        <v>JILL MCKEE</v>
      </c>
      <c r="E520" s="8" t="s">
        <v>457</v>
      </c>
      <c r="F520" s="8" t="s">
        <v>444</v>
      </c>
      <c r="G520" s="13">
        <v>0.75</v>
      </c>
      <c r="H520" s="8" t="s">
        <v>451</v>
      </c>
      <c r="I520" s="14" t="s">
        <v>980</v>
      </c>
      <c r="J520" s="15">
        <v>8977234</v>
      </c>
      <c r="K520" s="8" t="s">
        <v>115</v>
      </c>
      <c r="L520" s="8" t="s">
        <v>116</v>
      </c>
      <c r="M520" s="8" t="str">
        <f>CONCATENATE(L520," ",K520)</f>
        <v>RYAN CALTAGIRONE</v>
      </c>
      <c r="N520" s="8" t="s">
        <v>57</v>
      </c>
      <c r="O520" s="9">
        <v>45825</v>
      </c>
      <c r="P520" s="9">
        <v>46159</v>
      </c>
      <c r="Q520" s="23">
        <f>DATEDIF(O520,P520,"M")</f>
        <v>11</v>
      </c>
      <c r="R520" s="33" t="s">
        <v>536</v>
      </c>
      <c r="S520" s="33" t="s">
        <v>1037</v>
      </c>
      <c r="T520" s="10">
        <v>66.03</v>
      </c>
      <c r="U520" s="8">
        <v>1</v>
      </c>
      <c r="V520" s="8" t="s">
        <v>58</v>
      </c>
      <c r="W520" s="8" t="s">
        <v>60</v>
      </c>
      <c r="X520" s="8" t="s">
        <v>61</v>
      </c>
      <c r="Y520" s="10">
        <v>49.52</v>
      </c>
    </row>
    <row r="521" spans="1:25" s="8" customFormat="1" x14ac:dyDescent="0.3">
      <c r="A521" s="8">
        <v>2029185272</v>
      </c>
      <c r="B521" s="8" t="s">
        <v>601</v>
      </c>
      <c r="C521" s="8" t="s">
        <v>468</v>
      </c>
      <c r="D521" s="8" t="str">
        <f t="shared" si="8"/>
        <v>JILL MCKEE</v>
      </c>
      <c r="E521" s="8" t="s">
        <v>457</v>
      </c>
      <c r="F521" s="8" t="s">
        <v>53</v>
      </c>
      <c r="G521" s="13">
        <v>0.7</v>
      </c>
      <c r="H521" s="8" t="s">
        <v>54</v>
      </c>
      <c r="I521" s="14" t="s">
        <v>54</v>
      </c>
      <c r="J521" s="15">
        <v>8977234</v>
      </c>
      <c r="K521" s="8" t="s">
        <v>115</v>
      </c>
      <c r="L521" s="8" t="s">
        <v>116</v>
      </c>
      <c r="M521" s="8" t="str">
        <f>CONCATENATE(L521," ",K521)</f>
        <v>RYAN CALTAGIRONE</v>
      </c>
      <c r="N521" s="8" t="s">
        <v>57</v>
      </c>
      <c r="O521" s="9">
        <v>45825</v>
      </c>
      <c r="P521" s="9">
        <v>46159</v>
      </c>
      <c r="Q521" s="23">
        <f>DATEDIF(O521,P521,"M")</f>
        <v>11</v>
      </c>
      <c r="R521" s="33" t="s">
        <v>536</v>
      </c>
      <c r="S521" s="33" t="s">
        <v>1037</v>
      </c>
      <c r="T521" s="10">
        <v>10.82</v>
      </c>
      <c r="U521" s="8">
        <v>1</v>
      </c>
      <c r="V521" s="8" t="s">
        <v>58</v>
      </c>
      <c r="W521" s="8" t="s">
        <v>60</v>
      </c>
      <c r="X521" s="8" t="s">
        <v>61</v>
      </c>
      <c r="Y521" s="10">
        <v>7.57</v>
      </c>
    </row>
    <row r="522" spans="1:25" s="8" customFormat="1" x14ac:dyDescent="0.3">
      <c r="A522" s="8">
        <v>2029174126</v>
      </c>
      <c r="B522" s="8" t="s">
        <v>940</v>
      </c>
      <c r="C522" s="8" t="s">
        <v>941</v>
      </c>
      <c r="D522" s="8" t="str">
        <f t="shared" si="8"/>
        <v>TOREY DICKSON</v>
      </c>
      <c r="E522" s="8" t="s">
        <v>93</v>
      </c>
      <c r="F522" s="8" t="s">
        <v>53</v>
      </c>
      <c r="G522" s="13">
        <v>0.9</v>
      </c>
      <c r="H522" s="8" t="s">
        <v>65</v>
      </c>
      <c r="I522" s="14" t="s">
        <v>65</v>
      </c>
      <c r="J522" s="15">
        <v>9079571</v>
      </c>
      <c r="K522" s="8" t="s">
        <v>164</v>
      </c>
      <c r="L522" s="8" t="s">
        <v>165</v>
      </c>
      <c r="M522" s="8" t="str">
        <f>CONCATENATE(L522," ",K522)</f>
        <v>ADAM RICHTER</v>
      </c>
      <c r="N522" s="8" t="s">
        <v>57</v>
      </c>
      <c r="O522" s="9">
        <v>45809</v>
      </c>
      <c r="P522" s="9">
        <v>46174</v>
      </c>
      <c r="Q522" s="23">
        <f>DATEDIF(O522,P522,"M")</f>
        <v>12</v>
      </c>
      <c r="R522" s="33" t="s">
        <v>536</v>
      </c>
      <c r="S522" s="33" t="s">
        <v>1037</v>
      </c>
      <c r="T522" s="10">
        <v>41.88</v>
      </c>
      <c r="U522" s="8">
        <v>1</v>
      </c>
      <c r="V522" s="8" t="s">
        <v>58</v>
      </c>
      <c r="W522" s="8" t="s">
        <v>60</v>
      </c>
      <c r="X522" s="8" t="s">
        <v>61</v>
      </c>
      <c r="Y522" s="10">
        <v>37.69</v>
      </c>
    </row>
    <row r="523" spans="1:25" s="8" customFormat="1" x14ac:dyDescent="0.3">
      <c r="A523" s="8">
        <v>2028962513</v>
      </c>
      <c r="B523" s="8" t="s">
        <v>936</v>
      </c>
      <c r="C523" s="8" t="s">
        <v>937</v>
      </c>
      <c r="D523" s="8" t="str">
        <f t="shared" si="8"/>
        <v>JENNIFER PATTEN</v>
      </c>
      <c r="E523" s="8" t="s">
        <v>52</v>
      </c>
      <c r="F523" s="8" t="s">
        <v>53</v>
      </c>
      <c r="G523" s="13">
        <v>0.7</v>
      </c>
      <c r="H523" s="8" t="s">
        <v>54</v>
      </c>
      <c r="I523" s="14" t="s">
        <v>54</v>
      </c>
      <c r="J523" s="15" t="s">
        <v>1017</v>
      </c>
      <c r="K523" s="8" t="s">
        <v>262</v>
      </c>
      <c r="L523" s="8" t="s">
        <v>263</v>
      </c>
      <c r="M523" s="8" t="str">
        <f>CONCATENATE(L523," ",K523)</f>
        <v>BARRY BRENNER</v>
      </c>
      <c r="N523" s="8" t="s">
        <v>57</v>
      </c>
      <c r="O523" s="9">
        <v>45793</v>
      </c>
      <c r="P523" s="9">
        <v>46158</v>
      </c>
      <c r="Q523" s="23">
        <f>DATEDIF(O523,P523,"M")</f>
        <v>12</v>
      </c>
      <c r="R523" s="33" t="s">
        <v>536</v>
      </c>
      <c r="S523" s="33" t="s">
        <v>1037</v>
      </c>
      <c r="T523" s="10">
        <v>21.14</v>
      </c>
      <c r="U523" s="8">
        <v>1</v>
      </c>
      <c r="V523" s="8" t="s">
        <v>58</v>
      </c>
      <c r="W523" s="8" t="s">
        <v>60</v>
      </c>
      <c r="X523" s="8" t="s">
        <v>61</v>
      </c>
      <c r="Y523" s="10">
        <v>14.8</v>
      </c>
    </row>
    <row r="524" spans="1:25" s="8" customFormat="1" x14ac:dyDescent="0.3">
      <c r="A524" s="8">
        <v>2028963797</v>
      </c>
      <c r="B524" s="8" t="s">
        <v>844</v>
      </c>
      <c r="C524" s="8" t="s">
        <v>630</v>
      </c>
      <c r="D524" s="8" t="str">
        <f t="shared" si="8"/>
        <v>DANIEL NINO</v>
      </c>
      <c r="E524" s="8" t="s">
        <v>80</v>
      </c>
      <c r="F524" s="8" t="s">
        <v>53</v>
      </c>
      <c r="G524" s="13">
        <v>0.7</v>
      </c>
      <c r="H524" s="8" t="s">
        <v>54</v>
      </c>
      <c r="I524" s="14" t="s">
        <v>54</v>
      </c>
      <c r="J524" s="15" t="s">
        <v>1017</v>
      </c>
      <c r="K524" s="8" t="s">
        <v>262</v>
      </c>
      <c r="L524" s="8" t="s">
        <v>263</v>
      </c>
      <c r="M524" s="8" t="str">
        <f>CONCATENATE(L524," ",K524)</f>
        <v>BARRY BRENNER</v>
      </c>
      <c r="N524" s="8" t="s">
        <v>57</v>
      </c>
      <c r="O524" s="9">
        <v>45793</v>
      </c>
      <c r="P524" s="9">
        <v>46158</v>
      </c>
      <c r="Q524" s="23">
        <f>DATEDIF(O524,P524,"M")</f>
        <v>12</v>
      </c>
      <c r="R524" s="33" t="s">
        <v>536</v>
      </c>
      <c r="S524" s="33" t="s">
        <v>1037</v>
      </c>
      <c r="T524" s="10">
        <v>11.5</v>
      </c>
      <c r="U524" s="8">
        <v>1</v>
      </c>
      <c r="V524" s="8" t="s">
        <v>58</v>
      </c>
      <c r="W524" s="8" t="s">
        <v>60</v>
      </c>
      <c r="X524" s="8" t="s">
        <v>61</v>
      </c>
      <c r="Y524" s="10">
        <v>8.0500000000000007</v>
      </c>
    </row>
    <row r="525" spans="1:25" s="8" customFormat="1" x14ac:dyDescent="0.3">
      <c r="A525" s="8">
        <v>2028878699</v>
      </c>
      <c r="B525" s="8" t="s">
        <v>331</v>
      </c>
      <c r="C525" s="8" t="s">
        <v>332</v>
      </c>
      <c r="D525" s="8" t="str">
        <f t="shared" si="8"/>
        <v>MARIA REYNA</v>
      </c>
      <c r="E525" s="8" t="s">
        <v>52</v>
      </c>
      <c r="F525" s="8" t="s">
        <v>483</v>
      </c>
      <c r="G525" s="16">
        <v>0.375</v>
      </c>
      <c r="H525" s="8" t="s">
        <v>484</v>
      </c>
      <c r="I525" s="14" t="s">
        <v>484</v>
      </c>
      <c r="J525" s="15" t="s">
        <v>1017</v>
      </c>
      <c r="K525" s="8" t="s">
        <v>262</v>
      </c>
      <c r="L525" s="8" t="s">
        <v>263</v>
      </c>
      <c r="M525" s="8" t="str">
        <f>CONCATENATE(L525," ",K525)</f>
        <v>BARRY BRENNER</v>
      </c>
      <c r="N525" s="8" t="s">
        <v>57</v>
      </c>
      <c r="O525" s="9">
        <v>45788</v>
      </c>
      <c r="P525" s="9">
        <v>46153</v>
      </c>
      <c r="Q525" s="23">
        <f>DATEDIF(O525,P525,"M")</f>
        <v>12</v>
      </c>
      <c r="R525" s="33" t="s">
        <v>536</v>
      </c>
      <c r="S525" s="33" t="s">
        <v>1037</v>
      </c>
      <c r="T525" s="10">
        <v>37.5</v>
      </c>
      <c r="U525" s="8">
        <v>1</v>
      </c>
      <c r="V525" s="8" t="s">
        <v>58</v>
      </c>
      <c r="W525" s="8" t="s">
        <v>60</v>
      </c>
      <c r="X525" s="8" t="s">
        <v>61</v>
      </c>
      <c r="Y525" s="10">
        <v>14.06</v>
      </c>
    </row>
    <row r="526" spans="1:25" s="8" customFormat="1" x14ac:dyDescent="0.3">
      <c r="A526" s="8">
        <v>2028963798</v>
      </c>
      <c r="B526" s="8" t="s">
        <v>844</v>
      </c>
      <c r="C526" s="8" t="s">
        <v>630</v>
      </c>
      <c r="D526" s="8" t="str">
        <f t="shared" si="8"/>
        <v>DANIEL NINO</v>
      </c>
      <c r="E526" s="8" t="s">
        <v>80</v>
      </c>
      <c r="F526" s="8" t="s">
        <v>483</v>
      </c>
      <c r="G526" s="16">
        <v>0.375</v>
      </c>
      <c r="H526" s="8" t="s">
        <v>484</v>
      </c>
      <c r="I526" s="14" t="s">
        <v>484</v>
      </c>
      <c r="J526" s="15" t="s">
        <v>1017</v>
      </c>
      <c r="K526" s="8" t="s">
        <v>262</v>
      </c>
      <c r="L526" s="8" t="s">
        <v>263</v>
      </c>
      <c r="M526" s="8" t="str">
        <f>CONCATENATE(L526," ",K526)</f>
        <v>BARRY BRENNER</v>
      </c>
      <c r="N526" s="8" t="s">
        <v>57</v>
      </c>
      <c r="O526" s="9">
        <v>45793</v>
      </c>
      <c r="P526" s="9">
        <v>46158</v>
      </c>
      <c r="Q526" s="23">
        <f>DATEDIF(O526,P526,"M")</f>
        <v>12</v>
      </c>
      <c r="R526" s="33" t="s">
        <v>536</v>
      </c>
      <c r="S526" s="33" t="s">
        <v>1037</v>
      </c>
      <c r="T526" s="10">
        <v>57.19</v>
      </c>
      <c r="U526" s="8">
        <v>1</v>
      </c>
      <c r="V526" s="8" t="s">
        <v>58</v>
      </c>
      <c r="W526" s="8" t="s">
        <v>60</v>
      </c>
      <c r="X526" s="8" t="s">
        <v>61</v>
      </c>
      <c r="Y526" s="10">
        <v>21.45</v>
      </c>
    </row>
    <row r="527" spans="1:25" s="8" customFormat="1" x14ac:dyDescent="0.3">
      <c r="A527" s="8">
        <v>2028782159</v>
      </c>
      <c r="B527" s="8" t="s">
        <v>923</v>
      </c>
      <c r="C527" s="8" t="s">
        <v>924</v>
      </c>
      <c r="D527" s="8" t="str">
        <f t="shared" si="8"/>
        <v>LESLIE KEE</v>
      </c>
      <c r="E527" s="8" t="s">
        <v>70</v>
      </c>
      <c r="F527" s="8" t="s">
        <v>53</v>
      </c>
      <c r="G527" s="13">
        <v>0.7</v>
      </c>
      <c r="H527" s="8" t="s">
        <v>54</v>
      </c>
      <c r="I527" s="14" t="s">
        <v>54</v>
      </c>
      <c r="J527" s="15">
        <v>21435997</v>
      </c>
      <c r="K527" s="8" t="s">
        <v>219</v>
      </c>
      <c r="L527" s="8" t="s">
        <v>220</v>
      </c>
      <c r="M527" s="8" t="str">
        <f>CONCATENATE(L527," ",K527)</f>
        <v>Christopher Brousseau</v>
      </c>
      <c r="N527" s="8" t="s">
        <v>57</v>
      </c>
      <c r="O527" s="9">
        <v>45792</v>
      </c>
      <c r="P527" s="9">
        <v>46157</v>
      </c>
      <c r="Q527" s="23">
        <f>DATEDIF(O527,P527,"M")</f>
        <v>12</v>
      </c>
      <c r="R527" s="33" t="s">
        <v>536</v>
      </c>
      <c r="S527" s="33" t="s">
        <v>1037</v>
      </c>
      <c r="T527" s="10">
        <v>48.76</v>
      </c>
      <c r="U527" s="8">
        <v>1</v>
      </c>
      <c r="V527" s="8" t="s">
        <v>58</v>
      </c>
      <c r="W527" s="8" t="s">
        <v>60</v>
      </c>
      <c r="X527" s="8" t="s">
        <v>61</v>
      </c>
      <c r="Y527" s="10">
        <v>34.130000000000003</v>
      </c>
    </row>
    <row r="528" spans="1:25" s="8" customFormat="1" x14ac:dyDescent="0.3">
      <c r="A528" s="8">
        <v>2028948018</v>
      </c>
      <c r="B528" s="8" t="s">
        <v>843</v>
      </c>
      <c r="C528" s="8" t="s">
        <v>163</v>
      </c>
      <c r="D528" s="8" t="str">
        <f t="shared" si="8"/>
        <v>JAMES SANSONE</v>
      </c>
      <c r="E528" s="8" t="s">
        <v>80</v>
      </c>
      <c r="F528" s="8" t="s">
        <v>483</v>
      </c>
      <c r="G528" s="16">
        <v>0.375</v>
      </c>
      <c r="H528" s="8" t="s">
        <v>484</v>
      </c>
      <c r="I528" s="14" t="s">
        <v>484</v>
      </c>
      <c r="J528" s="15">
        <v>17437820</v>
      </c>
      <c r="K528" s="8" t="s">
        <v>655</v>
      </c>
      <c r="L528" s="8" t="s">
        <v>656</v>
      </c>
      <c r="M528" s="8" t="str">
        <f>CONCATENATE(L528," ",K528)</f>
        <v>COLLEEN FINNIGAN</v>
      </c>
      <c r="N528" s="8" t="s">
        <v>57</v>
      </c>
      <c r="O528" s="9">
        <v>45793</v>
      </c>
      <c r="P528" s="9">
        <v>46158</v>
      </c>
      <c r="Q528" s="23">
        <f>DATEDIF(O528,P528,"M")</f>
        <v>12</v>
      </c>
      <c r="R528" s="33" t="s">
        <v>536</v>
      </c>
      <c r="S528" s="33" t="s">
        <v>1037</v>
      </c>
      <c r="T528" s="10">
        <v>182.73</v>
      </c>
      <c r="U528" s="8">
        <v>1</v>
      </c>
      <c r="V528" s="8" t="s">
        <v>58</v>
      </c>
      <c r="W528" s="8" t="s">
        <v>60</v>
      </c>
      <c r="X528" s="8" t="s">
        <v>61</v>
      </c>
      <c r="Y528" s="10">
        <v>68.52</v>
      </c>
    </row>
    <row r="529" spans="1:25" s="8" customFormat="1" x14ac:dyDescent="0.3">
      <c r="A529" s="8">
        <v>2028881458</v>
      </c>
      <c r="B529" s="8" t="s">
        <v>630</v>
      </c>
      <c r="C529" s="8" t="s">
        <v>925</v>
      </c>
      <c r="D529" s="8" t="str">
        <f t="shared" si="8"/>
        <v>NORA DANIEL</v>
      </c>
      <c r="E529" s="8" t="s">
        <v>80</v>
      </c>
      <c r="F529" s="8" t="s">
        <v>53</v>
      </c>
      <c r="G529" s="13">
        <v>0.7</v>
      </c>
      <c r="H529" s="8" t="s">
        <v>54</v>
      </c>
      <c r="I529" s="14" t="s">
        <v>54</v>
      </c>
      <c r="J529" s="15">
        <v>9213293</v>
      </c>
      <c r="K529" s="8" t="s">
        <v>171</v>
      </c>
      <c r="L529" s="8" t="s">
        <v>172</v>
      </c>
      <c r="M529" s="8" t="str">
        <f>CONCATENATE(L529," ",K529)</f>
        <v>GARY PORTUGAL</v>
      </c>
      <c r="N529" s="8" t="s">
        <v>57</v>
      </c>
      <c r="O529" s="9">
        <v>45793</v>
      </c>
      <c r="P529" s="9">
        <v>46158</v>
      </c>
      <c r="Q529" s="23">
        <f>DATEDIF(O529,P529,"M")</f>
        <v>12</v>
      </c>
      <c r="R529" s="33" t="s">
        <v>536</v>
      </c>
      <c r="S529" s="33" t="s">
        <v>1037</v>
      </c>
      <c r="T529" s="10">
        <v>27.19</v>
      </c>
      <c r="U529" s="8">
        <v>1</v>
      </c>
      <c r="V529" s="8" t="s">
        <v>58</v>
      </c>
      <c r="W529" s="8" t="s">
        <v>60</v>
      </c>
      <c r="X529" s="8" t="s">
        <v>61</v>
      </c>
      <c r="Y529" s="10">
        <v>19.03</v>
      </c>
    </row>
    <row r="530" spans="1:25" s="8" customFormat="1" x14ac:dyDescent="0.3">
      <c r="A530" s="8">
        <v>2028942144</v>
      </c>
      <c r="B530" s="8" t="s">
        <v>932</v>
      </c>
      <c r="C530" s="8" t="s">
        <v>933</v>
      </c>
      <c r="D530" s="8" t="str">
        <f t="shared" si="8"/>
        <v>WAYNE PARKER</v>
      </c>
      <c r="E530" s="8" t="s">
        <v>295</v>
      </c>
      <c r="F530" s="8" t="s">
        <v>53</v>
      </c>
      <c r="G530" s="13">
        <v>0.3</v>
      </c>
      <c r="H530" s="8" t="s">
        <v>54</v>
      </c>
      <c r="I530" s="14" t="s">
        <v>992</v>
      </c>
      <c r="J530" s="15">
        <v>20411454</v>
      </c>
      <c r="K530" s="8" t="s">
        <v>686</v>
      </c>
      <c r="L530" s="8" t="s">
        <v>249</v>
      </c>
      <c r="M530" s="8" t="s">
        <v>1035</v>
      </c>
      <c r="N530" s="8" t="s">
        <v>57</v>
      </c>
      <c r="O530" s="9">
        <v>45792</v>
      </c>
      <c r="P530" s="9">
        <v>46157</v>
      </c>
      <c r="Q530" s="23">
        <f>DATEDIF(O530,P530,"M")</f>
        <v>12</v>
      </c>
      <c r="R530" s="33" t="s">
        <v>536</v>
      </c>
      <c r="S530" s="33" t="s">
        <v>1037</v>
      </c>
      <c r="T530" s="10">
        <v>9.48</v>
      </c>
      <c r="U530" s="8">
        <v>1</v>
      </c>
      <c r="V530" s="8" t="s">
        <v>58</v>
      </c>
      <c r="W530" s="8" t="s">
        <v>60</v>
      </c>
      <c r="X530" s="8" t="s">
        <v>61</v>
      </c>
      <c r="Y530" s="10">
        <v>9.48</v>
      </c>
    </row>
    <row r="531" spans="1:25" s="8" customFormat="1" x14ac:dyDescent="0.3">
      <c r="A531" s="8">
        <v>2028958358</v>
      </c>
      <c r="B531" s="8" t="s">
        <v>596</v>
      </c>
      <c r="C531" s="8" t="s">
        <v>202</v>
      </c>
      <c r="D531" s="8" t="str">
        <f t="shared" si="8"/>
        <v>DAVID WRING</v>
      </c>
      <c r="E531" s="8" t="s">
        <v>80</v>
      </c>
      <c r="F531" s="8" t="s">
        <v>444</v>
      </c>
      <c r="G531" s="13">
        <v>0.9</v>
      </c>
      <c r="H531" s="8" t="s">
        <v>567</v>
      </c>
      <c r="I531" s="14" t="s">
        <v>981</v>
      </c>
      <c r="J531" s="15">
        <v>8977234</v>
      </c>
      <c r="K531" s="8" t="s">
        <v>115</v>
      </c>
      <c r="L531" s="8" t="s">
        <v>116</v>
      </c>
      <c r="M531" s="8" t="str">
        <f>CONCATENATE(L531," ",K531)</f>
        <v>RYAN CALTAGIRONE</v>
      </c>
      <c r="N531" s="8" t="s">
        <v>57</v>
      </c>
      <c r="O531" s="9">
        <v>45793</v>
      </c>
      <c r="P531" s="9">
        <v>46158</v>
      </c>
      <c r="Q531" s="23">
        <f>DATEDIF(O531,P531,"M")</f>
        <v>12</v>
      </c>
      <c r="R531" s="33" t="s">
        <v>536</v>
      </c>
      <c r="S531" s="33" t="s">
        <v>1037</v>
      </c>
      <c r="T531" s="10">
        <v>50.96</v>
      </c>
      <c r="U531" s="8">
        <v>1</v>
      </c>
      <c r="V531" s="8" t="s">
        <v>58</v>
      </c>
      <c r="W531" s="8" t="s">
        <v>60</v>
      </c>
      <c r="X531" s="8" t="s">
        <v>61</v>
      </c>
      <c r="Y531" s="10">
        <v>45.86</v>
      </c>
    </row>
    <row r="532" spans="1:25" s="8" customFormat="1" x14ac:dyDescent="0.3">
      <c r="A532" s="8">
        <v>2028958356</v>
      </c>
      <c r="B532" s="8" t="s">
        <v>596</v>
      </c>
      <c r="C532" s="8" t="s">
        <v>202</v>
      </c>
      <c r="D532" s="8" t="str">
        <f t="shared" si="8"/>
        <v>DAVID WRING</v>
      </c>
      <c r="E532" s="8" t="s">
        <v>80</v>
      </c>
      <c r="F532" s="8" t="s">
        <v>499</v>
      </c>
      <c r="G532" s="13">
        <v>0.19</v>
      </c>
      <c r="H532" s="8" t="s">
        <v>877</v>
      </c>
      <c r="I532" s="14" t="s">
        <v>983</v>
      </c>
      <c r="J532" s="15">
        <v>8977234</v>
      </c>
      <c r="K532" s="8" t="s">
        <v>115</v>
      </c>
      <c r="L532" s="8" t="s">
        <v>116</v>
      </c>
      <c r="M532" s="8" t="str">
        <f>CONCATENATE(L532," ",K532)</f>
        <v>RYAN CALTAGIRONE</v>
      </c>
      <c r="N532" s="8" t="s">
        <v>57</v>
      </c>
      <c r="O532" s="9">
        <v>45793</v>
      </c>
      <c r="P532" s="9">
        <v>46158</v>
      </c>
      <c r="Q532" s="23">
        <f>DATEDIF(O532,P532,"M")</f>
        <v>12</v>
      </c>
      <c r="R532" s="33" t="s">
        <v>536</v>
      </c>
      <c r="S532" s="33" t="s">
        <v>1037</v>
      </c>
      <c r="T532" s="10">
        <v>100.48</v>
      </c>
      <c r="U532" s="8">
        <v>1</v>
      </c>
      <c r="V532" s="8" t="s">
        <v>58</v>
      </c>
      <c r="W532" s="8" t="s">
        <v>60</v>
      </c>
      <c r="X532" s="8" t="s">
        <v>61</v>
      </c>
      <c r="Y532" s="10">
        <v>19.09</v>
      </c>
    </row>
    <row r="533" spans="1:25" s="8" customFormat="1" x14ac:dyDescent="0.3">
      <c r="A533" s="8">
        <v>2028958359</v>
      </c>
      <c r="B533" s="8" t="s">
        <v>596</v>
      </c>
      <c r="C533" s="8" t="s">
        <v>202</v>
      </c>
      <c r="D533" s="8" t="str">
        <f t="shared" si="8"/>
        <v>DAVID WRING</v>
      </c>
      <c r="E533" s="8" t="s">
        <v>80</v>
      </c>
      <c r="F533" s="8" t="s">
        <v>475</v>
      </c>
      <c r="G533" s="13">
        <v>0.19</v>
      </c>
      <c r="H533" s="8" t="s">
        <v>762</v>
      </c>
      <c r="I533" s="14" t="s">
        <v>983</v>
      </c>
      <c r="J533" s="15">
        <v>8977234</v>
      </c>
      <c r="K533" s="8" t="s">
        <v>115</v>
      </c>
      <c r="L533" s="8" t="s">
        <v>116</v>
      </c>
      <c r="M533" s="8" t="str">
        <f>CONCATENATE(L533," ",K533)</f>
        <v>RYAN CALTAGIRONE</v>
      </c>
      <c r="N533" s="8" t="s">
        <v>57</v>
      </c>
      <c r="O533" s="9">
        <v>45793</v>
      </c>
      <c r="P533" s="9">
        <v>46158</v>
      </c>
      <c r="Q533" s="23">
        <f>DATEDIF(O533,P533,"M")</f>
        <v>12</v>
      </c>
      <c r="R533" s="33" t="s">
        <v>536</v>
      </c>
      <c r="S533" s="33" t="s">
        <v>1037</v>
      </c>
      <c r="T533" s="10">
        <v>15</v>
      </c>
      <c r="U533" s="8">
        <v>1</v>
      </c>
      <c r="V533" s="8" t="s">
        <v>58</v>
      </c>
      <c r="W533" s="8" t="s">
        <v>60</v>
      </c>
      <c r="X533" s="8" t="s">
        <v>61</v>
      </c>
      <c r="Y533" s="10">
        <v>2.85</v>
      </c>
    </row>
    <row r="534" spans="1:25" s="8" customFormat="1" x14ac:dyDescent="0.3">
      <c r="A534" s="8">
        <v>2028958357</v>
      </c>
      <c r="B534" s="8" t="s">
        <v>596</v>
      </c>
      <c r="C534" s="8" t="s">
        <v>202</v>
      </c>
      <c r="D534" s="8" t="str">
        <f t="shared" si="8"/>
        <v>DAVID WRING</v>
      </c>
      <c r="E534" s="8" t="s">
        <v>80</v>
      </c>
      <c r="F534" s="8" t="s">
        <v>53</v>
      </c>
      <c r="G534" s="13">
        <v>0.7</v>
      </c>
      <c r="H534" s="8" t="s">
        <v>54</v>
      </c>
      <c r="I534" s="14" t="s">
        <v>54</v>
      </c>
      <c r="J534" s="15">
        <v>8977234</v>
      </c>
      <c r="K534" s="8" t="s">
        <v>115</v>
      </c>
      <c r="L534" s="8" t="s">
        <v>116</v>
      </c>
      <c r="M534" s="8" t="str">
        <f>CONCATENATE(L534," ",K534)</f>
        <v>RYAN CALTAGIRONE</v>
      </c>
      <c r="N534" s="8" t="s">
        <v>57</v>
      </c>
      <c r="O534" s="9">
        <v>45793</v>
      </c>
      <c r="P534" s="9">
        <v>46158</v>
      </c>
      <c r="Q534" s="23">
        <f>DATEDIF(O534,P534,"M")</f>
        <v>12</v>
      </c>
      <c r="R534" s="33" t="s">
        <v>536</v>
      </c>
      <c r="S534" s="33" t="s">
        <v>1037</v>
      </c>
      <c r="T534" s="10">
        <v>118.33</v>
      </c>
      <c r="U534" s="8">
        <v>1</v>
      </c>
      <c r="V534" s="8" t="s">
        <v>58</v>
      </c>
      <c r="W534" s="8" t="s">
        <v>60</v>
      </c>
      <c r="X534" s="8" t="s">
        <v>61</v>
      </c>
      <c r="Y534" s="10">
        <v>82.83</v>
      </c>
    </row>
    <row r="535" spans="1:25" s="8" customFormat="1" x14ac:dyDescent="0.3">
      <c r="A535" s="8">
        <v>2028941656</v>
      </c>
      <c r="B535" s="8" t="s">
        <v>594</v>
      </c>
      <c r="C535" s="8" t="s">
        <v>595</v>
      </c>
      <c r="D535" s="8" t="str">
        <f t="shared" si="8"/>
        <v>DUSTIN WILLIAMS</v>
      </c>
      <c r="E535" s="8" t="s">
        <v>75</v>
      </c>
      <c r="F535" s="8" t="s">
        <v>444</v>
      </c>
      <c r="G535" s="13">
        <v>0.9</v>
      </c>
      <c r="H535" s="8" t="s">
        <v>567</v>
      </c>
      <c r="I535" s="14" t="s">
        <v>981</v>
      </c>
      <c r="J535" s="15">
        <v>18581063</v>
      </c>
      <c r="K535" s="8" t="s">
        <v>76</v>
      </c>
      <c r="L535" s="8" t="s">
        <v>77</v>
      </c>
      <c r="M535" s="8" t="str">
        <f>CONCATENATE(L535," ",K535)</f>
        <v>Timothy Hodgman</v>
      </c>
      <c r="N535" s="8" t="s">
        <v>57</v>
      </c>
      <c r="O535" s="9">
        <v>45792</v>
      </c>
      <c r="P535" s="9">
        <v>46157</v>
      </c>
      <c r="Q535" s="23">
        <f>DATEDIF(O535,P535,"M")</f>
        <v>12</v>
      </c>
      <c r="R535" s="33" t="s">
        <v>536</v>
      </c>
      <c r="S535" s="33" t="s">
        <v>1037</v>
      </c>
      <c r="T535" s="10">
        <v>143.63</v>
      </c>
      <c r="U535" s="8">
        <v>1</v>
      </c>
      <c r="V535" s="8" t="s">
        <v>58</v>
      </c>
      <c r="W535" s="8" t="s">
        <v>60</v>
      </c>
      <c r="X535" s="8" t="s">
        <v>61</v>
      </c>
      <c r="Y535" s="10">
        <v>129.27000000000001</v>
      </c>
    </row>
    <row r="536" spans="1:25" s="8" customFormat="1" x14ac:dyDescent="0.3">
      <c r="A536" s="8">
        <v>2028941657</v>
      </c>
      <c r="B536" s="8" t="s">
        <v>594</v>
      </c>
      <c r="C536" s="8" t="s">
        <v>595</v>
      </c>
      <c r="D536" s="8" t="str">
        <f t="shared" si="8"/>
        <v>DUSTIN WILLIAMS</v>
      </c>
      <c r="E536" s="8" t="s">
        <v>75</v>
      </c>
      <c r="F536" s="8" t="s">
        <v>53</v>
      </c>
      <c r="G536" s="13">
        <v>0.7</v>
      </c>
      <c r="H536" s="8" t="s">
        <v>54</v>
      </c>
      <c r="I536" s="14" t="s">
        <v>54</v>
      </c>
      <c r="J536" s="15">
        <v>18581063</v>
      </c>
      <c r="K536" s="8" t="s">
        <v>76</v>
      </c>
      <c r="L536" s="8" t="s">
        <v>77</v>
      </c>
      <c r="M536" s="8" t="str">
        <f>CONCATENATE(L536," ",K536)</f>
        <v>Timothy Hodgman</v>
      </c>
      <c r="N536" s="8" t="s">
        <v>57</v>
      </c>
      <c r="O536" s="9">
        <v>45792</v>
      </c>
      <c r="P536" s="9">
        <v>46157</v>
      </c>
      <c r="Q536" s="23">
        <f>DATEDIF(O536,P536,"M")</f>
        <v>12</v>
      </c>
      <c r="R536" s="33" t="s">
        <v>536</v>
      </c>
      <c r="S536" s="33" t="s">
        <v>1037</v>
      </c>
      <c r="T536" s="10">
        <v>134.86000000000001</v>
      </c>
      <c r="U536" s="8">
        <v>1</v>
      </c>
      <c r="V536" s="8" t="s">
        <v>58</v>
      </c>
      <c r="W536" s="8" t="s">
        <v>60</v>
      </c>
      <c r="X536" s="8" t="s">
        <v>61</v>
      </c>
      <c r="Y536" s="10">
        <v>94.4</v>
      </c>
    </row>
    <row r="537" spans="1:25" s="8" customFormat="1" x14ac:dyDescent="0.3">
      <c r="A537" s="8">
        <v>2028941655</v>
      </c>
      <c r="B537" s="8" t="s">
        <v>594</v>
      </c>
      <c r="C537" s="8" t="s">
        <v>595</v>
      </c>
      <c r="D537" s="8" t="str">
        <f t="shared" si="8"/>
        <v>DUSTIN WILLIAMS</v>
      </c>
      <c r="E537" s="8" t="s">
        <v>75</v>
      </c>
      <c r="F537" s="8" t="s">
        <v>483</v>
      </c>
      <c r="G537" s="16">
        <v>0.375</v>
      </c>
      <c r="H537" s="8" t="s">
        <v>484</v>
      </c>
      <c r="I537" s="14" t="s">
        <v>484</v>
      </c>
      <c r="J537" s="15">
        <v>18581063</v>
      </c>
      <c r="K537" s="8" t="s">
        <v>76</v>
      </c>
      <c r="L537" s="8" t="s">
        <v>77</v>
      </c>
      <c r="M537" s="8" t="str">
        <f>CONCATENATE(L537," ",K537)</f>
        <v>Timothy Hodgman</v>
      </c>
      <c r="N537" s="8" t="s">
        <v>57</v>
      </c>
      <c r="O537" s="9">
        <v>45792</v>
      </c>
      <c r="P537" s="9">
        <v>46157</v>
      </c>
      <c r="Q537" s="23">
        <f>DATEDIF(O537,P537,"M")</f>
        <v>12</v>
      </c>
      <c r="R537" s="33" t="s">
        <v>536</v>
      </c>
      <c r="S537" s="33" t="s">
        <v>1037</v>
      </c>
      <c r="T537" s="10">
        <v>69.41</v>
      </c>
      <c r="U537" s="8">
        <v>1</v>
      </c>
      <c r="V537" s="8" t="s">
        <v>58</v>
      </c>
      <c r="W537" s="8" t="s">
        <v>60</v>
      </c>
      <c r="X537" s="8" t="s">
        <v>61</v>
      </c>
      <c r="Y537" s="10">
        <v>26.03</v>
      </c>
    </row>
    <row r="538" spans="1:25" s="8" customFormat="1" x14ac:dyDescent="0.3">
      <c r="A538" s="8">
        <v>2028303459</v>
      </c>
      <c r="B538" s="8" t="s">
        <v>143</v>
      </c>
      <c r="C538" s="8" t="s">
        <v>585</v>
      </c>
      <c r="D538" s="8" t="str">
        <f t="shared" si="8"/>
        <v>SHELLEY JOHNSON</v>
      </c>
      <c r="E538" s="8" t="s">
        <v>141</v>
      </c>
      <c r="F538" s="8" t="s">
        <v>444</v>
      </c>
      <c r="G538" s="13">
        <v>0.1</v>
      </c>
      <c r="H538" s="8" t="s">
        <v>454</v>
      </c>
      <c r="I538" s="14" t="s">
        <v>980</v>
      </c>
      <c r="J538" s="15">
        <v>8307933</v>
      </c>
      <c r="K538" s="8" t="s">
        <v>55</v>
      </c>
      <c r="L538" s="8" t="s">
        <v>56</v>
      </c>
      <c r="M538" s="8" t="str">
        <f>CONCATENATE(L538," ",K538)</f>
        <v>GREGORY TEIPEL</v>
      </c>
      <c r="N538" s="8" t="s">
        <v>57</v>
      </c>
      <c r="O538" s="9">
        <v>45762</v>
      </c>
      <c r="P538" s="9">
        <v>46157</v>
      </c>
      <c r="Q538" s="23">
        <f>DATEDIF(O538,P538,"M")</f>
        <v>13</v>
      </c>
      <c r="R538" s="33" t="s">
        <v>536</v>
      </c>
      <c r="S538" s="33" t="s">
        <v>1037</v>
      </c>
      <c r="T538" s="10">
        <v>132.5</v>
      </c>
      <c r="U538" s="8">
        <v>1</v>
      </c>
      <c r="V538" s="8" t="s">
        <v>58</v>
      </c>
      <c r="W538" s="8" t="s">
        <v>536</v>
      </c>
      <c r="X538" s="8" t="s">
        <v>61</v>
      </c>
      <c r="Y538" s="10">
        <v>13.25</v>
      </c>
    </row>
    <row r="539" spans="1:25" s="8" customFormat="1" x14ac:dyDescent="0.3">
      <c r="A539" s="8">
        <v>2028450758</v>
      </c>
      <c r="B539" s="8" t="s">
        <v>839</v>
      </c>
      <c r="C539" s="8" t="s">
        <v>840</v>
      </c>
      <c r="D539" s="8" t="str">
        <f t="shared" si="8"/>
        <v>BARTLOMIEJ KARAS</v>
      </c>
      <c r="E539" s="8" t="s">
        <v>80</v>
      </c>
      <c r="F539" s="8" t="s">
        <v>483</v>
      </c>
      <c r="G539" s="13">
        <v>0.06</v>
      </c>
      <c r="H539" s="8" t="s">
        <v>484</v>
      </c>
      <c r="I539" s="14" t="s">
        <v>484</v>
      </c>
      <c r="J539" s="15">
        <v>18754354</v>
      </c>
      <c r="K539" s="8" t="s">
        <v>224</v>
      </c>
      <c r="L539" s="8" t="s">
        <v>225</v>
      </c>
      <c r="M539" s="8" t="str">
        <f>CONCATENATE(L539," ",K539)</f>
        <v>JACOB YALE</v>
      </c>
      <c r="N539" s="8" t="s">
        <v>57</v>
      </c>
      <c r="O539" s="9">
        <v>45764</v>
      </c>
      <c r="P539" s="9">
        <v>46159</v>
      </c>
      <c r="Q539" s="23">
        <f>DATEDIF(O539,P539,"M")</f>
        <v>13</v>
      </c>
      <c r="R539" s="33" t="s">
        <v>536</v>
      </c>
      <c r="S539" s="33" t="s">
        <v>1037</v>
      </c>
      <c r="T539" s="10">
        <v>51.01</v>
      </c>
      <c r="U539" s="8">
        <v>1</v>
      </c>
      <c r="V539" s="8" t="s">
        <v>58</v>
      </c>
      <c r="W539" s="8" t="s">
        <v>536</v>
      </c>
      <c r="X539" s="8" t="s">
        <v>61</v>
      </c>
      <c r="Y539" s="10">
        <v>3.06</v>
      </c>
    </row>
    <row r="540" spans="1:25" s="8" customFormat="1" x14ac:dyDescent="0.3">
      <c r="A540" s="8">
        <v>2028367118</v>
      </c>
      <c r="B540" s="8" t="s">
        <v>586</v>
      </c>
      <c r="C540" s="8" t="s">
        <v>587</v>
      </c>
      <c r="D540" s="8" t="str">
        <f t="shared" si="8"/>
        <v>ALEXIS BRECK</v>
      </c>
      <c r="E540" s="8" t="s">
        <v>223</v>
      </c>
      <c r="F540" s="8" t="s">
        <v>499</v>
      </c>
      <c r="G540" s="13">
        <v>0.1</v>
      </c>
      <c r="H540" s="8" t="s">
        <v>500</v>
      </c>
      <c r="I540" s="14" t="s">
        <v>500</v>
      </c>
      <c r="J540" s="15">
        <v>8977234</v>
      </c>
      <c r="K540" s="8" t="s">
        <v>115</v>
      </c>
      <c r="L540" s="8" t="s">
        <v>116</v>
      </c>
      <c r="M540" s="8" t="str">
        <f>CONCATENATE(L540," ",K540)</f>
        <v>RYAN CALTAGIRONE</v>
      </c>
      <c r="N540" s="8" t="s">
        <v>57</v>
      </c>
      <c r="O540" s="9">
        <v>45759</v>
      </c>
      <c r="P540" s="9">
        <v>46154</v>
      </c>
      <c r="Q540" s="23">
        <f>DATEDIF(O540,P540,"M")</f>
        <v>13</v>
      </c>
      <c r="R540" s="33" t="s">
        <v>536</v>
      </c>
      <c r="S540" s="33" t="s">
        <v>1037</v>
      </c>
      <c r="T540" s="10">
        <v>181.4</v>
      </c>
      <c r="U540" s="8">
        <v>1</v>
      </c>
      <c r="V540" s="8" t="s">
        <v>58</v>
      </c>
      <c r="W540" s="8" t="s">
        <v>536</v>
      </c>
      <c r="X540" s="8" t="s">
        <v>61</v>
      </c>
      <c r="Y540" s="10">
        <v>18.14</v>
      </c>
    </row>
    <row r="541" spans="1:25" s="8" customFormat="1" x14ac:dyDescent="0.3">
      <c r="A541" s="8">
        <v>2028367119</v>
      </c>
      <c r="B541" s="8" t="s">
        <v>586</v>
      </c>
      <c r="C541" s="8" t="s">
        <v>587</v>
      </c>
      <c r="D541" s="8" t="str">
        <f t="shared" si="8"/>
        <v>ALEXIS BRECK</v>
      </c>
      <c r="E541" s="8" t="s">
        <v>223</v>
      </c>
      <c r="F541" s="8" t="s">
        <v>499</v>
      </c>
      <c r="G541" s="13">
        <v>0.1</v>
      </c>
      <c r="H541" s="8" t="s">
        <v>501</v>
      </c>
      <c r="I541" s="14" t="s">
        <v>500</v>
      </c>
      <c r="J541" s="15">
        <v>8977234</v>
      </c>
      <c r="K541" s="8" t="s">
        <v>115</v>
      </c>
      <c r="L541" s="8" t="s">
        <v>116</v>
      </c>
      <c r="M541" s="8" t="str">
        <f>CONCATENATE(L541," ",K541)</f>
        <v>RYAN CALTAGIRONE</v>
      </c>
      <c r="N541" s="8" t="s">
        <v>57</v>
      </c>
      <c r="O541" s="9">
        <v>45759</v>
      </c>
      <c r="P541" s="9">
        <v>46154</v>
      </c>
      <c r="Q541" s="23">
        <f>DATEDIF(O541,P541,"M")</f>
        <v>13</v>
      </c>
      <c r="R541" s="33" t="s">
        <v>536</v>
      </c>
      <c r="S541" s="33" t="s">
        <v>1037</v>
      </c>
      <c r="T541" s="10">
        <v>7.09</v>
      </c>
      <c r="U541" s="8">
        <v>1</v>
      </c>
      <c r="V541" s="8" t="s">
        <v>58</v>
      </c>
      <c r="W541" s="8" t="s">
        <v>536</v>
      </c>
      <c r="X541" s="8" t="s">
        <v>61</v>
      </c>
      <c r="Y541" s="10">
        <v>0.71</v>
      </c>
    </row>
    <row r="542" spans="1:25" s="8" customFormat="1" x14ac:dyDescent="0.3">
      <c r="A542" s="8">
        <v>2028367117</v>
      </c>
      <c r="B542" s="8" t="s">
        <v>586</v>
      </c>
      <c r="C542" s="8" t="s">
        <v>587</v>
      </c>
      <c r="D542" s="8" t="str">
        <f t="shared" si="8"/>
        <v>ALEXIS BRECK</v>
      </c>
      <c r="E542" s="8" t="s">
        <v>223</v>
      </c>
      <c r="F542" s="8" t="s">
        <v>444</v>
      </c>
      <c r="G542" s="13">
        <v>0.1</v>
      </c>
      <c r="H542" s="8" t="s">
        <v>567</v>
      </c>
      <c r="I542" s="14" t="s">
        <v>981</v>
      </c>
      <c r="J542" s="15">
        <v>8977234</v>
      </c>
      <c r="K542" s="8" t="s">
        <v>115</v>
      </c>
      <c r="L542" s="8" t="s">
        <v>116</v>
      </c>
      <c r="M542" s="8" t="str">
        <f>CONCATENATE(L542," ",K542)</f>
        <v>RYAN CALTAGIRONE</v>
      </c>
      <c r="N542" s="8" t="s">
        <v>57</v>
      </c>
      <c r="O542" s="9">
        <v>45759</v>
      </c>
      <c r="P542" s="9">
        <v>46154</v>
      </c>
      <c r="Q542" s="23">
        <f>DATEDIF(O542,P542,"M")</f>
        <v>13</v>
      </c>
      <c r="R542" s="33" t="s">
        <v>536</v>
      </c>
      <c r="S542" s="33" t="s">
        <v>1037</v>
      </c>
      <c r="T542" s="10">
        <v>27.71</v>
      </c>
      <c r="U542" s="8">
        <v>1</v>
      </c>
      <c r="V542" s="8" t="s">
        <v>58</v>
      </c>
      <c r="W542" s="8" t="s">
        <v>536</v>
      </c>
      <c r="X542" s="8" t="s">
        <v>61</v>
      </c>
      <c r="Y542" s="10">
        <v>2.77</v>
      </c>
    </row>
    <row r="543" spans="1:25" s="8" customFormat="1" x14ac:dyDescent="0.3">
      <c r="A543" s="8">
        <v>2028367121</v>
      </c>
      <c r="B543" s="8" t="s">
        <v>586</v>
      </c>
      <c r="C543" s="8" t="s">
        <v>587</v>
      </c>
      <c r="D543" s="8" t="str">
        <f t="shared" si="8"/>
        <v>ALEXIS BRECK</v>
      </c>
      <c r="E543" s="8" t="s">
        <v>223</v>
      </c>
      <c r="F543" s="8" t="s">
        <v>475</v>
      </c>
      <c r="G543" s="13">
        <v>0.1</v>
      </c>
      <c r="H543" s="8" t="s">
        <v>476</v>
      </c>
      <c r="I543" s="14" t="s">
        <v>476</v>
      </c>
      <c r="J543" s="15">
        <v>8977234</v>
      </c>
      <c r="K543" s="8" t="s">
        <v>115</v>
      </c>
      <c r="L543" s="8" t="s">
        <v>116</v>
      </c>
      <c r="M543" s="8" t="str">
        <f>CONCATENATE(L543," ",K543)</f>
        <v>RYAN CALTAGIRONE</v>
      </c>
      <c r="N543" s="8" t="s">
        <v>57</v>
      </c>
      <c r="O543" s="9">
        <v>45759</v>
      </c>
      <c r="P543" s="9">
        <v>46154</v>
      </c>
      <c r="Q543" s="23">
        <f>DATEDIF(O543,P543,"M")</f>
        <v>13</v>
      </c>
      <c r="R543" s="33" t="s">
        <v>536</v>
      </c>
      <c r="S543" s="33" t="s">
        <v>1037</v>
      </c>
      <c r="T543" s="10">
        <v>15</v>
      </c>
      <c r="U543" s="8">
        <v>1</v>
      </c>
      <c r="V543" s="8" t="s">
        <v>58</v>
      </c>
      <c r="W543" s="8" t="s">
        <v>536</v>
      </c>
      <c r="X543" s="8" t="s">
        <v>61</v>
      </c>
      <c r="Y543" s="10">
        <v>1.5</v>
      </c>
    </row>
    <row r="544" spans="1:25" s="8" customFormat="1" x14ac:dyDescent="0.3">
      <c r="A544" s="8">
        <v>2028437289</v>
      </c>
      <c r="B544" s="8" t="s">
        <v>760</v>
      </c>
      <c r="C544" s="8" t="s">
        <v>761</v>
      </c>
      <c r="D544" s="8" t="str">
        <f t="shared" si="8"/>
        <v>GYORGYI NOVAC</v>
      </c>
      <c r="E544" s="8" t="s">
        <v>223</v>
      </c>
      <c r="F544" s="8" t="s">
        <v>475</v>
      </c>
      <c r="G544" s="13">
        <v>0.28999999999999998</v>
      </c>
      <c r="H544" s="8" t="s">
        <v>482</v>
      </c>
      <c r="I544" s="14" t="s">
        <v>994</v>
      </c>
      <c r="J544" s="15">
        <v>8977234</v>
      </c>
      <c r="K544" s="8" t="s">
        <v>115</v>
      </c>
      <c r="L544" s="8" t="s">
        <v>116</v>
      </c>
      <c r="M544" s="8" t="str">
        <f>CONCATENATE(L544," ",K544)</f>
        <v>RYAN CALTAGIRONE</v>
      </c>
      <c r="N544" s="8" t="s">
        <v>57</v>
      </c>
      <c r="O544" s="9">
        <v>45764</v>
      </c>
      <c r="P544" s="9">
        <v>46159</v>
      </c>
      <c r="Q544" s="23">
        <f>DATEDIF(O544,P544,"M")</f>
        <v>13</v>
      </c>
      <c r="R544" s="33" t="s">
        <v>536</v>
      </c>
      <c r="S544" s="33" t="s">
        <v>1037</v>
      </c>
      <c r="T544" s="10">
        <v>15</v>
      </c>
      <c r="U544" s="8">
        <v>1</v>
      </c>
      <c r="V544" s="8" t="s">
        <v>58</v>
      </c>
      <c r="W544" s="8" t="s">
        <v>536</v>
      </c>
      <c r="X544" s="8" t="s">
        <v>61</v>
      </c>
      <c r="Y544" s="10">
        <v>4.3499999999999996</v>
      </c>
    </row>
    <row r="545" spans="1:25" s="8" customFormat="1" x14ac:dyDescent="0.3">
      <c r="A545" s="8">
        <v>2028367116</v>
      </c>
      <c r="B545" s="8" t="s">
        <v>586</v>
      </c>
      <c r="C545" s="8" t="s">
        <v>587</v>
      </c>
      <c r="D545" s="8" t="str">
        <f t="shared" si="8"/>
        <v>ALEXIS BRECK</v>
      </c>
      <c r="E545" s="8" t="s">
        <v>223</v>
      </c>
      <c r="F545" s="8" t="s">
        <v>53</v>
      </c>
      <c r="G545" s="13">
        <v>0.15</v>
      </c>
      <c r="H545" s="8" t="s">
        <v>54</v>
      </c>
      <c r="I545" s="14" t="s">
        <v>54</v>
      </c>
      <c r="J545" s="15">
        <v>8977234</v>
      </c>
      <c r="K545" s="8" t="s">
        <v>115</v>
      </c>
      <c r="L545" s="8" t="s">
        <v>116</v>
      </c>
      <c r="M545" s="8" t="str">
        <f>CONCATENATE(L545," ",K545)</f>
        <v>RYAN CALTAGIRONE</v>
      </c>
      <c r="N545" s="8" t="s">
        <v>57</v>
      </c>
      <c r="O545" s="9">
        <v>45759</v>
      </c>
      <c r="P545" s="9">
        <v>46154</v>
      </c>
      <c r="Q545" s="23">
        <f>DATEDIF(O545,P545,"M")</f>
        <v>13</v>
      </c>
      <c r="R545" s="33" t="s">
        <v>536</v>
      </c>
      <c r="S545" s="33" t="s">
        <v>1037</v>
      </c>
      <c r="T545" s="10">
        <v>63.95</v>
      </c>
      <c r="U545" s="8">
        <v>1</v>
      </c>
      <c r="V545" s="8" t="s">
        <v>58</v>
      </c>
      <c r="W545" s="8" t="s">
        <v>536</v>
      </c>
      <c r="X545" s="8" t="s">
        <v>61</v>
      </c>
      <c r="Y545" s="10">
        <v>9.59</v>
      </c>
    </row>
    <row r="546" spans="1:25" s="8" customFormat="1" x14ac:dyDescent="0.3">
      <c r="A546" s="8">
        <v>2028367120</v>
      </c>
      <c r="B546" s="8" t="s">
        <v>586</v>
      </c>
      <c r="C546" s="8" t="s">
        <v>587</v>
      </c>
      <c r="D546" s="8" t="str">
        <f t="shared" si="8"/>
        <v>ALEXIS BRECK</v>
      </c>
      <c r="E546" s="8" t="s">
        <v>223</v>
      </c>
      <c r="F546" s="8" t="s">
        <v>483</v>
      </c>
      <c r="G546" s="13">
        <v>0.06</v>
      </c>
      <c r="H546" s="8" t="s">
        <v>484</v>
      </c>
      <c r="I546" s="14" t="s">
        <v>484</v>
      </c>
      <c r="J546" s="15">
        <v>8977234</v>
      </c>
      <c r="K546" s="8" t="s">
        <v>115</v>
      </c>
      <c r="L546" s="8" t="s">
        <v>116</v>
      </c>
      <c r="M546" s="8" t="str">
        <f>CONCATENATE(L546," ",K546)</f>
        <v>RYAN CALTAGIRONE</v>
      </c>
      <c r="N546" s="8" t="s">
        <v>57</v>
      </c>
      <c r="O546" s="9">
        <v>45759</v>
      </c>
      <c r="P546" s="9">
        <v>46154</v>
      </c>
      <c r="Q546" s="23">
        <f>DATEDIF(O546,P546,"M")</f>
        <v>13</v>
      </c>
      <c r="R546" s="33" t="s">
        <v>536</v>
      </c>
      <c r="S546" s="33" t="s">
        <v>1037</v>
      </c>
      <c r="T546" s="10">
        <v>18.62</v>
      </c>
      <c r="U546" s="8">
        <v>1</v>
      </c>
      <c r="V546" s="8" t="s">
        <v>58</v>
      </c>
      <c r="W546" s="8" t="s">
        <v>536</v>
      </c>
      <c r="X546" s="8" t="s">
        <v>61</v>
      </c>
      <c r="Y546" s="10">
        <v>1.1200000000000001</v>
      </c>
    </row>
    <row r="547" spans="1:25" s="8" customFormat="1" x14ac:dyDescent="0.3">
      <c r="A547" s="8">
        <v>2027849976</v>
      </c>
      <c r="B547" s="8" t="s">
        <v>758</v>
      </c>
      <c r="C547" s="8" t="s">
        <v>318</v>
      </c>
      <c r="D547" s="8" t="str">
        <f t="shared" si="8"/>
        <v>CHAD DIXON</v>
      </c>
      <c r="E547" s="8" t="s">
        <v>759</v>
      </c>
      <c r="F547" s="8" t="s">
        <v>475</v>
      </c>
      <c r="G547" s="13">
        <v>0.1</v>
      </c>
      <c r="H547" s="8" t="s">
        <v>652</v>
      </c>
      <c r="I547" s="14" t="s">
        <v>652</v>
      </c>
      <c r="J547" s="15">
        <v>17425766</v>
      </c>
      <c r="K547" s="8" t="s">
        <v>544</v>
      </c>
      <c r="L547" s="8" t="s">
        <v>324</v>
      </c>
      <c r="M547" s="8" t="str">
        <f>CONCATENATE(L547," ",K547)</f>
        <v>CAROL FOLEY</v>
      </c>
      <c r="N547" s="8" t="s">
        <v>57</v>
      </c>
      <c r="O547" s="9">
        <v>45733</v>
      </c>
      <c r="P547" s="9">
        <v>46159</v>
      </c>
      <c r="Q547" s="23">
        <f>DATEDIF(O547,P547,"M")</f>
        <v>14</v>
      </c>
      <c r="R547" s="33" t="s">
        <v>536</v>
      </c>
      <c r="S547" s="33" t="s">
        <v>1037</v>
      </c>
      <c r="T547" s="10">
        <v>15</v>
      </c>
      <c r="U547" s="8">
        <v>1</v>
      </c>
      <c r="V547" s="8" t="s">
        <v>58</v>
      </c>
      <c r="W547" s="8" t="s">
        <v>536</v>
      </c>
      <c r="X547" s="8" t="s">
        <v>61</v>
      </c>
      <c r="Y547" s="10">
        <v>1.5</v>
      </c>
    </row>
    <row r="548" spans="1:25" s="8" customFormat="1" x14ac:dyDescent="0.3">
      <c r="A548" s="8">
        <v>2027849973</v>
      </c>
      <c r="B548" s="8" t="s">
        <v>758</v>
      </c>
      <c r="C548" s="8" t="s">
        <v>318</v>
      </c>
      <c r="D548" s="8" t="str">
        <f t="shared" si="8"/>
        <v>CHAD DIXON</v>
      </c>
      <c r="E548" s="8" t="s">
        <v>759</v>
      </c>
      <c r="F548" s="8" t="s">
        <v>499</v>
      </c>
      <c r="G548" s="13">
        <v>0.1</v>
      </c>
      <c r="H548" s="8" t="s">
        <v>502</v>
      </c>
      <c r="I548" s="14" t="s">
        <v>502</v>
      </c>
      <c r="J548" s="15">
        <v>17425766</v>
      </c>
      <c r="K548" s="8" t="s">
        <v>544</v>
      </c>
      <c r="L548" s="8" t="s">
        <v>324</v>
      </c>
      <c r="M548" s="8" t="str">
        <f>CONCATENATE(L548," ",K548)</f>
        <v>CAROL FOLEY</v>
      </c>
      <c r="N548" s="8" t="s">
        <v>57</v>
      </c>
      <c r="O548" s="9">
        <v>45733</v>
      </c>
      <c r="P548" s="9">
        <v>46159</v>
      </c>
      <c r="Q548" s="23">
        <f>DATEDIF(O548,P548,"M")</f>
        <v>14</v>
      </c>
      <c r="R548" s="33" t="s">
        <v>536</v>
      </c>
      <c r="S548" s="33" t="s">
        <v>1037</v>
      </c>
      <c r="T548" s="10">
        <v>48.95</v>
      </c>
      <c r="U548" s="8">
        <v>1</v>
      </c>
      <c r="V548" s="8" t="s">
        <v>58</v>
      </c>
      <c r="W548" s="8" t="s">
        <v>536</v>
      </c>
      <c r="X548" s="8" t="s">
        <v>61</v>
      </c>
      <c r="Y548" s="10">
        <v>4.9000000000000004</v>
      </c>
    </row>
    <row r="549" spans="1:25" s="8" customFormat="1" x14ac:dyDescent="0.3">
      <c r="A549" s="8">
        <v>2027849974</v>
      </c>
      <c r="B549" s="8" t="s">
        <v>758</v>
      </c>
      <c r="C549" s="8" t="s">
        <v>318</v>
      </c>
      <c r="D549" s="8" t="str">
        <f t="shared" si="8"/>
        <v>CHAD DIXON</v>
      </c>
      <c r="E549" s="8" t="s">
        <v>759</v>
      </c>
      <c r="F549" s="8" t="s">
        <v>53</v>
      </c>
      <c r="G549" s="13">
        <v>0.15</v>
      </c>
      <c r="H549" s="8" t="s">
        <v>54</v>
      </c>
      <c r="I549" s="14" t="s">
        <v>54</v>
      </c>
      <c r="J549" s="15">
        <v>17425766</v>
      </c>
      <c r="K549" s="8" t="s">
        <v>544</v>
      </c>
      <c r="L549" s="8" t="s">
        <v>324</v>
      </c>
      <c r="M549" s="8" t="str">
        <f>CONCATENATE(L549," ",K549)</f>
        <v>CAROL FOLEY</v>
      </c>
      <c r="N549" s="8" t="s">
        <v>57</v>
      </c>
      <c r="O549" s="9">
        <v>45733</v>
      </c>
      <c r="P549" s="9">
        <v>46159</v>
      </c>
      <c r="Q549" s="23">
        <f>DATEDIF(O549,P549,"M")</f>
        <v>14</v>
      </c>
      <c r="R549" s="33" t="s">
        <v>536</v>
      </c>
      <c r="S549" s="33" t="s">
        <v>1037</v>
      </c>
      <c r="T549" s="10">
        <v>50.96</v>
      </c>
      <c r="U549" s="8">
        <v>1</v>
      </c>
      <c r="V549" s="8" t="s">
        <v>58</v>
      </c>
      <c r="W549" s="8" t="s">
        <v>536</v>
      </c>
      <c r="X549" s="8" t="s">
        <v>61</v>
      </c>
      <c r="Y549" s="10">
        <v>7.64</v>
      </c>
    </row>
    <row r="550" spans="1:25" s="8" customFormat="1" x14ac:dyDescent="0.3">
      <c r="A550" s="8">
        <v>2027849975</v>
      </c>
      <c r="B550" s="8" t="s">
        <v>758</v>
      </c>
      <c r="C550" s="8" t="s">
        <v>318</v>
      </c>
      <c r="D550" s="8" t="str">
        <f t="shared" si="8"/>
        <v>CHAD DIXON</v>
      </c>
      <c r="E550" s="8" t="s">
        <v>759</v>
      </c>
      <c r="F550" s="8" t="s">
        <v>483</v>
      </c>
      <c r="G550" s="13">
        <v>0.06</v>
      </c>
      <c r="H550" s="8" t="s">
        <v>484</v>
      </c>
      <c r="I550" s="14" t="s">
        <v>484</v>
      </c>
      <c r="J550" s="15">
        <v>17425766</v>
      </c>
      <c r="K550" s="8" t="s">
        <v>544</v>
      </c>
      <c r="L550" s="8" t="s">
        <v>324</v>
      </c>
      <c r="M550" s="8" t="str">
        <f>CONCATENATE(L550," ",K550)</f>
        <v>CAROL FOLEY</v>
      </c>
      <c r="N550" s="8" t="s">
        <v>57</v>
      </c>
      <c r="O550" s="9">
        <v>45733</v>
      </c>
      <c r="P550" s="9">
        <v>46159</v>
      </c>
      <c r="Q550" s="23">
        <f>DATEDIF(O550,P550,"M")</f>
        <v>14</v>
      </c>
      <c r="R550" s="33" t="s">
        <v>536</v>
      </c>
      <c r="S550" s="33" t="s">
        <v>1037</v>
      </c>
      <c r="T550" s="10">
        <v>102.55</v>
      </c>
      <c r="U550" s="8">
        <v>1</v>
      </c>
      <c r="V550" s="8" t="s">
        <v>58</v>
      </c>
      <c r="W550" s="8" t="s">
        <v>536</v>
      </c>
      <c r="X550" s="8" t="s">
        <v>61</v>
      </c>
      <c r="Y550" s="10">
        <v>6.15</v>
      </c>
    </row>
    <row r="551" spans="1:25" s="8" customFormat="1" x14ac:dyDescent="0.3">
      <c r="A551" s="8">
        <v>2027849004</v>
      </c>
      <c r="B551" s="8" t="s">
        <v>835</v>
      </c>
      <c r="C551" s="8" t="s">
        <v>836</v>
      </c>
      <c r="D551" s="8" t="str">
        <f t="shared" si="8"/>
        <v>JAMIE PETERS</v>
      </c>
      <c r="E551" s="8" t="s">
        <v>80</v>
      </c>
      <c r="F551" s="8" t="s">
        <v>483</v>
      </c>
      <c r="G551" s="13">
        <v>0.06</v>
      </c>
      <c r="H551" s="8" t="s">
        <v>484</v>
      </c>
      <c r="I551" s="14" t="s">
        <v>484</v>
      </c>
      <c r="J551" s="15" t="s">
        <v>1009</v>
      </c>
      <c r="K551" s="8" t="s">
        <v>120</v>
      </c>
      <c r="L551" s="8" t="s">
        <v>183</v>
      </c>
      <c r="M551" s="8" t="str">
        <f>CONCATENATE(L551," ",K551)</f>
        <v>Chad Yale</v>
      </c>
      <c r="N551" s="8" t="s">
        <v>57</v>
      </c>
      <c r="O551" s="9">
        <v>45733</v>
      </c>
      <c r="P551" s="9">
        <v>46159</v>
      </c>
      <c r="Q551" s="23">
        <f>DATEDIF(O551,P551,"M")</f>
        <v>14</v>
      </c>
      <c r="R551" s="33" t="s">
        <v>536</v>
      </c>
      <c r="S551" s="33" t="s">
        <v>1037</v>
      </c>
      <c r="T551" s="10">
        <v>182.73</v>
      </c>
      <c r="U551" s="8">
        <v>1</v>
      </c>
      <c r="V551" s="8" t="s">
        <v>58</v>
      </c>
      <c r="W551" s="8" t="s">
        <v>536</v>
      </c>
      <c r="X551" s="8" t="s">
        <v>61</v>
      </c>
      <c r="Y551" s="10">
        <v>10.96</v>
      </c>
    </row>
    <row r="552" spans="1:25" s="8" customFormat="1" x14ac:dyDescent="0.3">
      <c r="A552" s="8">
        <v>2027729457</v>
      </c>
      <c r="B552" s="8" t="s">
        <v>831</v>
      </c>
      <c r="C552" s="8" t="s">
        <v>832</v>
      </c>
      <c r="D552" s="8" t="str">
        <f t="shared" si="8"/>
        <v>ANTONIO CASTELAN</v>
      </c>
      <c r="E552" s="8" t="s">
        <v>80</v>
      </c>
      <c r="F552" s="8" t="s">
        <v>53</v>
      </c>
      <c r="G552" s="13">
        <v>0.15</v>
      </c>
      <c r="H552" s="8" t="s">
        <v>54</v>
      </c>
      <c r="I552" s="14" t="s">
        <v>54</v>
      </c>
      <c r="J552" s="15">
        <v>18754354</v>
      </c>
      <c r="K552" s="8" t="s">
        <v>224</v>
      </c>
      <c r="L552" s="8" t="s">
        <v>225</v>
      </c>
      <c r="M552" s="8" t="str">
        <f>CONCATENATE(L552," ",K552)</f>
        <v>JACOB YALE</v>
      </c>
      <c r="N552" s="8" t="s">
        <v>57</v>
      </c>
      <c r="O552" s="9">
        <v>45728</v>
      </c>
      <c r="P552" s="9">
        <v>46154</v>
      </c>
      <c r="Q552" s="23">
        <f>DATEDIF(O552,P552,"M")</f>
        <v>14</v>
      </c>
      <c r="R552" s="33" t="s">
        <v>536</v>
      </c>
      <c r="S552" s="33" t="s">
        <v>1037</v>
      </c>
      <c r="T552" s="10">
        <v>15.75</v>
      </c>
      <c r="U552" s="8">
        <v>1</v>
      </c>
      <c r="V552" s="8" t="s">
        <v>58</v>
      </c>
      <c r="W552" s="8" t="s">
        <v>536</v>
      </c>
      <c r="X552" s="8" t="s">
        <v>61</v>
      </c>
      <c r="Y552" s="10">
        <v>2.36</v>
      </c>
    </row>
    <row r="553" spans="1:25" s="8" customFormat="1" x14ac:dyDescent="0.3">
      <c r="A553" s="8">
        <v>2027729456</v>
      </c>
      <c r="B553" s="8" t="s">
        <v>831</v>
      </c>
      <c r="C553" s="8" t="s">
        <v>832</v>
      </c>
      <c r="D553" s="8" t="str">
        <f t="shared" si="8"/>
        <v>ANTONIO CASTELAN</v>
      </c>
      <c r="E553" s="8" t="s">
        <v>80</v>
      </c>
      <c r="F553" s="8" t="s">
        <v>483</v>
      </c>
      <c r="G553" s="13">
        <v>0.06</v>
      </c>
      <c r="H553" s="8" t="s">
        <v>484</v>
      </c>
      <c r="I553" s="14" t="s">
        <v>484</v>
      </c>
      <c r="J553" s="15">
        <v>18754354</v>
      </c>
      <c r="K553" s="8" t="s">
        <v>224</v>
      </c>
      <c r="L553" s="8" t="s">
        <v>225</v>
      </c>
      <c r="M553" s="8" t="str">
        <f>CONCATENATE(L553," ",K553)</f>
        <v>JACOB YALE</v>
      </c>
      <c r="N553" s="8" t="s">
        <v>57</v>
      </c>
      <c r="O553" s="9">
        <v>45728</v>
      </c>
      <c r="P553" s="9">
        <v>46154</v>
      </c>
      <c r="Q553" s="23">
        <f>DATEDIF(O553,P553,"M")</f>
        <v>14</v>
      </c>
      <c r="R553" s="33" t="s">
        <v>536</v>
      </c>
      <c r="S553" s="33" t="s">
        <v>1037</v>
      </c>
      <c r="T553" s="10">
        <v>150.44999999999999</v>
      </c>
      <c r="U553" s="8">
        <v>1</v>
      </c>
      <c r="V553" s="8" t="s">
        <v>58</v>
      </c>
      <c r="W553" s="8" t="s">
        <v>536</v>
      </c>
      <c r="X553" s="8" t="s">
        <v>61</v>
      </c>
      <c r="Y553" s="10">
        <v>9.0299999999999994</v>
      </c>
    </row>
    <row r="554" spans="1:25" s="8" customFormat="1" x14ac:dyDescent="0.3">
      <c r="A554" s="8">
        <v>2027258064</v>
      </c>
      <c r="B554" s="8" t="s">
        <v>917</v>
      </c>
      <c r="C554" s="8" t="s">
        <v>918</v>
      </c>
      <c r="D554" s="8" t="str">
        <f t="shared" si="8"/>
        <v>VIVIANA BUSH</v>
      </c>
      <c r="E554" s="8" t="s">
        <v>52</v>
      </c>
      <c r="F554" s="8" t="s">
        <v>53</v>
      </c>
      <c r="G554" s="13">
        <v>0.15</v>
      </c>
      <c r="H554" s="8" t="s">
        <v>54</v>
      </c>
      <c r="I554" s="14" t="s">
        <v>54</v>
      </c>
      <c r="J554" s="15">
        <v>8977234</v>
      </c>
      <c r="K554" s="8" t="s">
        <v>115</v>
      </c>
      <c r="L554" s="8" t="s">
        <v>116</v>
      </c>
      <c r="M554" s="8" t="str">
        <f>CONCATENATE(L554," ",K554)</f>
        <v>RYAN CALTAGIRONE</v>
      </c>
      <c r="N554" s="8" t="s">
        <v>57</v>
      </c>
      <c r="O554" s="9">
        <v>45710</v>
      </c>
      <c r="P554" s="9">
        <v>46134</v>
      </c>
      <c r="Q554" s="23">
        <f>DATEDIF(O554,P554,"M")</f>
        <v>14</v>
      </c>
      <c r="R554" s="33" t="s">
        <v>536</v>
      </c>
      <c r="S554" s="33" t="s">
        <v>1037</v>
      </c>
      <c r="T554" s="10">
        <v>-1.37</v>
      </c>
      <c r="U554" s="8">
        <v>1</v>
      </c>
      <c r="V554" s="8" t="s">
        <v>58</v>
      </c>
      <c r="W554" s="8" t="s">
        <v>536</v>
      </c>
      <c r="X554" s="8" t="s">
        <v>61</v>
      </c>
      <c r="Y554" s="10">
        <v>-0.21</v>
      </c>
    </row>
    <row r="555" spans="1:25" s="8" customFormat="1" x14ac:dyDescent="0.3">
      <c r="A555" s="8">
        <v>2026694437</v>
      </c>
      <c r="B555" s="8" t="s">
        <v>735</v>
      </c>
      <c r="C555" s="8" t="s">
        <v>736</v>
      </c>
      <c r="D555" s="8" t="str">
        <f t="shared" si="8"/>
        <v>GAYLE ENDRES</v>
      </c>
      <c r="E555" s="8" t="s">
        <v>80</v>
      </c>
      <c r="F555" s="8" t="s">
        <v>529</v>
      </c>
      <c r="G555" s="13">
        <v>0.08</v>
      </c>
      <c r="H555" s="8" t="s">
        <v>531</v>
      </c>
      <c r="I555" s="14" t="s">
        <v>530</v>
      </c>
      <c r="J555" s="15">
        <v>8307933</v>
      </c>
      <c r="K555" s="8" t="s">
        <v>55</v>
      </c>
      <c r="L555" s="8" t="s">
        <v>56</v>
      </c>
      <c r="M555" s="8" t="str">
        <f>CONCATENATE(L555," ",K555)</f>
        <v>GREGORY TEIPEL</v>
      </c>
      <c r="N555" s="8" t="s">
        <v>57</v>
      </c>
      <c r="O555" s="9">
        <v>45695</v>
      </c>
      <c r="P555" s="9">
        <v>46149</v>
      </c>
      <c r="Q555" s="23">
        <f>DATEDIF(O555,P555,"M")</f>
        <v>15</v>
      </c>
      <c r="R555" s="33" t="s">
        <v>536</v>
      </c>
      <c r="S555" s="33" t="s">
        <v>1037</v>
      </c>
      <c r="T555" s="10">
        <v>14.95</v>
      </c>
      <c r="U555" s="8">
        <v>1</v>
      </c>
      <c r="V555" s="8" t="s">
        <v>58</v>
      </c>
      <c r="W555" s="8" t="s">
        <v>536</v>
      </c>
      <c r="X555" s="8" t="s">
        <v>61</v>
      </c>
      <c r="Y555" s="10">
        <v>1.2</v>
      </c>
    </row>
    <row r="556" spans="1:25" s="8" customFormat="1" x14ac:dyDescent="0.3">
      <c r="A556" s="8">
        <v>2026694436</v>
      </c>
      <c r="B556" s="8" t="s">
        <v>735</v>
      </c>
      <c r="C556" s="8" t="s">
        <v>736</v>
      </c>
      <c r="D556" s="8" t="str">
        <f t="shared" si="8"/>
        <v>GAYLE ENDRES</v>
      </c>
      <c r="E556" s="8" t="s">
        <v>80</v>
      </c>
      <c r="F556" s="8" t="s">
        <v>529</v>
      </c>
      <c r="G556" s="13">
        <v>0.08</v>
      </c>
      <c r="H556" s="8" t="s">
        <v>530</v>
      </c>
      <c r="I556" s="14" t="s">
        <v>530</v>
      </c>
      <c r="J556" s="15">
        <v>8307933</v>
      </c>
      <c r="K556" s="8" t="s">
        <v>55</v>
      </c>
      <c r="L556" s="8" t="s">
        <v>56</v>
      </c>
      <c r="M556" s="8" t="str">
        <f>CONCATENATE(L556," ",K556)</f>
        <v>GREGORY TEIPEL</v>
      </c>
      <c r="N556" s="8" t="s">
        <v>57</v>
      </c>
      <c r="O556" s="9">
        <v>45695</v>
      </c>
      <c r="P556" s="9">
        <v>46149</v>
      </c>
      <c r="Q556" s="23">
        <f>DATEDIF(O556,P556,"M")</f>
        <v>15</v>
      </c>
      <c r="R556" s="33" t="s">
        <v>536</v>
      </c>
      <c r="S556" s="33" t="s">
        <v>1037</v>
      </c>
      <c r="T556" s="10">
        <v>172.98</v>
      </c>
      <c r="U556" s="8">
        <v>1</v>
      </c>
      <c r="V556" s="8" t="s">
        <v>58</v>
      </c>
      <c r="W556" s="8" t="s">
        <v>536</v>
      </c>
      <c r="X556" s="8" t="s">
        <v>61</v>
      </c>
      <c r="Y556" s="10">
        <v>13.84</v>
      </c>
    </row>
    <row r="557" spans="1:25" s="8" customFormat="1" x14ac:dyDescent="0.3">
      <c r="A557" s="8">
        <v>2026958695</v>
      </c>
      <c r="B557" s="8" t="s">
        <v>552</v>
      </c>
      <c r="C557" s="8" t="s">
        <v>252</v>
      </c>
      <c r="D557" s="8" t="str">
        <f t="shared" si="8"/>
        <v>JOSEPH KABEL</v>
      </c>
      <c r="E557" s="8" t="s">
        <v>256</v>
      </c>
      <c r="F557" s="8" t="s">
        <v>533</v>
      </c>
      <c r="G557" s="16">
        <v>2.5000000000000001E-2</v>
      </c>
      <c r="H557" s="8" t="s">
        <v>534</v>
      </c>
      <c r="I557" s="14" t="s">
        <v>992</v>
      </c>
      <c r="J557" s="15">
        <v>20411454</v>
      </c>
      <c r="K557" s="8" t="s">
        <v>553</v>
      </c>
      <c r="L557" s="8" t="s">
        <v>107</v>
      </c>
      <c r="M557" s="8" t="s">
        <v>1035</v>
      </c>
      <c r="N557" s="8" t="s">
        <v>57</v>
      </c>
      <c r="O557" s="9">
        <v>45702</v>
      </c>
      <c r="P557" s="9">
        <v>46156</v>
      </c>
      <c r="Q557" s="23">
        <f>DATEDIF(O557,P557,"M")</f>
        <v>15</v>
      </c>
      <c r="R557" s="33" t="s">
        <v>536</v>
      </c>
      <c r="S557" s="33" t="s">
        <v>1037</v>
      </c>
      <c r="T557" s="10">
        <v>1.32</v>
      </c>
      <c r="U557" s="8">
        <v>1</v>
      </c>
      <c r="V557" s="8" t="s">
        <v>58</v>
      </c>
      <c r="W557" s="8" t="s">
        <v>536</v>
      </c>
      <c r="X557" s="8" t="s">
        <v>61</v>
      </c>
      <c r="Y557" s="10">
        <v>1.32</v>
      </c>
    </row>
    <row r="558" spans="1:25" s="8" customFormat="1" x14ac:dyDescent="0.3">
      <c r="A558" s="8">
        <v>2027064140</v>
      </c>
      <c r="B558" s="8" t="s">
        <v>582</v>
      </c>
      <c r="C558" s="8" t="s">
        <v>116</v>
      </c>
      <c r="D558" s="8" t="str">
        <f t="shared" si="8"/>
        <v>RYAN GOOD</v>
      </c>
      <c r="E558" s="8" t="s">
        <v>126</v>
      </c>
      <c r="F558" s="8" t="s">
        <v>53</v>
      </c>
      <c r="G558" s="13">
        <v>0.15</v>
      </c>
      <c r="H558" s="8" t="s">
        <v>117</v>
      </c>
      <c r="I558" s="14" t="s">
        <v>117</v>
      </c>
      <c r="J558" s="15">
        <v>8977234</v>
      </c>
      <c r="K558" s="8" t="s">
        <v>115</v>
      </c>
      <c r="L558" s="8" t="s">
        <v>116</v>
      </c>
      <c r="M558" s="8" t="str">
        <f>CONCATENATE(L558," ",K558)</f>
        <v>RYAN CALTAGIRONE</v>
      </c>
      <c r="N558" s="8" t="s">
        <v>57</v>
      </c>
      <c r="O558" s="9">
        <v>45700</v>
      </c>
      <c r="P558" s="9">
        <v>46154</v>
      </c>
      <c r="Q558" s="23">
        <f>DATEDIF(O558,P558,"M")</f>
        <v>15</v>
      </c>
      <c r="R558" s="33" t="s">
        <v>536</v>
      </c>
      <c r="S558" s="33" t="s">
        <v>1037</v>
      </c>
      <c r="T558" s="10">
        <v>23.39</v>
      </c>
      <c r="U558" s="8">
        <v>1</v>
      </c>
      <c r="V558" s="8" t="s">
        <v>58</v>
      </c>
      <c r="W558" s="8" t="s">
        <v>536</v>
      </c>
      <c r="X558" s="8" t="s">
        <v>61</v>
      </c>
      <c r="Y558" s="10">
        <v>3.51</v>
      </c>
    </row>
    <row r="559" spans="1:25" s="8" customFormat="1" x14ac:dyDescent="0.3">
      <c r="A559" s="8">
        <v>2027064141</v>
      </c>
      <c r="B559" s="8" t="s">
        <v>582</v>
      </c>
      <c r="C559" s="8" t="s">
        <v>116</v>
      </c>
      <c r="D559" s="8" t="str">
        <f t="shared" si="8"/>
        <v>RYAN GOOD</v>
      </c>
      <c r="E559" s="8" t="s">
        <v>126</v>
      </c>
      <c r="F559" s="8" t="s">
        <v>444</v>
      </c>
      <c r="G559" s="13">
        <v>0.1</v>
      </c>
      <c r="H559" s="8" t="s">
        <v>454</v>
      </c>
      <c r="I559" s="14" t="s">
        <v>980</v>
      </c>
      <c r="J559" s="15">
        <v>8977234</v>
      </c>
      <c r="K559" s="8" t="s">
        <v>115</v>
      </c>
      <c r="L559" s="8" t="s">
        <v>116</v>
      </c>
      <c r="M559" s="8" t="str">
        <f>CONCATENATE(L559," ",K559)</f>
        <v>RYAN CALTAGIRONE</v>
      </c>
      <c r="N559" s="8" t="s">
        <v>57</v>
      </c>
      <c r="O559" s="9">
        <v>45700</v>
      </c>
      <c r="P559" s="9">
        <v>46154</v>
      </c>
      <c r="Q559" s="23">
        <f>DATEDIF(O559,P559,"M")</f>
        <v>15</v>
      </c>
      <c r="R559" s="33" t="s">
        <v>536</v>
      </c>
      <c r="S559" s="33" t="s">
        <v>1037</v>
      </c>
      <c r="T559" s="10">
        <v>94.38</v>
      </c>
      <c r="U559" s="8">
        <v>1</v>
      </c>
      <c r="V559" s="8" t="s">
        <v>58</v>
      </c>
      <c r="W559" s="8" t="s">
        <v>536</v>
      </c>
      <c r="X559" s="8" t="s">
        <v>61</v>
      </c>
      <c r="Y559" s="10">
        <v>9.44</v>
      </c>
    </row>
    <row r="560" spans="1:25" s="8" customFormat="1" x14ac:dyDescent="0.3">
      <c r="A560" s="8">
        <v>2027064142</v>
      </c>
      <c r="B560" s="8" t="s">
        <v>582</v>
      </c>
      <c r="C560" s="8" t="s">
        <v>116</v>
      </c>
      <c r="D560" s="8" t="str">
        <f t="shared" si="8"/>
        <v>RYAN GOOD</v>
      </c>
      <c r="E560" s="8" t="s">
        <v>126</v>
      </c>
      <c r="F560" s="8" t="s">
        <v>53</v>
      </c>
      <c r="G560" s="13">
        <v>0.15</v>
      </c>
      <c r="H560" s="8" t="s">
        <v>54</v>
      </c>
      <c r="I560" s="14" t="s">
        <v>54</v>
      </c>
      <c r="J560" s="15">
        <v>8977234</v>
      </c>
      <c r="K560" s="8" t="s">
        <v>115</v>
      </c>
      <c r="L560" s="8" t="s">
        <v>116</v>
      </c>
      <c r="M560" s="8" t="str">
        <f>CONCATENATE(L560," ",K560)</f>
        <v>RYAN CALTAGIRONE</v>
      </c>
      <c r="N560" s="8" t="s">
        <v>57</v>
      </c>
      <c r="O560" s="9">
        <v>45700</v>
      </c>
      <c r="P560" s="9">
        <v>46154</v>
      </c>
      <c r="Q560" s="23">
        <f>DATEDIF(O560,P560,"M")</f>
        <v>15</v>
      </c>
      <c r="R560" s="33" t="s">
        <v>536</v>
      </c>
      <c r="S560" s="33" t="s">
        <v>1037</v>
      </c>
      <c r="T560" s="10">
        <v>115.91</v>
      </c>
      <c r="U560" s="8">
        <v>1</v>
      </c>
      <c r="V560" s="8" t="s">
        <v>58</v>
      </c>
      <c r="W560" s="8" t="s">
        <v>536</v>
      </c>
      <c r="X560" s="8" t="s">
        <v>61</v>
      </c>
      <c r="Y560" s="10">
        <v>17.39</v>
      </c>
    </row>
    <row r="561" spans="1:25" s="8" customFormat="1" x14ac:dyDescent="0.3">
      <c r="A561" s="8">
        <v>2026585511</v>
      </c>
      <c r="B561" s="8" t="s">
        <v>810</v>
      </c>
      <c r="C561" s="8" t="s">
        <v>389</v>
      </c>
      <c r="D561" s="8" t="str">
        <f t="shared" si="8"/>
        <v>MICHELE LIBERATORE</v>
      </c>
      <c r="E561" s="8" t="s">
        <v>256</v>
      </c>
      <c r="F561" s="8" t="s">
        <v>483</v>
      </c>
      <c r="G561" s="13">
        <v>0.06</v>
      </c>
      <c r="H561" s="8" t="s">
        <v>484</v>
      </c>
      <c r="I561" s="14" t="s">
        <v>484</v>
      </c>
      <c r="J561" s="15" t="s">
        <v>988</v>
      </c>
      <c r="K561" s="8" t="s">
        <v>747</v>
      </c>
      <c r="L561" s="8" t="s">
        <v>748</v>
      </c>
      <c r="M561" s="8" t="str">
        <f>CONCATENATE(L561," ",K561)</f>
        <v>DEBORAH INSKIPT</v>
      </c>
      <c r="N561" s="8" t="s">
        <v>57</v>
      </c>
      <c r="O561" s="9">
        <v>45672</v>
      </c>
      <c r="P561" s="9">
        <v>46157</v>
      </c>
      <c r="Q561" s="23">
        <f>DATEDIF(O561,P561,"M")</f>
        <v>16</v>
      </c>
      <c r="R561" s="33" t="s">
        <v>536</v>
      </c>
      <c r="S561" s="33" t="s">
        <v>1037</v>
      </c>
      <c r="T561" s="10">
        <v>149.46</v>
      </c>
      <c r="U561" s="8">
        <v>1</v>
      </c>
      <c r="V561" s="8" t="s">
        <v>58</v>
      </c>
      <c r="W561" s="8" t="s">
        <v>536</v>
      </c>
      <c r="X561" s="8" t="s">
        <v>61</v>
      </c>
      <c r="Y561" s="10">
        <v>8.9700000000000006</v>
      </c>
    </row>
    <row r="562" spans="1:25" s="8" customFormat="1" x14ac:dyDescent="0.3">
      <c r="A562" s="8">
        <v>2026603199</v>
      </c>
      <c r="B562" s="8" t="s">
        <v>550</v>
      </c>
      <c r="C562" s="8" t="s">
        <v>551</v>
      </c>
      <c r="D562" s="8" t="str">
        <f t="shared" si="8"/>
        <v>GEOFFREY PETTINE</v>
      </c>
      <c r="E562" s="8" t="s">
        <v>256</v>
      </c>
      <c r="F562" s="8" t="s">
        <v>499</v>
      </c>
      <c r="G562" s="13">
        <v>0.1</v>
      </c>
      <c r="H562" s="8" t="s">
        <v>502</v>
      </c>
      <c r="I562" s="14" t="s">
        <v>502</v>
      </c>
      <c r="J562" s="15" t="s">
        <v>1025</v>
      </c>
      <c r="K562" s="8" t="s">
        <v>535</v>
      </c>
      <c r="L562" s="8" t="s">
        <v>149</v>
      </c>
      <c r="M562" s="8" t="str">
        <f>CONCATENATE(L562," ",K562)</f>
        <v>JOHN ROKEN</v>
      </c>
      <c r="N562" s="8" t="s">
        <v>57</v>
      </c>
      <c r="O562" s="9">
        <v>45673</v>
      </c>
      <c r="P562" s="9">
        <v>46158</v>
      </c>
      <c r="Q562" s="23">
        <f>DATEDIF(O562,P562,"M")</f>
        <v>16</v>
      </c>
      <c r="R562" s="33" t="s">
        <v>536</v>
      </c>
      <c r="S562" s="33" t="s">
        <v>1037</v>
      </c>
      <c r="T562" s="10">
        <v>33.51</v>
      </c>
      <c r="U562" s="8">
        <v>1</v>
      </c>
      <c r="V562" s="8" t="s">
        <v>58</v>
      </c>
      <c r="W562" s="8" t="s">
        <v>536</v>
      </c>
      <c r="X562" s="8" t="s">
        <v>61</v>
      </c>
      <c r="Y562" s="10">
        <v>3.35</v>
      </c>
    </row>
    <row r="563" spans="1:25" s="8" customFormat="1" x14ac:dyDescent="0.3">
      <c r="A563" s="8">
        <v>2026603200</v>
      </c>
      <c r="B563" s="8" t="s">
        <v>550</v>
      </c>
      <c r="C563" s="8" t="s">
        <v>551</v>
      </c>
      <c r="D563" s="8" t="str">
        <f t="shared" si="8"/>
        <v>GEOFFREY PETTINE</v>
      </c>
      <c r="E563" s="8" t="s">
        <v>256</v>
      </c>
      <c r="F563" s="8" t="s">
        <v>533</v>
      </c>
      <c r="G563" s="16">
        <v>6.5000000000000002E-2</v>
      </c>
      <c r="H563" s="8" t="s">
        <v>534</v>
      </c>
      <c r="I563" s="14" t="s">
        <v>534</v>
      </c>
      <c r="J563" s="15" t="s">
        <v>1025</v>
      </c>
      <c r="K563" s="8" t="s">
        <v>535</v>
      </c>
      <c r="L563" s="8" t="s">
        <v>149</v>
      </c>
      <c r="M563" s="8" t="str">
        <f>CONCATENATE(L563," ",K563)</f>
        <v>JOHN ROKEN</v>
      </c>
      <c r="N563" s="8" t="s">
        <v>57</v>
      </c>
      <c r="O563" s="9">
        <v>45673</v>
      </c>
      <c r="P563" s="9">
        <v>46158</v>
      </c>
      <c r="Q563" s="23">
        <f>DATEDIF(O563,P563,"M")</f>
        <v>16</v>
      </c>
      <c r="R563" s="33" t="s">
        <v>536</v>
      </c>
      <c r="S563" s="33" t="s">
        <v>1037</v>
      </c>
      <c r="T563" s="10">
        <v>56.69</v>
      </c>
      <c r="U563" s="8">
        <v>1</v>
      </c>
      <c r="V563" s="8" t="s">
        <v>58</v>
      </c>
      <c r="W563" s="8" t="s">
        <v>536</v>
      </c>
      <c r="X563" s="8" t="s">
        <v>61</v>
      </c>
      <c r="Y563" s="10">
        <v>3.68</v>
      </c>
    </row>
    <row r="564" spans="1:25" s="8" customFormat="1" x14ac:dyDescent="0.3">
      <c r="A564" s="8">
        <v>2026146921</v>
      </c>
      <c r="B564" s="8" t="s">
        <v>806</v>
      </c>
      <c r="C564" s="8" t="s">
        <v>807</v>
      </c>
      <c r="D564" s="8" t="str">
        <f t="shared" si="8"/>
        <v>VINCE MACCARELLI</v>
      </c>
      <c r="E564" s="8" t="s">
        <v>256</v>
      </c>
      <c r="F564" s="8" t="s">
        <v>483</v>
      </c>
      <c r="G564" s="13">
        <v>0.06</v>
      </c>
      <c r="H564" s="8" t="s">
        <v>484</v>
      </c>
      <c r="I564" s="14" t="s">
        <v>484</v>
      </c>
      <c r="J564" s="15">
        <v>17528908</v>
      </c>
      <c r="K564" s="8" t="s">
        <v>747</v>
      </c>
      <c r="L564" s="8" t="s">
        <v>748</v>
      </c>
      <c r="M564" s="8" t="str">
        <f>CONCATENATE(L564," ",K564)</f>
        <v>DEBORAH INSKIPT</v>
      </c>
      <c r="N564" s="8" t="s">
        <v>57</v>
      </c>
      <c r="O564" s="9">
        <v>45639</v>
      </c>
      <c r="P564" s="9">
        <v>46155</v>
      </c>
      <c r="Q564" s="23">
        <f>DATEDIF(O564,P564,"M")</f>
        <v>17</v>
      </c>
      <c r="R564" s="33" t="s">
        <v>536</v>
      </c>
      <c r="S564" s="33" t="s">
        <v>1037</v>
      </c>
      <c r="T564" s="10">
        <v>39.979999999999997</v>
      </c>
      <c r="U564" s="8">
        <v>1</v>
      </c>
      <c r="V564" s="8" t="s">
        <v>58</v>
      </c>
      <c r="W564" s="8" t="s">
        <v>536</v>
      </c>
      <c r="X564" s="8" t="s">
        <v>61</v>
      </c>
      <c r="Y564" s="10">
        <v>2.4</v>
      </c>
    </row>
    <row r="565" spans="1:25" s="8" customFormat="1" x14ac:dyDescent="0.3">
      <c r="A565" s="8">
        <v>2026179999</v>
      </c>
      <c r="B565" s="8" t="s">
        <v>909</v>
      </c>
      <c r="C565" s="8" t="s">
        <v>910</v>
      </c>
      <c r="D565" s="8" t="str">
        <f t="shared" si="8"/>
        <v>ROMAN PRUNCZAK</v>
      </c>
      <c r="E565" s="8" t="s">
        <v>80</v>
      </c>
      <c r="F565" s="8" t="s">
        <v>53</v>
      </c>
      <c r="G565" s="13">
        <v>0.15</v>
      </c>
      <c r="H565" s="8" t="s">
        <v>54</v>
      </c>
      <c r="I565" s="14" t="s">
        <v>54</v>
      </c>
      <c r="J565" s="15">
        <v>9213293</v>
      </c>
      <c r="K565" s="8" t="s">
        <v>171</v>
      </c>
      <c r="L565" s="8" t="s">
        <v>172</v>
      </c>
      <c r="M565" s="8" t="str">
        <f>CONCATENATE(L565," ",K565)</f>
        <v>GARY PORTUGAL</v>
      </c>
      <c r="N565" s="8" t="s">
        <v>57</v>
      </c>
      <c r="O565" s="9">
        <v>45641</v>
      </c>
      <c r="P565" s="9">
        <v>46157</v>
      </c>
      <c r="Q565" s="23">
        <f>DATEDIF(O565,P565,"M")</f>
        <v>17</v>
      </c>
      <c r="R565" s="33" t="s">
        <v>536</v>
      </c>
      <c r="S565" s="33" t="s">
        <v>1037</v>
      </c>
      <c r="T565" s="10">
        <v>31.6</v>
      </c>
      <c r="U565" s="8">
        <v>1</v>
      </c>
      <c r="V565" s="8" t="s">
        <v>58</v>
      </c>
      <c r="W565" s="8" t="s">
        <v>536</v>
      </c>
      <c r="X565" s="8" t="s">
        <v>61</v>
      </c>
      <c r="Y565" s="10">
        <v>4.74</v>
      </c>
    </row>
    <row r="566" spans="1:25" s="8" customFormat="1" x14ac:dyDescent="0.3">
      <c r="A566" s="8">
        <v>2026141665</v>
      </c>
      <c r="B566" s="8" t="s">
        <v>804</v>
      </c>
      <c r="C566" s="8" t="s">
        <v>805</v>
      </c>
      <c r="D566" s="8" t="str">
        <f t="shared" si="8"/>
        <v>NIDA HUSSAIN</v>
      </c>
      <c r="E566" s="8" t="s">
        <v>80</v>
      </c>
      <c r="F566" s="8" t="s">
        <v>483</v>
      </c>
      <c r="G566" s="13">
        <v>0.06</v>
      </c>
      <c r="H566" s="8" t="s">
        <v>484</v>
      </c>
      <c r="I566" s="14" t="s">
        <v>484</v>
      </c>
      <c r="J566" s="15">
        <v>8307933</v>
      </c>
      <c r="K566" s="8" t="s">
        <v>55</v>
      </c>
      <c r="L566" s="8" t="s">
        <v>56</v>
      </c>
      <c r="M566" s="8" t="str">
        <f>CONCATENATE(L566," ",K566)</f>
        <v>GREGORY TEIPEL</v>
      </c>
      <c r="N566" s="8" t="s">
        <v>57</v>
      </c>
      <c r="O566" s="9">
        <v>45641</v>
      </c>
      <c r="P566" s="9">
        <v>46157</v>
      </c>
      <c r="Q566" s="23">
        <f>DATEDIF(O566,P566,"M")</f>
        <v>17</v>
      </c>
      <c r="R566" s="33" t="s">
        <v>536</v>
      </c>
      <c r="S566" s="33" t="s">
        <v>1037</v>
      </c>
      <c r="T566" s="10">
        <v>101.87</v>
      </c>
      <c r="U566" s="8">
        <v>1</v>
      </c>
      <c r="V566" s="8" t="s">
        <v>58</v>
      </c>
      <c r="W566" s="8" t="s">
        <v>536</v>
      </c>
      <c r="X566" s="8" t="s">
        <v>61</v>
      </c>
      <c r="Y566" s="10">
        <v>6.11</v>
      </c>
    </row>
    <row r="567" spans="1:25" s="8" customFormat="1" x14ac:dyDescent="0.3">
      <c r="A567" s="8">
        <v>2025744022</v>
      </c>
      <c r="B567" s="8" t="s">
        <v>904</v>
      </c>
      <c r="C567" s="8" t="s">
        <v>905</v>
      </c>
      <c r="D567" s="8" t="str">
        <f t="shared" si="8"/>
        <v>GLORIA PANGAN</v>
      </c>
      <c r="E567" s="8" t="s">
        <v>80</v>
      </c>
      <c r="F567" s="8" t="s">
        <v>53</v>
      </c>
      <c r="G567" s="13">
        <v>0.15</v>
      </c>
      <c r="H567" s="8" t="s">
        <v>54</v>
      </c>
      <c r="I567" s="14" t="s">
        <v>54</v>
      </c>
      <c r="J567" s="15" t="s">
        <v>1017</v>
      </c>
      <c r="K567" s="8" t="s">
        <v>262</v>
      </c>
      <c r="L567" s="8" t="s">
        <v>263</v>
      </c>
      <c r="M567" s="8" t="str">
        <f>CONCATENATE(L567," ",K567)</f>
        <v>BARRY BRENNER</v>
      </c>
      <c r="N567" s="8" t="s">
        <v>57</v>
      </c>
      <c r="O567" s="9">
        <v>45609</v>
      </c>
      <c r="P567" s="9">
        <v>46155</v>
      </c>
      <c r="Q567" s="23">
        <f>DATEDIF(O567,P567,"M")</f>
        <v>18</v>
      </c>
      <c r="R567" s="33" t="s">
        <v>536</v>
      </c>
      <c r="S567" s="33" t="s">
        <v>1037</v>
      </c>
      <c r="T567" s="10">
        <v>118</v>
      </c>
      <c r="U567" s="8">
        <v>1</v>
      </c>
      <c r="V567" s="8" t="s">
        <v>58</v>
      </c>
      <c r="W567" s="8" t="s">
        <v>536</v>
      </c>
      <c r="X567" s="8" t="s">
        <v>61</v>
      </c>
      <c r="Y567" s="10">
        <v>17.7</v>
      </c>
    </row>
    <row r="568" spans="1:25" s="8" customFormat="1" x14ac:dyDescent="0.3">
      <c r="A568" s="8">
        <v>2025724075</v>
      </c>
      <c r="B568" s="8" t="s">
        <v>875</v>
      </c>
      <c r="C568" s="8" t="s">
        <v>175</v>
      </c>
      <c r="D568" s="8" t="str">
        <f t="shared" si="8"/>
        <v>MICHAEL GIRGENTI</v>
      </c>
      <c r="E568" s="8" t="s">
        <v>256</v>
      </c>
      <c r="F568" s="8" t="s">
        <v>499</v>
      </c>
      <c r="G568" s="13">
        <v>0.1</v>
      </c>
      <c r="H568" s="8" t="s">
        <v>502</v>
      </c>
      <c r="I568" s="14" t="s">
        <v>502</v>
      </c>
      <c r="J568" s="15">
        <v>17425766</v>
      </c>
      <c r="K568" s="8" t="s">
        <v>544</v>
      </c>
      <c r="L568" s="8" t="s">
        <v>324</v>
      </c>
      <c r="M568" s="8" t="str">
        <f>CONCATENATE(L568," ",K568)</f>
        <v>CAROL FOLEY</v>
      </c>
      <c r="N568" s="8" t="s">
        <v>57</v>
      </c>
      <c r="O568" s="9">
        <v>45608</v>
      </c>
      <c r="P568" s="9">
        <v>46154</v>
      </c>
      <c r="Q568" s="23">
        <f>DATEDIF(O568,P568,"M")</f>
        <v>18</v>
      </c>
      <c r="R568" s="33" t="s">
        <v>536</v>
      </c>
      <c r="S568" s="33" t="s">
        <v>1037</v>
      </c>
      <c r="T568" s="10">
        <v>53.16</v>
      </c>
      <c r="U568" s="8">
        <v>1</v>
      </c>
      <c r="V568" s="8" t="s">
        <v>58</v>
      </c>
      <c r="W568" s="8" t="s">
        <v>536</v>
      </c>
      <c r="X568" s="8" t="s">
        <v>61</v>
      </c>
      <c r="Y568" s="10">
        <v>5.32</v>
      </c>
    </row>
    <row r="569" spans="1:25" s="8" customFormat="1" x14ac:dyDescent="0.3">
      <c r="A569" s="8">
        <v>2025729949</v>
      </c>
      <c r="B569" s="8" t="s">
        <v>876</v>
      </c>
      <c r="C569" s="8" t="s">
        <v>200</v>
      </c>
      <c r="D569" s="8" t="str">
        <f t="shared" si="8"/>
        <v>WILLIAM MARONSKI</v>
      </c>
      <c r="E569" s="8" t="s">
        <v>256</v>
      </c>
      <c r="F569" s="8" t="s">
        <v>499</v>
      </c>
      <c r="G569" s="13">
        <v>0.1</v>
      </c>
      <c r="H569" s="8" t="s">
        <v>502</v>
      </c>
      <c r="I569" s="14" t="s">
        <v>502</v>
      </c>
      <c r="J569" s="15">
        <v>17425766</v>
      </c>
      <c r="K569" s="8" t="s">
        <v>544</v>
      </c>
      <c r="L569" s="8" t="s">
        <v>324</v>
      </c>
      <c r="M569" s="8" t="str">
        <f>CONCATENATE(L569," ",K569)</f>
        <v>CAROL FOLEY</v>
      </c>
      <c r="N569" s="8" t="s">
        <v>57</v>
      </c>
      <c r="O569" s="9">
        <v>45609</v>
      </c>
      <c r="P569" s="9">
        <v>46155</v>
      </c>
      <c r="Q569" s="23">
        <f>DATEDIF(O569,P569,"M")</f>
        <v>18</v>
      </c>
      <c r="R569" s="33" t="s">
        <v>536</v>
      </c>
      <c r="S569" s="33" t="s">
        <v>1037</v>
      </c>
      <c r="T569" s="10">
        <v>53.16</v>
      </c>
      <c r="U569" s="8">
        <v>1</v>
      </c>
      <c r="V569" s="8" t="s">
        <v>58</v>
      </c>
      <c r="W569" s="8" t="s">
        <v>536</v>
      </c>
      <c r="X569" s="8" t="s">
        <v>61</v>
      </c>
      <c r="Y569" s="10">
        <v>5.32</v>
      </c>
    </row>
    <row r="570" spans="1:25" s="8" customFormat="1" x14ac:dyDescent="0.3">
      <c r="A570" s="8">
        <v>2025756062</v>
      </c>
      <c r="B570" s="8" t="s">
        <v>547</v>
      </c>
      <c r="C570" s="8" t="s">
        <v>548</v>
      </c>
      <c r="D570" s="8" t="str">
        <f t="shared" si="8"/>
        <v>KEVIN CLOUSE</v>
      </c>
      <c r="E570" s="8" t="s">
        <v>256</v>
      </c>
      <c r="F570" s="8" t="s">
        <v>499</v>
      </c>
      <c r="G570" s="13">
        <v>0.1</v>
      </c>
      <c r="H570" s="8" t="s">
        <v>502</v>
      </c>
      <c r="I570" s="14" t="s">
        <v>502</v>
      </c>
      <c r="J570" s="15">
        <v>17425766</v>
      </c>
      <c r="K570" s="8" t="s">
        <v>544</v>
      </c>
      <c r="L570" s="8" t="s">
        <v>324</v>
      </c>
      <c r="M570" s="8" t="str">
        <f>CONCATENATE(L570," ",K570)</f>
        <v>CAROL FOLEY</v>
      </c>
      <c r="N570" s="8" t="s">
        <v>57</v>
      </c>
      <c r="O570" s="9">
        <v>45610</v>
      </c>
      <c r="P570" s="9">
        <v>46156</v>
      </c>
      <c r="Q570" s="23">
        <f>DATEDIF(O570,P570,"M")</f>
        <v>18</v>
      </c>
      <c r="R570" s="33" t="s">
        <v>536</v>
      </c>
      <c r="S570" s="33" t="s">
        <v>1037</v>
      </c>
      <c r="T570" s="10">
        <v>33.51</v>
      </c>
      <c r="U570" s="8">
        <v>1</v>
      </c>
      <c r="V570" s="8" t="s">
        <v>58</v>
      </c>
      <c r="W570" s="8" t="s">
        <v>536</v>
      </c>
      <c r="X570" s="8" t="s">
        <v>61</v>
      </c>
      <c r="Y570" s="10">
        <v>3.35</v>
      </c>
    </row>
    <row r="571" spans="1:25" s="8" customFormat="1" x14ac:dyDescent="0.3">
      <c r="A571" s="8">
        <v>2025756063</v>
      </c>
      <c r="B571" s="8" t="s">
        <v>547</v>
      </c>
      <c r="C571" s="8" t="s">
        <v>548</v>
      </c>
      <c r="D571" s="8" t="str">
        <f t="shared" si="8"/>
        <v>KEVIN CLOUSE</v>
      </c>
      <c r="E571" s="8" t="s">
        <v>256</v>
      </c>
      <c r="F571" s="8" t="s">
        <v>533</v>
      </c>
      <c r="G571" s="16">
        <v>6.5000000000000002E-2</v>
      </c>
      <c r="H571" s="8" t="s">
        <v>534</v>
      </c>
      <c r="I571" s="14" t="s">
        <v>534</v>
      </c>
      <c r="J571" s="15">
        <v>17425766</v>
      </c>
      <c r="K571" s="8" t="s">
        <v>544</v>
      </c>
      <c r="L571" s="8" t="s">
        <v>324</v>
      </c>
      <c r="M571" s="8" t="str">
        <f>CONCATENATE(L571," ",K571)</f>
        <v>CAROL FOLEY</v>
      </c>
      <c r="N571" s="8" t="s">
        <v>57</v>
      </c>
      <c r="O571" s="9">
        <v>45610</v>
      </c>
      <c r="P571" s="9">
        <v>46156</v>
      </c>
      <c r="Q571" s="23">
        <f>DATEDIF(O571,P571,"M")</f>
        <v>18</v>
      </c>
      <c r="R571" s="33" t="s">
        <v>536</v>
      </c>
      <c r="S571" s="33" t="s">
        <v>1037</v>
      </c>
      <c r="T571" s="10">
        <v>46.45</v>
      </c>
      <c r="U571" s="8">
        <v>1</v>
      </c>
      <c r="V571" s="8" t="s">
        <v>58</v>
      </c>
      <c r="W571" s="8" t="s">
        <v>536</v>
      </c>
      <c r="X571" s="8" t="s">
        <v>61</v>
      </c>
      <c r="Y571" s="10">
        <v>3.02</v>
      </c>
    </row>
    <row r="572" spans="1:25" s="8" customFormat="1" x14ac:dyDescent="0.3">
      <c r="A572" s="8">
        <v>2025771713</v>
      </c>
      <c r="B572" s="8" t="s">
        <v>549</v>
      </c>
      <c r="C572" s="8" t="s">
        <v>147</v>
      </c>
      <c r="D572" s="8" t="str">
        <f t="shared" si="8"/>
        <v>MATTHEW WHITLOCK</v>
      </c>
      <c r="E572" s="8" t="s">
        <v>256</v>
      </c>
      <c r="F572" s="8" t="s">
        <v>533</v>
      </c>
      <c r="G572" s="16">
        <v>6.5000000000000002E-2</v>
      </c>
      <c r="H572" s="8" t="s">
        <v>534</v>
      </c>
      <c r="I572" s="14" t="s">
        <v>534</v>
      </c>
      <c r="J572" s="15">
        <v>17425766</v>
      </c>
      <c r="K572" s="8" t="s">
        <v>544</v>
      </c>
      <c r="L572" s="8" t="s">
        <v>324</v>
      </c>
      <c r="M572" s="8" t="str">
        <f>CONCATENATE(L572," ",K572)</f>
        <v>CAROL FOLEY</v>
      </c>
      <c r="N572" s="8" t="s">
        <v>57</v>
      </c>
      <c r="O572" s="9">
        <v>45611</v>
      </c>
      <c r="P572" s="9">
        <v>46157</v>
      </c>
      <c r="Q572" s="23">
        <f>DATEDIF(O572,P572,"M")</f>
        <v>18</v>
      </c>
      <c r="R572" s="33" t="s">
        <v>536</v>
      </c>
      <c r="S572" s="33" t="s">
        <v>1037</v>
      </c>
      <c r="T572" s="10">
        <v>52.69</v>
      </c>
      <c r="U572" s="8">
        <v>1</v>
      </c>
      <c r="V572" s="8" t="s">
        <v>58</v>
      </c>
      <c r="W572" s="8" t="s">
        <v>536</v>
      </c>
      <c r="X572" s="8" t="s">
        <v>61</v>
      </c>
      <c r="Y572" s="10">
        <v>3.42</v>
      </c>
    </row>
    <row r="573" spans="1:25" s="8" customFormat="1" x14ac:dyDescent="0.3">
      <c r="A573" s="8">
        <v>2025621632</v>
      </c>
      <c r="B573" s="8" t="s">
        <v>900</v>
      </c>
      <c r="C573" s="8" t="s">
        <v>901</v>
      </c>
      <c r="D573" s="8" t="str">
        <f t="shared" si="8"/>
        <v>MUNKHSAIKHAN OCHIR</v>
      </c>
      <c r="E573" s="8" t="s">
        <v>80</v>
      </c>
      <c r="F573" s="8" t="s">
        <v>53</v>
      </c>
      <c r="G573" s="13">
        <v>0.15</v>
      </c>
      <c r="H573" s="8" t="s">
        <v>54</v>
      </c>
      <c r="I573" s="14" t="s">
        <v>54</v>
      </c>
      <c r="J573" s="15">
        <v>20999157</v>
      </c>
      <c r="K573" s="8" t="s">
        <v>902</v>
      </c>
      <c r="L573" s="8" t="s">
        <v>903</v>
      </c>
      <c r="M573" s="8" t="str">
        <f>CONCATENATE(L573," ",K573)</f>
        <v>ODMAA ENKHTUR</v>
      </c>
      <c r="N573" s="8" t="s">
        <v>57</v>
      </c>
      <c r="O573" s="9">
        <v>45611</v>
      </c>
      <c r="P573" s="9">
        <v>46157</v>
      </c>
      <c r="Q573" s="23">
        <f>DATEDIF(O573,P573,"M")</f>
        <v>18</v>
      </c>
      <c r="R573" s="33" t="s">
        <v>536</v>
      </c>
      <c r="S573" s="33" t="s">
        <v>1037</v>
      </c>
      <c r="T573" s="10">
        <v>34</v>
      </c>
      <c r="U573" s="8">
        <v>1</v>
      </c>
      <c r="V573" s="8" t="s">
        <v>58</v>
      </c>
      <c r="W573" s="8" t="s">
        <v>536</v>
      </c>
      <c r="X573" s="8" t="s">
        <v>61</v>
      </c>
      <c r="Y573" s="10">
        <v>5.0999999999999996</v>
      </c>
    </row>
    <row r="574" spans="1:25" s="8" customFormat="1" x14ac:dyDescent="0.3">
      <c r="A574" s="8">
        <v>2025785647</v>
      </c>
      <c r="B574" s="8" t="s">
        <v>800</v>
      </c>
      <c r="C574" s="8" t="s">
        <v>801</v>
      </c>
      <c r="D574" s="8" t="str">
        <f t="shared" si="8"/>
        <v>KEITH RODECK</v>
      </c>
      <c r="E574" s="8" t="s">
        <v>52</v>
      </c>
      <c r="F574" s="8" t="s">
        <v>53</v>
      </c>
      <c r="G574" s="13">
        <v>0.15</v>
      </c>
      <c r="H574" s="8" t="s">
        <v>97</v>
      </c>
      <c r="I574" s="14" t="s">
        <v>117</v>
      </c>
      <c r="J574" s="15">
        <v>8977234</v>
      </c>
      <c r="K574" s="8" t="s">
        <v>115</v>
      </c>
      <c r="L574" s="8" t="s">
        <v>116</v>
      </c>
      <c r="M574" s="8" t="str">
        <f>CONCATENATE(L574," ",K574)</f>
        <v>RYAN CALTAGIRONE</v>
      </c>
      <c r="N574" s="8" t="s">
        <v>57</v>
      </c>
      <c r="O574" s="9">
        <v>45612</v>
      </c>
      <c r="P574" s="9">
        <v>46158</v>
      </c>
      <c r="Q574" s="23">
        <f>DATEDIF(O574,P574,"M")</f>
        <v>18</v>
      </c>
      <c r="R574" s="33" t="s">
        <v>536</v>
      </c>
      <c r="S574" s="33" t="s">
        <v>1037</v>
      </c>
      <c r="T574" s="10">
        <v>51.46</v>
      </c>
      <c r="U574" s="8">
        <v>1</v>
      </c>
      <c r="V574" s="8" t="s">
        <v>58</v>
      </c>
      <c r="W574" s="8" t="s">
        <v>536</v>
      </c>
      <c r="X574" s="8" t="s">
        <v>61</v>
      </c>
      <c r="Y574" s="10">
        <v>7.72</v>
      </c>
    </row>
    <row r="575" spans="1:25" s="8" customFormat="1" x14ac:dyDescent="0.3">
      <c r="A575" s="8">
        <v>2025785646</v>
      </c>
      <c r="B575" s="8" t="s">
        <v>800</v>
      </c>
      <c r="C575" s="8" t="s">
        <v>801</v>
      </c>
      <c r="D575" s="8" t="str">
        <f t="shared" si="8"/>
        <v>KEITH RODECK</v>
      </c>
      <c r="E575" s="8" t="s">
        <v>52</v>
      </c>
      <c r="F575" s="8" t="s">
        <v>483</v>
      </c>
      <c r="G575" s="13">
        <v>0.06</v>
      </c>
      <c r="H575" s="8" t="s">
        <v>484</v>
      </c>
      <c r="I575" s="14" t="s">
        <v>484</v>
      </c>
      <c r="J575" s="15">
        <v>8977234</v>
      </c>
      <c r="K575" s="8" t="s">
        <v>115</v>
      </c>
      <c r="L575" s="8" t="s">
        <v>116</v>
      </c>
      <c r="M575" s="8" t="str">
        <f>CONCATENATE(L575," ",K575)</f>
        <v>RYAN CALTAGIRONE</v>
      </c>
      <c r="N575" s="8" t="s">
        <v>57</v>
      </c>
      <c r="O575" s="9">
        <v>45612</v>
      </c>
      <c r="P575" s="9">
        <v>46158</v>
      </c>
      <c r="Q575" s="23">
        <f>DATEDIF(O575,P575,"M")</f>
        <v>18</v>
      </c>
      <c r="R575" s="33" t="s">
        <v>536</v>
      </c>
      <c r="S575" s="33" t="s">
        <v>1037</v>
      </c>
      <c r="T575" s="10">
        <v>89.37</v>
      </c>
      <c r="U575" s="8">
        <v>1</v>
      </c>
      <c r="V575" s="8" t="s">
        <v>58</v>
      </c>
      <c r="W575" s="8" t="s">
        <v>536</v>
      </c>
      <c r="X575" s="8" t="s">
        <v>61</v>
      </c>
      <c r="Y575" s="10">
        <v>5.36</v>
      </c>
    </row>
    <row r="576" spans="1:25" s="8" customFormat="1" x14ac:dyDescent="0.3">
      <c r="A576" s="8">
        <v>2025271292</v>
      </c>
      <c r="B576" s="8" t="s">
        <v>873</v>
      </c>
      <c r="C576" s="8" t="s">
        <v>874</v>
      </c>
      <c r="D576" s="8" t="str">
        <f t="shared" si="8"/>
        <v>JESSICA MULLER</v>
      </c>
      <c r="E576" s="8" t="s">
        <v>256</v>
      </c>
      <c r="F576" s="8" t="s">
        <v>499</v>
      </c>
      <c r="G576" s="13">
        <v>0.1</v>
      </c>
      <c r="H576" s="8" t="s">
        <v>502</v>
      </c>
      <c r="I576" s="14" t="s">
        <v>502</v>
      </c>
      <c r="J576" s="15">
        <v>17425766</v>
      </c>
      <c r="K576" s="8" t="s">
        <v>544</v>
      </c>
      <c r="L576" s="8" t="s">
        <v>324</v>
      </c>
      <c r="M576" s="8" t="str">
        <f>CONCATENATE(L576," ",K576)</f>
        <v>CAROL FOLEY</v>
      </c>
      <c r="N576" s="8" t="s">
        <v>57</v>
      </c>
      <c r="O576" s="9">
        <v>45577</v>
      </c>
      <c r="P576" s="9">
        <v>46154</v>
      </c>
      <c r="Q576" s="23">
        <f>DATEDIF(O576,P576,"M")</f>
        <v>19</v>
      </c>
      <c r="R576" s="33" t="s">
        <v>536</v>
      </c>
      <c r="S576" s="33" t="s">
        <v>1037</v>
      </c>
      <c r="T576" s="10">
        <v>89.62</v>
      </c>
      <c r="U576" s="8">
        <v>1</v>
      </c>
      <c r="V576" s="8" t="s">
        <v>58</v>
      </c>
      <c r="W576" s="8" t="s">
        <v>536</v>
      </c>
      <c r="X576" s="8" t="s">
        <v>61</v>
      </c>
      <c r="Y576" s="10">
        <v>8.9600000000000009</v>
      </c>
    </row>
    <row r="577" spans="1:25" s="8" customFormat="1" x14ac:dyDescent="0.3">
      <c r="A577" s="8">
        <v>2024853076</v>
      </c>
      <c r="B577" s="8" t="s">
        <v>657</v>
      </c>
      <c r="C577" s="8" t="s">
        <v>658</v>
      </c>
      <c r="D577" s="8" t="str">
        <f t="shared" si="8"/>
        <v>BERNARDO CARVALHO</v>
      </c>
      <c r="E577" s="8" t="s">
        <v>52</v>
      </c>
      <c r="F577" s="8" t="s">
        <v>475</v>
      </c>
      <c r="G577" s="13">
        <v>0.1</v>
      </c>
      <c r="H577" s="8" t="s">
        <v>652</v>
      </c>
      <c r="I577" s="14" t="s">
        <v>652</v>
      </c>
      <c r="J577" s="15">
        <v>17425766</v>
      </c>
      <c r="K577" s="8" t="s">
        <v>544</v>
      </c>
      <c r="L577" s="8" t="s">
        <v>324</v>
      </c>
      <c r="M577" s="8" t="str">
        <f>CONCATENATE(L577," ",K577)</f>
        <v>CAROL FOLEY</v>
      </c>
      <c r="N577" s="8" t="s">
        <v>57</v>
      </c>
      <c r="O577" s="9">
        <v>45550</v>
      </c>
      <c r="P577" s="9">
        <v>46157</v>
      </c>
      <c r="Q577" s="23">
        <f>DATEDIF(O577,P577,"M")</f>
        <v>20</v>
      </c>
      <c r="R577" s="33" t="s">
        <v>536</v>
      </c>
      <c r="S577" s="33" t="s">
        <v>1037</v>
      </c>
      <c r="T577" s="10">
        <v>15</v>
      </c>
      <c r="U577" s="8">
        <v>1</v>
      </c>
      <c r="V577" s="8" t="s">
        <v>58</v>
      </c>
      <c r="W577" s="8" t="s">
        <v>536</v>
      </c>
      <c r="X577" s="8" t="s">
        <v>61</v>
      </c>
      <c r="Y577" s="10">
        <v>1.5</v>
      </c>
    </row>
    <row r="578" spans="1:25" s="8" customFormat="1" x14ac:dyDescent="0.3">
      <c r="A578" s="8">
        <v>2024853074</v>
      </c>
      <c r="B578" s="8" t="s">
        <v>657</v>
      </c>
      <c r="C578" s="8" t="s">
        <v>658</v>
      </c>
      <c r="D578" s="8" t="str">
        <f t="shared" si="8"/>
        <v>BERNARDO CARVALHO</v>
      </c>
      <c r="E578" s="8" t="s">
        <v>52</v>
      </c>
      <c r="F578" s="8" t="s">
        <v>499</v>
      </c>
      <c r="G578" s="13">
        <v>0.1</v>
      </c>
      <c r="H578" s="8" t="s">
        <v>502</v>
      </c>
      <c r="I578" s="14" t="s">
        <v>502</v>
      </c>
      <c r="J578" s="15">
        <v>17425766</v>
      </c>
      <c r="K578" s="8" t="s">
        <v>544</v>
      </c>
      <c r="L578" s="8" t="s">
        <v>324</v>
      </c>
      <c r="M578" s="8" t="str">
        <f>CONCATENATE(L578," ",K578)</f>
        <v>CAROL FOLEY</v>
      </c>
      <c r="N578" s="8" t="s">
        <v>57</v>
      </c>
      <c r="O578" s="9">
        <v>45550</v>
      </c>
      <c r="P578" s="9">
        <v>46157</v>
      </c>
      <c r="Q578" s="23">
        <f>DATEDIF(O578,P578,"M")</f>
        <v>20</v>
      </c>
      <c r="R578" s="33" t="s">
        <v>536</v>
      </c>
      <c r="S578" s="33" t="s">
        <v>1037</v>
      </c>
      <c r="T578" s="10">
        <v>35.06</v>
      </c>
      <c r="U578" s="8">
        <v>1</v>
      </c>
      <c r="V578" s="8" t="s">
        <v>58</v>
      </c>
      <c r="W578" s="8" t="s">
        <v>536</v>
      </c>
      <c r="X578" s="8" t="s">
        <v>61</v>
      </c>
      <c r="Y578" s="10">
        <v>3.51</v>
      </c>
    </row>
    <row r="579" spans="1:25" s="8" customFormat="1" x14ac:dyDescent="0.3">
      <c r="A579" s="8">
        <v>2024853075</v>
      </c>
      <c r="B579" s="8" t="s">
        <v>657</v>
      </c>
      <c r="C579" s="8" t="s">
        <v>658</v>
      </c>
      <c r="D579" s="8" t="str">
        <f t="shared" ref="D579:D613" si="9">CONCATENATE(C579," ",B579)</f>
        <v>BERNARDO CARVALHO</v>
      </c>
      <c r="E579" s="8" t="s">
        <v>52</v>
      </c>
      <c r="F579" s="8" t="s">
        <v>53</v>
      </c>
      <c r="G579" s="13">
        <v>0.15</v>
      </c>
      <c r="H579" s="8" t="s">
        <v>54</v>
      </c>
      <c r="I579" s="14" t="s">
        <v>54</v>
      </c>
      <c r="J579" s="15">
        <v>17425766</v>
      </c>
      <c r="K579" s="8" t="s">
        <v>544</v>
      </c>
      <c r="L579" s="8" t="s">
        <v>324</v>
      </c>
      <c r="M579" s="8" t="str">
        <f>CONCATENATE(L579," ",K579)</f>
        <v>CAROL FOLEY</v>
      </c>
      <c r="N579" s="8" t="s">
        <v>57</v>
      </c>
      <c r="O579" s="9">
        <v>45550</v>
      </c>
      <c r="P579" s="9">
        <v>46157</v>
      </c>
      <c r="Q579" s="23">
        <f>DATEDIF(O579,P579,"M")</f>
        <v>20</v>
      </c>
      <c r="R579" s="33" t="s">
        <v>536</v>
      </c>
      <c r="S579" s="33" t="s">
        <v>1037</v>
      </c>
      <c r="T579" s="10">
        <v>18.920000000000002</v>
      </c>
      <c r="U579" s="8">
        <v>1</v>
      </c>
      <c r="V579" s="8" t="s">
        <v>58</v>
      </c>
      <c r="W579" s="8" t="s">
        <v>536</v>
      </c>
      <c r="X579" s="8" t="s">
        <v>61</v>
      </c>
      <c r="Y579" s="10">
        <v>2.84</v>
      </c>
    </row>
    <row r="580" spans="1:25" s="8" customFormat="1" x14ac:dyDescent="0.3">
      <c r="A580" s="8">
        <v>2024853073</v>
      </c>
      <c r="B580" s="8" t="s">
        <v>657</v>
      </c>
      <c r="C580" s="8" t="s">
        <v>658</v>
      </c>
      <c r="D580" s="8" t="str">
        <f t="shared" si="9"/>
        <v>BERNARDO CARVALHO</v>
      </c>
      <c r="E580" s="8" t="s">
        <v>52</v>
      </c>
      <c r="F580" s="8" t="s">
        <v>483</v>
      </c>
      <c r="G580" s="13">
        <v>0.06</v>
      </c>
      <c r="H580" s="8" t="s">
        <v>484</v>
      </c>
      <c r="I580" s="14" t="s">
        <v>484</v>
      </c>
      <c r="J580" s="15">
        <v>17425766</v>
      </c>
      <c r="K580" s="8" t="s">
        <v>544</v>
      </c>
      <c r="L580" s="8" t="s">
        <v>324</v>
      </c>
      <c r="M580" s="8" t="str">
        <f>CONCATENATE(L580," ",K580)</f>
        <v>CAROL FOLEY</v>
      </c>
      <c r="N580" s="8" t="s">
        <v>57</v>
      </c>
      <c r="O580" s="9">
        <v>45550</v>
      </c>
      <c r="P580" s="9">
        <v>46157</v>
      </c>
      <c r="Q580" s="23">
        <f>DATEDIF(O580,P580,"M")</f>
        <v>20</v>
      </c>
      <c r="R580" s="33" t="s">
        <v>536</v>
      </c>
      <c r="S580" s="33" t="s">
        <v>1037</v>
      </c>
      <c r="T580" s="10">
        <v>56.53</v>
      </c>
      <c r="U580" s="8">
        <v>1</v>
      </c>
      <c r="V580" s="8" t="s">
        <v>58</v>
      </c>
      <c r="W580" s="8" t="s">
        <v>536</v>
      </c>
      <c r="X580" s="8" t="s">
        <v>61</v>
      </c>
      <c r="Y580" s="10">
        <v>3.39</v>
      </c>
    </row>
    <row r="581" spans="1:25" s="8" customFormat="1" x14ac:dyDescent="0.3">
      <c r="A581" s="8">
        <v>2024815771</v>
      </c>
      <c r="B581" s="8" t="s">
        <v>895</v>
      </c>
      <c r="C581" s="8" t="s">
        <v>896</v>
      </c>
      <c r="D581" s="8" t="str">
        <f t="shared" si="9"/>
        <v>BURMAN BADRAA</v>
      </c>
      <c r="E581" s="8" t="s">
        <v>80</v>
      </c>
      <c r="F581" s="8" t="s">
        <v>53</v>
      </c>
      <c r="G581" s="13">
        <v>0.15</v>
      </c>
      <c r="H581" s="8" t="s">
        <v>54</v>
      </c>
      <c r="I581" s="14" t="s">
        <v>54</v>
      </c>
      <c r="J581" s="15">
        <v>8977234</v>
      </c>
      <c r="K581" s="8" t="s">
        <v>115</v>
      </c>
      <c r="L581" s="8" t="s">
        <v>116</v>
      </c>
      <c r="M581" s="8" t="str">
        <f>CONCATENATE(L581," ",K581)</f>
        <v>RYAN CALTAGIRONE</v>
      </c>
      <c r="N581" s="8" t="s">
        <v>57</v>
      </c>
      <c r="O581" s="9">
        <v>45547</v>
      </c>
      <c r="P581" s="9">
        <v>46154</v>
      </c>
      <c r="Q581" s="23">
        <f>DATEDIF(O581,P581,"M")</f>
        <v>20</v>
      </c>
      <c r="R581" s="33" t="s">
        <v>536</v>
      </c>
      <c r="S581" s="33" t="s">
        <v>1037</v>
      </c>
      <c r="T581" s="10">
        <v>51</v>
      </c>
      <c r="U581" s="8">
        <v>1</v>
      </c>
      <c r="V581" s="8" t="s">
        <v>58</v>
      </c>
      <c r="W581" s="8" t="s">
        <v>536</v>
      </c>
      <c r="X581" s="8" t="s">
        <v>61</v>
      </c>
      <c r="Y581" s="10">
        <v>7.65</v>
      </c>
    </row>
    <row r="582" spans="1:25" s="8" customFormat="1" x14ac:dyDescent="0.3">
      <c r="A582" s="8">
        <v>2024254141</v>
      </c>
      <c r="B582" s="8" t="s">
        <v>731</v>
      </c>
      <c r="C582" s="8" t="s">
        <v>732</v>
      </c>
      <c r="D582" s="8" t="str">
        <f t="shared" si="9"/>
        <v>HELAINE DUBACH</v>
      </c>
      <c r="E582" s="8" t="s">
        <v>256</v>
      </c>
      <c r="F582" s="8" t="s">
        <v>529</v>
      </c>
      <c r="G582" s="16">
        <v>5.2499999999999998E-2</v>
      </c>
      <c r="H582" s="8" t="s">
        <v>725</v>
      </c>
      <c r="I582" s="14" t="s">
        <v>725</v>
      </c>
      <c r="J582" s="15" t="s">
        <v>1033</v>
      </c>
      <c r="K582" s="8" t="s">
        <v>733</v>
      </c>
      <c r="L582" s="8" t="s">
        <v>734</v>
      </c>
      <c r="M582" s="8" t="str">
        <f>CONCATENATE(L582," ",K582)</f>
        <v>ANNE MARIE KOZACHECK</v>
      </c>
      <c r="N582" s="8" t="s">
        <v>57</v>
      </c>
      <c r="O582" s="9">
        <v>45510</v>
      </c>
      <c r="P582" s="9">
        <v>46148</v>
      </c>
      <c r="Q582" s="23">
        <f>DATEDIF(O582,P582,"M")</f>
        <v>21</v>
      </c>
      <c r="R582" s="33" t="s">
        <v>536</v>
      </c>
      <c r="S582" s="33" t="s">
        <v>1037</v>
      </c>
      <c r="T582" s="10">
        <v>45.54</v>
      </c>
      <c r="U582" s="8">
        <v>1</v>
      </c>
      <c r="V582" s="8" t="s">
        <v>58</v>
      </c>
      <c r="W582" s="8" t="s">
        <v>536</v>
      </c>
      <c r="X582" s="8" t="s">
        <v>61</v>
      </c>
      <c r="Y582" s="10">
        <v>2.39</v>
      </c>
    </row>
    <row r="583" spans="1:25" s="8" customFormat="1" x14ac:dyDescent="0.3">
      <c r="A583" s="8">
        <v>2024382705</v>
      </c>
      <c r="B583" s="8" t="s">
        <v>542</v>
      </c>
      <c r="C583" s="8" t="s">
        <v>543</v>
      </c>
      <c r="D583" s="8" t="str">
        <f t="shared" si="9"/>
        <v>SARAH LUDDY</v>
      </c>
      <c r="E583" s="8" t="s">
        <v>256</v>
      </c>
      <c r="F583" s="8" t="s">
        <v>499</v>
      </c>
      <c r="G583" s="13">
        <v>0.1</v>
      </c>
      <c r="H583" s="8" t="s">
        <v>502</v>
      </c>
      <c r="I583" s="14" t="s">
        <v>502</v>
      </c>
      <c r="J583" s="15">
        <v>17425766</v>
      </c>
      <c r="K583" s="8" t="s">
        <v>544</v>
      </c>
      <c r="L583" s="8" t="s">
        <v>324</v>
      </c>
      <c r="M583" s="8" t="str">
        <f>CONCATENATE(L583," ",K583)</f>
        <v>CAROL FOLEY</v>
      </c>
      <c r="N583" s="8" t="s">
        <v>57</v>
      </c>
      <c r="O583" s="9">
        <v>45519</v>
      </c>
      <c r="P583" s="9">
        <v>46157</v>
      </c>
      <c r="Q583" s="23">
        <f>DATEDIF(O583,P583,"M")</f>
        <v>21</v>
      </c>
      <c r="R583" s="33" t="s">
        <v>536</v>
      </c>
      <c r="S583" s="33" t="s">
        <v>1037</v>
      </c>
      <c r="T583" s="10">
        <v>27.15</v>
      </c>
      <c r="U583" s="8">
        <v>1</v>
      </c>
      <c r="V583" s="8" t="s">
        <v>58</v>
      </c>
      <c r="W583" s="8" t="s">
        <v>536</v>
      </c>
      <c r="X583" s="8" t="s">
        <v>61</v>
      </c>
      <c r="Y583" s="10">
        <v>2.72</v>
      </c>
    </row>
    <row r="584" spans="1:25" s="8" customFormat="1" x14ac:dyDescent="0.3">
      <c r="A584" s="8">
        <v>2024382706</v>
      </c>
      <c r="B584" s="8" t="s">
        <v>542</v>
      </c>
      <c r="C584" s="8" t="s">
        <v>543</v>
      </c>
      <c r="D584" s="8" t="str">
        <f t="shared" si="9"/>
        <v>SARAH LUDDY</v>
      </c>
      <c r="E584" s="8" t="s">
        <v>256</v>
      </c>
      <c r="F584" s="8" t="s">
        <v>533</v>
      </c>
      <c r="G584" s="16">
        <v>6.5000000000000002E-2</v>
      </c>
      <c r="H584" s="8" t="s">
        <v>534</v>
      </c>
      <c r="I584" s="14" t="s">
        <v>534</v>
      </c>
      <c r="J584" s="15">
        <v>17425766</v>
      </c>
      <c r="K584" s="8" t="s">
        <v>544</v>
      </c>
      <c r="L584" s="8" t="s">
        <v>324</v>
      </c>
      <c r="M584" s="8" t="str">
        <f>CONCATENATE(L584," ",K584)</f>
        <v>CAROL FOLEY</v>
      </c>
      <c r="N584" s="8" t="s">
        <v>57</v>
      </c>
      <c r="O584" s="9">
        <v>45519</v>
      </c>
      <c r="P584" s="9">
        <v>46157</v>
      </c>
      <c r="Q584" s="23">
        <f>DATEDIF(O584,P584,"M")</f>
        <v>21</v>
      </c>
      <c r="R584" s="33" t="s">
        <v>536</v>
      </c>
      <c r="S584" s="33" t="s">
        <v>1037</v>
      </c>
      <c r="T584" s="10">
        <v>40.159999999999997</v>
      </c>
      <c r="U584" s="8">
        <v>1</v>
      </c>
      <c r="V584" s="8" t="s">
        <v>58</v>
      </c>
      <c r="W584" s="8" t="s">
        <v>536</v>
      </c>
      <c r="X584" s="8" t="s">
        <v>61</v>
      </c>
      <c r="Y584" s="10">
        <v>2.61</v>
      </c>
    </row>
    <row r="585" spans="1:25" s="8" customFormat="1" x14ac:dyDescent="0.3">
      <c r="A585" s="8">
        <v>2024372430</v>
      </c>
      <c r="B585" s="8" t="s">
        <v>653</v>
      </c>
      <c r="C585" s="8" t="s">
        <v>654</v>
      </c>
      <c r="D585" s="8" t="str">
        <f t="shared" si="9"/>
        <v>LANDON BRITT</v>
      </c>
      <c r="E585" s="8" t="s">
        <v>420</v>
      </c>
      <c r="F585" s="8" t="s">
        <v>475</v>
      </c>
      <c r="G585" s="13">
        <v>0.28999999999999998</v>
      </c>
      <c r="H585" s="8" t="s">
        <v>482</v>
      </c>
      <c r="I585" s="14" t="s">
        <v>994</v>
      </c>
      <c r="J585" s="15">
        <v>17437820</v>
      </c>
      <c r="K585" s="8" t="s">
        <v>655</v>
      </c>
      <c r="L585" s="8" t="s">
        <v>656</v>
      </c>
      <c r="M585" s="8" t="str">
        <f>CONCATENATE(L585," ",K585)</f>
        <v>COLLEEN FINNIGAN</v>
      </c>
      <c r="N585" s="8" t="s">
        <v>57</v>
      </c>
      <c r="O585" s="9">
        <v>45518</v>
      </c>
      <c r="P585" s="9">
        <v>46156</v>
      </c>
      <c r="Q585" s="23">
        <f>DATEDIF(O585,P585,"M")</f>
        <v>21</v>
      </c>
      <c r="R585" s="33" t="s">
        <v>536</v>
      </c>
      <c r="S585" s="33" t="s">
        <v>1037</v>
      </c>
      <c r="T585" s="10">
        <v>15</v>
      </c>
      <c r="U585" s="8">
        <v>1</v>
      </c>
      <c r="V585" s="8" t="s">
        <v>58</v>
      </c>
      <c r="W585" s="8" t="s">
        <v>536</v>
      </c>
      <c r="X585" s="8" t="s">
        <v>61</v>
      </c>
      <c r="Y585" s="10">
        <v>4.3499999999999996</v>
      </c>
    </row>
    <row r="586" spans="1:25" s="8" customFormat="1" x14ac:dyDescent="0.3">
      <c r="A586" s="8">
        <v>2023867556</v>
      </c>
      <c r="B586" s="8" t="s">
        <v>56</v>
      </c>
      <c r="C586" s="8" t="s">
        <v>651</v>
      </c>
      <c r="D586" s="8" t="str">
        <f t="shared" si="9"/>
        <v>JULIAN GREGORY</v>
      </c>
      <c r="E586" s="8" t="s">
        <v>256</v>
      </c>
      <c r="F586" s="8" t="s">
        <v>475</v>
      </c>
      <c r="G586" s="13">
        <v>0.1</v>
      </c>
      <c r="H586" s="8" t="s">
        <v>652</v>
      </c>
      <c r="I586" s="14" t="s">
        <v>652</v>
      </c>
      <c r="J586" s="15">
        <v>17425766</v>
      </c>
      <c r="K586" s="8" t="s">
        <v>544</v>
      </c>
      <c r="L586" s="8" t="s">
        <v>324</v>
      </c>
      <c r="M586" s="8" t="str">
        <f>CONCATENATE(L586," ",K586)</f>
        <v>CAROL FOLEY</v>
      </c>
      <c r="N586" s="8" t="s">
        <v>57</v>
      </c>
      <c r="O586" s="9">
        <v>45483</v>
      </c>
      <c r="P586" s="9">
        <v>46152</v>
      </c>
      <c r="Q586" s="23">
        <f>DATEDIF(O586,P586,"M")</f>
        <v>22</v>
      </c>
      <c r="R586" s="33" t="s">
        <v>536</v>
      </c>
      <c r="S586" s="33" t="s">
        <v>1037</v>
      </c>
      <c r="T586" s="10">
        <v>15</v>
      </c>
      <c r="U586" s="8">
        <v>1</v>
      </c>
      <c r="V586" s="8" t="s">
        <v>58</v>
      </c>
      <c r="W586" s="8" t="s">
        <v>536</v>
      </c>
      <c r="X586" s="8" t="s">
        <v>61</v>
      </c>
      <c r="Y586" s="10">
        <v>1.5</v>
      </c>
    </row>
    <row r="587" spans="1:25" s="8" customFormat="1" x14ac:dyDescent="0.3">
      <c r="A587" s="8">
        <v>2023867555</v>
      </c>
      <c r="B587" s="8" t="s">
        <v>56</v>
      </c>
      <c r="C587" s="8" t="s">
        <v>651</v>
      </c>
      <c r="D587" s="8" t="str">
        <f t="shared" si="9"/>
        <v>JULIAN GREGORY</v>
      </c>
      <c r="E587" s="8" t="s">
        <v>256</v>
      </c>
      <c r="F587" s="8" t="s">
        <v>499</v>
      </c>
      <c r="G587" s="13">
        <v>0.1</v>
      </c>
      <c r="H587" s="8" t="s">
        <v>502</v>
      </c>
      <c r="I587" s="14" t="s">
        <v>502</v>
      </c>
      <c r="J587" s="15">
        <v>17425766</v>
      </c>
      <c r="K587" s="8" t="s">
        <v>544</v>
      </c>
      <c r="L587" s="8" t="s">
        <v>324</v>
      </c>
      <c r="M587" s="8" t="str">
        <f>CONCATENATE(L587," ",K587)</f>
        <v>CAROL FOLEY</v>
      </c>
      <c r="N587" s="8" t="s">
        <v>57</v>
      </c>
      <c r="O587" s="9">
        <v>45483</v>
      </c>
      <c r="P587" s="9">
        <v>46152</v>
      </c>
      <c r="Q587" s="23">
        <f>DATEDIF(O587,P587,"M")</f>
        <v>22</v>
      </c>
      <c r="R587" s="33" t="s">
        <v>536</v>
      </c>
      <c r="S587" s="33" t="s">
        <v>1037</v>
      </c>
      <c r="T587" s="10">
        <v>53.16</v>
      </c>
      <c r="U587" s="8">
        <v>1</v>
      </c>
      <c r="V587" s="8" t="s">
        <v>58</v>
      </c>
      <c r="W587" s="8" t="s">
        <v>536</v>
      </c>
      <c r="X587" s="8" t="s">
        <v>61</v>
      </c>
      <c r="Y587" s="10">
        <v>5.32</v>
      </c>
    </row>
    <row r="588" spans="1:25" s="8" customFormat="1" x14ac:dyDescent="0.3">
      <c r="A588" s="8">
        <v>2023461092</v>
      </c>
      <c r="B588" s="8" t="s">
        <v>532</v>
      </c>
      <c r="C588" s="8" t="s">
        <v>358</v>
      </c>
      <c r="D588" s="8" t="str">
        <f t="shared" si="9"/>
        <v>ALAN GRICK</v>
      </c>
      <c r="E588" s="8" t="s">
        <v>256</v>
      </c>
      <c r="F588" s="8" t="s">
        <v>499</v>
      </c>
      <c r="G588" s="13">
        <v>0.1</v>
      </c>
      <c r="H588" s="8" t="s">
        <v>502</v>
      </c>
      <c r="I588" s="14" t="s">
        <v>502</v>
      </c>
      <c r="J588" s="15" t="s">
        <v>1025</v>
      </c>
      <c r="K588" s="8" t="s">
        <v>535</v>
      </c>
      <c r="L588" s="8" t="s">
        <v>149</v>
      </c>
      <c r="M588" s="8" t="str">
        <f>CONCATENATE(L588," ",K588)</f>
        <v>JOHN ROKEN</v>
      </c>
      <c r="N588" s="8" t="s">
        <v>57</v>
      </c>
      <c r="O588" s="9">
        <v>45474</v>
      </c>
      <c r="P588" s="9">
        <v>46143</v>
      </c>
      <c r="Q588" s="23">
        <f>DATEDIF(O588,P588,"M")</f>
        <v>22</v>
      </c>
      <c r="R588" s="33" t="s">
        <v>536</v>
      </c>
      <c r="S588" s="33" t="s">
        <v>1037</v>
      </c>
      <c r="T588" s="10">
        <v>53.16</v>
      </c>
      <c r="U588" s="8">
        <v>1</v>
      </c>
      <c r="V588" s="8" t="s">
        <v>58</v>
      </c>
      <c r="W588" s="8" t="s">
        <v>536</v>
      </c>
      <c r="X588" s="8" t="s">
        <v>61</v>
      </c>
      <c r="Y588" s="10">
        <v>5.32</v>
      </c>
    </row>
    <row r="589" spans="1:25" s="8" customFormat="1" x14ac:dyDescent="0.3">
      <c r="A589" s="8">
        <v>2023461091</v>
      </c>
      <c r="B589" s="8" t="s">
        <v>532</v>
      </c>
      <c r="C589" s="8" t="s">
        <v>358</v>
      </c>
      <c r="D589" s="8" t="str">
        <f t="shared" si="9"/>
        <v>ALAN GRICK</v>
      </c>
      <c r="E589" s="8" t="s">
        <v>256</v>
      </c>
      <c r="F589" s="8" t="s">
        <v>483</v>
      </c>
      <c r="G589" s="13">
        <v>0.06</v>
      </c>
      <c r="H589" s="8" t="s">
        <v>484</v>
      </c>
      <c r="I589" s="14" t="s">
        <v>484</v>
      </c>
      <c r="J589" s="15" t="s">
        <v>1025</v>
      </c>
      <c r="K589" s="8" t="s">
        <v>535</v>
      </c>
      <c r="L589" s="8" t="s">
        <v>149</v>
      </c>
      <c r="M589" s="8" t="str">
        <f>CONCATENATE(L589," ",K589)</f>
        <v>JOHN ROKEN</v>
      </c>
      <c r="N589" s="8" t="s">
        <v>57</v>
      </c>
      <c r="O589" s="9">
        <v>45474</v>
      </c>
      <c r="P589" s="9">
        <v>46143</v>
      </c>
      <c r="Q589" s="23">
        <f>DATEDIF(O589,P589,"M")</f>
        <v>22</v>
      </c>
      <c r="R589" s="33" t="s">
        <v>536</v>
      </c>
      <c r="S589" s="33" t="s">
        <v>1037</v>
      </c>
      <c r="T589" s="10">
        <v>44.98</v>
      </c>
      <c r="U589" s="8">
        <v>1</v>
      </c>
      <c r="V589" s="8" t="s">
        <v>58</v>
      </c>
      <c r="W589" s="8" t="s">
        <v>536</v>
      </c>
      <c r="X589" s="8" t="s">
        <v>61</v>
      </c>
      <c r="Y589" s="10">
        <v>2.7</v>
      </c>
    </row>
    <row r="590" spans="1:25" s="8" customFormat="1" x14ac:dyDescent="0.3">
      <c r="A590" s="8">
        <v>2023461093</v>
      </c>
      <c r="B590" s="8" t="s">
        <v>532</v>
      </c>
      <c r="C590" s="8" t="s">
        <v>358</v>
      </c>
      <c r="D590" s="8" t="str">
        <f t="shared" si="9"/>
        <v>ALAN GRICK</v>
      </c>
      <c r="E590" s="8" t="s">
        <v>256</v>
      </c>
      <c r="F590" s="8" t="s">
        <v>533</v>
      </c>
      <c r="G590" s="16">
        <v>6.5000000000000002E-2</v>
      </c>
      <c r="H590" s="8" t="s">
        <v>534</v>
      </c>
      <c r="I590" s="14" t="s">
        <v>534</v>
      </c>
      <c r="J590" s="15" t="s">
        <v>1025</v>
      </c>
      <c r="K590" s="8" t="s">
        <v>535</v>
      </c>
      <c r="L590" s="8" t="s">
        <v>149</v>
      </c>
      <c r="M590" s="8" t="str">
        <f>CONCATENATE(L590," ",K590)</f>
        <v>JOHN ROKEN</v>
      </c>
      <c r="N590" s="8" t="s">
        <v>57</v>
      </c>
      <c r="O590" s="9">
        <v>45474</v>
      </c>
      <c r="P590" s="9">
        <v>46143</v>
      </c>
      <c r="Q590" s="23">
        <f>DATEDIF(O590,P590,"M")</f>
        <v>22</v>
      </c>
      <c r="R590" s="33" t="s">
        <v>536</v>
      </c>
      <c r="S590" s="33" t="s">
        <v>1037</v>
      </c>
      <c r="T590" s="10">
        <v>56.69</v>
      </c>
      <c r="U590" s="8">
        <v>1</v>
      </c>
      <c r="V590" s="8" t="s">
        <v>58</v>
      </c>
      <c r="W590" s="8" t="s">
        <v>536</v>
      </c>
      <c r="X590" s="8" t="s">
        <v>61</v>
      </c>
      <c r="Y590" s="10">
        <v>3.68</v>
      </c>
    </row>
    <row r="591" spans="1:25" s="8" customFormat="1" x14ac:dyDescent="0.3">
      <c r="A591" s="8">
        <v>2023911658</v>
      </c>
      <c r="B591" s="8" t="s">
        <v>854</v>
      </c>
      <c r="C591" s="8" t="s">
        <v>893</v>
      </c>
      <c r="D591" s="8" t="str">
        <f t="shared" si="9"/>
        <v>LOIS SHEFFIELD</v>
      </c>
      <c r="E591" s="8" t="s">
        <v>894</v>
      </c>
      <c r="F591" s="8" t="s">
        <v>53</v>
      </c>
      <c r="G591" s="13">
        <v>0.1</v>
      </c>
      <c r="H591" s="8" t="s">
        <v>65</v>
      </c>
      <c r="I591" s="14" t="s">
        <v>65</v>
      </c>
      <c r="J591" s="15">
        <v>8977234</v>
      </c>
      <c r="K591" s="8" t="s">
        <v>115</v>
      </c>
      <c r="L591" s="8" t="s">
        <v>116</v>
      </c>
      <c r="M591" s="8" t="str">
        <f>CONCATENATE(L591," ",K591)</f>
        <v>RYAN CALTAGIRONE</v>
      </c>
      <c r="N591" s="8" t="s">
        <v>57</v>
      </c>
      <c r="O591" s="9">
        <v>45486</v>
      </c>
      <c r="P591" s="9">
        <v>46155</v>
      </c>
      <c r="Q591" s="23">
        <f>DATEDIF(O591,P591,"M")</f>
        <v>22</v>
      </c>
      <c r="R591" s="33" t="s">
        <v>536</v>
      </c>
      <c r="S591" s="33" t="s">
        <v>1037</v>
      </c>
      <c r="T591" s="10">
        <v>150.63</v>
      </c>
      <c r="U591" s="8">
        <v>1</v>
      </c>
      <c r="V591" s="8" t="s">
        <v>58</v>
      </c>
      <c r="W591" s="8" t="s">
        <v>536</v>
      </c>
      <c r="X591" s="8" t="s">
        <v>61</v>
      </c>
      <c r="Y591" s="10">
        <v>15.06</v>
      </c>
    </row>
    <row r="592" spans="1:25" s="8" customFormat="1" x14ac:dyDescent="0.3">
      <c r="A592" s="8">
        <v>2023499224</v>
      </c>
      <c r="B592" s="8" t="s">
        <v>537</v>
      </c>
      <c r="C592" s="8" t="s">
        <v>112</v>
      </c>
      <c r="D592" s="8" t="str">
        <f t="shared" si="9"/>
        <v>RHONDA SURRATT</v>
      </c>
      <c r="E592" s="8" t="s">
        <v>141</v>
      </c>
      <c r="F592" s="8" t="s">
        <v>499</v>
      </c>
      <c r="G592" s="13">
        <v>0.1</v>
      </c>
      <c r="H592" s="8" t="s">
        <v>502</v>
      </c>
      <c r="I592" s="14" t="s">
        <v>502</v>
      </c>
      <c r="J592" s="15" t="s">
        <v>1025</v>
      </c>
      <c r="K592" s="8" t="s">
        <v>535</v>
      </c>
      <c r="L592" s="8" t="s">
        <v>149</v>
      </c>
      <c r="M592" s="8" t="str">
        <f>CONCATENATE(L592," ",K592)</f>
        <v>JOHN ROKEN</v>
      </c>
      <c r="N592" s="8" t="s">
        <v>57</v>
      </c>
      <c r="O592" s="9">
        <v>45456</v>
      </c>
      <c r="P592" s="9">
        <v>46155</v>
      </c>
      <c r="Q592" s="23">
        <f>DATEDIF(O592,P592,"M")</f>
        <v>23</v>
      </c>
      <c r="R592" s="33" t="s">
        <v>536</v>
      </c>
      <c r="S592" s="33" t="s">
        <v>1037</v>
      </c>
      <c r="T592" s="10">
        <v>28.12</v>
      </c>
      <c r="U592" s="8">
        <v>1</v>
      </c>
      <c r="V592" s="8" t="s">
        <v>58</v>
      </c>
      <c r="W592" s="8" t="s">
        <v>536</v>
      </c>
      <c r="X592" s="8" t="s">
        <v>61</v>
      </c>
      <c r="Y592" s="10">
        <v>2.81</v>
      </c>
    </row>
    <row r="593" spans="1:25" s="8" customFormat="1" x14ac:dyDescent="0.3">
      <c r="A593" s="8">
        <v>2023509943</v>
      </c>
      <c r="B593" s="8" t="s">
        <v>538</v>
      </c>
      <c r="C593" s="8" t="s">
        <v>539</v>
      </c>
      <c r="D593" s="8" t="str">
        <f t="shared" si="9"/>
        <v>NATALIA VOLZ</v>
      </c>
      <c r="E593" s="8" t="s">
        <v>256</v>
      </c>
      <c r="F593" s="8" t="s">
        <v>499</v>
      </c>
      <c r="G593" s="13">
        <v>0.1</v>
      </c>
      <c r="H593" s="8" t="s">
        <v>502</v>
      </c>
      <c r="I593" s="14" t="s">
        <v>502</v>
      </c>
      <c r="J593" s="15" t="s">
        <v>1025</v>
      </c>
      <c r="K593" s="8" t="s">
        <v>535</v>
      </c>
      <c r="L593" s="8" t="s">
        <v>149</v>
      </c>
      <c r="M593" s="8" t="str">
        <f>CONCATENATE(L593," ",K593)</f>
        <v>JOHN ROKEN</v>
      </c>
      <c r="N593" s="8" t="s">
        <v>57</v>
      </c>
      <c r="O593" s="9">
        <v>45457</v>
      </c>
      <c r="P593" s="9">
        <v>46156</v>
      </c>
      <c r="Q593" s="23">
        <f>DATEDIF(O593,P593,"M")</f>
        <v>23</v>
      </c>
      <c r="R593" s="33" t="s">
        <v>536</v>
      </c>
      <c r="S593" s="33" t="s">
        <v>1037</v>
      </c>
      <c r="T593" s="10">
        <v>55.16</v>
      </c>
      <c r="U593" s="8">
        <v>1</v>
      </c>
      <c r="V593" s="8" t="s">
        <v>58</v>
      </c>
      <c r="W593" s="8" t="s">
        <v>536</v>
      </c>
      <c r="X593" s="8" t="s">
        <v>61</v>
      </c>
      <c r="Y593" s="10">
        <v>5.52</v>
      </c>
    </row>
    <row r="594" spans="1:25" s="8" customFormat="1" x14ac:dyDescent="0.3">
      <c r="A594" s="8">
        <v>2023510923</v>
      </c>
      <c r="B594" s="8" t="s">
        <v>541</v>
      </c>
      <c r="C594" s="8" t="s">
        <v>419</v>
      </c>
      <c r="D594" s="8" t="str">
        <f t="shared" si="9"/>
        <v>CHARLES CAMPBELL</v>
      </c>
      <c r="E594" s="8" t="s">
        <v>256</v>
      </c>
      <c r="F594" s="8" t="s">
        <v>499</v>
      </c>
      <c r="G594" s="13">
        <v>0.1</v>
      </c>
      <c r="H594" s="8" t="s">
        <v>502</v>
      </c>
      <c r="I594" s="14" t="s">
        <v>502</v>
      </c>
      <c r="J594" s="15" t="s">
        <v>1025</v>
      </c>
      <c r="K594" s="8" t="s">
        <v>535</v>
      </c>
      <c r="L594" s="8" t="s">
        <v>149</v>
      </c>
      <c r="M594" s="8" t="str">
        <f>CONCATENATE(L594," ",K594)</f>
        <v>JOHN ROKEN</v>
      </c>
      <c r="N594" s="8" t="s">
        <v>57</v>
      </c>
      <c r="O594" s="9">
        <v>45457</v>
      </c>
      <c r="P594" s="9">
        <v>46156</v>
      </c>
      <c r="Q594" s="23">
        <f>DATEDIF(O594,P594,"M")</f>
        <v>23</v>
      </c>
      <c r="R594" s="33" t="s">
        <v>536</v>
      </c>
      <c r="S594" s="33" t="s">
        <v>1037</v>
      </c>
      <c r="T594" s="10">
        <v>55.16</v>
      </c>
      <c r="U594" s="8">
        <v>1</v>
      </c>
      <c r="V594" s="8" t="s">
        <v>58</v>
      </c>
      <c r="W594" s="8" t="s">
        <v>536</v>
      </c>
      <c r="X594" s="8" t="s">
        <v>61</v>
      </c>
      <c r="Y594" s="10">
        <v>5.52</v>
      </c>
    </row>
    <row r="595" spans="1:25" s="8" customFormat="1" x14ac:dyDescent="0.3">
      <c r="A595" s="8">
        <v>2023499226</v>
      </c>
      <c r="B595" s="8" t="s">
        <v>537</v>
      </c>
      <c r="C595" s="8" t="s">
        <v>112</v>
      </c>
      <c r="D595" s="8" t="str">
        <f t="shared" si="9"/>
        <v>RHONDA SURRATT</v>
      </c>
      <c r="E595" s="8" t="s">
        <v>141</v>
      </c>
      <c r="F595" s="8" t="s">
        <v>483</v>
      </c>
      <c r="G595" s="13">
        <v>0.06</v>
      </c>
      <c r="H595" s="8" t="s">
        <v>484</v>
      </c>
      <c r="I595" s="14" t="s">
        <v>484</v>
      </c>
      <c r="J595" s="15" t="s">
        <v>1025</v>
      </c>
      <c r="K595" s="8" t="s">
        <v>535</v>
      </c>
      <c r="L595" s="8" t="s">
        <v>149</v>
      </c>
      <c r="M595" s="8" t="str">
        <f>CONCATENATE(L595," ",K595)</f>
        <v>JOHN ROKEN</v>
      </c>
      <c r="N595" s="8" t="s">
        <v>57</v>
      </c>
      <c r="O595" s="9">
        <v>45456</v>
      </c>
      <c r="P595" s="9">
        <v>46155</v>
      </c>
      <c r="Q595" s="23">
        <f>DATEDIF(O595,P595,"M")</f>
        <v>23</v>
      </c>
      <c r="R595" s="33" t="s">
        <v>536</v>
      </c>
      <c r="S595" s="33" t="s">
        <v>1037</v>
      </c>
      <c r="T595" s="10">
        <v>33.479999999999997</v>
      </c>
      <c r="U595" s="8">
        <v>1</v>
      </c>
      <c r="V595" s="8" t="s">
        <v>58</v>
      </c>
      <c r="W595" s="8" t="s">
        <v>536</v>
      </c>
      <c r="X595" s="8" t="s">
        <v>61</v>
      </c>
      <c r="Y595" s="10">
        <v>2.0099999999999998</v>
      </c>
    </row>
    <row r="596" spans="1:25" s="8" customFormat="1" x14ac:dyDescent="0.3">
      <c r="A596" s="8">
        <v>2023509944</v>
      </c>
      <c r="B596" s="8" t="s">
        <v>538</v>
      </c>
      <c r="C596" s="8" t="s">
        <v>539</v>
      </c>
      <c r="D596" s="8" t="str">
        <f t="shared" si="9"/>
        <v>NATALIA VOLZ</v>
      </c>
      <c r="E596" s="8" t="s">
        <v>256</v>
      </c>
      <c r="F596" s="8" t="s">
        <v>533</v>
      </c>
      <c r="G596" s="16">
        <v>6.5000000000000002E-2</v>
      </c>
      <c r="H596" s="8" t="s">
        <v>540</v>
      </c>
      <c r="I596" s="14" t="s">
        <v>540</v>
      </c>
      <c r="J596" s="15" t="s">
        <v>1025</v>
      </c>
      <c r="K596" s="8" t="s">
        <v>535</v>
      </c>
      <c r="L596" s="8" t="s">
        <v>149</v>
      </c>
      <c r="M596" s="8" t="str">
        <f>CONCATENATE(L596," ",K596)</f>
        <v>JOHN ROKEN</v>
      </c>
      <c r="N596" s="8" t="s">
        <v>57</v>
      </c>
      <c r="O596" s="9">
        <v>45457</v>
      </c>
      <c r="P596" s="9">
        <v>46156</v>
      </c>
      <c r="Q596" s="23">
        <f>DATEDIF(O596,P596,"M")</f>
        <v>23</v>
      </c>
      <c r="R596" s="33" t="s">
        <v>536</v>
      </c>
      <c r="S596" s="33" t="s">
        <v>1037</v>
      </c>
      <c r="T596" s="10">
        <v>109.84</v>
      </c>
      <c r="U596" s="8">
        <v>1</v>
      </c>
      <c r="V596" s="8" t="s">
        <v>58</v>
      </c>
      <c r="W596" s="8" t="s">
        <v>536</v>
      </c>
      <c r="X596" s="8" t="s">
        <v>61</v>
      </c>
      <c r="Y596" s="10">
        <v>7.14</v>
      </c>
    </row>
    <row r="597" spans="1:25" s="8" customFormat="1" x14ac:dyDescent="0.3">
      <c r="A597" s="8">
        <v>2023499225</v>
      </c>
      <c r="B597" s="8" t="s">
        <v>537</v>
      </c>
      <c r="C597" s="8" t="s">
        <v>112</v>
      </c>
      <c r="D597" s="8" t="str">
        <f t="shared" si="9"/>
        <v>RHONDA SURRATT</v>
      </c>
      <c r="E597" s="8" t="s">
        <v>141</v>
      </c>
      <c r="F597" s="8" t="s">
        <v>533</v>
      </c>
      <c r="G597" s="16">
        <v>6.5000000000000002E-2</v>
      </c>
      <c r="H597" s="8" t="s">
        <v>534</v>
      </c>
      <c r="I597" s="14" t="s">
        <v>534</v>
      </c>
      <c r="J597" s="15" t="s">
        <v>1025</v>
      </c>
      <c r="K597" s="8" t="s">
        <v>535</v>
      </c>
      <c r="L597" s="8" t="s">
        <v>149</v>
      </c>
      <c r="M597" s="8" t="str">
        <f>CONCATENATE(L597," ",K597)</f>
        <v>JOHN ROKEN</v>
      </c>
      <c r="N597" s="8" t="s">
        <v>57</v>
      </c>
      <c r="O597" s="9">
        <v>45456</v>
      </c>
      <c r="P597" s="9">
        <v>46155</v>
      </c>
      <c r="Q597" s="23">
        <f>DATEDIF(O597,P597,"M")</f>
        <v>23</v>
      </c>
      <c r="R597" s="33" t="s">
        <v>536</v>
      </c>
      <c r="S597" s="33" t="s">
        <v>1037</v>
      </c>
      <c r="T597" s="10">
        <v>56.69</v>
      </c>
      <c r="U597" s="8">
        <v>1</v>
      </c>
      <c r="V597" s="8" t="s">
        <v>58</v>
      </c>
      <c r="W597" s="8" t="s">
        <v>536</v>
      </c>
      <c r="X597" s="8" t="s">
        <v>61</v>
      </c>
      <c r="Y597" s="10">
        <v>3.68</v>
      </c>
    </row>
    <row r="598" spans="1:25" s="8" customFormat="1" x14ac:dyDescent="0.3">
      <c r="A598" s="8">
        <v>2023510924</v>
      </c>
      <c r="B598" s="8" t="s">
        <v>541</v>
      </c>
      <c r="C598" s="8" t="s">
        <v>419</v>
      </c>
      <c r="D598" s="8" t="str">
        <f t="shared" si="9"/>
        <v>CHARLES CAMPBELL</v>
      </c>
      <c r="E598" s="8" t="s">
        <v>256</v>
      </c>
      <c r="F598" s="8" t="s">
        <v>533</v>
      </c>
      <c r="G598" s="16">
        <v>6.5000000000000002E-2</v>
      </c>
      <c r="H598" s="8" t="s">
        <v>534</v>
      </c>
      <c r="I598" s="14" t="s">
        <v>534</v>
      </c>
      <c r="J598" s="15" t="s">
        <v>1025</v>
      </c>
      <c r="K598" s="8" t="s">
        <v>535</v>
      </c>
      <c r="L598" s="8" t="s">
        <v>149</v>
      </c>
      <c r="M598" s="8" t="str">
        <f>CONCATENATE(L598," ",K598)</f>
        <v>JOHN ROKEN</v>
      </c>
      <c r="N598" s="8" t="s">
        <v>57</v>
      </c>
      <c r="O598" s="9">
        <v>45457</v>
      </c>
      <c r="P598" s="9">
        <v>46156</v>
      </c>
      <c r="Q598" s="23">
        <f>DATEDIF(O598,P598,"M")</f>
        <v>23</v>
      </c>
      <c r="R598" s="33" t="s">
        <v>536</v>
      </c>
      <c r="S598" s="33" t="s">
        <v>1037</v>
      </c>
      <c r="T598" s="10">
        <v>56.69</v>
      </c>
      <c r="U598" s="8">
        <v>1</v>
      </c>
      <c r="V598" s="8" t="s">
        <v>58</v>
      </c>
      <c r="W598" s="8" t="s">
        <v>536</v>
      </c>
      <c r="X598" s="8" t="s">
        <v>61</v>
      </c>
      <c r="Y598" s="10">
        <v>3.68</v>
      </c>
    </row>
    <row r="599" spans="1:25" s="8" customFormat="1" x14ac:dyDescent="0.3">
      <c r="A599" s="8">
        <v>2020780791</v>
      </c>
      <c r="B599" s="8" t="s">
        <v>891</v>
      </c>
      <c r="C599" s="8" t="s">
        <v>892</v>
      </c>
      <c r="D599" s="8" t="str">
        <f t="shared" si="9"/>
        <v>VACILIKI RESS</v>
      </c>
      <c r="E599" s="8" t="s">
        <v>80</v>
      </c>
      <c r="F599" s="8" t="s">
        <v>53</v>
      </c>
      <c r="G599" s="13">
        <v>0.15</v>
      </c>
      <c r="H599" s="8" t="s">
        <v>97</v>
      </c>
      <c r="I599" s="14" t="s">
        <v>117</v>
      </c>
      <c r="J599" s="15">
        <v>8307933</v>
      </c>
      <c r="K599" s="8" t="s">
        <v>55</v>
      </c>
      <c r="L599" s="8" t="s">
        <v>56</v>
      </c>
      <c r="M599" s="8" t="str">
        <f>CONCATENATE(L599," ",K599)</f>
        <v>GREGORY TEIPEL</v>
      </c>
      <c r="N599" s="8" t="s">
        <v>57</v>
      </c>
      <c r="O599" s="9">
        <v>45245</v>
      </c>
      <c r="P599" s="9">
        <v>46157</v>
      </c>
      <c r="Q599" s="23">
        <f>DATEDIF(O599,P599,"M")</f>
        <v>30</v>
      </c>
      <c r="R599" s="33" t="s">
        <v>536</v>
      </c>
      <c r="S599" s="33" t="s">
        <v>1037</v>
      </c>
      <c r="T599" s="10">
        <v>25.73</v>
      </c>
      <c r="U599" s="8">
        <v>1</v>
      </c>
      <c r="V599" s="8" t="s">
        <v>58</v>
      </c>
      <c r="W599" s="8" t="s">
        <v>536</v>
      </c>
      <c r="X599" s="8" t="s">
        <v>61</v>
      </c>
      <c r="Y599" s="10">
        <v>3.86</v>
      </c>
    </row>
    <row r="600" spans="1:25" s="8" customFormat="1" x14ac:dyDescent="0.3">
      <c r="A600" s="8">
        <v>2020780792</v>
      </c>
      <c r="B600" s="8" t="s">
        <v>891</v>
      </c>
      <c r="C600" s="8" t="s">
        <v>892</v>
      </c>
      <c r="D600" s="8" t="str">
        <f t="shared" si="9"/>
        <v>VACILIKI RESS</v>
      </c>
      <c r="E600" s="8" t="s">
        <v>80</v>
      </c>
      <c r="F600" s="8" t="s">
        <v>53</v>
      </c>
      <c r="G600" s="13">
        <v>0.1</v>
      </c>
      <c r="H600" s="8" t="s">
        <v>65</v>
      </c>
      <c r="I600" s="14" t="s">
        <v>65</v>
      </c>
      <c r="J600" s="15">
        <v>8307933</v>
      </c>
      <c r="K600" s="8" t="s">
        <v>55</v>
      </c>
      <c r="L600" s="8" t="s">
        <v>56</v>
      </c>
      <c r="M600" s="8" t="str">
        <f>CONCATENATE(L600," ",K600)</f>
        <v>GREGORY TEIPEL</v>
      </c>
      <c r="N600" s="8" t="s">
        <v>57</v>
      </c>
      <c r="O600" s="9">
        <v>45245</v>
      </c>
      <c r="P600" s="9">
        <v>46157</v>
      </c>
      <c r="Q600" s="23">
        <f>DATEDIF(O600,P600,"M")</f>
        <v>30</v>
      </c>
      <c r="R600" s="33" t="s">
        <v>536</v>
      </c>
      <c r="S600" s="33" t="s">
        <v>1037</v>
      </c>
      <c r="T600" s="10">
        <v>51.63</v>
      </c>
      <c r="U600" s="8">
        <v>1</v>
      </c>
      <c r="V600" s="8" t="s">
        <v>58</v>
      </c>
      <c r="W600" s="8" t="s">
        <v>536</v>
      </c>
      <c r="X600" s="8" t="s">
        <v>61</v>
      </c>
      <c r="Y600" s="10">
        <v>5.16</v>
      </c>
    </row>
    <row r="601" spans="1:25" s="8" customFormat="1" x14ac:dyDescent="0.3">
      <c r="A601" s="8">
        <v>2020174612</v>
      </c>
      <c r="B601" s="8" t="s">
        <v>565</v>
      </c>
      <c r="C601" s="8" t="s">
        <v>566</v>
      </c>
      <c r="D601" s="8" t="str">
        <f t="shared" si="9"/>
        <v>DENISE JEROUSEK</v>
      </c>
      <c r="E601" s="8" t="s">
        <v>93</v>
      </c>
      <c r="F601" s="8" t="s">
        <v>53</v>
      </c>
      <c r="G601" s="13">
        <v>0.15</v>
      </c>
      <c r="H601" s="8" t="s">
        <v>97</v>
      </c>
      <c r="I601" s="14" t="s">
        <v>117</v>
      </c>
      <c r="J601" s="15">
        <v>9079571</v>
      </c>
      <c r="K601" s="8" t="s">
        <v>164</v>
      </c>
      <c r="L601" s="8" t="s">
        <v>165</v>
      </c>
      <c r="M601" s="8" t="str">
        <f>CONCATENATE(L601," ",K601)</f>
        <v>ADAM RICHTER</v>
      </c>
      <c r="N601" s="8" t="s">
        <v>57</v>
      </c>
      <c r="O601" s="9">
        <v>45214</v>
      </c>
      <c r="P601" s="9">
        <v>46157</v>
      </c>
      <c r="Q601" s="23">
        <f>DATEDIF(O601,P601,"M")</f>
        <v>31</v>
      </c>
      <c r="R601" s="33" t="s">
        <v>536</v>
      </c>
      <c r="S601" s="33" t="s">
        <v>1037</v>
      </c>
      <c r="T601" s="10">
        <v>24.61</v>
      </c>
      <c r="U601" s="8">
        <v>1</v>
      </c>
      <c r="V601" s="8" t="s">
        <v>58</v>
      </c>
      <c r="W601" s="8" t="s">
        <v>536</v>
      </c>
      <c r="X601" s="8" t="s">
        <v>61</v>
      </c>
      <c r="Y601" s="10">
        <v>3.69</v>
      </c>
    </row>
    <row r="602" spans="1:25" s="8" customFormat="1" x14ac:dyDescent="0.3">
      <c r="A602" s="8">
        <v>2020174611</v>
      </c>
      <c r="B602" s="8" t="s">
        <v>565</v>
      </c>
      <c r="C602" s="8" t="s">
        <v>566</v>
      </c>
      <c r="D602" s="8" t="str">
        <f t="shared" si="9"/>
        <v>DENISE JEROUSEK</v>
      </c>
      <c r="E602" s="8" t="s">
        <v>93</v>
      </c>
      <c r="F602" s="8" t="s">
        <v>444</v>
      </c>
      <c r="G602" s="13">
        <v>0.1</v>
      </c>
      <c r="H602" s="8" t="s">
        <v>567</v>
      </c>
      <c r="I602" s="14" t="s">
        <v>981</v>
      </c>
      <c r="J602" s="15">
        <v>9079571</v>
      </c>
      <c r="K602" s="8" t="s">
        <v>164</v>
      </c>
      <c r="L602" s="8" t="s">
        <v>165</v>
      </c>
      <c r="M602" s="8" t="str">
        <f>CONCATENATE(L602," ",K602)</f>
        <v>ADAM RICHTER</v>
      </c>
      <c r="N602" s="8" t="s">
        <v>57</v>
      </c>
      <c r="O602" s="9">
        <v>45214</v>
      </c>
      <c r="P602" s="9">
        <v>46157</v>
      </c>
      <c r="Q602" s="23">
        <f>DATEDIF(O602,P602,"M")</f>
        <v>31</v>
      </c>
      <c r="R602" s="33" t="s">
        <v>536</v>
      </c>
      <c r="S602" s="33" t="s">
        <v>1037</v>
      </c>
      <c r="T602" s="10">
        <v>246.44</v>
      </c>
      <c r="U602" s="8">
        <v>1</v>
      </c>
      <c r="V602" s="8" t="s">
        <v>58</v>
      </c>
      <c r="W602" s="8" t="s">
        <v>536</v>
      </c>
      <c r="X602" s="8" t="s">
        <v>61</v>
      </c>
      <c r="Y602" s="10">
        <v>24.64</v>
      </c>
    </row>
    <row r="603" spans="1:25" s="8" customFormat="1" x14ac:dyDescent="0.3">
      <c r="A603" s="8">
        <v>2020039861</v>
      </c>
      <c r="B603" s="8" t="s">
        <v>201</v>
      </c>
      <c r="C603" s="8" t="s">
        <v>792</v>
      </c>
      <c r="D603" s="8" t="str">
        <f t="shared" si="9"/>
        <v>CHANTAL WHITE</v>
      </c>
      <c r="E603" s="8" t="s">
        <v>80</v>
      </c>
      <c r="F603" s="8" t="s">
        <v>483</v>
      </c>
      <c r="G603" s="13">
        <v>0.06</v>
      </c>
      <c r="H603" s="8" t="s">
        <v>484</v>
      </c>
      <c r="I603" s="14" t="s">
        <v>484</v>
      </c>
      <c r="J603" s="15">
        <v>8977234</v>
      </c>
      <c r="K603" s="8" t="s">
        <v>115</v>
      </c>
      <c r="L603" s="8" t="s">
        <v>116</v>
      </c>
      <c r="M603" s="8" t="str">
        <f>CONCATENATE(L603," ",K603)</f>
        <v>RYAN CALTAGIRONE</v>
      </c>
      <c r="N603" s="8" t="s">
        <v>57</v>
      </c>
      <c r="O603" s="9">
        <v>45182</v>
      </c>
      <c r="P603" s="9">
        <v>46155</v>
      </c>
      <c r="Q603" s="23">
        <f>DATEDIF(O603,P603,"M")</f>
        <v>32</v>
      </c>
      <c r="R603" s="33" t="s">
        <v>536</v>
      </c>
      <c r="S603" s="33" t="s">
        <v>1037</v>
      </c>
      <c r="T603" s="10">
        <v>53.57</v>
      </c>
      <c r="U603" s="8">
        <v>1</v>
      </c>
      <c r="V603" s="8" t="s">
        <v>58</v>
      </c>
      <c r="W603" s="8" t="s">
        <v>536</v>
      </c>
      <c r="X603" s="8" t="s">
        <v>61</v>
      </c>
      <c r="Y603" s="10">
        <v>3.21</v>
      </c>
    </row>
    <row r="604" spans="1:25" s="8" customFormat="1" x14ac:dyDescent="0.3">
      <c r="A604" s="8">
        <v>2019687400</v>
      </c>
      <c r="B604" s="8" t="s">
        <v>727</v>
      </c>
      <c r="C604" s="8" t="s">
        <v>728</v>
      </c>
      <c r="D604" s="8" t="str">
        <f t="shared" si="9"/>
        <v>TRACI BARTON</v>
      </c>
      <c r="E604" s="8" t="s">
        <v>256</v>
      </c>
      <c r="F604" s="8" t="s">
        <v>529</v>
      </c>
      <c r="G604" s="16">
        <v>5.2499999999999998E-2</v>
      </c>
      <c r="H604" s="8" t="s">
        <v>725</v>
      </c>
      <c r="I604" s="14" t="s">
        <v>725</v>
      </c>
      <c r="J604" s="15">
        <v>19562245</v>
      </c>
      <c r="K604" s="8" t="s">
        <v>729</v>
      </c>
      <c r="L604" s="8" t="s">
        <v>730</v>
      </c>
      <c r="M604" s="8" t="str">
        <f>CONCATENATE(L604," ",K604)</f>
        <v>KELLY CARRYER</v>
      </c>
      <c r="N604" s="8" t="s">
        <v>57</v>
      </c>
      <c r="O604" s="9">
        <v>45150</v>
      </c>
      <c r="P604" s="9">
        <v>46154</v>
      </c>
      <c r="Q604" s="23">
        <f>DATEDIF(O604,P604,"M")</f>
        <v>33</v>
      </c>
      <c r="R604" s="33" t="s">
        <v>536</v>
      </c>
      <c r="S604" s="33" t="s">
        <v>1037</v>
      </c>
      <c r="T604" s="10">
        <v>64.540000000000006</v>
      </c>
      <c r="U604" s="8">
        <v>1</v>
      </c>
      <c r="V604" s="8" t="s">
        <v>58</v>
      </c>
      <c r="W604" s="8" t="s">
        <v>536</v>
      </c>
      <c r="X604" s="8" t="s">
        <v>61</v>
      </c>
      <c r="Y604" s="10">
        <v>3.39</v>
      </c>
    </row>
    <row r="605" spans="1:25" s="8" customFormat="1" x14ac:dyDescent="0.3">
      <c r="A605" s="8">
        <v>2019352254</v>
      </c>
      <c r="B605" s="8" t="s">
        <v>789</v>
      </c>
      <c r="C605" s="8" t="s">
        <v>790</v>
      </c>
      <c r="D605" s="8" t="str">
        <f t="shared" si="9"/>
        <v>BRITTANY FRISHKORN</v>
      </c>
      <c r="E605" s="8" t="s">
        <v>256</v>
      </c>
      <c r="F605" s="8" t="s">
        <v>483</v>
      </c>
      <c r="G605" s="13">
        <v>0.06</v>
      </c>
      <c r="H605" s="8" t="s">
        <v>484</v>
      </c>
      <c r="I605" s="14" t="s">
        <v>484</v>
      </c>
      <c r="J605" s="15" t="s">
        <v>1033</v>
      </c>
      <c r="K605" s="8" t="s">
        <v>733</v>
      </c>
      <c r="L605" s="8" t="s">
        <v>734</v>
      </c>
      <c r="M605" s="8" t="str">
        <f>CONCATENATE(L605," ",K605)</f>
        <v>ANNE MARIE KOZACHECK</v>
      </c>
      <c r="N605" s="8" t="s">
        <v>57</v>
      </c>
      <c r="O605" s="9">
        <v>45120</v>
      </c>
      <c r="P605" s="9">
        <v>46155</v>
      </c>
      <c r="Q605" s="23">
        <f>DATEDIF(O605,P605,"M")</f>
        <v>34</v>
      </c>
      <c r="R605" s="33" t="s">
        <v>536</v>
      </c>
      <c r="S605" s="33" t="s">
        <v>1037</v>
      </c>
      <c r="T605" s="10">
        <v>49.98</v>
      </c>
      <c r="U605" s="8">
        <v>1</v>
      </c>
      <c r="V605" s="8" t="s">
        <v>58</v>
      </c>
      <c r="W605" s="8" t="s">
        <v>536</v>
      </c>
      <c r="X605" s="8" t="s">
        <v>61</v>
      </c>
      <c r="Y605" s="10">
        <v>3</v>
      </c>
    </row>
    <row r="606" spans="1:25" s="8" customFormat="1" x14ac:dyDescent="0.3">
      <c r="A606" s="8">
        <v>2019319907</v>
      </c>
      <c r="B606" s="8" t="s">
        <v>890</v>
      </c>
      <c r="C606" s="8" t="s">
        <v>589</v>
      </c>
      <c r="D606" s="8" t="str">
        <f t="shared" si="9"/>
        <v>CONNIE HAZEN</v>
      </c>
      <c r="E606" s="8" t="s">
        <v>371</v>
      </c>
      <c r="F606" s="8" t="s">
        <v>53</v>
      </c>
      <c r="G606" s="13">
        <v>0.1</v>
      </c>
      <c r="H606" s="8" t="s">
        <v>65</v>
      </c>
      <c r="I606" s="14" t="s">
        <v>65</v>
      </c>
      <c r="J606" s="15">
        <v>8307933</v>
      </c>
      <c r="K606" s="8" t="s">
        <v>55</v>
      </c>
      <c r="L606" s="8" t="s">
        <v>56</v>
      </c>
      <c r="M606" s="8" t="str">
        <f>CONCATENATE(L606," ",K606)</f>
        <v>GREGORY TEIPEL</v>
      </c>
      <c r="N606" s="8" t="s">
        <v>57</v>
      </c>
      <c r="O606" s="9">
        <v>45118</v>
      </c>
      <c r="P606" s="9">
        <v>46153</v>
      </c>
      <c r="Q606" s="23">
        <f>DATEDIF(O606,P606,"M")</f>
        <v>34</v>
      </c>
      <c r="R606" s="33" t="s">
        <v>536</v>
      </c>
      <c r="S606" s="33" t="s">
        <v>1037</v>
      </c>
      <c r="T606" s="10">
        <v>32.58</v>
      </c>
      <c r="U606" s="8">
        <v>1</v>
      </c>
      <c r="V606" s="8" t="s">
        <v>58</v>
      </c>
      <c r="W606" s="8" t="s">
        <v>536</v>
      </c>
      <c r="X606" s="8" t="s">
        <v>61</v>
      </c>
      <c r="Y606" s="10">
        <v>3.26</v>
      </c>
    </row>
    <row r="607" spans="1:25" s="8" customFormat="1" x14ac:dyDescent="0.3">
      <c r="A607" s="8">
        <v>2018351025</v>
      </c>
      <c r="B607" s="8" t="s">
        <v>889</v>
      </c>
      <c r="C607" s="8" t="s">
        <v>225</v>
      </c>
      <c r="D607" s="8" t="str">
        <f t="shared" si="9"/>
        <v>JACOB PHELPS</v>
      </c>
      <c r="E607" s="8" t="s">
        <v>141</v>
      </c>
      <c r="F607" s="8" t="s">
        <v>53</v>
      </c>
      <c r="G607" s="13">
        <v>0.1</v>
      </c>
      <c r="H607" s="8" t="s">
        <v>65</v>
      </c>
      <c r="I607" s="14" t="s">
        <v>65</v>
      </c>
      <c r="J607" s="15">
        <v>8307933</v>
      </c>
      <c r="K607" s="8" t="s">
        <v>55</v>
      </c>
      <c r="L607" s="8" t="s">
        <v>56</v>
      </c>
      <c r="M607" s="8" t="str">
        <f>CONCATENATE(L607," ",K607)</f>
        <v>GREGORY TEIPEL</v>
      </c>
      <c r="N607" s="8" t="s">
        <v>57</v>
      </c>
      <c r="O607" s="9">
        <v>45030</v>
      </c>
      <c r="P607" s="9">
        <v>46156</v>
      </c>
      <c r="Q607" s="23">
        <f>DATEDIF(O607,P607,"M")</f>
        <v>37</v>
      </c>
      <c r="R607" s="33" t="s">
        <v>536</v>
      </c>
      <c r="S607" s="33" t="s">
        <v>1037</v>
      </c>
      <c r="T607" s="10">
        <v>29.25</v>
      </c>
      <c r="U607" s="8">
        <v>1</v>
      </c>
      <c r="V607" s="8" t="s">
        <v>58</v>
      </c>
      <c r="W607" s="8" t="s">
        <v>536</v>
      </c>
      <c r="X607" s="8" t="s">
        <v>61</v>
      </c>
      <c r="Y607" s="10">
        <v>2.92</v>
      </c>
    </row>
    <row r="608" spans="1:25" s="8" customFormat="1" x14ac:dyDescent="0.3">
      <c r="A608" s="8">
        <v>2017630350</v>
      </c>
      <c r="B608" s="8" t="s">
        <v>888</v>
      </c>
      <c r="C608" s="8" t="s">
        <v>637</v>
      </c>
      <c r="D608" s="8" t="str">
        <f t="shared" si="9"/>
        <v>SUSAN HIGGINS</v>
      </c>
      <c r="E608" s="8" t="s">
        <v>223</v>
      </c>
      <c r="F608" s="8" t="s">
        <v>53</v>
      </c>
      <c r="G608" s="13">
        <v>0.15</v>
      </c>
      <c r="H608" s="8" t="s">
        <v>54</v>
      </c>
      <c r="I608" s="14" t="s">
        <v>54</v>
      </c>
      <c r="J608" s="15">
        <v>20436896</v>
      </c>
      <c r="K608" s="8" t="s">
        <v>115</v>
      </c>
      <c r="L608" s="8" t="s">
        <v>788</v>
      </c>
      <c r="M608" s="8" t="str">
        <f>CONCATENATE(L608," ",K608)</f>
        <v>KATELENN CALTAGIRONE</v>
      </c>
      <c r="N608" s="8" t="s">
        <v>57</v>
      </c>
      <c r="O608" s="9">
        <v>45001</v>
      </c>
      <c r="P608" s="9">
        <v>46158</v>
      </c>
      <c r="Q608" s="23">
        <f>DATEDIF(O608,P608,"M")</f>
        <v>38</v>
      </c>
      <c r="R608" s="33" t="s">
        <v>536</v>
      </c>
      <c r="S608" s="33" t="s">
        <v>1037</v>
      </c>
      <c r="T608" s="10">
        <v>140.25</v>
      </c>
      <c r="U608" s="8">
        <v>1</v>
      </c>
      <c r="V608" s="8" t="s">
        <v>58</v>
      </c>
      <c r="W608" s="8" t="s">
        <v>536</v>
      </c>
      <c r="X608" s="8" t="s">
        <v>61</v>
      </c>
      <c r="Y608" s="10">
        <v>21.04</v>
      </c>
    </row>
    <row r="609" spans="1:25" s="8" customFormat="1" x14ac:dyDescent="0.3">
      <c r="A609" s="8">
        <v>2017683724</v>
      </c>
      <c r="B609" s="8" t="s">
        <v>786</v>
      </c>
      <c r="C609" s="8" t="s">
        <v>787</v>
      </c>
      <c r="D609" s="8" t="str">
        <f t="shared" si="9"/>
        <v>ARTHUR CARLSON</v>
      </c>
      <c r="E609" s="8" t="s">
        <v>52</v>
      </c>
      <c r="F609" s="8" t="s">
        <v>53</v>
      </c>
      <c r="G609" s="13">
        <v>0.15</v>
      </c>
      <c r="H609" s="8" t="s">
        <v>97</v>
      </c>
      <c r="I609" s="14" t="s">
        <v>117</v>
      </c>
      <c r="J609" s="15">
        <v>20436896</v>
      </c>
      <c r="K609" s="8" t="s">
        <v>115</v>
      </c>
      <c r="L609" s="8" t="s">
        <v>788</v>
      </c>
      <c r="M609" s="8" t="str">
        <f>CONCATENATE(L609," ",K609)</f>
        <v>KATELENN CALTAGIRONE</v>
      </c>
      <c r="N609" s="8" t="s">
        <v>57</v>
      </c>
      <c r="O609" s="9">
        <v>44974</v>
      </c>
      <c r="P609" s="9">
        <v>46159</v>
      </c>
      <c r="Q609" s="23">
        <f>DATEDIF(O609,P609,"M")</f>
        <v>39</v>
      </c>
      <c r="R609" s="33" t="s">
        <v>536</v>
      </c>
      <c r="S609" s="33" t="s">
        <v>1037</v>
      </c>
      <c r="T609" s="10">
        <v>25.73</v>
      </c>
      <c r="U609" s="8">
        <v>1</v>
      </c>
      <c r="V609" s="8" t="s">
        <v>58</v>
      </c>
      <c r="W609" s="8" t="s">
        <v>536</v>
      </c>
      <c r="X609" s="8" t="s">
        <v>61</v>
      </c>
      <c r="Y609" s="10">
        <v>3.86</v>
      </c>
    </row>
    <row r="610" spans="1:25" s="8" customFormat="1" x14ac:dyDescent="0.3">
      <c r="A610" s="8">
        <v>2017683726</v>
      </c>
      <c r="B610" s="8" t="s">
        <v>786</v>
      </c>
      <c r="C610" s="8" t="s">
        <v>787</v>
      </c>
      <c r="D610" s="8" t="str">
        <f t="shared" si="9"/>
        <v>ARTHUR CARLSON</v>
      </c>
      <c r="E610" s="8" t="s">
        <v>52</v>
      </c>
      <c r="F610" s="8" t="s">
        <v>483</v>
      </c>
      <c r="G610" s="13">
        <v>0.06</v>
      </c>
      <c r="H610" s="8" t="s">
        <v>484</v>
      </c>
      <c r="I610" s="14" t="s">
        <v>484</v>
      </c>
      <c r="J610" s="15">
        <v>20436896</v>
      </c>
      <c r="K610" s="8" t="s">
        <v>115</v>
      </c>
      <c r="L610" s="8" t="s">
        <v>788</v>
      </c>
      <c r="M610" s="8" t="str">
        <f>CONCATENATE(L610," ",K610)</f>
        <v>KATELENN CALTAGIRONE</v>
      </c>
      <c r="N610" s="8" t="s">
        <v>57</v>
      </c>
      <c r="O610" s="9">
        <v>44974</v>
      </c>
      <c r="P610" s="9">
        <v>46159</v>
      </c>
      <c r="Q610" s="23">
        <f>DATEDIF(O610,P610,"M")</f>
        <v>39</v>
      </c>
      <c r="R610" s="33" t="s">
        <v>536</v>
      </c>
      <c r="S610" s="33" t="s">
        <v>1037</v>
      </c>
      <c r="T610" s="10">
        <v>31.88</v>
      </c>
      <c r="U610" s="8">
        <v>1</v>
      </c>
      <c r="V610" s="8" t="s">
        <v>58</v>
      </c>
      <c r="W610" s="8" t="s">
        <v>536</v>
      </c>
      <c r="X610" s="8" t="s">
        <v>61</v>
      </c>
      <c r="Y610" s="10">
        <v>1.91</v>
      </c>
    </row>
    <row r="611" spans="1:25" s="8" customFormat="1" x14ac:dyDescent="0.3">
      <c r="A611" s="8">
        <v>2017278501</v>
      </c>
      <c r="B611" s="8" t="s">
        <v>723</v>
      </c>
      <c r="C611" s="8" t="s">
        <v>724</v>
      </c>
      <c r="D611" s="8" t="str">
        <f t="shared" si="9"/>
        <v>LARRY ELLIS</v>
      </c>
      <c r="E611" s="8" t="s">
        <v>256</v>
      </c>
      <c r="F611" s="8" t="s">
        <v>529</v>
      </c>
      <c r="G611" s="16">
        <v>5.2499999999999998E-2</v>
      </c>
      <c r="H611" s="8" t="s">
        <v>725</v>
      </c>
      <c r="I611" s="14" t="s">
        <v>725</v>
      </c>
      <c r="J611" s="15">
        <v>15278437</v>
      </c>
      <c r="K611" s="8" t="s">
        <v>726</v>
      </c>
      <c r="L611" s="8" t="s">
        <v>153</v>
      </c>
      <c r="M611" s="8" t="str">
        <f>CONCATENATE(L611," ",K611)</f>
        <v>JASON HOFFMANN</v>
      </c>
      <c r="N611" s="8" t="s">
        <v>57</v>
      </c>
      <c r="O611" s="9">
        <v>44932</v>
      </c>
      <c r="P611" s="9">
        <v>46148</v>
      </c>
      <c r="Q611" s="23">
        <f>DATEDIF(O611,P611,"M")</f>
        <v>40</v>
      </c>
      <c r="R611" s="33" t="s">
        <v>536</v>
      </c>
      <c r="S611" s="33" t="s">
        <v>1037</v>
      </c>
      <c r="T611" s="10">
        <v>48.22</v>
      </c>
      <c r="U611" s="8">
        <v>1</v>
      </c>
      <c r="V611" s="8" t="s">
        <v>58</v>
      </c>
      <c r="W611" s="8" t="s">
        <v>536</v>
      </c>
      <c r="X611" s="8" t="s">
        <v>61</v>
      </c>
      <c r="Y611" s="10">
        <v>2.5299999999999998</v>
      </c>
    </row>
    <row r="612" spans="1:25" s="8" customFormat="1" x14ac:dyDescent="0.3">
      <c r="A612" s="8">
        <v>2017105567</v>
      </c>
      <c r="B612" s="8" t="s">
        <v>784</v>
      </c>
      <c r="C612" s="8" t="s">
        <v>785</v>
      </c>
      <c r="D612" s="8" t="str">
        <f t="shared" si="9"/>
        <v>BREEA GOVENAR</v>
      </c>
      <c r="E612" s="8" t="s">
        <v>256</v>
      </c>
      <c r="F612" s="8" t="s">
        <v>483</v>
      </c>
      <c r="G612" s="13">
        <v>0.06</v>
      </c>
      <c r="H612" s="8" t="s">
        <v>484</v>
      </c>
      <c r="I612" s="14" t="s">
        <v>484</v>
      </c>
      <c r="J612" s="15" t="s">
        <v>1033</v>
      </c>
      <c r="K612" s="8" t="s">
        <v>733</v>
      </c>
      <c r="L612" s="8" t="s">
        <v>734</v>
      </c>
      <c r="M612" s="8" t="str">
        <f>CONCATENATE(L612," ",K612)</f>
        <v>ANNE MARIE KOZACHECK</v>
      </c>
      <c r="N612" s="8" t="s">
        <v>57</v>
      </c>
      <c r="O612" s="9">
        <v>44911</v>
      </c>
      <c r="P612" s="9">
        <v>46158</v>
      </c>
      <c r="Q612" s="23">
        <f>DATEDIF(O612,P612,"M")</f>
        <v>41</v>
      </c>
      <c r="R612" s="33" t="s">
        <v>536</v>
      </c>
      <c r="S612" s="33" t="s">
        <v>1037</v>
      </c>
      <c r="T612" s="10">
        <v>101.58</v>
      </c>
      <c r="U612" s="8">
        <v>1</v>
      </c>
      <c r="V612" s="8" t="s">
        <v>58</v>
      </c>
      <c r="W612" s="8" t="s">
        <v>536</v>
      </c>
      <c r="X612" s="8" t="s">
        <v>61</v>
      </c>
      <c r="Y612" s="10">
        <v>6.09</v>
      </c>
    </row>
    <row r="613" spans="1:25" s="8" customFormat="1" x14ac:dyDescent="0.3">
      <c r="A613" s="8">
        <v>2016819082</v>
      </c>
      <c r="B613" s="8" t="s">
        <v>885</v>
      </c>
      <c r="C613" s="8" t="s">
        <v>886</v>
      </c>
      <c r="D613" s="8" t="str">
        <f t="shared" si="9"/>
        <v>AMATA BROMUND</v>
      </c>
      <c r="E613" s="8" t="s">
        <v>223</v>
      </c>
      <c r="F613" s="8" t="s">
        <v>53</v>
      </c>
      <c r="G613" s="13">
        <v>0.15</v>
      </c>
      <c r="H613" s="8" t="s">
        <v>97</v>
      </c>
      <c r="I613" s="14" t="s">
        <v>117</v>
      </c>
      <c r="J613" s="15">
        <v>20436896</v>
      </c>
      <c r="K613" s="8" t="s">
        <v>115</v>
      </c>
      <c r="L613" s="8" t="s">
        <v>788</v>
      </c>
      <c r="M613" s="8" t="str">
        <f>CONCATENATE(L613," ",K613)</f>
        <v>KATELENN CALTAGIRONE</v>
      </c>
      <c r="N613" s="8" t="s">
        <v>57</v>
      </c>
      <c r="O613" s="9">
        <v>44880</v>
      </c>
      <c r="P613" s="9">
        <v>46157</v>
      </c>
      <c r="Q613" s="23">
        <f>DATEDIF(O613,P613,"M")</f>
        <v>42</v>
      </c>
      <c r="R613" s="33" t="s">
        <v>536</v>
      </c>
      <c r="S613" s="33" t="s">
        <v>1037</v>
      </c>
      <c r="T613" s="10">
        <v>25.73</v>
      </c>
      <c r="U613" s="8">
        <v>1</v>
      </c>
      <c r="V613" s="8" t="s">
        <v>58</v>
      </c>
      <c r="W613" s="8" t="s">
        <v>536</v>
      </c>
      <c r="X613" s="8" t="s">
        <v>61</v>
      </c>
      <c r="Y613" s="10">
        <v>3.86</v>
      </c>
    </row>
  </sheetData>
  <sortState xmlns:xlrd2="http://schemas.microsoft.com/office/spreadsheetml/2017/richdata2" ref="A2:BC792">
    <sortCondition sortBy="cellColor" ref="A2:A792" dxfId="1"/>
    <sortCondition ref="Q2:Q79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7E8D2-D281-4761-A066-85A951E61175}">
  <dimension ref="A1:AY115"/>
  <sheetViews>
    <sheetView topLeftCell="I22" workbookViewId="0">
      <selection activeCell="AA2" sqref="AA2:AA53"/>
    </sheetView>
  </sheetViews>
  <sheetFormatPr defaultRowHeight="14.4" x14ac:dyDescent="0.3"/>
  <cols>
    <col min="1" max="1" width="11" bestFit="1" customWidth="1"/>
    <col min="8" max="9" width="41.77734375" bestFit="1" customWidth="1"/>
    <col min="13" max="13" width="22.77734375" bestFit="1" customWidth="1"/>
    <col min="15" max="15" width="11.109375" customWidth="1"/>
    <col min="16" max="16" width="10.109375" customWidth="1"/>
  </cols>
  <sheetData>
    <row r="1" spans="1:29" x14ac:dyDescent="0.3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21</v>
      </c>
      <c r="H1" t="s">
        <v>9</v>
      </c>
      <c r="J1" t="s">
        <v>10</v>
      </c>
      <c r="K1" t="s">
        <v>11</v>
      </c>
      <c r="L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37</v>
      </c>
      <c r="AA1" t="s">
        <v>38</v>
      </c>
      <c r="AB1" t="s">
        <v>39</v>
      </c>
      <c r="AC1" t="s">
        <v>40</v>
      </c>
    </row>
    <row r="2" spans="1:29" x14ac:dyDescent="0.3">
      <c r="A2">
        <v>2029959147</v>
      </c>
      <c r="B2" t="s">
        <v>83</v>
      </c>
      <c r="C2" t="s">
        <v>84</v>
      </c>
      <c r="D2" t="str">
        <f>CONCATENATE(C2," ",B2)</f>
        <v>PELEGCOHEN ESTER</v>
      </c>
      <c r="E2" t="s">
        <v>85</v>
      </c>
      <c r="F2" t="s">
        <v>53</v>
      </c>
      <c r="G2" s="3">
        <v>0.7</v>
      </c>
      <c r="H2" t="s">
        <v>54</v>
      </c>
      <c r="I2" s="11" t="s">
        <v>54</v>
      </c>
      <c r="J2">
        <v>8307933</v>
      </c>
      <c r="K2" t="s">
        <v>55</v>
      </c>
      <c r="L2" t="s">
        <v>56</v>
      </c>
      <c r="M2" t="str">
        <f>CONCATENATE(L2," ",K2)</f>
        <v>GREGORY TEIPEL</v>
      </c>
      <c r="N2" t="s">
        <v>86</v>
      </c>
      <c r="O2" s="1">
        <v>45876</v>
      </c>
      <c r="P2" s="1">
        <v>46125</v>
      </c>
      <c r="Q2" s="1">
        <v>46149</v>
      </c>
      <c r="R2" s="2">
        <v>-118.24</v>
      </c>
      <c r="S2">
        <v>1</v>
      </c>
      <c r="T2" t="s">
        <v>58</v>
      </c>
      <c r="U2">
        <v>-1</v>
      </c>
      <c r="V2" t="s">
        <v>60</v>
      </c>
      <c r="W2" t="s">
        <v>61</v>
      </c>
      <c r="X2">
        <v>0</v>
      </c>
      <c r="Y2" s="2">
        <v>0</v>
      </c>
      <c r="Z2" s="2">
        <v>0</v>
      </c>
      <c r="AA2" s="2">
        <v>-82.77</v>
      </c>
      <c r="AB2" s="2">
        <v>-82.77</v>
      </c>
      <c r="AC2" s="2">
        <v>0</v>
      </c>
    </row>
    <row r="3" spans="1:29" x14ac:dyDescent="0.3">
      <c r="A3">
        <v>2029981428</v>
      </c>
      <c r="B3" t="s">
        <v>118</v>
      </c>
      <c r="C3" t="s">
        <v>119</v>
      </c>
      <c r="D3" t="str">
        <f t="shared" ref="D3:D53" si="0">CONCATENATE(C3," ",B3)</f>
        <v>SLOAN SHERYL</v>
      </c>
      <c r="E3" t="s">
        <v>80</v>
      </c>
      <c r="F3" t="s">
        <v>53</v>
      </c>
      <c r="G3" s="3">
        <v>0.7</v>
      </c>
      <c r="H3" t="s">
        <v>54</v>
      </c>
      <c r="I3" s="11" t="s">
        <v>54</v>
      </c>
      <c r="J3" t="s">
        <v>984</v>
      </c>
      <c r="K3" t="s">
        <v>120</v>
      </c>
      <c r="L3" t="s">
        <v>121</v>
      </c>
      <c r="M3" t="str">
        <f t="shared" ref="M3:M53" si="1">CONCATENATE(L3," ",K3)</f>
        <v>Richard Yale</v>
      </c>
      <c r="N3" t="s">
        <v>86</v>
      </c>
      <c r="O3" s="1">
        <v>45870</v>
      </c>
      <c r="P3" s="1">
        <v>46118</v>
      </c>
      <c r="Q3" s="1">
        <v>46143</v>
      </c>
      <c r="R3" s="2">
        <v>-111.53</v>
      </c>
      <c r="S3">
        <v>1</v>
      </c>
      <c r="T3" t="s">
        <v>58</v>
      </c>
      <c r="U3">
        <v>-1</v>
      </c>
      <c r="V3" t="s">
        <v>60</v>
      </c>
      <c r="W3" t="s">
        <v>61</v>
      </c>
      <c r="X3">
        <v>0</v>
      </c>
      <c r="Y3" s="2">
        <v>0</v>
      </c>
      <c r="Z3" s="2">
        <v>0</v>
      </c>
      <c r="AA3" s="2">
        <v>-78.069999999999993</v>
      </c>
      <c r="AB3" s="2">
        <v>-78.069999999999993</v>
      </c>
      <c r="AC3" s="2">
        <v>0</v>
      </c>
    </row>
    <row r="4" spans="1:29" x14ac:dyDescent="0.3">
      <c r="A4">
        <v>2030943608</v>
      </c>
      <c r="B4" t="s">
        <v>169</v>
      </c>
      <c r="C4" t="s">
        <v>170</v>
      </c>
      <c r="D4" t="str">
        <f t="shared" si="0"/>
        <v>GARRETT RODGERS</v>
      </c>
      <c r="E4" t="s">
        <v>80</v>
      </c>
      <c r="F4" t="s">
        <v>53</v>
      </c>
      <c r="G4" s="3">
        <v>0.7</v>
      </c>
      <c r="H4" t="s">
        <v>54</v>
      </c>
      <c r="I4" s="11" t="s">
        <v>54</v>
      </c>
      <c r="J4">
        <v>9213293</v>
      </c>
      <c r="K4" t="s">
        <v>171</v>
      </c>
      <c r="L4" t="s">
        <v>172</v>
      </c>
      <c r="M4" t="str">
        <f t="shared" si="1"/>
        <v>GARY PORTUGAL</v>
      </c>
      <c r="N4" t="s">
        <v>86</v>
      </c>
      <c r="O4" s="1">
        <v>45931</v>
      </c>
      <c r="P4" s="1">
        <v>46125</v>
      </c>
      <c r="Q4" s="1">
        <v>46143</v>
      </c>
      <c r="R4" s="2">
        <v>-122.08</v>
      </c>
      <c r="S4">
        <v>1</v>
      </c>
      <c r="T4" t="s">
        <v>58</v>
      </c>
      <c r="U4">
        <v>-1</v>
      </c>
      <c r="V4" t="s">
        <v>60</v>
      </c>
      <c r="W4" t="s">
        <v>61</v>
      </c>
      <c r="X4">
        <v>0</v>
      </c>
      <c r="Y4" s="2">
        <v>0</v>
      </c>
      <c r="Z4" s="2">
        <v>0</v>
      </c>
      <c r="AA4" s="2">
        <v>-85.46</v>
      </c>
      <c r="AB4" s="2">
        <v>-85.46</v>
      </c>
      <c r="AC4" s="2">
        <v>0</v>
      </c>
    </row>
    <row r="5" spans="1:29" x14ac:dyDescent="0.3">
      <c r="A5">
        <v>2032103662</v>
      </c>
      <c r="B5" t="s">
        <v>238</v>
      </c>
      <c r="C5" t="s">
        <v>239</v>
      </c>
      <c r="D5" t="str">
        <f t="shared" si="0"/>
        <v>EDWARD RESZLER</v>
      </c>
      <c r="E5" t="s">
        <v>75</v>
      </c>
      <c r="F5" t="s">
        <v>53</v>
      </c>
      <c r="G5" s="3">
        <v>0.7</v>
      </c>
      <c r="H5" t="s">
        <v>54</v>
      </c>
      <c r="I5" s="11" t="s">
        <v>54</v>
      </c>
      <c r="J5">
        <v>19681796</v>
      </c>
      <c r="K5" t="s">
        <v>127</v>
      </c>
      <c r="L5" t="s">
        <v>128</v>
      </c>
      <c r="M5" t="str">
        <f t="shared" si="1"/>
        <v>CHRISTIAN TAUGNER</v>
      </c>
      <c r="N5" t="s">
        <v>86</v>
      </c>
      <c r="O5" s="1">
        <v>46023</v>
      </c>
      <c r="P5" s="1">
        <v>46118</v>
      </c>
      <c r="Q5" s="1">
        <v>46143</v>
      </c>
      <c r="R5" s="2">
        <v>-263.5</v>
      </c>
      <c r="S5">
        <v>1</v>
      </c>
      <c r="T5" t="s">
        <v>58</v>
      </c>
      <c r="U5">
        <v>-1</v>
      </c>
      <c r="V5" t="s">
        <v>60</v>
      </c>
      <c r="W5" t="s">
        <v>61</v>
      </c>
      <c r="X5">
        <v>0</v>
      </c>
      <c r="Y5" s="2">
        <v>0</v>
      </c>
      <c r="Z5" s="2">
        <v>0</v>
      </c>
      <c r="AA5" s="2">
        <v>-184.45</v>
      </c>
      <c r="AB5" s="2">
        <v>-184.45</v>
      </c>
      <c r="AC5" s="2">
        <v>0</v>
      </c>
    </row>
    <row r="6" spans="1:29" x14ac:dyDescent="0.3">
      <c r="A6">
        <v>2032200714</v>
      </c>
      <c r="B6" t="s">
        <v>285</v>
      </c>
      <c r="C6" t="s">
        <v>286</v>
      </c>
      <c r="D6" t="str">
        <f t="shared" si="0"/>
        <v>KATHY HALVEY</v>
      </c>
      <c r="E6" t="s">
        <v>80</v>
      </c>
      <c r="F6" t="s">
        <v>53</v>
      </c>
      <c r="G6" s="3">
        <v>0.9</v>
      </c>
      <c r="H6" t="s">
        <v>65</v>
      </c>
      <c r="I6" s="11" t="s">
        <v>65</v>
      </c>
      <c r="J6">
        <v>7470776</v>
      </c>
      <c r="K6" t="s">
        <v>167</v>
      </c>
      <c r="L6" t="s">
        <v>168</v>
      </c>
      <c r="M6" t="str">
        <f t="shared" si="1"/>
        <v>Andrew Choi</v>
      </c>
      <c r="N6" t="s">
        <v>86</v>
      </c>
      <c r="O6" s="1">
        <v>45992</v>
      </c>
      <c r="P6" s="1">
        <v>46118</v>
      </c>
      <c r="Q6" s="1">
        <v>46143</v>
      </c>
      <c r="R6" s="2">
        <v>-102.45</v>
      </c>
      <c r="S6">
        <v>1</v>
      </c>
      <c r="T6" t="s">
        <v>58</v>
      </c>
      <c r="U6">
        <v>-1</v>
      </c>
      <c r="V6" t="s">
        <v>60</v>
      </c>
      <c r="W6" t="s">
        <v>61</v>
      </c>
      <c r="X6">
        <v>0</v>
      </c>
      <c r="Y6" s="2">
        <v>0</v>
      </c>
      <c r="Z6" s="2">
        <v>0</v>
      </c>
      <c r="AA6" s="2">
        <v>-92.2</v>
      </c>
      <c r="AB6" s="2">
        <v>-92.2</v>
      </c>
      <c r="AC6" s="2">
        <v>0</v>
      </c>
    </row>
    <row r="7" spans="1:29" x14ac:dyDescent="0.3">
      <c r="A7">
        <v>2032311595</v>
      </c>
      <c r="B7" t="s">
        <v>287</v>
      </c>
      <c r="C7" t="s">
        <v>288</v>
      </c>
      <c r="D7" t="str">
        <f t="shared" si="0"/>
        <v>FIDEL ESTANDA</v>
      </c>
      <c r="E7" t="s">
        <v>80</v>
      </c>
      <c r="F7" t="s">
        <v>53</v>
      </c>
      <c r="G7" s="3">
        <v>0.7</v>
      </c>
      <c r="H7" t="s">
        <v>54</v>
      </c>
      <c r="I7" s="11" t="s">
        <v>54</v>
      </c>
      <c r="J7" t="s">
        <v>985</v>
      </c>
      <c r="K7" t="s">
        <v>110</v>
      </c>
      <c r="L7" t="s">
        <v>111</v>
      </c>
      <c r="M7" t="str">
        <f t="shared" si="1"/>
        <v>RICARDO SANTOS</v>
      </c>
      <c r="N7" t="s">
        <v>86</v>
      </c>
      <c r="O7" s="1">
        <v>46023</v>
      </c>
      <c r="P7" s="1">
        <v>46125</v>
      </c>
      <c r="Q7" s="1">
        <v>46143</v>
      </c>
      <c r="R7" s="2">
        <v>-152.77000000000001</v>
      </c>
      <c r="S7">
        <v>1</v>
      </c>
      <c r="T7" t="s">
        <v>58</v>
      </c>
      <c r="U7">
        <v>-1</v>
      </c>
      <c r="V7" t="s">
        <v>60</v>
      </c>
      <c r="W7" t="s">
        <v>61</v>
      </c>
      <c r="X7">
        <v>0</v>
      </c>
      <c r="Y7" s="2">
        <v>0</v>
      </c>
      <c r="Z7" s="2">
        <v>0</v>
      </c>
      <c r="AA7" s="2">
        <v>-106.94</v>
      </c>
      <c r="AB7" s="2">
        <v>-106.94</v>
      </c>
      <c r="AC7" s="2">
        <v>0</v>
      </c>
    </row>
    <row r="8" spans="1:29" x14ac:dyDescent="0.3">
      <c r="A8">
        <v>2033499220</v>
      </c>
      <c r="B8" t="s">
        <v>437</v>
      </c>
      <c r="C8" t="s">
        <v>438</v>
      </c>
      <c r="D8" t="str">
        <f t="shared" si="0"/>
        <v>PAULA LEVASSEUR</v>
      </c>
      <c r="E8" t="s">
        <v>270</v>
      </c>
      <c r="F8" t="s">
        <v>53</v>
      </c>
      <c r="G8" s="3">
        <v>0.7</v>
      </c>
      <c r="H8" t="s">
        <v>54</v>
      </c>
      <c r="I8" s="11" t="s">
        <v>54</v>
      </c>
      <c r="J8" t="s">
        <v>986</v>
      </c>
      <c r="K8" t="s">
        <v>71</v>
      </c>
      <c r="L8" t="s">
        <v>72</v>
      </c>
      <c r="M8" t="str">
        <f t="shared" si="1"/>
        <v>Jake Shulman</v>
      </c>
      <c r="N8" t="s">
        <v>86</v>
      </c>
      <c r="O8" s="1">
        <v>46082</v>
      </c>
      <c r="P8" s="1">
        <v>46118</v>
      </c>
      <c r="Q8" s="1">
        <v>46143</v>
      </c>
      <c r="R8" s="2">
        <v>-203.98</v>
      </c>
      <c r="S8">
        <v>1</v>
      </c>
      <c r="T8" t="s">
        <v>58</v>
      </c>
      <c r="U8">
        <v>-1</v>
      </c>
      <c r="V8" t="s">
        <v>60</v>
      </c>
      <c r="W8" t="s">
        <v>61</v>
      </c>
      <c r="X8">
        <v>0</v>
      </c>
      <c r="Y8" s="2">
        <v>0</v>
      </c>
      <c r="Z8" s="2">
        <v>0</v>
      </c>
      <c r="AA8" s="2">
        <v>-142.79</v>
      </c>
      <c r="AB8" s="2">
        <v>-142.79</v>
      </c>
      <c r="AC8" s="2">
        <v>0</v>
      </c>
    </row>
    <row r="9" spans="1:29" x14ac:dyDescent="0.3">
      <c r="A9">
        <v>2025649889</v>
      </c>
      <c r="B9" t="s">
        <v>545</v>
      </c>
      <c r="C9" t="s">
        <v>546</v>
      </c>
      <c r="D9" t="str">
        <f t="shared" si="0"/>
        <v>DONNA BARBIERI-SANTUS</v>
      </c>
      <c r="E9" t="s">
        <v>256</v>
      </c>
      <c r="F9" t="s">
        <v>533</v>
      </c>
      <c r="G9" s="4">
        <v>6.5000000000000002E-2</v>
      </c>
      <c r="H9" t="s">
        <v>534</v>
      </c>
      <c r="I9" s="11" t="s">
        <v>534</v>
      </c>
      <c r="J9">
        <v>17425766</v>
      </c>
      <c r="K9" t="s">
        <v>544</v>
      </c>
      <c r="L9" t="s">
        <v>324</v>
      </c>
      <c r="M9" t="str">
        <f t="shared" si="1"/>
        <v>CAROL FOLEY</v>
      </c>
      <c r="N9" t="s">
        <v>86</v>
      </c>
      <c r="O9" s="1">
        <v>45658</v>
      </c>
      <c r="P9" s="1">
        <v>46125</v>
      </c>
      <c r="Q9" s="1">
        <v>46143</v>
      </c>
      <c r="R9" s="2">
        <v>-46.45</v>
      </c>
      <c r="S9">
        <v>1</v>
      </c>
      <c r="T9" t="s">
        <v>58</v>
      </c>
      <c r="U9">
        <v>-1</v>
      </c>
      <c r="V9" t="s">
        <v>536</v>
      </c>
      <c r="W9" t="s">
        <v>61</v>
      </c>
      <c r="X9">
        <v>0</v>
      </c>
      <c r="Y9" s="2">
        <v>0</v>
      </c>
      <c r="Z9" s="2">
        <v>0</v>
      </c>
      <c r="AA9" s="2">
        <v>-3.02</v>
      </c>
      <c r="AB9" s="2">
        <v>-3.02</v>
      </c>
      <c r="AC9" s="2">
        <v>0</v>
      </c>
    </row>
    <row r="10" spans="1:29" x14ac:dyDescent="0.3">
      <c r="A10">
        <v>2029657453</v>
      </c>
      <c r="B10" t="s">
        <v>149</v>
      </c>
      <c r="C10" t="s">
        <v>602</v>
      </c>
      <c r="D10" t="str">
        <f t="shared" si="0"/>
        <v>BODIE JOHN</v>
      </c>
      <c r="E10" t="s">
        <v>52</v>
      </c>
      <c r="F10" t="s">
        <v>444</v>
      </c>
      <c r="G10" s="3">
        <v>0.75</v>
      </c>
      <c r="H10" t="s">
        <v>451</v>
      </c>
      <c r="I10" s="11" t="s">
        <v>980</v>
      </c>
      <c r="J10">
        <v>8977234</v>
      </c>
      <c r="K10" t="s">
        <v>115</v>
      </c>
      <c r="L10" t="s">
        <v>116</v>
      </c>
      <c r="M10" t="str">
        <f t="shared" si="1"/>
        <v>RYAN CALTAGIRONE</v>
      </c>
      <c r="N10" t="s">
        <v>86</v>
      </c>
      <c r="O10" s="1">
        <v>45870</v>
      </c>
      <c r="P10" s="1">
        <v>46125</v>
      </c>
      <c r="Q10" s="1">
        <v>46143</v>
      </c>
      <c r="R10" s="2">
        <v>-70.83</v>
      </c>
      <c r="S10">
        <v>1</v>
      </c>
      <c r="T10" t="s">
        <v>58</v>
      </c>
      <c r="U10">
        <v>-1</v>
      </c>
      <c r="V10" t="s">
        <v>60</v>
      </c>
      <c r="W10" t="s">
        <v>61</v>
      </c>
      <c r="X10">
        <v>0</v>
      </c>
      <c r="Y10" s="2">
        <v>0</v>
      </c>
      <c r="Z10" s="2">
        <v>0</v>
      </c>
      <c r="AA10" s="2">
        <v>-53.12</v>
      </c>
      <c r="AB10" s="2">
        <v>-53.12</v>
      </c>
      <c r="AC10" s="2">
        <v>0</v>
      </c>
    </row>
    <row r="11" spans="1:29" x14ac:dyDescent="0.3">
      <c r="A11">
        <v>2029959146</v>
      </c>
      <c r="B11" t="s">
        <v>83</v>
      </c>
      <c r="C11" t="s">
        <v>84</v>
      </c>
      <c r="D11" t="str">
        <f t="shared" si="0"/>
        <v>PELEGCOHEN ESTER</v>
      </c>
      <c r="E11" t="s">
        <v>85</v>
      </c>
      <c r="F11" t="s">
        <v>444</v>
      </c>
      <c r="G11" s="3">
        <v>0.75</v>
      </c>
      <c r="H11" t="s">
        <v>454</v>
      </c>
      <c r="I11" s="11" t="s">
        <v>980</v>
      </c>
      <c r="J11">
        <v>8307933</v>
      </c>
      <c r="K11" t="s">
        <v>55</v>
      </c>
      <c r="L11" t="s">
        <v>56</v>
      </c>
      <c r="M11" t="str">
        <f t="shared" si="1"/>
        <v>GREGORY TEIPEL</v>
      </c>
      <c r="N11" t="s">
        <v>86</v>
      </c>
      <c r="O11" s="1">
        <v>45876</v>
      </c>
      <c r="P11" s="1">
        <v>46125</v>
      </c>
      <c r="Q11" s="1">
        <v>46149</v>
      </c>
      <c r="R11" s="2">
        <v>-180.77</v>
      </c>
      <c r="S11">
        <v>1</v>
      </c>
      <c r="T11" t="s">
        <v>58</v>
      </c>
      <c r="U11">
        <v>-1</v>
      </c>
      <c r="V11" t="s">
        <v>60</v>
      </c>
      <c r="W11" t="s">
        <v>61</v>
      </c>
      <c r="X11">
        <v>0</v>
      </c>
      <c r="Y11" s="2">
        <v>0</v>
      </c>
      <c r="Z11" s="2">
        <v>0</v>
      </c>
      <c r="AA11" s="2">
        <v>-135.58000000000001</v>
      </c>
      <c r="AB11" s="2">
        <v>-135.58000000000001</v>
      </c>
      <c r="AC11" s="2">
        <v>0</v>
      </c>
    </row>
    <row r="12" spans="1:29" x14ac:dyDescent="0.3">
      <c r="A12">
        <v>2032404257</v>
      </c>
      <c r="B12" t="s">
        <v>615</v>
      </c>
      <c r="C12" t="s">
        <v>616</v>
      </c>
      <c r="D12" t="str">
        <f t="shared" si="0"/>
        <v>LYNDA GREENE</v>
      </c>
      <c r="E12" t="s">
        <v>182</v>
      </c>
      <c r="F12" t="s">
        <v>444</v>
      </c>
      <c r="G12" s="3">
        <v>0.75</v>
      </c>
      <c r="H12" t="s">
        <v>454</v>
      </c>
      <c r="I12" s="11" t="s">
        <v>980</v>
      </c>
      <c r="J12">
        <v>1706194</v>
      </c>
      <c r="K12" t="s">
        <v>146</v>
      </c>
      <c r="L12" t="s">
        <v>147</v>
      </c>
      <c r="M12" t="str">
        <f t="shared" si="1"/>
        <v>MATTHEW DAUGHERTY</v>
      </c>
      <c r="N12" t="s">
        <v>86</v>
      </c>
      <c r="O12" s="1">
        <v>46023</v>
      </c>
      <c r="P12" s="1">
        <v>46118</v>
      </c>
      <c r="Q12" s="1">
        <v>46143</v>
      </c>
      <c r="R12" s="2">
        <v>-60.72</v>
      </c>
      <c r="S12">
        <v>1</v>
      </c>
      <c r="T12" t="s">
        <v>58</v>
      </c>
      <c r="U12">
        <v>-1</v>
      </c>
      <c r="V12" t="s">
        <v>60</v>
      </c>
      <c r="W12" t="s">
        <v>61</v>
      </c>
      <c r="X12">
        <v>0</v>
      </c>
      <c r="Y12" s="2">
        <v>0</v>
      </c>
      <c r="Z12" s="2">
        <v>0</v>
      </c>
      <c r="AA12" s="2">
        <v>-45.54</v>
      </c>
      <c r="AB12" s="2">
        <v>-45.54</v>
      </c>
      <c r="AC12" s="2">
        <v>0</v>
      </c>
    </row>
    <row r="13" spans="1:29" x14ac:dyDescent="0.3">
      <c r="A13">
        <v>2033499221</v>
      </c>
      <c r="B13" t="s">
        <v>437</v>
      </c>
      <c r="C13" t="s">
        <v>438</v>
      </c>
      <c r="D13" t="str">
        <f t="shared" si="0"/>
        <v>PAULA LEVASSEUR</v>
      </c>
      <c r="E13" t="s">
        <v>270</v>
      </c>
      <c r="F13" t="s">
        <v>444</v>
      </c>
      <c r="G13" s="3">
        <v>0.75</v>
      </c>
      <c r="H13" t="s">
        <v>451</v>
      </c>
      <c r="I13" s="11" t="s">
        <v>980</v>
      </c>
      <c r="J13" t="s">
        <v>986</v>
      </c>
      <c r="K13" t="s">
        <v>71</v>
      </c>
      <c r="L13" t="s">
        <v>72</v>
      </c>
      <c r="M13" t="str">
        <f t="shared" si="1"/>
        <v>Jake Shulman</v>
      </c>
      <c r="N13" t="s">
        <v>86</v>
      </c>
      <c r="O13" s="1">
        <v>46082</v>
      </c>
      <c r="P13" s="1">
        <v>46118</v>
      </c>
      <c r="Q13" s="1">
        <v>46143</v>
      </c>
      <c r="R13" s="2">
        <v>-178.7</v>
      </c>
      <c r="S13">
        <v>1</v>
      </c>
      <c r="T13" t="s">
        <v>58</v>
      </c>
      <c r="U13">
        <v>-1</v>
      </c>
      <c r="V13" t="s">
        <v>60</v>
      </c>
      <c r="W13" t="s">
        <v>61</v>
      </c>
      <c r="X13">
        <v>0</v>
      </c>
      <c r="Y13" s="2">
        <v>0</v>
      </c>
      <c r="Z13" s="2">
        <v>0</v>
      </c>
      <c r="AA13" s="2">
        <v>-134.02000000000001</v>
      </c>
      <c r="AB13" s="2">
        <v>-134.02000000000001</v>
      </c>
      <c r="AC13" s="2">
        <v>0</v>
      </c>
    </row>
    <row r="14" spans="1:29" x14ac:dyDescent="0.3">
      <c r="A14">
        <v>2034430398</v>
      </c>
      <c r="B14" t="s">
        <v>646</v>
      </c>
      <c r="C14" t="s">
        <v>548</v>
      </c>
      <c r="D14" t="str">
        <f t="shared" si="0"/>
        <v>KEVIN KOPPMEIER</v>
      </c>
      <c r="E14" t="s">
        <v>114</v>
      </c>
      <c r="F14" t="s">
        <v>444</v>
      </c>
      <c r="G14" s="3">
        <v>0.75</v>
      </c>
      <c r="H14" t="s">
        <v>451</v>
      </c>
      <c r="I14" s="11" t="s">
        <v>980</v>
      </c>
      <c r="J14">
        <v>8977234</v>
      </c>
      <c r="K14" t="s">
        <v>115</v>
      </c>
      <c r="L14" t="s">
        <v>116</v>
      </c>
      <c r="M14" t="str">
        <f t="shared" si="1"/>
        <v>RYAN CALTAGIRONE</v>
      </c>
      <c r="N14" t="s">
        <v>86</v>
      </c>
      <c r="O14" s="1">
        <v>46113</v>
      </c>
      <c r="P14" s="1">
        <v>46125</v>
      </c>
      <c r="Q14" s="1">
        <v>46143</v>
      </c>
      <c r="R14" s="2">
        <v>-102.2</v>
      </c>
      <c r="S14">
        <v>1</v>
      </c>
      <c r="T14" t="s">
        <v>58</v>
      </c>
      <c r="U14">
        <v>-1</v>
      </c>
      <c r="V14" t="s">
        <v>60</v>
      </c>
      <c r="W14" t="s">
        <v>61</v>
      </c>
      <c r="X14">
        <v>0</v>
      </c>
      <c r="Y14" s="2">
        <v>0</v>
      </c>
      <c r="Z14" s="2">
        <v>0</v>
      </c>
      <c r="AA14" s="2">
        <v>-76.650000000000006</v>
      </c>
      <c r="AB14" s="2">
        <v>-76.650000000000006</v>
      </c>
      <c r="AC14" s="2">
        <v>0</v>
      </c>
    </row>
    <row r="15" spans="1:29" x14ac:dyDescent="0.3">
      <c r="A15">
        <v>2034588312</v>
      </c>
      <c r="B15" t="s">
        <v>647</v>
      </c>
      <c r="C15" t="s">
        <v>310</v>
      </c>
      <c r="D15" t="str">
        <f t="shared" si="0"/>
        <v>JORGE GONZALEZ-GARCIA</v>
      </c>
      <c r="E15" t="s">
        <v>93</v>
      </c>
      <c r="F15" t="s">
        <v>444</v>
      </c>
      <c r="G15" s="3">
        <v>0.9</v>
      </c>
      <c r="H15" t="s">
        <v>567</v>
      </c>
      <c r="I15" s="11" t="s">
        <v>981</v>
      </c>
      <c r="J15" t="s">
        <v>987</v>
      </c>
      <c r="K15" t="s">
        <v>281</v>
      </c>
      <c r="L15" t="s">
        <v>282</v>
      </c>
      <c r="M15" t="str">
        <f t="shared" si="1"/>
        <v>Brittany Oliver</v>
      </c>
      <c r="N15" t="s">
        <v>86</v>
      </c>
      <c r="O15" s="1">
        <v>46108</v>
      </c>
      <c r="P15" s="1">
        <v>46125</v>
      </c>
      <c r="Q15" s="1">
        <v>46139</v>
      </c>
      <c r="R15" s="2">
        <v>-92.76</v>
      </c>
      <c r="S15">
        <v>1</v>
      </c>
      <c r="T15" t="s">
        <v>58</v>
      </c>
      <c r="U15">
        <v>-1</v>
      </c>
      <c r="V15" t="s">
        <v>60</v>
      </c>
      <c r="W15" t="s">
        <v>61</v>
      </c>
      <c r="X15">
        <v>0</v>
      </c>
      <c r="Y15" s="2">
        <v>0</v>
      </c>
      <c r="Z15" s="2">
        <v>0</v>
      </c>
      <c r="AA15" s="2">
        <v>-83.48</v>
      </c>
      <c r="AB15" s="2">
        <v>-83.48</v>
      </c>
      <c r="AC15" s="2">
        <v>0</v>
      </c>
    </row>
    <row r="16" spans="1:29" x14ac:dyDescent="0.3">
      <c r="A16">
        <v>2034615253</v>
      </c>
      <c r="B16" t="s">
        <v>648</v>
      </c>
      <c r="C16" t="s">
        <v>649</v>
      </c>
      <c r="D16" t="str">
        <f t="shared" si="0"/>
        <v>CONNER MCALISTER</v>
      </c>
      <c r="E16" t="s">
        <v>650</v>
      </c>
      <c r="F16" t="s">
        <v>444</v>
      </c>
      <c r="G16" s="3">
        <v>0.9</v>
      </c>
      <c r="H16" t="s">
        <v>567</v>
      </c>
      <c r="I16" s="11" t="s">
        <v>981</v>
      </c>
      <c r="J16">
        <v>1706194</v>
      </c>
      <c r="K16" t="s">
        <v>146</v>
      </c>
      <c r="L16" t="s">
        <v>147</v>
      </c>
      <c r="M16" t="str">
        <f t="shared" si="1"/>
        <v>MATTHEW DAUGHERTY</v>
      </c>
      <c r="N16" t="s">
        <v>86</v>
      </c>
      <c r="O16" s="1">
        <v>46117</v>
      </c>
      <c r="P16" s="1">
        <v>46125</v>
      </c>
      <c r="Q16" s="1">
        <v>46147</v>
      </c>
      <c r="R16" s="2">
        <v>-73.239999999999995</v>
      </c>
      <c r="S16">
        <v>1</v>
      </c>
      <c r="T16" t="s">
        <v>58</v>
      </c>
      <c r="U16">
        <v>-1</v>
      </c>
      <c r="V16" t="s">
        <v>60</v>
      </c>
      <c r="W16" t="s">
        <v>61</v>
      </c>
      <c r="X16">
        <v>0</v>
      </c>
      <c r="Y16" s="2">
        <v>0</v>
      </c>
      <c r="Z16" s="2">
        <v>0</v>
      </c>
      <c r="AA16" s="2">
        <v>-65.92</v>
      </c>
      <c r="AB16" s="2">
        <v>-65.92</v>
      </c>
      <c r="AC16" s="2">
        <v>0</v>
      </c>
    </row>
    <row r="17" spans="1:29" x14ac:dyDescent="0.3">
      <c r="A17">
        <v>2033650828</v>
      </c>
      <c r="B17" t="s">
        <v>666</v>
      </c>
      <c r="C17" t="s">
        <v>667</v>
      </c>
      <c r="D17" t="str">
        <f t="shared" si="0"/>
        <v>ALEXANDER FLORES</v>
      </c>
      <c r="E17" t="s">
        <v>80</v>
      </c>
      <c r="F17" t="s">
        <v>53</v>
      </c>
      <c r="G17" s="3">
        <v>0.7</v>
      </c>
      <c r="H17" t="s">
        <v>54</v>
      </c>
      <c r="I17" s="11" t="s">
        <v>54</v>
      </c>
      <c r="J17">
        <v>21348299</v>
      </c>
      <c r="K17" t="s">
        <v>262</v>
      </c>
      <c r="L17" t="s">
        <v>263</v>
      </c>
      <c r="M17" t="str">
        <f t="shared" si="1"/>
        <v>BARRY BRENNER</v>
      </c>
      <c r="N17" t="s">
        <v>86</v>
      </c>
      <c r="O17" s="1">
        <v>46067</v>
      </c>
      <c r="P17" s="1">
        <v>46125</v>
      </c>
      <c r="Q17" s="1">
        <v>46126</v>
      </c>
      <c r="R17" s="2">
        <v>-28.15</v>
      </c>
      <c r="S17">
        <v>1</v>
      </c>
      <c r="T17" t="s">
        <v>58</v>
      </c>
      <c r="U17">
        <v>-1</v>
      </c>
      <c r="V17" t="s">
        <v>60</v>
      </c>
      <c r="W17" t="s">
        <v>61</v>
      </c>
      <c r="X17">
        <v>0</v>
      </c>
      <c r="Y17" s="2">
        <v>0</v>
      </c>
      <c r="Z17" s="2">
        <v>0</v>
      </c>
      <c r="AA17" s="2">
        <v>-19.7</v>
      </c>
      <c r="AB17" s="2">
        <v>-19.7</v>
      </c>
      <c r="AC17" s="2">
        <v>0</v>
      </c>
    </row>
    <row r="18" spans="1:29" x14ac:dyDescent="0.3">
      <c r="A18">
        <v>2034430399</v>
      </c>
      <c r="B18" t="s">
        <v>646</v>
      </c>
      <c r="C18" t="s">
        <v>548</v>
      </c>
      <c r="D18" t="str">
        <f t="shared" si="0"/>
        <v>KEVIN KOPPMEIER</v>
      </c>
      <c r="E18" t="s">
        <v>114</v>
      </c>
      <c r="F18" t="s">
        <v>53</v>
      </c>
      <c r="G18" s="3">
        <v>0.7</v>
      </c>
      <c r="H18" t="s">
        <v>54</v>
      </c>
      <c r="I18" s="11" t="s">
        <v>54</v>
      </c>
      <c r="J18">
        <v>8977234</v>
      </c>
      <c r="K18" t="s">
        <v>115</v>
      </c>
      <c r="L18" t="s">
        <v>116</v>
      </c>
      <c r="M18" t="str">
        <f t="shared" si="1"/>
        <v>RYAN CALTAGIRONE</v>
      </c>
      <c r="N18" t="s">
        <v>86</v>
      </c>
      <c r="O18" s="1">
        <v>46113</v>
      </c>
      <c r="P18" s="1">
        <v>46125</v>
      </c>
      <c r="Q18" s="1">
        <v>46143</v>
      </c>
      <c r="R18" s="2">
        <v>-94.16</v>
      </c>
      <c r="S18">
        <v>1</v>
      </c>
      <c r="T18" t="s">
        <v>58</v>
      </c>
      <c r="U18">
        <v>-1</v>
      </c>
      <c r="V18" t="s">
        <v>60</v>
      </c>
      <c r="W18" t="s">
        <v>61</v>
      </c>
      <c r="X18">
        <v>0</v>
      </c>
      <c r="Y18" s="2">
        <v>0</v>
      </c>
      <c r="Z18" s="2">
        <v>0</v>
      </c>
      <c r="AA18" s="2">
        <v>-65.91</v>
      </c>
      <c r="AB18" s="2">
        <v>-65.91</v>
      </c>
      <c r="AC18" s="2">
        <v>0</v>
      </c>
    </row>
    <row r="19" spans="1:29" x14ac:dyDescent="0.3">
      <c r="A19">
        <v>2034588311</v>
      </c>
      <c r="B19" t="s">
        <v>647</v>
      </c>
      <c r="C19" t="s">
        <v>310</v>
      </c>
      <c r="D19" t="str">
        <f t="shared" si="0"/>
        <v>JORGE GONZALEZ-GARCIA</v>
      </c>
      <c r="E19" t="s">
        <v>93</v>
      </c>
      <c r="F19" t="s">
        <v>53</v>
      </c>
      <c r="G19" s="3">
        <v>0.7</v>
      </c>
      <c r="H19" t="s">
        <v>97</v>
      </c>
      <c r="I19" s="11" t="s">
        <v>117</v>
      </c>
      <c r="J19" t="s">
        <v>987</v>
      </c>
      <c r="K19" t="s">
        <v>281</v>
      </c>
      <c r="L19" t="s">
        <v>282</v>
      </c>
      <c r="M19" t="str">
        <f t="shared" si="1"/>
        <v>Brittany Oliver</v>
      </c>
      <c r="N19" t="s">
        <v>86</v>
      </c>
      <c r="O19" s="1">
        <v>46108</v>
      </c>
      <c r="P19" s="1">
        <v>46125</v>
      </c>
      <c r="Q19" s="1">
        <v>46139</v>
      </c>
      <c r="R19" s="2">
        <v>-24.61</v>
      </c>
      <c r="S19">
        <v>1</v>
      </c>
      <c r="T19" t="s">
        <v>58</v>
      </c>
      <c r="U19">
        <v>-1</v>
      </c>
      <c r="V19" t="s">
        <v>60</v>
      </c>
      <c r="W19" t="s">
        <v>61</v>
      </c>
      <c r="X19">
        <v>0</v>
      </c>
      <c r="Y19" s="2">
        <v>0</v>
      </c>
      <c r="Z19" s="2">
        <v>0</v>
      </c>
      <c r="AA19" s="2">
        <v>-17.23</v>
      </c>
      <c r="AB19" s="2">
        <v>-17.23</v>
      </c>
      <c r="AC19" s="2">
        <v>0</v>
      </c>
    </row>
    <row r="20" spans="1:29" x14ac:dyDescent="0.3">
      <c r="A20">
        <v>2034615252</v>
      </c>
      <c r="B20" t="s">
        <v>648</v>
      </c>
      <c r="C20" t="s">
        <v>649</v>
      </c>
      <c r="D20" t="str">
        <f t="shared" si="0"/>
        <v>CONNER MCALISTER</v>
      </c>
      <c r="E20" t="s">
        <v>650</v>
      </c>
      <c r="F20" t="s">
        <v>53</v>
      </c>
      <c r="G20" s="3">
        <v>0.7</v>
      </c>
      <c r="H20" t="s">
        <v>54</v>
      </c>
      <c r="I20" s="11" t="s">
        <v>54</v>
      </c>
      <c r="J20">
        <v>1706194</v>
      </c>
      <c r="K20" t="s">
        <v>146</v>
      </c>
      <c r="L20" t="s">
        <v>147</v>
      </c>
      <c r="M20" t="str">
        <f t="shared" si="1"/>
        <v>MATTHEW DAUGHERTY</v>
      </c>
      <c r="N20" t="s">
        <v>86</v>
      </c>
      <c r="O20" s="1">
        <v>46117</v>
      </c>
      <c r="P20" s="1">
        <v>46125</v>
      </c>
      <c r="Q20" s="1">
        <v>46147</v>
      </c>
      <c r="R20" s="2">
        <v>-29.47</v>
      </c>
      <c r="S20">
        <v>1</v>
      </c>
      <c r="T20" t="s">
        <v>58</v>
      </c>
      <c r="U20">
        <v>-1</v>
      </c>
      <c r="V20" t="s">
        <v>60</v>
      </c>
      <c r="W20" t="s">
        <v>61</v>
      </c>
      <c r="X20">
        <v>0</v>
      </c>
      <c r="Y20" s="2">
        <v>0</v>
      </c>
      <c r="Z20" s="2">
        <v>0</v>
      </c>
      <c r="AA20" s="2">
        <v>-20.63</v>
      </c>
      <c r="AB20" s="2">
        <v>-20.63</v>
      </c>
      <c r="AC20" s="2">
        <v>0</v>
      </c>
    </row>
    <row r="21" spans="1:29" x14ac:dyDescent="0.3">
      <c r="A21">
        <v>2032499983</v>
      </c>
      <c r="B21" t="s">
        <v>197</v>
      </c>
      <c r="C21" t="s">
        <v>705</v>
      </c>
      <c r="D21" t="str">
        <f t="shared" si="0"/>
        <v>DANNA GREEN</v>
      </c>
      <c r="E21" t="s">
        <v>64</v>
      </c>
      <c r="F21" t="s">
        <v>524</v>
      </c>
      <c r="G21" s="3">
        <v>0.19</v>
      </c>
      <c r="H21" t="s">
        <v>706</v>
      </c>
      <c r="I21" s="11" t="s">
        <v>982</v>
      </c>
      <c r="J21">
        <v>20724564</v>
      </c>
      <c r="K21" t="s">
        <v>66</v>
      </c>
      <c r="L21" t="s">
        <v>67</v>
      </c>
      <c r="M21" t="str">
        <f t="shared" si="1"/>
        <v>Marsha Sanderock</v>
      </c>
      <c r="N21" t="s">
        <v>86</v>
      </c>
      <c r="O21" s="1">
        <v>45996</v>
      </c>
      <c r="P21" s="1">
        <v>46118</v>
      </c>
      <c r="Q21" s="1">
        <v>46147</v>
      </c>
      <c r="R21" s="2">
        <v>-431.38</v>
      </c>
      <c r="S21">
        <v>1</v>
      </c>
      <c r="T21" t="s">
        <v>58</v>
      </c>
      <c r="U21">
        <v>-1</v>
      </c>
      <c r="V21" t="s">
        <v>60</v>
      </c>
      <c r="W21" t="s">
        <v>61</v>
      </c>
      <c r="X21">
        <v>0</v>
      </c>
      <c r="Y21" s="2">
        <v>0</v>
      </c>
      <c r="Z21" s="2">
        <v>0</v>
      </c>
      <c r="AA21" s="2">
        <v>-81.96</v>
      </c>
      <c r="AB21" s="2">
        <v>-81.96</v>
      </c>
      <c r="AC21" s="2">
        <v>0</v>
      </c>
    </row>
    <row r="22" spans="1:29" x14ac:dyDescent="0.3">
      <c r="A22">
        <v>2034686259</v>
      </c>
      <c r="B22" t="s">
        <v>718</v>
      </c>
      <c r="C22" t="s">
        <v>719</v>
      </c>
      <c r="D22" t="str">
        <f t="shared" si="0"/>
        <v>NICHOLAS BARKETT</v>
      </c>
      <c r="E22" t="s">
        <v>420</v>
      </c>
      <c r="F22" t="s">
        <v>524</v>
      </c>
      <c r="G22" s="3">
        <v>0.28999999999999998</v>
      </c>
      <c r="H22" t="s">
        <v>720</v>
      </c>
      <c r="I22" s="11" t="s">
        <v>528</v>
      </c>
      <c r="J22">
        <v>7146581</v>
      </c>
      <c r="K22" t="s">
        <v>441</v>
      </c>
      <c r="L22" t="s">
        <v>442</v>
      </c>
      <c r="M22" t="str">
        <f t="shared" si="1"/>
        <v>Anthony Hunsberger</v>
      </c>
      <c r="N22" t="s">
        <v>86</v>
      </c>
      <c r="O22" s="1">
        <v>46113</v>
      </c>
      <c r="P22" s="1">
        <v>46125</v>
      </c>
      <c r="Q22" s="1">
        <v>46143</v>
      </c>
      <c r="R22" s="2">
        <v>-866.46</v>
      </c>
      <c r="S22">
        <v>1</v>
      </c>
      <c r="T22" t="s">
        <v>58</v>
      </c>
      <c r="U22">
        <v>-1</v>
      </c>
      <c r="V22" t="s">
        <v>60</v>
      </c>
      <c r="W22" t="s">
        <v>61</v>
      </c>
      <c r="X22">
        <v>0</v>
      </c>
      <c r="Y22" s="2">
        <v>0</v>
      </c>
      <c r="Z22" s="2">
        <v>0</v>
      </c>
      <c r="AA22" s="2">
        <v>-251.27</v>
      </c>
      <c r="AB22" s="2">
        <v>-251.27</v>
      </c>
      <c r="AC22" s="2">
        <v>0</v>
      </c>
    </row>
    <row r="23" spans="1:29" x14ac:dyDescent="0.3">
      <c r="A23">
        <v>2034686260</v>
      </c>
      <c r="B23" t="s">
        <v>718</v>
      </c>
      <c r="C23" t="s">
        <v>719</v>
      </c>
      <c r="D23" t="str">
        <f t="shared" si="0"/>
        <v>NICHOLAS BARKETT</v>
      </c>
      <c r="E23" t="s">
        <v>420</v>
      </c>
      <c r="F23" t="s">
        <v>524</v>
      </c>
      <c r="G23" s="3">
        <v>0.28999999999999998</v>
      </c>
      <c r="H23" t="s">
        <v>722</v>
      </c>
      <c r="I23" s="11" t="s">
        <v>528</v>
      </c>
      <c r="J23">
        <v>7146581</v>
      </c>
      <c r="K23" t="s">
        <v>441</v>
      </c>
      <c r="L23" t="s">
        <v>442</v>
      </c>
      <c r="M23" t="str">
        <f t="shared" si="1"/>
        <v>Anthony Hunsberger</v>
      </c>
      <c r="N23" t="s">
        <v>86</v>
      </c>
      <c r="O23" s="1">
        <v>46113</v>
      </c>
      <c r="P23" s="1">
        <v>46125</v>
      </c>
      <c r="Q23" s="1">
        <v>46143</v>
      </c>
      <c r="R23" s="2">
        <v>-9.9499999999999993</v>
      </c>
      <c r="S23">
        <v>1</v>
      </c>
      <c r="T23" t="s">
        <v>58</v>
      </c>
      <c r="U23">
        <v>-1</v>
      </c>
      <c r="V23" t="s">
        <v>60</v>
      </c>
      <c r="W23" t="s">
        <v>61</v>
      </c>
      <c r="X23">
        <v>0</v>
      </c>
      <c r="Y23" s="2">
        <v>0</v>
      </c>
      <c r="Z23" s="2">
        <v>0</v>
      </c>
      <c r="AA23" s="2">
        <v>-2.89</v>
      </c>
      <c r="AB23" s="2">
        <v>-2.89</v>
      </c>
      <c r="AC23" s="2">
        <v>0</v>
      </c>
    </row>
    <row r="24" spans="1:29" x14ac:dyDescent="0.3">
      <c r="A24">
        <v>2030820657</v>
      </c>
      <c r="B24" t="s">
        <v>746</v>
      </c>
      <c r="C24" t="s">
        <v>149</v>
      </c>
      <c r="D24" t="str">
        <f t="shared" si="0"/>
        <v>JOHN MCADOO</v>
      </c>
      <c r="E24" t="s">
        <v>256</v>
      </c>
      <c r="F24" t="s">
        <v>529</v>
      </c>
      <c r="G24" s="3">
        <v>0.47</v>
      </c>
      <c r="H24" t="s">
        <v>725</v>
      </c>
      <c r="I24" s="11" t="s">
        <v>725</v>
      </c>
      <c r="J24" t="s">
        <v>988</v>
      </c>
      <c r="K24" t="s">
        <v>747</v>
      </c>
      <c r="L24" t="s">
        <v>748</v>
      </c>
      <c r="M24" t="str">
        <f t="shared" si="1"/>
        <v>DEBORAH INSKIPT</v>
      </c>
      <c r="N24" t="s">
        <v>86</v>
      </c>
      <c r="O24" s="1">
        <v>45931</v>
      </c>
      <c r="P24" s="1">
        <v>46118</v>
      </c>
      <c r="Q24" s="1">
        <v>46143</v>
      </c>
      <c r="R24" s="2">
        <v>-31.35</v>
      </c>
      <c r="S24">
        <v>1</v>
      </c>
      <c r="T24" t="s">
        <v>58</v>
      </c>
      <c r="U24">
        <v>-1</v>
      </c>
      <c r="V24" t="s">
        <v>60</v>
      </c>
      <c r="W24" t="s">
        <v>61</v>
      </c>
      <c r="X24">
        <v>0</v>
      </c>
      <c r="Y24" s="2">
        <v>0</v>
      </c>
      <c r="Z24" s="2">
        <v>0</v>
      </c>
      <c r="AA24" s="2">
        <v>-14.73</v>
      </c>
      <c r="AB24" s="2">
        <v>-14.73</v>
      </c>
      <c r="AC24" s="2">
        <v>0</v>
      </c>
    </row>
    <row r="25" spans="1:29" x14ac:dyDescent="0.3">
      <c r="A25">
        <v>2024991182</v>
      </c>
      <c r="B25" t="s">
        <v>752</v>
      </c>
      <c r="C25" t="s">
        <v>753</v>
      </c>
      <c r="D25" t="str">
        <f t="shared" si="0"/>
        <v>HANNAH TUBAUGH</v>
      </c>
      <c r="E25" t="s">
        <v>182</v>
      </c>
      <c r="F25" t="s">
        <v>475</v>
      </c>
      <c r="G25" s="3">
        <v>0.1</v>
      </c>
      <c r="H25" t="s">
        <v>652</v>
      </c>
      <c r="I25" s="11" t="s">
        <v>652</v>
      </c>
      <c r="J25">
        <v>17425766</v>
      </c>
      <c r="K25" t="s">
        <v>544</v>
      </c>
      <c r="L25" t="s">
        <v>324</v>
      </c>
      <c r="M25" t="str">
        <f t="shared" si="1"/>
        <v>CAROL FOLEY</v>
      </c>
      <c r="N25" t="s">
        <v>86</v>
      </c>
      <c r="O25" s="1">
        <v>45566</v>
      </c>
      <c r="P25" s="1">
        <v>46118</v>
      </c>
      <c r="Q25" s="1">
        <v>46143</v>
      </c>
      <c r="R25" s="2">
        <v>-15</v>
      </c>
      <c r="S25">
        <v>1</v>
      </c>
      <c r="T25" t="s">
        <v>58</v>
      </c>
      <c r="U25">
        <v>-1</v>
      </c>
      <c r="V25" t="s">
        <v>536</v>
      </c>
      <c r="W25" t="s">
        <v>61</v>
      </c>
      <c r="X25">
        <v>0</v>
      </c>
      <c r="Y25" s="2">
        <v>0</v>
      </c>
      <c r="Z25" s="2">
        <v>0</v>
      </c>
      <c r="AA25" s="2">
        <v>-1.5</v>
      </c>
      <c r="AB25" s="2">
        <v>-1.5</v>
      </c>
      <c r="AC25" s="2">
        <v>0</v>
      </c>
    </row>
    <row r="26" spans="1:29" x14ac:dyDescent="0.3">
      <c r="A26">
        <v>2032200716</v>
      </c>
      <c r="B26" t="s">
        <v>285</v>
      </c>
      <c r="C26" t="s">
        <v>286</v>
      </c>
      <c r="D26" t="str">
        <f t="shared" si="0"/>
        <v>KATHY HALVEY</v>
      </c>
      <c r="E26" t="s">
        <v>80</v>
      </c>
      <c r="F26" t="s">
        <v>475</v>
      </c>
      <c r="G26" s="3">
        <v>0.38</v>
      </c>
      <c r="H26" t="s">
        <v>476</v>
      </c>
      <c r="I26" s="11" t="s">
        <v>476</v>
      </c>
      <c r="J26">
        <v>7470776</v>
      </c>
      <c r="K26" t="s">
        <v>167</v>
      </c>
      <c r="L26" t="s">
        <v>168</v>
      </c>
      <c r="M26" t="str">
        <f t="shared" si="1"/>
        <v>Andrew Choi</v>
      </c>
      <c r="N26" t="s">
        <v>86</v>
      </c>
      <c r="O26" s="1">
        <v>45992</v>
      </c>
      <c r="P26" s="1">
        <v>46118</v>
      </c>
      <c r="Q26" s="1">
        <v>46143</v>
      </c>
      <c r="R26" s="2">
        <v>-15.48</v>
      </c>
      <c r="S26">
        <v>1</v>
      </c>
      <c r="T26" t="s">
        <v>58</v>
      </c>
      <c r="U26">
        <v>-1</v>
      </c>
      <c r="V26" t="s">
        <v>60</v>
      </c>
      <c r="W26" t="s">
        <v>61</v>
      </c>
      <c r="X26">
        <v>0</v>
      </c>
      <c r="Y26" s="2">
        <v>0</v>
      </c>
      <c r="Z26" s="2">
        <v>0</v>
      </c>
      <c r="AA26" s="2">
        <v>-5.88</v>
      </c>
      <c r="AB26" s="2">
        <v>-5.88</v>
      </c>
      <c r="AC26" s="2">
        <v>0</v>
      </c>
    </row>
    <row r="27" spans="1:29" x14ac:dyDescent="0.3">
      <c r="A27">
        <v>2032499984</v>
      </c>
      <c r="B27" t="s">
        <v>197</v>
      </c>
      <c r="C27" t="s">
        <v>705</v>
      </c>
      <c r="D27" t="str">
        <f t="shared" si="0"/>
        <v>DANNA GREEN</v>
      </c>
      <c r="E27" t="s">
        <v>64</v>
      </c>
      <c r="F27" t="s">
        <v>475</v>
      </c>
      <c r="G27" s="3">
        <v>0.19</v>
      </c>
      <c r="H27" t="s">
        <v>765</v>
      </c>
      <c r="I27" s="11" t="s">
        <v>765</v>
      </c>
      <c r="J27">
        <v>20724564</v>
      </c>
      <c r="K27" t="s">
        <v>66</v>
      </c>
      <c r="L27" t="s">
        <v>67</v>
      </c>
      <c r="M27" t="str">
        <f t="shared" si="1"/>
        <v>Marsha Sanderock</v>
      </c>
      <c r="N27" t="s">
        <v>86</v>
      </c>
      <c r="O27" s="1">
        <v>45996</v>
      </c>
      <c r="P27" s="1">
        <v>46118</v>
      </c>
      <c r="Q27" s="1">
        <v>46147</v>
      </c>
      <c r="R27" s="2">
        <v>-16.940000000000001</v>
      </c>
      <c r="S27">
        <v>1</v>
      </c>
      <c r="T27" t="s">
        <v>58</v>
      </c>
      <c r="U27">
        <v>-1</v>
      </c>
      <c r="V27" t="s">
        <v>60</v>
      </c>
      <c r="W27" t="s">
        <v>61</v>
      </c>
      <c r="X27">
        <v>0</v>
      </c>
      <c r="Y27" s="2">
        <v>0</v>
      </c>
      <c r="Z27" s="2">
        <v>0</v>
      </c>
      <c r="AA27" s="2">
        <v>-3.22</v>
      </c>
      <c r="AB27" s="2">
        <v>-3.22</v>
      </c>
      <c r="AC27" s="2">
        <v>0</v>
      </c>
    </row>
    <row r="28" spans="1:29" x14ac:dyDescent="0.3">
      <c r="A28">
        <v>2033514022</v>
      </c>
      <c r="B28" t="s">
        <v>772</v>
      </c>
      <c r="C28" t="s">
        <v>773</v>
      </c>
      <c r="D28" t="str">
        <f t="shared" si="0"/>
        <v>DANIELA ALPIZAR</v>
      </c>
      <c r="E28" t="s">
        <v>80</v>
      </c>
      <c r="F28" t="s">
        <v>475</v>
      </c>
      <c r="G28" s="3">
        <v>0.38</v>
      </c>
      <c r="H28" t="s">
        <v>476</v>
      </c>
      <c r="I28" s="11" t="s">
        <v>500</v>
      </c>
      <c r="J28" t="s">
        <v>989</v>
      </c>
      <c r="K28" t="s">
        <v>307</v>
      </c>
      <c r="L28" t="s">
        <v>308</v>
      </c>
      <c r="M28" t="str">
        <f t="shared" si="1"/>
        <v>Dale Walenga</v>
      </c>
      <c r="N28" t="s">
        <v>86</v>
      </c>
      <c r="O28" s="1">
        <v>46059</v>
      </c>
      <c r="P28" s="1">
        <v>46125</v>
      </c>
      <c r="Q28" s="1">
        <v>46148</v>
      </c>
      <c r="R28" s="2">
        <v>-13.5</v>
      </c>
      <c r="S28">
        <v>1</v>
      </c>
      <c r="T28" t="s">
        <v>58</v>
      </c>
      <c r="U28">
        <v>-1</v>
      </c>
      <c r="V28" t="s">
        <v>60</v>
      </c>
      <c r="W28" t="s">
        <v>61</v>
      </c>
      <c r="X28">
        <v>0</v>
      </c>
      <c r="Y28" s="2">
        <v>0</v>
      </c>
      <c r="Z28" s="2">
        <v>0</v>
      </c>
      <c r="AA28" s="2">
        <v>-5.13</v>
      </c>
      <c r="AB28" s="2">
        <v>-5.13</v>
      </c>
      <c r="AC28" s="2">
        <v>0</v>
      </c>
    </row>
    <row r="29" spans="1:29" x14ac:dyDescent="0.3">
      <c r="A29">
        <v>2033717646</v>
      </c>
      <c r="B29" t="s">
        <v>775</v>
      </c>
      <c r="C29" t="s">
        <v>202</v>
      </c>
      <c r="D29" t="str">
        <f t="shared" si="0"/>
        <v>DAVID LUIS</v>
      </c>
      <c r="E29" t="s">
        <v>80</v>
      </c>
      <c r="F29" t="s">
        <v>475</v>
      </c>
      <c r="G29" s="3">
        <v>0.19</v>
      </c>
      <c r="H29" t="s">
        <v>762</v>
      </c>
      <c r="I29" s="11" t="s">
        <v>983</v>
      </c>
      <c r="J29" t="s">
        <v>989</v>
      </c>
      <c r="K29" t="s">
        <v>307</v>
      </c>
      <c r="L29" t="s">
        <v>308</v>
      </c>
      <c r="M29" t="str">
        <f t="shared" si="1"/>
        <v>Dale Walenga</v>
      </c>
      <c r="N29" t="s">
        <v>86</v>
      </c>
      <c r="O29" s="1">
        <v>46072</v>
      </c>
      <c r="P29" s="1">
        <v>46125</v>
      </c>
      <c r="Q29" s="1">
        <v>46131</v>
      </c>
      <c r="R29" s="2">
        <v>-5.81</v>
      </c>
      <c r="S29">
        <v>1</v>
      </c>
      <c r="T29" t="s">
        <v>58</v>
      </c>
      <c r="U29">
        <v>-1</v>
      </c>
      <c r="V29" t="s">
        <v>60</v>
      </c>
      <c r="W29" t="s">
        <v>61</v>
      </c>
      <c r="X29">
        <v>0</v>
      </c>
      <c r="Y29" s="2">
        <v>0</v>
      </c>
      <c r="Z29" s="2">
        <v>0</v>
      </c>
      <c r="AA29" s="2">
        <v>-1.1000000000000001</v>
      </c>
      <c r="AB29" s="2">
        <v>-1.1000000000000001</v>
      </c>
      <c r="AC29" s="2">
        <v>0</v>
      </c>
    </row>
    <row r="30" spans="1:29" x14ac:dyDescent="0.3">
      <c r="A30">
        <v>2034686261</v>
      </c>
      <c r="B30" t="s">
        <v>718</v>
      </c>
      <c r="C30" t="s">
        <v>719</v>
      </c>
      <c r="D30" t="str">
        <f t="shared" si="0"/>
        <v>NICHOLAS BARKETT</v>
      </c>
      <c r="E30" t="s">
        <v>420</v>
      </c>
      <c r="F30" t="s">
        <v>475</v>
      </c>
      <c r="G30" s="3">
        <v>0.28999999999999998</v>
      </c>
      <c r="H30" t="s">
        <v>482</v>
      </c>
      <c r="I30" s="11" t="s">
        <v>528</v>
      </c>
      <c r="J30" t="s">
        <v>990</v>
      </c>
      <c r="K30" t="s">
        <v>441</v>
      </c>
      <c r="L30" t="s">
        <v>442</v>
      </c>
      <c r="M30" t="str">
        <f t="shared" si="1"/>
        <v>Anthony Hunsberger</v>
      </c>
      <c r="N30" t="s">
        <v>86</v>
      </c>
      <c r="O30" s="1">
        <v>46113</v>
      </c>
      <c r="P30" s="1">
        <v>46125</v>
      </c>
      <c r="Q30" s="1">
        <v>46143</v>
      </c>
      <c r="R30" s="2">
        <v>-15</v>
      </c>
      <c r="S30">
        <v>1</v>
      </c>
      <c r="T30" t="s">
        <v>58</v>
      </c>
      <c r="U30">
        <v>-1</v>
      </c>
      <c r="V30" t="s">
        <v>60</v>
      </c>
      <c r="W30" t="s">
        <v>61</v>
      </c>
      <c r="X30">
        <v>0</v>
      </c>
      <c r="Y30" s="2">
        <v>0</v>
      </c>
      <c r="Z30" s="2">
        <v>0</v>
      </c>
      <c r="AA30" s="2">
        <v>-4.3499999999999996</v>
      </c>
      <c r="AB30" s="2">
        <v>-4.3499999999999996</v>
      </c>
      <c r="AC30" s="2">
        <v>0</v>
      </c>
    </row>
    <row r="31" spans="1:29" x14ac:dyDescent="0.3">
      <c r="A31">
        <v>2025992838</v>
      </c>
      <c r="B31" t="s">
        <v>802</v>
      </c>
      <c r="C31" t="s">
        <v>803</v>
      </c>
      <c r="D31" t="str">
        <f t="shared" si="0"/>
        <v>LINDA GRAY</v>
      </c>
      <c r="E31" t="s">
        <v>298</v>
      </c>
      <c r="F31" t="s">
        <v>483</v>
      </c>
      <c r="G31" s="3">
        <v>0.06</v>
      </c>
      <c r="H31" t="s">
        <v>484</v>
      </c>
      <c r="I31" s="11" t="s">
        <v>484</v>
      </c>
      <c r="J31">
        <v>8977234</v>
      </c>
      <c r="K31" t="s">
        <v>115</v>
      </c>
      <c r="L31" t="s">
        <v>116</v>
      </c>
      <c r="M31" t="str">
        <f t="shared" si="1"/>
        <v>RYAN CALTAGIRONE</v>
      </c>
      <c r="N31" t="s">
        <v>86</v>
      </c>
      <c r="O31" s="1">
        <v>45658</v>
      </c>
      <c r="P31" s="1">
        <v>46118</v>
      </c>
      <c r="Q31" s="1">
        <v>46143</v>
      </c>
      <c r="R31" s="2">
        <v>-29.32</v>
      </c>
      <c r="S31">
        <v>1</v>
      </c>
      <c r="T31" t="s">
        <v>58</v>
      </c>
      <c r="U31">
        <v>-1</v>
      </c>
      <c r="V31" t="s">
        <v>536</v>
      </c>
      <c r="W31" t="s">
        <v>61</v>
      </c>
      <c r="X31">
        <v>0</v>
      </c>
      <c r="Y31" s="2">
        <v>0</v>
      </c>
      <c r="Z31" s="2">
        <v>0</v>
      </c>
      <c r="AA31" s="2">
        <v>-1.76</v>
      </c>
      <c r="AB31" s="2">
        <v>-1.76</v>
      </c>
      <c r="AC31" s="2">
        <v>0</v>
      </c>
    </row>
    <row r="32" spans="1:29" x14ac:dyDescent="0.3">
      <c r="A32">
        <v>2026127400</v>
      </c>
      <c r="B32" t="s">
        <v>487</v>
      </c>
      <c r="C32" t="s">
        <v>145</v>
      </c>
      <c r="D32" t="str">
        <f t="shared" si="0"/>
        <v>SANDRA GANDEE</v>
      </c>
      <c r="E32" t="s">
        <v>114</v>
      </c>
      <c r="F32" t="s">
        <v>483</v>
      </c>
      <c r="G32" s="3">
        <v>0.06</v>
      </c>
      <c r="H32" t="s">
        <v>484</v>
      </c>
      <c r="I32" s="11" t="s">
        <v>484</v>
      </c>
      <c r="J32">
        <v>8977234</v>
      </c>
      <c r="K32" t="s">
        <v>115</v>
      </c>
      <c r="L32" t="s">
        <v>116</v>
      </c>
      <c r="M32" t="str">
        <f t="shared" si="1"/>
        <v>RYAN CALTAGIRONE</v>
      </c>
      <c r="N32" t="s">
        <v>86</v>
      </c>
      <c r="O32" s="1">
        <v>45658</v>
      </c>
      <c r="P32" s="1">
        <v>46125</v>
      </c>
      <c r="Q32" s="1">
        <v>46143</v>
      </c>
      <c r="R32" s="2">
        <v>-38.299999999999997</v>
      </c>
      <c r="S32">
        <v>1</v>
      </c>
      <c r="T32" t="s">
        <v>58</v>
      </c>
      <c r="U32">
        <v>-1</v>
      </c>
      <c r="V32" t="s">
        <v>536</v>
      </c>
      <c r="W32" t="s">
        <v>61</v>
      </c>
      <c r="X32">
        <v>0</v>
      </c>
      <c r="Y32" s="2">
        <v>0</v>
      </c>
      <c r="Z32" s="2">
        <v>0</v>
      </c>
      <c r="AA32" s="2">
        <v>-2.2999999999999998</v>
      </c>
      <c r="AB32" s="2">
        <v>-2.2999999999999998</v>
      </c>
      <c r="AC32" s="2">
        <v>0</v>
      </c>
    </row>
    <row r="33" spans="1:29" x14ac:dyDescent="0.3">
      <c r="A33">
        <v>2026836000</v>
      </c>
      <c r="B33" t="s">
        <v>815</v>
      </c>
      <c r="C33" t="s">
        <v>816</v>
      </c>
      <c r="D33" t="str">
        <f t="shared" si="0"/>
        <v>SARAI CALDERON</v>
      </c>
      <c r="E33" t="s">
        <v>80</v>
      </c>
      <c r="F33" t="s">
        <v>483</v>
      </c>
      <c r="G33" s="3">
        <v>0.06</v>
      </c>
      <c r="H33" t="s">
        <v>484</v>
      </c>
      <c r="I33" s="11" t="s">
        <v>484</v>
      </c>
      <c r="J33">
        <v>18754354</v>
      </c>
      <c r="K33" t="s">
        <v>224</v>
      </c>
      <c r="L33" t="s">
        <v>225</v>
      </c>
      <c r="M33" t="str">
        <f t="shared" si="1"/>
        <v>JACOB YALE</v>
      </c>
      <c r="N33" t="s">
        <v>86</v>
      </c>
      <c r="O33" s="1">
        <v>45689</v>
      </c>
      <c r="P33" s="1">
        <v>46125</v>
      </c>
      <c r="Q33" s="1">
        <v>46143</v>
      </c>
      <c r="R33" s="2">
        <v>-45.69</v>
      </c>
      <c r="S33">
        <v>1</v>
      </c>
      <c r="T33" t="s">
        <v>58</v>
      </c>
      <c r="U33">
        <v>-1</v>
      </c>
      <c r="V33" t="s">
        <v>536</v>
      </c>
      <c r="W33" t="s">
        <v>61</v>
      </c>
      <c r="X33">
        <v>0</v>
      </c>
      <c r="Y33" s="2">
        <v>0</v>
      </c>
      <c r="Z33" s="2">
        <v>0</v>
      </c>
      <c r="AA33" s="2">
        <v>-2.74</v>
      </c>
      <c r="AB33" s="2">
        <v>-2.74</v>
      </c>
      <c r="AC33" s="2">
        <v>0</v>
      </c>
    </row>
    <row r="34" spans="1:29" x14ac:dyDescent="0.3">
      <c r="A34">
        <v>2027431059</v>
      </c>
      <c r="B34" t="s">
        <v>828</v>
      </c>
      <c r="C34" t="s">
        <v>829</v>
      </c>
      <c r="D34" t="str">
        <f t="shared" si="0"/>
        <v>FATOUMATA DIAKITE</v>
      </c>
      <c r="E34" t="s">
        <v>644</v>
      </c>
      <c r="F34" t="s">
        <v>483</v>
      </c>
      <c r="G34" s="3">
        <v>0.06</v>
      </c>
      <c r="H34" t="s">
        <v>484</v>
      </c>
      <c r="I34" s="11" t="s">
        <v>484</v>
      </c>
      <c r="J34" t="s">
        <v>991</v>
      </c>
      <c r="K34" t="s">
        <v>134</v>
      </c>
      <c r="L34" t="s">
        <v>98</v>
      </c>
      <c r="M34" t="str">
        <f t="shared" si="1"/>
        <v>THOMAS PARDUE</v>
      </c>
      <c r="N34" t="s">
        <v>86</v>
      </c>
      <c r="O34" s="1">
        <v>45716</v>
      </c>
      <c r="P34" s="1">
        <v>46125</v>
      </c>
      <c r="Q34" s="1">
        <v>46140</v>
      </c>
      <c r="R34" s="2">
        <v>-18.75</v>
      </c>
      <c r="S34">
        <v>1</v>
      </c>
      <c r="T34" t="s">
        <v>58</v>
      </c>
      <c r="U34">
        <v>-1</v>
      </c>
      <c r="V34" t="s">
        <v>536</v>
      </c>
      <c r="W34" t="s">
        <v>61</v>
      </c>
      <c r="X34">
        <v>0</v>
      </c>
      <c r="Y34" s="2">
        <v>0</v>
      </c>
      <c r="Z34" s="2">
        <v>0</v>
      </c>
      <c r="AA34" s="2">
        <v>-1.1200000000000001</v>
      </c>
      <c r="AB34" s="2">
        <v>-1.1200000000000001</v>
      </c>
      <c r="AC34" s="2">
        <v>0</v>
      </c>
    </row>
    <row r="35" spans="1:29" x14ac:dyDescent="0.3">
      <c r="A35">
        <v>2029657456</v>
      </c>
      <c r="B35" t="s">
        <v>149</v>
      </c>
      <c r="C35" t="s">
        <v>602</v>
      </c>
      <c r="D35" t="str">
        <f t="shared" si="0"/>
        <v>BODIE JOHN</v>
      </c>
      <c r="E35" t="s">
        <v>52</v>
      </c>
      <c r="F35" t="s">
        <v>483</v>
      </c>
      <c r="G35" s="4">
        <v>0.375</v>
      </c>
      <c r="H35" t="s">
        <v>484</v>
      </c>
      <c r="I35" s="11" t="s">
        <v>484</v>
      </c>
      <c r="J35">
        <v>8977234</v>
      </c>
      <c r="K35" t="s">
        <v>115</v>
      </c>
      <c r="L35" t="s">
        <v>116</v>
      </c>
      <c r="M35" t="str">
        <f t="shared" si="1"/>
        <v>RYAN CALTAGIRONE</v>
      </c>
      <c r="N35" t="s">
        <v>86</v>
      </c>
      <c r="O35" s="1">
        <v>45870</v>
      </c>
      <c r="P35" s="1">
        <v>46125</v>
      </c>
      <c r="Q35" s="1">
        <v>46143</v>
      </c>
      <c r="R35" s="2">
        <v>-28.9</v>
      </c>
      <c r="S35">
        <v>1</v>
      </c>
      <c r="T35" t="s">
        <v>58</v>
      </c>
      <c r="U35">
        <v>-1</v>
      </c>
      <c r="V35" t="s">
        <v>60</v>
      </c>
      <c r="W35" t="s">
        <v>61</v>
      </c>
      <c r="X35">
        <v>0</v>
      </c>
      <c r="Y35" s="2">
        <v>0</v>
      </c>
      <c r="Z35" s="2">
        <v>0</v>
      </c>
      <c r="AA35" s="2">
        <v>-10.84</v>
      </c>
      <c r="AB35" s="2">
        <v>-10.84</v>
      </c>
      <c r="AC35" s="2">
        <v>0</v>
      </c>
    </row>
    <row r="36" spans="1:29" x14ac:dyDescent="0.3">
      <c r="A36">
        <v>2029981427</v>
      </c>
      <c r="B36" t="s">
        <v>118</v>
      </c>
      <c r="C36" t="s">
        <v>119</v>
      </c>
      <c r="D36" t="str">
        <f t="shared" si="0"/>
        <v>SLOAN SHERYL</v>
      </c>
      <c r="E36" t="s">
        <v>80</v>
      </c>
      <c r="F36" t="s">
        <v>483</v>
      </c>
      <c r="G36" s="4">
        <v>0.375</v>
      </c>
      <c r="H36" t="s">
        <v>484</v>
      </c>
      <c r="I36" s="11" t="s">
        <v>484</v>
      </c>
      <c r="J36" t="s">
        <v>984</v>
      </c>
      <c r="K36" t="s">
        <v>120</v>
      </c>
      <c r="L36" t="s">
        <v>121</v>
      </c>
      <c r="M36" t="str">
        <f t="shared" si="1"/>
        <v>Richard Yale</v>
      </c>
      <c r="N36" t="s">
        <v>86</v>
      </c>
      <c r="O36" s="1">
        <v>45870</v>
      </c>
      <c r="P36" s="1">
        <v>46118</v>
      </c>
      <c r="Q36" s="1">
        <v>46143</v>
      </c>
      <c r="R36" s="2">
        <v>-74.900000000000006</v>
      </c>
      <c r="S36">
        <v>1</v>
      </c>
      <c r="T36" t="s">
        <v>58</v>
      </c>
      <c r="U36">
        <v>-1</v>
      </c>
      <c r="V36" t="s">
        <v>60</v>
      </c>
      <c r="W36" t="s">
        <v>61</v>
      </c>
      <c r="X36">
        <v>0</v>
      </c>
      <c r="Y36" s="2">
        <v>0</v>
      </c>
      <c r="Z36" s="2">
        <v>0</v>
      </c>
      <c r="AA36" s="2">
        <v>-28.09</v>
      </c>
      <c r="AB36" s="2">
        <v>-28.09</v>
      </c>
      <c r="AC36" s="2">
        <v>0</v>
      </c>
    </row>
    <row r="37" spans="1:29" x14ac:dyDescent="0.3">
      <c r="A37">
        <v>2032634844</v>
      </c>
      <c r="B37" t="s">
        <v>323</v>
      </c>
      <c r="C37" t="s">
        <v>324</v>
      </c>
      <c r="D37" t="str">
        <f t="shared" si="0"/>
        <v>CAROL MAYBIN</v>
      </c>
      <c r="E37" t="s">
        <v>52</v>
      </c>
      <c r="F37" t="s">
        <v>483</v>
      </c>
      <c r="G37" s="4">
        <v>0.375</v>
      </c>
      <c r="H37" t="s">
        <v>484</v>
      </c>
      <c r="I37" s="11" t="s">
        <v>484</v>
      </c>
      <c r="J37">
        <v>17516272</v>
      </c>
      <c r="K37" t="s">
        <v>311</v>
      </c>
      <c r="L37" t="s">
        <v>312</v>
      </c>
      <c r="M37" t="str">
        <f t="shared" si="1"/>
        <v>Kenneth Weitzman</v>
      </c>
      <c r="N37" t="s">
        <v>86</v>
      </c>
      <c r="O37" s="1">
        <v>46003</v>
      </c>
      <c r="P37" s="1">
        <v>46125</v>
      </c>
      <c r="Q37" s="1">
        <v>46154</v>
      </c>
      <c r="R37" s="2">
        <v>73.17</v>
      </c>
      <c r="S37">
        <v>1</v>
      </c>
      <c r="T37" t="s">
        <v>58</v>
      </c>
      <c r="U37">
        <v>0</v>
      </c>
      <c r="V37" t="s">
        <v>60</v>
      </c>
      <c r="W37" t="s">
        <v>61</v>
      </c>
      <c r="X37">
        <v>0</v>
      </c>
      <c r="Y37" s="2">
        <v>0</v>
      </c>
      <c r="Z37" s="2">
        <v>0</v>
      </c>
      <c r="AA37" s="2">
        <v>27.44</v>
      </c>
      <c r="AB37" s="2">
        <v>27.44</v>
      </c>
      <c r="AC37" s="2">
        <v>0</v>
      </c>
    </row>
    <row r="38" spans="1:29" x14ac:dyDescent="0.3">
      <c r="A38">
        <v>2032634844</v>
      </c>
      <c r="B38" t="s">
        <v>323</v>
      </c>
      <c r="C38" t="s">
        <v>324</v>
      </c>
      <c r="D38" t="str">
        <f t="shared" si="0"/>
        <v>CAROL MAYBIN</v>
      </c>
      <c r="E38" t="s">
        <v>52</v>
      </c>
      <c r="F38" t="s">
        <v>483</v>
      </c>
      <c r="G38" s="4">
        <v>0.375</v>
      </c>
      <c r="H38" t="s">
        <v>484</v>
      </c>
      <c r="I38" s="11" t="s">
        <v>484</v>
      </c>
      <c r="J38">
        <v>17516272</v>
      </c>
      <c r="K38" t="s">
        <v>311</v>
      </c>
      <c r="L38" t="s">
        <v>312</v>
      </c>
      <c r="M38" t="str">
        <f t="shared" si="1"/>
        <v>Kenneth Weitzman</v>
      </c>
      <c r="N38" t="s">
        <v>86</v>
      </c>
      <c r="O38" s="1">
        <v>46003</v>
      </c>
      <c r="P38" s="1">
        <v>46125</v>
      </c>
      <c r="Q38" s="1">
        <v>46154</v>
      </c>
      <c r="R38" s="2">
        <v>-77.89</v>
      </c>
      <c r="S38">
        <v>1</v>
      </c>
      <c r="T38" t="s">
        <v>58</v>
      </c>
      <c r="U38">
        <v>-1</v>
      </c>
      <c r="V38" t="s">
        <v>60</v>
      </c>
      <c r="W38" t="s">
        <v>61</v>
      </c>
      <c r="X38">
        <v>0</v>
      </c>
      <c r="Y38" s="2">
        <v>0</v>
      </c>
      <c r="Z38" s="2">
        <v>0</v>
      </c>
      <c r="AA38" s="2">
        <v>-29.21</v>
      </c>
      <c r="AB38" s="2">
        <v>-29.21</v>
      </c>
      <c r="AC38" s="2">
        <v>0</v>
      </c>
    </row>
    <row r="39" spans="1:29" x14ac:dyDescent="0.3">
      <c r="A39">
        <v>2034430400</v>
      </c>
      <c r="B39" t="s">
        <v>646</v>
      </c>
      <c r="C39" t="s">
        <v>548</v>
      </c>
      <c r="D39" t="str">
        <f t="shared" si="0"/>
        <v>KEVIN KOPPMEIER</v>
      </c>
      <c r="E39" t="s">
        <v>114</v>
      </c>
      <c r="F39" t="s">
        <v>483</v>
      </c>
      <c r="G39" s="4">
        <v>0.375</v>
      </c>
      <c r="H39" t="s">
        <v>484</v>
      </c>
      <c r="I39" s="11" t="s">
        <v>484</v>
      </c>
      <c r="J39">
        <v>8977234</v>
      </c>
      <c r="K39" t="s">
        <v>115</v>
      </c>
      <c r="L39" t="s">
        <v>116</v>
      </c>
      <c r="M39" t="str">
        <f t="shared" si="1"/>
        <v>RYAN CALTAGIRONE</v>
      </c>
      <c r="N39" t="s">
        <v>86</v>
      </c>
      <c r="O39" s="1">
        <v>46113</v>
      </c>
      <c r="P39" s="1">
        <v>46125</v>
      </c>
      <c r="Q39" s="1">
        <v>46143</v>
      </c>
      <c r="R39" s="2">
        <v>-25.89</v>
      </c>
      <c r="S39">
        <v>1</v>
      </c>
      <c r="T39" t="s">
        <v>58</v>
      </c>
      <c r="U39">
        <v>-1</v>
      </c>
      <c r="V39" t="s">
        <v>60</v>
      </c>
      <c r="W39" t="s">
        <v>61</v>
      </c>
      <c r="X39">
        <v>0</v>
      </c>
      <c r="Y39" s="2">
        <v>0</v>
      </c>
      <c r="Z39" s="2">
        <v>0</v>
      </c>
      <c r="AA39" s="2">
        <v>-9.7100000000000009</v>
      </c>
      <c r="AB39" s="2">
        <v>-9.7100000000000009</v>
      </c>
      <c r="AC39" s="2">
        <v>0</v>
      </c>
    </row>
    <row r="40" spans="1:29" x14ac:dyDescent="0.3">
      <c r="A40">
        <v>2024991181</v>
      </c>
      <c r="B40" t="s">
        <v>752</v>
      </c>
      <c r="C40" t="s">
        <v>753</v>
      </c>
      <c r="D40" t="str">
        <f t="shared" si="0"/>
        <v>HANNAH TUBAUGH</v>
      </c>
      <c r="E40" t="s">
        <v>182</v>
      </c>
      <c r="F40" t="s">
        <v>499</v>
      </c>
      <c r="G40" s="3">
        <v>0.1</v>
      </c>
      <c r="H40" t="s">
        <v>502</v>
      </c>
      <c r="I40" s="11" t="s">
        <v>502</v>
      </c>
      <c r="J40">
        <v>17425766</v>
      </c>
      <c r="K40" t="s">
        <v>544</v>
      </c>
      <c r="L40" t="s">
        <v>324</v>
      </c>
      <c r="M40" t="str">
        <f t="shared" si="1"/>
        <v>CAROL FOLEY</v>
      </c>
      <c r="N40" t="s">
        <v>86</v>
      </c>
      <c r="O40" s="1">
        <v>45566</v>
      </c>
      <c r="P40" s="1">
        <v>46118</v>
      </c>
      <c r="Q40" s="1">
        <v>46143</v>
      </c>
      <c r="R40" s="2">
        <v>-44.93</v>
      </c>
      <c r="S40">
        <v>1</v>
      </c>
      <c r="T40" t="s">
        <v>58</v>
      </c>
      <c r="U40">
        <v>-1</v>
      </c>
      <c r="V40" t="s">
        <v>536</v>
      </c>
      <c r="W40" t="s">
        <v>61</v>
      </c>
      <c r="X40">
        <v>0</v>
      </c>
      <c r="Y40" s="2">
        <v>0</v>
      </c>
      <c r="Z40" s="2">
        <v>0</v>
      </c>
      <c r="AA40" s="2">
        <v>-4.49</v>
      </c>
      <c r="AB40" s="2">
        <v>-4.49</v>
      </c>
      <c r="AC40" s="2">
        <v>0</v>
      </c>
    </row>
    <row r="41" spans="1:29" x14ac:dyDescent="0.3">
      <c r="A41">
        <v>2025649890</v>
      </c>
      <c r="B41" t="s">
        <v>545</v>
      </c>
      <c r="C41" t="s">
        <v>546</v>
      </c>
      <c r="D41" t="str">
        <f t="shared" si="0"/>
        <v>DONNA BARBIERI-SANTUS</v>
      </c>
      <c r="E41" t="s">
        <v>256</v>
      </c>
      <c r="F41" t="s">
        <v>499</v>
      </c>
      <c r="G41" s="3">
        <v>0.1</v>
      </c>
      <c r="H41" t="s">
        <v>502</v>
      </c>
      <c r="I41" s="11" t="s">
        <v>502</v>
      </c>
      <c r="J41">
        <v>17425766</v>
      </c>
      <c r="K41" t="s">
        <v>544</v>
      </c>
      <c r="L41" t="s">
        <v>324</v>
      </c>
      <c r="M41" t="str">
        <f t="shared" si="1"/>
        <v>CAROL FOLEY</v>
      </c>
      <c r="N41" t="s">
        <v>86</v>
      </c>
      <c r="O41" s="1">
        <v>45658</v>
      </c>
      <c r="P41" s="1">
        <v>46125</v>
      </c>
      <c r="Q41" s="1">
        <v>46143</v>
      </c>
      <c r="R41" s="2">
        <v>-49.11</v>
      </c>
      <c r="S41">
        <v>1</v>
      </c>
      <c r="T41" t="s">
        <v>58</v>
      </c>
      <c r="U41">
        <v>-1</v>
      </c>
      <c r="V41" t="s">
        <v>536</v>
      </c>
      <c r="W41" t="s">
        <v>61</v>
      </c>
      <c r="X41">
        <v>0</v>
      </c>
      <c r="Y41" s="2">
        <v>0</v>
      </c>
      <c r="Z41" s="2">
        <v>0</v>
      </c>
      <c r="AA41" s="2">
        <v>-4.91</v>
      </c>
      <c r="AB41" s="2">
        <v>-4.91</v>
      </c>
      <c r="AC41" s="2">
        <v>0</v>
      </c>
    </row>
    <row r="42" spans="1:29" x14ac:dyDescent="0.3">
      <c r="A42">
        <v>2032200711</v>
      </c>
      <c r="B42" t="s">
        <v>285</v>
      </c>
      <c r="C42" t="s">
        <v>286</v>
      </c>
      <c r="D42" t="str">
        <f t="shared" si="0"/>
        <v>KATHY HALVEY</v>
      </c>
      <c r="E42" t="s">
        <v>80</v>
      </c>
      <c r="F42" t="s">
        <v>499</v>
      </c>
      <c r="G42" s="3">
        <v>0.38</v>
      </c>
      <c r="H42" t="s">
        <v>500</v>
      </c>
      <c r="I42" s="11" t="s">
        <v>500</v>
      </c>
      <c r="J42">
        <v>7470776</v>
      </c>
      <c r="K42" t="s">
        <v>167</v>
      </c>
      <c r="L42" t="s">
        <v>168</v>
      </c>
      <c r="M42" t="str">
        <f t="shared" si="1"/>
        <v>Andrew Choi</v>
      </c>
      <c r="N42" t="s">
        <v>86</v>
      </c>
      <c r="O42" s="1">
        <v>45992</v>
      </c>
      <c r="P42" s="1">
        <v>46118</v>
      </c>
      <c r="Q42" s="1">
        <v>46143</v>
      </c>
      <c r="R42" s="2">
        <v>-452.25</v>
      </c>
      <c r="S42">
        <v>1</v>
      </c>
      <c r="T42" t="s">
        <v>58</v>
      </c>
      <c r="U42">
        <v>-1</v>
      </c>
      <c r="V42" t="s">
        <v>60</v>
      </c>
      <c r="W42" t="s">
        <v>61</v>
      </c>
      <c r="X42">
        <v>0</v>
      </c>
      <c r="Y42" s="2">
        <v>0</v>
      </c>
      <c r="Z42" s="2">
        <v>0</v>
      </c>
      <c r="AA42" s="2">
        <v>-171.86</v>
      </c>
      <c r="AB42" s="2">
        <v>-171.86</v>
      </c>
      <c r="AC42" s="2">
        <v>0</v>
      </c>
    </row>
    <row r="43" spans="1:29" x14ac:dyDescent="0.3">
      <c r="A43">
        <v>2032200715</v>
      </c>
      <c r="B43" t="s">
        <v>285</v>
      </c>
      <c r="C43" t="s">
        <v>286</v>
      </c>
      <c r="D43" t="str">
        <f t="shared" si="0"/>
        <v>KATHY HALVEY</v>
      </c>
      <c r="E43" t="s">
        <v>80</v>
      </c>
      <c r="F43" t="s">
        <v>499</v>
      </c>
      <c r="G43" s="3">
        <v>0.38</v>
      </c>
      <c r="H43" t="s">
        <v>501</v>
      </c>
      <c r="I43" s="11" t="s">
        <v>500</v>
      </c>
      <c r="J43">
        <v>7470776</v>
      </c>
      <c r="K43" t="s">
        <v>167</v>
      </c>
      <c r="L43" t="s">
        <v>168</v>
      </c>
      <c r="M43" t="str">
        <f t="shared" si="1"/>
        <v>Andrew Choi</v>
      </c>
      <c r="N43" t="s">
        <v>86</v>
      </c>
      <c r="O43" s="1">
        <v>45992</v>
      </c>
      <c r="P43" s="1">
        <v>46118</v>
      </c>
      <c r="Q43" s="1">
        <v>46143</v>
      </c>
      <c r="R43" s="2">
        <v>-7.32</v>
      </c>
      <c r="S43">
        <v>1</v>
      </c>
      <c r="T43" t="s">
        <v>58</v>
      </c>
      <c r="U43">
        <v>-1</v>
      </c>
      <c r="V43" t="s">
        <v>60</v>
      </c>
      <c r="W43" t="s">
        <v>61</v>
      </c>
      <c r="X43">
        <v>0</v>
      </c>
      <c r="Y43" s="2">
        <v>0</v>
      </c>
      <c r="Z43" s="2">
        <v>0</v>
      </c>
      <c r="AA43" s="2">
        <v>-2.78</v>
      </c>
      <c r="AB43" s="2">
        <v>-2.78</v>
      </c>
      <c r="AC43" s="2">
        <v>0</v>
      </c>
    </row>
    <row r="44" spans="1:29" x14ac:dyDescent="0.3">
      <c r="A44">
        <v>2033514020</v>
      </c>
      <c r="B44" t="s">
        <v>772</v>
      </c>
      <c r="C44" t="s">
        <v>773</v>
      </c>
      <c r="D44" t="str">
        <f t="shared" si="0"/>
        <v>DANIELA ALPIZAR</v>
      </c>
      <c r="E44" t="s">
        <v>80</v>
      </c>
      <c r="F44" t="s">
        <v>499</v>
      </c>
      <c r="G44" s="3">
        <v>0.38</v>
      </c>
      <c r="H44" t="s">
        <v>500</v>
      </c>
      <c r="I44" s="11" t="s">
        <v>500</v>
      </c>
      <c r="J44" t="s">
        <v>989</v>
      </c>
      <c r="K44" t="s">
        <v>307</v>
      </c>
      <c r="L44" t="s">
        <v>308</v>
      </c>
      <c r="M44" t="str">
        <f t="shared" si="1"/>
        <v>Dale Walenga</v>
      </c>
      <c r="N44" t="s">
        <v>86</v>
      </c>
      <c r="O44" s="1">
        <v>46059</v>
      </c>
      <c r="P44" s="1">
        <v>46125</v>
      </c>
      <c r="Q44" s="1">
        <v>46148</v>
      </c>
      <c r="R44" s="2">
        <v>-118.19</v>
      </c>
      <c r="S44">
        <v>1</v>
      </c>
      <c r="T44" t="s">
        <v>58</v>
      </c>
      <c r="U44">
        <v>-1</v>
      </c>
      <c r="V44" t="s">
        <v>60</v>
      </c>
      <c r="W44" t="s">
        <v>61</v>
      </c>
      <c r="X44">
        <v>0</v>
      </c>
      <c r="Y44" s="2">
        <v>0</v>
      </c>
      <c r="Z44" s="2">
        <v>0</v>
      </c>
      <c r="AA44" s="2">
        <v>-44.91</v>
      </c>
      <c r="AB44" s="2">
        <v>-44.91</v>
      </c>
      <c r="AC44" s="2">
        <v>0</v>
      </c>
    </row>
    <row r="45" spans="1:29" x14ac:dyDescent="0.3">
      <c r="A45">
        <v>2033514021</v>
      </c>
      <c r="B45" t="s">
        <v>772</v>
      </c>
      <c r="C45" t="s">
        <v>773</v>
      </c>
      <c r="D45" t="str">
        <f t="shared" si="0"/>
        <v>DANIELA ALPIZAR</v>
      </c>
      <c r="E45" t="s">
        <v>80</v>
      </c>
      <c r="F45" t="s">
        <v>499</v>
      </c>
      <c r="G45" s="3">
        <v>0.38</v>
      </c>
      <c r="H45" t="s">
        <v>501</v>
      </c>
      <c r="I45" s="11" t="s">
        <v>500</v>
      </c>
      <c r="J45" t="s">
        <v>989</v>
      </c>
      <c r="K45" t="s">
        <v>307</v>
      </c>
      <c r="L45" t="s">
        <v>308</v>
      </c>
      <c r="M45" t="str">
        <f t="shared" si="1"/>
        <v>Dale Walenga</v>
      </c>
      <c r="N45" t="s">
        <v>86</v>
      </c>
      <c r="O45" s="1">
        <v>46059</v>
      </c>
      <c r="P45" s="1">
        <v>46125</v>
      </c>
      <c r="Q45" s="1">
        <v>46148</v>
      </c>
      <c r="R45" s="2">
        <v>-6.38</v>
      </c>
      <c r="S45">
        <v>1</v>
      </c>
      <c r="T45" t="s">
        <v>58</v>
      </c>
      <c r="U45">
        <v>-1</v>
      </c>
      <c r="V45" t="s">
        <v>60</v>
      </c>
      <c r="W45" t="s">
        <v>61</v>
      </c>
      <c r="X45">
        <v>0</v>
      </c>
      <c r="Y45" s="2">
        <v>0</v>
      </c>
      <c r="Z45" s="2">
        <v>0</v>
      </c>
      <c r="AA45" s="2">
        <v>-2.42</v>
      </c>
      <c r="AB45" s="2">
        <v>-2.42</v>
      </c>
      <c r="AC45" s="2">
        <v>0</v>
      </c>
    </row>
    <row r="46" spans="1:29" x14ac:dyDescent="0.3">
      <c r="A46">
        <v>2033717644</v>
      </c>
      <c r="B46" t="s">
        <v>775</v>
      </c>
      <c r="C46" t="s">
        <v>202</v>
      </c>
      <c r="D46" t="str">
        <f t="shared" si="0"/>
        <v>DAVID LUIS</v>
      </c>
      <c r="E46" t="s">
        <v>80</v>
      </c>
      <c r="F46" t="s">
        <v>499</v>
      </c>
      <c r="G46" s="3">
        <v>0.19</v>
      </c>
      <c r="H46" t="s">
        <v>877</v>
      </c>
      <c r="I46" s="11" t="s">
        <v>983</v>
      </c>
      <c r="J46" t="s">
        <v>989</v>
      </c>
      <c r="K46" t="s">
        <v>307</v>
      </c>
      <c r="L46" t="s">
        <v>308</v>
      </c>
      <c r="M46" t="str">
        <f t="shared" si="1"/>
        <v>Dale Walenga</v>
      </c>
      <c r="N46" t="s">
        <v>86</v>
      </c>
      <c r="O46" s="1">
        <v>46072</v>
      </c>
      <c r="P46" s="1">
        <v>46125</v>
      </c>
      <c r="Q46" s="1">
        <v>46131</v>
      </c>
      <c r="R46" s="2">
        <v>-27.75</v>
      </c>
      <c r="S46">
        <v>1</v>
      </c>
      <c r="T46" t="s">
        <v>58</v>
      </c>
      <c r="U46">
        <v>-1</v>
      </c>
      <c r="V46" t="s">
        <v>60</v>
      </c>
      <c r="W46" t="s">
        <v>61</v>
      </c>
      <c r="X46">
        <v>0</v>
      </c>
      <c r="Y46" s="2">
        <v>0</v>
      </c>
      <c r="Z46" s="2">
        <v>0</v>
      </c>
      <c r="AA46" s="2">
        <v>-5.27</v>
      </c>
      <c r="AB46" s="2">
        <v>-5.27</v>
      </c>
      <c r="AC46" s="2">
        <v>0</v>
      </c>
    </row>
    <row r="47" spans="1:29" x14ac:dyDescent="0.3">
      <c r="A47">
        <v>2033717645</v>
      </c>
      <c r="B47" t="s">
        <v>775</v>
      </c>
      <c r="C47" t="s">
        <v>202</v>
      </c>
      <c r="D47" t="str">
        <f t="shared" si="0"/>
        <v>DAVID LUIS</v>
      </c>
      <c r="E47" t="s">
        <v>80</v>
      </c>
      <c r="F47" t="s">
        <v>499</v>
      </c>
      <c r="G47" s="3">
        <v>0.38</v>
      </c>
      <c r="H47" t="s">
        <v>501</v>
      </c>
      <c r="I47" s="11" t="s">
        <v>500</v>
      </c>
      <c r="J47" t="s">
        <v>989</v>
      </c>
      <c r="K47" t="s">
        <v>307</v>
      </c>
      <c r="L47" t="s">
        <v>308</v>
      </c>
      <c r="M47" t="str">
        <f t="shared" si="1"/>
        <v>Dale Walenga</v>
      </c>
      <c r="N47" t="s">
        <v>86</v>
      </c>
      <c r="O47" s="1">
        <v>46072</v>
      </c>
      <c r="P47" s="1">
        <v>46125</v>
      </c>
      <c r="Q47" s="1">
        <v>46131</v>
      </c>
      <c r="R47" s="2">
        <v>-2.74</v>
      </c>
      <c r="S47">
        <v>1</v>
      </c>
      <c r="T47" t="s">
        <v>58</v>
      </c>
      <c r="U47">
        <v>-1</v>
      </c>
      <c r="V47" t="s">
        <v>60</v>
      </c>
      <c r="W47" t="s">
        <v>61</v>
      </c>
      <c r="X47">
        <v>0</v>
      </c>
      <c r="Y47" s="2">
        <v>0</v>
      </c>
      <c r="Z47" s="2">
        <v>0</v>
      </c>
      <c r="AA47" s="2">
        <v>-1.04</v>
      </c>
      <c r="AB47" s="2">
        <v>-1.04</v>
      </c>
      <c r="AC47" s="2">
        <v>0</v>
      </c>
    </row>
    <row r="48" spans="1:29" x14ac:dyDescent="0.3">
      <c r="A48">
        <v>2017006538</v>
      </c>
      <c r="B48" t="s">
        <v>837</v>
      </c>
      <c r="C48" t="s">
        <v>887</v>
      </c>
      <c r="D48" t="str">
        <f t="shared" si="0"/>
        <v>LAURIE HOWARD</v>
      </c>
      <c r="E48" t="s">
        <v>114</v>
      </c>
      <c r="F48" t="s">
        <v>53</v>
      </c>
      <c r="G48" s="3">
        <v>0.15</v>
      </c>
      <c r="H48" t="s">
        <v>54</v>
      </c>
      <c r="I48" s="11" t="s">
        <v>54</v>
      </c>
      <c r="J48">
        <v>20436896</v>
      </c>
      <c r="K48" t="s">
        <v>115</v>
      </c>
      <c r="L48" t="s">
        <v>788</v>
      </c>
      <c r="M48" t="str">
        <f t="shared" si="1"/>
        <v>KATELENN CALTAGIRONE</v>
      </c>
      <c r="N48" t="s">
        <v>86</v>
      </c>
      <c r="O48" s="1">
        <v>44927</v>
      </c>
      <c r="P48" s="1">
        <v>46118</v>
      </c>
      <c r="Q48" s="1">
        <v>46143</v>
      </c>
      <c r="R48" s="2">
        <v>-45.42</v>
      </c>
      <c r="S48">
        <v>1</v>
      </c>
      <c r="T48" t="s">
        <v>58</v>
      </c>
      <c r="U48">
        <v>-1</v>
      </c>
      <c r="V48" t="s">
        <v>536</v>
      </c>
      <c r="W48" t="s">
        <v>61</v>
      </c>
      <c r="X48">
        <v>0</v>
      </c>
      <c r="Y48" s="2">
        <v>0</v>
      </c>
      <c r="Z48" s="2">
        <v>0</v>
      </c>
      <c r="AA48" s="2">
        <v>-6.81</v>
      </c>
      <c r="AB48" s="2">
        <v>-6.81</v>
      </c>
      <c r="AC48" s="2">
        <v>0</v>
      </c>
    </row>
    <row r="49" spans="1:51" x14ac:dyDescent="0.3">
      <c r="A49">
        <v>2025992836</v>
      </c>
      <c r="B49" t="s">
        <v>802</v>
      </c>
      <c r="C49" t="s">
        <v>803</v>
      </c>
      <c r="D49" t="str">
        <f t="shared" si="0"/>
        <v>LINDA GRAY</v>
      </c>
      <c r="E49" t="s">
        <v>298</v>
      </c>
      <c r="F49" t="s">
        <v>53</v>
      </c>
      <c r="G49" s="3">
        <v>0.15</v>
      </c>
      <c r="H49" t="s">
        <v>54</v>
      </c>
      <c r="I49" s="11" t="s">
        <v>54</v>
      </c>
      <c r="J49">
        <v>8977234</v>
      </c>
      <c r="K49" t="s">
        <v>115</v>
      </c>
      <c r="L49" t="s">
        <v>116</v>
      </c>
      <c r="M49" t="str">
        <f t="shared" si="1"/>
        <v>RYAN CALTAGIRONE</v>
      </c>
      <c r="N49" t="s">
        <v>86</v>
      </c>
      <c r="O49" s="1">
        <v>45658</v>
      </c>
      <c r="P49" s="1">
        <v>46118</v>
      </c>
      <c r="Q49" s="1">
        <v>46143</v>
      </c>
      <c r="R49" s="2">
        <v>-30.93</v>
      </c>
      <c r="S49">
        <v>1</v>
      </c>
      <c r="T49" t="s">
        <v>58</v>
      </c>
      <c r="U49">
        <v>-1</v>
      </c>
      <c r="V49" t="s">
        <v>536</v>
      </c>
      <c r="W49" t="s">
        <v>61</v>
      </c>
      <c r="X49">
        <v>0</v>
      </c>
      <c r="Y49" s="2">
        <v>0</v>
      </c>
      <c r="Z49" s="2">
        <v>0</v>
      </c>
      <c r="AA49" s="2">
        <v>-4.6399999999999997</v>
      </c>
      <c r="AB49" s="2">
        <v>-4.6399999999999997</v>
      </c>
      <c r="AC49" s="2">
        <v>0</v>
      </c>
    </row>
    <row r="50" spans="1:51" x14ac:dyDescent="0.3">
      <c r="A50">
        <v>2026127399</v>
      </c>
      <c r="B50" t="s">
        <v>487</v>
      </c>
      <c r="C50" t="s">
        <v>145</v>
      </c>
      <c r="D50" t="str">
        <f t="shared" si="0"/>
        <v>SANDRA GANDEE</v>
      </c>
      <c r="E50" t="s">
        <v>114</v>
      </c>
      <c r="F50" t="s">
        <v>53</v>
      </c>
      <c r="G50" s="3">
        <v>0.15</v>
      </c>
      <c r="H50" t="s">
        <v>54</v>
      </c>
      <c r="I50" s="11" t="s">
        <v>54</v>
      </c>
      <c r="J50">
        <v>8977234</v>
      </c>
      <c r="K50" t="s">
        <v>115</v>
      </c>
      <c r="L50" t="s">
        <v>116</v>
      </c>
      <c r="M50" t="str">
        <f t="shared" si="1"/>
        <v>RYAN CALTAGIRONE</v>
      </c>
      <c r="N50" t="s">
        <v>86</v>
      </c>
      <c r="O50" s="1">
        <v>45658</v>
      </c>
      <c r="P50" s="1">
        <v>46125</v>
      </c>
      <c r="Q50" s="1">
        <v>46143</v>
      </c>
      <c r="R50" s="2">
        <v>-149.6</v>
      </c>
      <c r="S50">
        <v>1</v>
      </c>
      <c r="T50" t="s">
        <v>58</v>
      </c>
      <c r="U50">
        <v>-1</v>
      </c>
      <c r="V50" t="s">
        <v>536</v>
      </c>
      <c r="W50" t="s">
        <v>61</v>
      </c>
      <c r="X50">
        <v>0</v>
      </c>
      <c r="Y50" s="2">
        <v>0</v>
      </c>
      <c r="Z50" s="2">
        <v>0</v>
      </c>
      <c r="AA50" s="2">
        <v>-22.44</v>
      </c>
      <c r="AB50" s="2">
        <v>-22.44</v>
      </c>
      <c r="AC50" s="2">
        <v>0</v>
      </c>
    </row>
    <row r="51" spans="1:51" x14ac:dyDescent="0.3">
      <c r="A51">
        <v>2026836001</v>
      </c>
      <c r="B51" t="s">
        <v>815</v>
      </c>
      <c r="C51" t="s">
        <v>816</v>
      </c>
      <c r="D51" t="str">
        <f t="shared" si="0"/>
        <v>SARAI CALDERON</v>
      </c>
      <c r="E51" t="s">
        <v>80</v>
      </c>
      <c r="F51" t="s">
        <v>53</v>
      </c>
      <c r="G51" s="3">
        <v>0.15</v>
      </c>
      <c r="H51" t="s">
        <v>54</v>
      </c>
      <c r="I51" s="11" t="s">
        <v>54</v>
      </c>
      <c r="J51">
        <v>18754354</v>
      </c>
      <c r="K51" t="s">
        <v>224</v>
      </c>
      <c r="L51" t="s">
        <v>225</v>
      </c>
      <c r="M51" t="str">
        <f t="shared" si="1"/>
        <v>JACOB YALE</v>
      </c>
      <c r="N51" t="s">
        <v>86</v>
      </c>
      <c r="O51" s="1">
        <v>45689</v>
      </c>
      <c r="P51" s="1">
        <v>46125</v>
      </c>
      <c r="Q51" s="1">
        <v>46143</v>
      </c>
      <c r="R51" s="2">
        <v>-46.59</v>
      </c>
      <c r="S51">
        <v>1</v>
      </c>
      <c r="T51" t="s">
        <v>58</v>
      </c>
      <c r="U51">
        <v>-1</v>
      </c>
      <c r="V51" t="s">
        <v>536</v>
      </c>
      <c r="W51" t="s">
        <v>61</v>
      </c>
      <c r="X51">
        <v>0</v>
      </c>
      <c r="Y51" s="2">
        <v>0</v>
      </c>
      <c r="Z51" s="2">
        <v>0</v>
      </c>
      <c r="AA51" s="2">
        <v>-6.99</v>
      </c>
      <c r="AB51" s="2">
        <v>-6.99</v>
      </c>
      <c r="AC51" s="2">
        <v>0</v>
      </c>
    </row>
    <row r="52" spans="1:51" x14ac:dyDescent="0.3">
      <c r="A52">
        <v>2029657454</v>
      </c>
      <c r="B52" t="s">
        <v>149</v>
      </c>
      <c r="C52" t="s">
        <v>602</v>
      </c>
      <c r="D52" t="str">
        <f t="shared" si="0"/>
        <v>BODIE JOHN</v>
      </c>
      <c r="E52" t="s">
        <v>52</v>
      </c>
      <c r="F52" t="s">
        <v>53</v>
      </c>
      <c r="G52" s="3">
        <v>0.7</v>
      </c>
      <c r="H52" t="s">
        <v>117</v>
      </c>
      <c r="I52" s="11" t="s">
        <v>117</v>
      </c>
      <c r="J52">
        <v>8977234</v>
      </c>
      <c r="K52" t="s">
        <v>115</v>
      </c>
      <c r="L52" t="s">
        <v>116</v>
      </c>
      <c r="M52" t="str">
        <f t="shared" si="1"/>
        <v>RYAN CALTAGIRONE</v>
      </c>
      <c r="N52" t="s">
        <v>86</v>
      </c>
      <c r="O52" s="1">
        <v>45870</v>
      </c>
      <c r="P52" s="1">
        <v>46125</v>
      </c>
      <c r="Q52" s="1">
        <v>46143</v>
      </c>
      <c r="R52" s="2">
        <v>-20.58</v>
      </c>
      <c r="S52">
        <v>1</v>
      </c>
      <c r="T52" t="s">
        <v>58</v>
      </c>
      <c r="U52">
        <v>-1</v>
      </c>
      <c r="V52" t="s">
        <v>60</v>
      </c>
      <c r="W52" t="s">
        <v>61</v>
      </c>
      <c r="X52">
        <v>0</v>
      </c>
      <c r="Y52" s="2">
        <v>0</v>
      </c>
      <c r="Z52" s="2">
        <v>0</v>
      </c>
      <c r="AA52" s="2">
        <v>-14.41</v>
      </c>
      <c r="AB52" s="2">
        <v>-14.41</v>
      </c>
      <c r="AC52" s="2">
        <v>0</v>
      </c>
    </row>
    <row r="53" spans="1:51" x14ac:dyDescent="0.3">
      <c r="A53">
        <v>2029657455</v>
      </c>
      <c r="B53" t="s">
        <v>149</v>
      </c>
      <c r="C53" t="s">
        <v>602</v>
      </c>
      <c r="D53" t="str">
        <f t="shared" si="0"/>
        <v>BODIE JOHN</v>
      </c>
      <c r="E53" t="s">
        <v>52</v>
      </c>
      <c r="F53" t="s">
        <v>53</v>
      </c>
      <c r="G53" s="3">
        <v>0.7</v>
      </c>
      <c r="H53" t="s">
        <v>54</v>
      </c>
      <c r="I53" s="11" t="s">
        <v>54</v>
      </c>
      <c r="J53">
        <v>8977234</v>
      </c>
      <c r="K53" t="s">
        <v>115</v>
      </c>
      <c r="L53" t="s">
        <v>116</v>
      </c>
      <c r="M53" t="str">
        <f t="shared" si="1"/>
        <v>RYAN CALTAGIRONE</v>
      </c>
      <c r="N53" t="s">
        <v>86</v>
      </c>
      <c r="O53" s="1">
        <v>45870</v>
      </c>
      <c r="P53" s="1">
        <v>46125</v>
      </c>
      <c r="Q53" s="1">
        <v>46143</v>
      </c>
      <c r="R53" s="2">
        <v>-58.7</v>
      </c>
      <c r="S53">
        <v>1</v>
      </c>
      <c r="T53" t="s">
        <v>58</v>
      </c>
      <c r="U53">
        <v>-1</v>
      </c>
      <c r="V53" t="s">
        <v>60</v>
      </c>
      <c r="W53" t="s">
        <v>61</v>
      </c>
      <c r="X53">
        <v>0</v>
      </c>
      <c r="Y53" s="2">
        <v>0</v>
      </c>
      <c r="Z53" s="2">
        <v>0</v>
      </c>
      <c r="AA53" s="2">
        <v>-41.09</v>
      </c>
      <c r="AB53" s="2">
        <v>-41.09</v>
      </c>
      <c r="AC53" s="2">
        <v>0</v>
      </c>
    </row>
    <row r="54" spans="1:51" x14ac:dyDescent="0.3">
      <c r="G54" s="3"/>
      <c r="O54" s="1"/>
      <c r="P54" s="1"/>
      <c r="Q54" s="1"/>
      <c r="R54" s="2"/>
      <c r="Y54" s="2"/>
      <c r="Z54" s="2"/>
      <c r="AA54" s="2"/>
      <c r="AB54" s="2"/>
      <c r="AC54" s="2"/>
    </row>
    <row r="55" spans="1:51" x14ac:dyDescent="0.3">
      <c r="G55" s="3"/>
      <c r="O55" s="1"/>
      <c r="P55" s="1"/>
      <c r="Q55" s="1"/>
      <c r="R55" s="2"/>
      <c r="Y55" s="2"/>
      <c r="Z55" s="2"/>
      <c r="AA55" s="2"/>
      <c r="AB55" s="2"/>
      <c r="AC55" s="2"/>
    </row>
    <row r="56" spans="1:51" x14ac:dyDescent="0.3">
      <c r="G56" s="3"/>
      <c r="O56" s="1"/>
      <c r="P56" s="1"/>
      <c r="Q56" s="1"/>
      <c r="R56" s="2"/>
      <c r="Y56" s="2"/>
      <c r="Z56" s="2"/>
      <c r="AA56" s="2"/>
      <c r="AB56" s="2"/>
      <c r="AC56" s="2"/>
    </row>
    <row r="57" spans="1:51" s="8" customFormat="1" x14ac:dyDescent="0.3">
      <c r="A57" s="5">
        <v>2033625613</v>
      </c>
      <c r="B57" s="5" t="s">
        <v>974</v>
      </c>
      <c r="C57" s="5" t="s">
        <v>163</v>
      </c>
      <c r="D57" s="5"/>
      <c r="E57" s="5"/>
      <c r="F57" s="5" t="s">
        <v>53</v>
      </c>
      <c r="G57" s="5"/>
      <c r="H57" s="5" t="s">
        <v>94</v>
      </c>
      <c r="I57" s="5"/>
      <c r="J57" s="5">
        <v>902625</v>
      </c>
      <c r="K57" s="5" t="s">
        <v>281</v>
      </c>
      <c r="L57" s="5" t="s">
        <v>282</v>
      </c>
      <c r="M57" s="5" t="str">
        <f>CONCATENATE(L57," ",K57)</f>
        <v>Brittany Oliver</v>
      </c>
      <c r="N57" s="5" t="s">
        <v>86</v>
      </c>
      <c r="O57" s="6">
        <v>46066</v>
      </c>
      <c r="P57" s="6">
        <v>46125</v>
      </c>
      <c r="Q57" s="5"/>
      <c r="R57" s="7">
        <v>0</v>
      </c>
      <c r="S57" s="5"/>
      <c r="T57" s="5"/>
      <c r="U57" s="5"/>
      <c r="V57" s="5"/>
      <c r="W57" s="5"/>
      <c r="X57" s="5">
        <v>1</v>
      </c>
      <c r="Y57" s="7">
        <v>29.34</v>
      </c>
      <c r="Z57" s="7">
        <v>0</v>
      </c>
      <c r="AA57" s="7">
        <v>4.8899999999999997</v>
      </c>
      <c r="AB57" s="7">
        <v>-24.45</v>
      </c>
      <c r="AC57" s="7">
        <v>-24.45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 s="8" customFormat="1" x14ac:dyDescent="0.3">
      <c r="A58" s="5">
        <v>2033625614</v>
      </c>
      <c r="B58" s="5" t="s">
        <v>974</v>
      </c>
      <c r="C58" s="5" t="s">
        <v>163</v>
      </c>
      <c r="D58" s="5"/>
      <c r="E58" s="5"/>
      <c r="F58" s="5" t="s">
        <v>444</v>
      </c>
      <c r="G58" s="5"/>
      <c r="H58" s="5" t="s">
        <v>567</v>
      </c>
      <c r="I58" s="5"/>
      <c r="J58" s="5">
        <v>902625</v>
      </c>
      <c r="K58" s="5" t="s">
        <v>281</v>
      </c>
      <c r="L58" s="5" t="s">
        <v>282</v>
      </c>
      <c r="M58" s="5" t="str">
        <f>CONCATENATE(L58," ",K58)</f>
        <v>Brittany Oliver</v>
      </c>
      <c r="N58" s="5" t="s">
        <v>86</v>
      </c>
      <c r="O58" s="6">
        <v>46066</v>
      </c>
      <c r="P58" s="6">
        <v>46125</v>
      </c>
      <c r="Q58" s="5"/>
      <c r="R58" s="7">
        <v>0</v>
      </c>
      <c r="S58" s="5"/>
      <c r="T58" s="5"/>
      <c r="U58" s="5"/>
      <c r="V58" s="5"/>
      <c r="W58" s="5"/>
      <c r="X58" s="5">
        <v>1</v>
      </c>
      <c r="Y58" s="7">
        <v>186.48</v>
      </c>
      <c r="Z58" s="7">
        <v>0</v>
      </c>
      <c r="AA58" s="7">
        <v>31.08</v>
      </c>
      <c r="AB58" s="7">
        <v>-155.4</v>
      </c>
      <c r="AC58" s="7">
        <v>-155.4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 s="8" customFormat="1" x14ac:dyDescent="0.3">
      <c r="A59" s="5">
        <v>2034588311</v>
      </c>
      <c r="B59" s="5" t="s">
        <v>647</v>
      </c>
      <c r="C59" s="5" t="s">
        <v>310</v>
      </c>
      <c r="D59" s="5"/>
      <c r="E59" s="5"/>
      <c r="F59" s="5" t="s">
        <v>53</v>
      </c>
      <c r="G59" s="5"/>
      <c r="H59" s="5" t="s">
        <v>97</v>
      </c>
      <c r="I59" s="5"/>
      <c r="J59" s="5">
        <v>649163</v>
      </c>
      <c r="K59" s="5" t="s">
        <v>281</v>
      </c>
      <c r="L59" s="5" t="s">
        <v>282</v>
      </c>
      <c r="M59" s="5" t="str">
        <f>CONCATENATE(L59," ",K59)</f>
        <v>Brittany Oliver</v>
      </c>
      <c r="N59" s="5" t="s">
        <v>86</v>
      </c>
      <c r="O59" s="6">
        <v>46108</v>
      </c>
      <c r="P59" s="6">
        <v>46125</v>
      </c>
      <c r="Q59" s="5"/>
      <c r="R59" s="7">
        <v>0</v>
      </c>
      <c r="S59" s="5"/>
      <c r="T59" s="5"/>
      <c r="U59" s="5"/>
      <c r="V59" s="5"/>
      <c r="W59" s="5"/>
      <c r="X59" s="5">
        <v>1</v>
      </c>
      <c r="Y59" s="7">
        <v>103.38</v>
      </c>
      <c r="Z59" s="7">
        <v>0</v>
      </c>
      <c r="AA59" s="7">
        <v>17.23</v>
      </c>
      <c r="AB59" s="7">
        <v>-86.15</v>
      </c>
      <c r="AC59" s="7">
        <v>-86.15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 x14ac:dyDescent="0.3">
      <c r="A60" s="5">
        <v>2034588312</v>
      </c>
      <c r="B60" s="5" t="s">
        <v>647</v>
      </c>
      <c r="C60" s="5" t="s">
        <v>310</v>
      </c>
      <c r="D60" s="5"/>
      <c r="E60" s="5"/>
      <c r="F60" s="5" t="s">
        <v>444</v>
      </c>
      <c r="G60" s="5"/>
      <c r="H60" s="5" t="s">
        <v>567</v>
      </c>
      <c r="I60" s="5"/>
      <c r="J60" s="5">
        <v>649163</v>
      </c>
      <c r="K60" s="5" t="s">
        <v>281</v>
      </c>
      <c r="L60" s="5" t="s">
        <v>282</v>
      </c>
      <c r="M60" s="5" t="str">
        <f>CONCATENATE(L60," ",K60)</f>
        <v>Brittany Oliver</v>
      </c>
      <c r="N60" s="5" t="s">
        <v>86</v>
      </c>
      <c r="O60" s="6">
        <v>46108</v>
      </c>
      <c r="P60" s="6">
        <v>46125</v>
      </c>
      <c r="Q60" s="5"/>
      <c r="R60" s="7">
        <v>0</v>
      </c>
      <c r="S60" s="5"/>
      <c r="T60" s="5"/>
      <c r="U60" s="5"/>
      <c r="V60" s="5"/>
      <c r="W60" s="5"/>
      <c r="X60" s="5">
        <v>1</v>
      </c>
      <c r="Y60" s="7">
        <v>500.88</v>
      </c>
      <c r="Z60" s="7">
        <v>0</v>
      </c>
      <c r="AA60" s="7">
        <v>83.48</v>
      </c>
      <c r="AB60" s="7">
        <v>-417.4</v>
      </c>
      <c r="AC60" s="7">
        <v>-417.4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 s="5" customFormat="1" x14ac:dyDescent="0.3">
      <c r="A61" s="5">
        <v>2033514020</v>
      </c>
      <c r="B61" s="5" t="s">
        <v>772</v>
      </c>
      <c r="C61" s="5" t="s">
        <v>773</v>
      </c>
      <c r="F61" s="5" t="s">
        <v>499</v>
      </c>
      <c r="H61" s="5" t="s">
        <v>500</v>
      </c>
      <c r="J61" s="5">
        <v>649163</v>
      </c>
      <c r="K61" s="5" t="s">
        <v>307</v>
      </c>
      <c r="L61" s="5" t="s">
        <v>308</v>
      </c>
      <c r="M61" s="5" t="str">
        <f>CONCATENATE(L61," ",K61)</f>
        <v>Dale Walenga</v>
      </c>
      <c r="N61" s="5" t="s">
        <v>86</v>
      </c>
      <c r="O61" s="6">
        <v>46059</v>
      </c>
      <c r="P61" s="6">
        <v>46125</v>
      </c>
      <c r="R61" s="7">
        <v>0</v>
      </c>
      <c r="X61" s="5">
        <f>149.7/49.9</f>
        <v>3</v>
      </c>
      <c r="Y61" s="7">
        <v>299.39999999999998</v>
      </c>
      <c r="Z61" s="7">
        <v>0</v>
      </c>
      <c r="AA61" s="7">
        <v>149.69999999999999</v>
      </c>
      <c r="AB61" s="7">
        <v>-149.69999999999999</v>
      </c>
      <c r="AC61" s="7">
        <v>-149.69999999999999</v>
      </c>
    </row>
    <row r="62" spans="1:51" s="5" customFormat="1" x14ac:dyDescent="0.3">
      <c r="A62" s="5">
        <v>2033514021</v>
      </c>
      <c r="B62" s="5" t="s">
        <v>772</v>
      </c>
      <c r="C62" s="5" t="s">
        <v>773</v>
      </c>
      <c r="F62" s="5" t="s">
        <v>499</v>
      </c>
      <c r="H62" s="5" t="s">
        <v>501</v>
      </c>
      <c r="J62" s="5">
        <v>649163</v>
      </c>
      <c r="K62" s="5" t="s">
        <v>307</v>
      </c>
      <c r="L62" s="5" t="s">
        <v>308</v>
      </c>
      <c r="M62" s="5" t="str">
        <f>CONCATENATE(L62," ",K62)</f>
        <v>Dale Walenga</v>
      </c>
      <c r="N62" s="5" t="s">
        <v>86</v>
      </c>
      <c r="O62" s="6">
        <v>46059</v>
      </c>
      <c r="P62" s="6">
        <v>46125</v>
      </c>
      <c r="R62" s="7">
        <v>0</v>
      </c>
      <c r="X62" s="5">
        <f>8.07/2.69</f>
        <v>3</v>
      </c>
      <c r="Y62" s="7">
        <v>16.14</v>
      </c>
      <c r="Z62" s="7">
        <v>0</v>
      </c>
      <c r="AA62" s="7">
        <v>8.07</v>
      </c>
      <c r="AB62" s="7">
        <v>-8.07</v>
      </c>
      <c r="AC62" s="7">
        <v>-8.07</v>
      </c>
    </row>
    <row r="63" spans="1:51" s="5" customFormat="1" x14ac:dyDescent="0.3">
      <c r="A63" s="5">
        <v>2033514022</v>
      </c>
      <c r="B63" s="5" t="s">
        <v>772</v>
      </c>
      <c r="C63" s="5" t="s">
        <v>773</v>
      </c>
      <c r="F63" s="5" t="s">
        <v>475</v>
      </c>
      <c r="H63" s="5" t="s">
        <v>476</v>
      </c>
      <c r="J63" s="5">
        <v>649163</v>
      </c>
      <c r="K63" s="5" t="s">
        <v>307</v>
      </c>
      <c r="L63" s="5" t="s">
        <v>308</v>
      </c>
      <c r="M63" s="5" t="str">
        <f>CONCATENATE(L63," ",K63)</f>
        <v>Dale Walenga</v>
      </c>
      <c r="N63" s="5" t="s">
        <v>86</v>
      </c>
      <c r="O63" s="6">
        <v>46059</v>
      </c>
      <c r="P63" s="6">
        <v>46125</v>
      </c>
      <c r="R63" s="7">
        <v>0</v>
      </c>
      <c r="X63" s="5">
        <f>11.4/5.7</f>
        <v>2</v>
      </c>
      <c r="Y63" s="7">
        <v>34.200000000000003</v>
      </c>
      <c r="Z63" s="7">
        <v>0</v>
      </c>
      <c r="AA63" s="7">
        <v>11.4</v>
      </c>
      <c r="AB63" s="7">
        <v>-22.8</v>
      </c>
      <c r="AC63" s="7">
        <v>-22.8</v>
      </c>
    </row>
    <row r="64" spans="1:51" s="5" customFormat="1" x14ac:dyDescent="0.3">
      <c r="A64" s="5">
        <v>2033717644</v>
      </c>
      <c r="B64" s="5" t="s">
        <v>775</v>
      </c>
      <c r="C64" s="5" t="s">
        <v>202</v>
      </c>
      <c r="F64" s="5" t="s">
        <v>499</v>
      </c>
      <c r="H64" s="5" t="s">
        <v>877</v>
      </c>
      <c r="J64" s="5">
        <v>649163</v>
      </c>
      <c r="K64" s="5" t="s">
        <v>307</v>
      </c>
      <c r="L64" s="5" t="s">
        <v>308</v>
      </c>
      <c r="M64" s="5" t="str">
        <f>CONCATENATE(L64," ",K64)</f>
        <v>Dale Walenga</v>
      </c>
      <c r="N64" s="5" t="s">
        <v>86</v>
      </c>
      <c r="O64" s="6">
        <v>46072</v>
      </c>
      <c r="P64" s="6">
        <v>46125</v>
      </c>
      <c r="R64" s="7">
        <v>0</v>
      </c>
      <c r="X64" s="5">
        <f>27.24/13.62</f>
        <v>2</v>
      </c>
      <c r="Y64" s="7">
        <v>81.72</v>
      </c>
      <c r="Z64" s="7">
        <v>0</v>
      </c>
      <c r="AA64" s="7">
        <v>27.24</v>
      </c>
      <c r="AB64" s="7">
        <v>-54.48</v>
      </c>
      <c r="AC64" s="7">
        <v>-54.48</v>
      </c>
    </row>
    <row r="65" spans="1:51" x14ac:dyDescent="0.3">
      <c r="A65" s="5">
        <v>2033717645</v>
      </c>
      <c r="B65" s="5" t="s">
        <v>775</v>
      </c>
      <c r="C65" s="5" t="s">
        <v>202</v>
      </c>
      <c r="D65" s="5"/>
      <c r="E65" s="5"/>
      <c r="F65" s="5" t="s">
        <v>499</v>
      </c>
      <c r="G65" s="5"/>
      <c r="H65" s="5" t="s">
        <v>501</v>
      </c>
      <c r="I65" s="5"/>
      <c r="J65" s="5">
        <v>649163</v>
      </c>
      <c r="K65" s="5" t="s">
        <v>307</v>
      </c>
      <c r="L65" s="5" t="s">
        <v>308</v>
      </c>
      <c r="M65" s="5" t="str">
        <f>CONCATENATE(L65," ",K65)</f>
        <v>Dale Walenga</v>
      </c>
      <c r="N65" s="5" t="s">
        <v>86</v>
      </c>
      <c r="O65" s="6">
        <v>46072</v>
      </c>
      <c r="P65" s="6">
        <v>46125</v>
      </c>
      <c r="Q65" s="5"/>
      <c r="R65" s="7">
        <v>0</v>
      </c>
      <c r="S65" s="5"/>
      <c r="T65" s="5"/>
      <c r="U65" s="5"/>
      <c r="V65" s="5"/>
      <c r="W65" s="5"/>
      <c r="X65" s="5">
        <f>5.38/2.69</f>
        <v>2</v>
      </c>
      <c r="Y65" s="7">
        <v>16.14</v>
      </c>
      <c r="Z65" s="7">
        <v>0</v>
      </c>
      <c r="AA65" s="7">
        <v>5.38</v>
      </c>
      <c r="AB65" s="7">
        <v>-10.76</v>
      </c>
      <c r="AC65" s="7">
        <v>-10.76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 x14ac:dyDescent="0.3">
      <c r="A66" s="5">
        <v>2033717646</v>
      </c>
      <c r="B66" s="5" t="s">
        <v>775</v>
      </c>
      <c r="C66" s="5" t="s">
        <v>202</v>
      </c>
      <c r="D66" s="5"/>
      <c r="E66" s="5"/>
      <c r="F66" s="5" t="s">
        <v>475</v>
      </c>
      <c r="G66" s="5"/>
      <c r="H66" s="5" t="s">
        <v>762</v>
      </c>
      <c r="I66" s="5"/>
      <c r="J66" s="5">
        <v>649163</v>
      </c>
      <c r="K66" s="5" t="s">
        <v>307</v>
      </c>
      <c r="L66" s="5" t="s">
        <v>308</v>
      </c>
      <c r="M66" s="5" t="str">
        <f>CONCATENATE(L66," ",K66)</f>
        <v>Dale Walenga</v>
      </c>
      <c r="N66" s="5" t="s">
        <v>86</v>
      </c>
      <c r="O66" s="6">
        <v>46072</v>
      </c>
      <c r="P66" s="6">
        <v>46125</v>
      </c>
      <c r="Q66" s="5"/>
      <c r="R66" s="7">
        <v>0</v>
      </c>
      <c r="S66" s="5"/>
      <c r="T66" s="5"/>
      <c r="U66" s="5"/>
      <c r="V66" s="5"/>
      <c r="W66" s="5"/>
      <c r="X66" s="5">
        <f>5.7/2.85</f>
        <v>2</v>
      </c>
      <c r="Y66" s="7">
        <v>17.100000000000001</v>
      </c>
      <c r="Z66" s="7">
        <v>0</v>
      </c>
      <c r="AA66" s="7">
        <v>5.7</v>
      </c>
      <c r="AB66" s="7">
        <v>-11.4</v>
      </c>
      <c r="AC66" s="7">
        <v>-11.4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 x14ac:dyDescent="0.3">
      <c r="A67" s="5">
        <v>2032311595</v>
      </c>
      <c r="B67" s="5" t="s">
        <v>287</v>
      </c>
      <c r="C67" s="5" t="s">
        <v>288</v>
      </c>
      <c r="D67" s="5"/>
      <c r="E67" s="5"/>
      <c r="F67" s="5" t="s">
        <v>53</v>
      </c>
      <c r="G67" s="5"/>
      <c r="H67" s="5" t="s">
        <v>54</v>
      </c>
      <c r="I67" s="5"/>
      <c r="J67" s="5">
        <v>649163</v>
      </c>
      <c r="K67" s="5" t="s">
        <v>110</v>
      </c>
      <c r="L67" s="5" t="s">
        <v>111</v>
      </c>
      <c r="M67" s="5" t="str">
        <f>CONCATENATE(L67," ",K67)</f>
        <v>RICARDO SANTOS</v>
      </c>
      <c r="N67" s="5" t="s">
        <v>86</v>
      </c>
      <c r="O67" s="6">
        <v>46023</v>
      </c>
      <c r="P67" s="6">
        <v>46125</v>
      </c>
      <c r="Q67" s="5"/>
      <c r="R67" s="7">
        <v>0</v>
      </c>
      <c r="S67" s="5"/>
      <c r="T67" s="5"/>
      <c r="U67" s="5"/>
      <c r="V67" s="5"/>
      <c r="W67" s="5"/>
      <c r="X67" s="5">
        <f>583.28/145.82</f>
        <v>4</v>
      </c>
      <c r="Y67" s="7">
        <v>874.92</v>
      </c>
      <c r="Z67" s="7">
        <v>0</v>
      </c>
      <c r="AA67" s="7">
        <v>583.28</v>
      </c>
      <c r="AB67" s="7">
        <v>-291.64</v>
      </c>
      <c r="AC67" s="7">
        <v>-291.64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 x14ac:dyDescent="0.3">
      <c r="A68" s="5">
        <v>2033027788</v>
      </c>
      <c r="B68" s="5" t="s">
        <v>961</v>
      </c>
      <c r="C68" s="5" t="s">
        <v>304</v>
      </c>
      <c r="D68" s="5"/>
      <c r="E68" s="5"/>
      <c r="F68" s="5" t="s">
        <v>962</v>
      </c>
      <c r="G68" s="5"/>
      <c r="H68" s="5" t="s">
        <v>963</v>
      </c>
      <c r="I68" s="5"/>
      <c r="J68" s="5">
        <v>839474</v>
      </c>
      <c r="K68" s="5" t="s">
        <v>964</v>
      </c>
      <c r="L68" s="5" t="s">
        <v>965</v>
      </c>
      <c r="M68" s="5" t="str">
        <f>CONCATENATE(L68," ",K68)</f>
        <v>Tom Serio</v>
      </c>
      <c r="N68" s="5" t="s">
        <v>86</v>
      </c>
      <c r="O68" s="6">
        <v>46030</v>
      </c>
      <c r="P68" s="6">
        <v>46125</v>
      </c>
      <c r="Q68" s="5"/>
      <c r="R68" s="7">
        <v>0</v>
      </c>
      <c r="S68" s="5"/>
      <c r="T68" s="5"/>
      <c r="U68" s="5"/>
      <c r="V68" s="5"/>
      <c r="W68" s="5"/>
      <c r="X68" s="5">
        <f>78.69*3+26.69</f>
        <v>262.76</v>
      </c>
      <c r="Y68" s="7">
        <v>632.28</v>
      </c>
      <c r="Z68" s="7">
        <v>0</v>
      </c>
      <c r="AA68" s="7">
        <v>262.76</v>
      </c>
      <c r="AB68" s="7">
        <v>-369.52</v>
      </c>
      <c r="AC68" s="7">
        <v>-369.52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 x14ac:dyDescent="0.3">
      <c r="A69" s="5">
        <v>2033329865</v>
      </c>
      <c r="B69" s="5" t="s">
        <v>969</v>
      </c>
      <c r="C69" s="5" t="s">
        <v>970</v>
      </c>
      <c r="D69" s="5"/>
      <c r="E69" s="5"/>
      <c r="F69" s="5" t="s">
        <v>483</v>
      </c>
      <c r="G69" s="5"/>
      <c r="H69" s="5" t="s">
        <v>484</v>
      </c>
      <c r="I69" s="5"/>
      <c r="J69" s="5">
        <v>792847</v>
      </c>
      <c r="K69" s="5" t="s">
        <v>597</v>
      </c>
      <c r="L69" s="5" t="s">
        <v>599</v>
      </c>
      <c r="M69" s="5" t="str">
        <f>CONCATENATE(L69," ",K69)</f>
        <v>VICTOR FUENTES</v>
      </c>
      <c r="N69" s="5" t="s">
        <v>86</v>
      </c>
      <c r="O69" s="6">
        <v>46065</v>
      </c>
      <c r="P69" s="6">
        <v>46125</v>
      </c>
      <c r="Q69" s="5"/>
      <c r="R69" s="7">
        <v>0</v>
      </c>
      <c r="S69" s="5"/>
      <c r="T69" s="5"/>
      <c r="U69" s="5"/>
      <c r="V69" s="5"/>
      <c r="W69" s="5"/>
      <c r="X69" s="5">
        <f>51.48/25.74</f>
        <v>2</v>
      </c>
      <c r="Y69" s="7">
        <v>154.44</v>
      </c>
      <c r="Z69" s="7">
        <v>0</v>
      </c>
      <c r="AA69" s="7">
        <v>51.48</v>
      </c>
      <c r="AB69" s="7">
        <v>-102.96</v>
      </c>
      <c r="AC69" s="7">
        <v>-102.96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 x14ac:dyDescent="0.3">
      <c r="A70" s="5">
        <v>2033602145</v>
      </c>
      <c r="B70" s="5" t="s">
        <v>969</v>
      </c>
      <c r="C70" s="5" t="s">
        <v>970</v>
      </c>
      <c r="D70" s="5"/>
      <c r="E70" s="5"/>
      <c r="F70" s="5" t="s">
        <v>53</v>
      </c>
      <c r="G70" s="5"/>
      <c r="H70" s="5" t="s">
        <v>54</v>
      </c>
      <c r="I70" s="5"/>
      <c r="J70" s="5">
        <v>792847</v>
      </c>
      <c r="K70" s="5" t="s">
        <v>597</v>
      </c>
      <c r="L70" s="5" t="s">
        <v>599</v>
      </c>
      <c r="M70" s="5" t="str">
        <f>CONCATENATE(L70," ",K70)</f>
        <v>VICTOR FUENTES</v>
      </c>
      <c r="N70" s="5" t="s">
        <v>86</v>
      </c>
      <c r="O70" s="6">
        <v>46065</v>
      </c>
      <c r="P70" s="6">
        <v>46125</v>
      </c>
      <c r="Q70" s="5"/>
      <c r="R70" s="7">
        <v>0</v>
      </c>
      <c r="S70" s="5"/>
      <c r="T70" s="5"/>
      <c r="U70" s="5"/>
      <c r="V70" s="5"/>
      <c r="W70" s="5"/>
      <c r="X70" s="5">
        <f>68.26/34.13</f>
        <v>2</v>
      </c>
      <c r="Y70" s="7">
        <v>204.78</v>
      </c>
      <c r="Z70" s="7">
        <v>0</v>
      </c>
      <c r="AA70" s="7">
        <v>68.260000000000005</v>
      </c>
      <c r="AB70" s="7">
        <v>-136.52000000000001</v>
      </c>
      <c r="AC70" s="7">
        <v>-136.52000000000001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 x14ac:dyDescent="0.3">
      <c r="A71" s="8">
        <v>2034686259</v>
      </c>
      <c r="B71" s="8" t="s">
        <v>718</v>
      </c>
      <c r="C71" s="8" t="s">
        <v>719</v>
      </c>
      <c r="D71" s="8"/>
      <c r="E71" s="8"/>
      <c r="F71" s="8" t="s">
        <v>524</v>
      </c>
      <c r="G71" s="8"/>
      <c r="H71" s="8" t="s">
        <v>720</v>
      </c>
      <c r="I71" s="8"/>
      <c r="J71" s="8">
        <v>649163</v>
      </c>
      <c r="K71" s="8" t="s">
        <v>441</v>
      </c>
      <c r="L71" s="8" t="s">
        <v>442</v>
      </c>
      <c r="M71" s="8" t="str">
        <f>CONCATENATE(L71," ",K71)</f>
        <v>Anthony Hunsberger</v>
      </c>
      <c r="N71" s="8" t="s">
        <v>86</v>
      </c>
      <c r="O71" s="9">
        <v>46113</v>
      </c>
      <c r="P71" s="9">
        <v>46125</v>
      </c>
      <c r="Q71" s="8"/>
      <c r="R71" s="10">
        <v>0</v>
      </c>
      <c r="S71" s="8"/>
      <c r="T71" s="8"/>
      <c r="U71" s="8"/>
      <c r="V71" s="8"/>
      <c r="W71" s="8"/>
      <c r="X71" s="8"/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</row>
    <row r="72" spans="1:51" x14ac:dyDescent="0.3">
      <c r="A72" s="8">
        <v>2034686260</v>
      </c>
      <c r="B72" s="8" t="s">
        <v>718</v>
      </c>
      <c r="C72" s="8" t="s">
        <v>719</v>
      </c>
      <c r="D72" s="8"/>
      <c r="E72" s="8"/>
      <c r="F72" s="8" t="s">
        <v>524</v>
      </c>
      <c r="G72" s="8"/>
      <c r="H72" s="8" t="s">
        <v>722</v>
      </c>
      <c r="I72" s="8"/>
      <c r="J72" s="8">
        <v>649163</v>
      </c>
      <c r="K72" s="8" t="s">
        <v>441</v>
      </c>
      <c r="L72" s="8" t="s">
        <v>442</v>
      </c>
      <c r="M72" s="8" t="str">
        <f>CONCATENATE(L72," ",K72)</f>
        <v>Anthony Hunsberger</v>
      </c>
      <c r="N72" s="8" t="s">
        <v>86</v>
      </c>
      <c r="O72" s="9">
        <v>46113</v>
      </c>
      <c r="P72" s="9">
        <v>46125</v>
      </c>
      <c r="Q72" s="8"/>
      <c r="R72" s="10">
        <v>0</v>
      </c>
      <c r="S72" s="8"/>
      <c r="T72" s="8"/>
      <c r="U72" s="8"/>
      <c r="V72" s="8"/>
      <c r="W72" s="8"/>
      <c r="X72" s="8"/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</row>
    <row r="73" spans="1:51" x14ac:dyDescent="0.3">
      <c r="A73" s="8">
        <v>2034686261</v>
      </c>
      <c r="B73" s="8" t="s">
        <v>718</v>
      </c>
      <c r="C73" s="8" t="s">
        <v>719</v>
      </c>
      <c r="D73" s="8"/>
      <c r="E73" s="8"/>
      <c r="F73" s="8" t="s">
        <v>475</v>
      </c>
      <c r="G73" s="8"/>
      <c r="H73" s="8" t="s">
        <v>482</v>
      </c>
      <c r="I73" s="8"/>
      <c r="J73" s="8">
        <v>649163</v>
      </c>
      <c r="K73" s="8" t="s">
        <v>441</v>
      </c>
      <c r="L73" s="8" t="s">
        <v>442</v>
      </c>
      <c r="M73" s="8" t="str">
        <f>CONCATENATE(L73," ",K73)</f>
        <v>Anthony Hunsberger</v>
      </c>
      <c r="N73" s="8" t="s">
        <v>86</v>
      </c>
      <c r="O73" s="9">
        <v>46113</v>
      </c>
      <c r="P73" s="9">
        <v>46125</v>
      </c>
      <c r="Q73" s="8"/>
      <c r="R73" s="10">
        <v>0</v>
      </c>
      <c r="S73" s="8"/>
      <c r="T73" s="8"/>
      <c r="U73" s="8"/>
      <c r="V73" s="8"/>
      <c r="W73" s="8"/>
      <c r="X73" s="8"/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</row>
    <row r="74" spans="1:51" s="5" customFormat="1" x14ac:dyDescent="0.3">
      <c r="A74">
        <v>2033650828</v>
      </c>
      <c r="B74" t="s">
        <v>666</v>
      </c>
      <c r="C74" t="s">
        <v>667</v>
      </c>
      <c r="D74"/>
      <c r="E74"/>
      <c r="F74" t="s">
        <v>53</v>
      </c>
      <c r="G74"/>
      <c r="H74" t="s">
        <v>54</v>
      </c>
      <c r="I74"/>
      <c r="J74">
        <v>649163</v>
      </c>
      <c r="K74" t="s">
        <v>262</v>
      </c>
      <c r="L74" t="s">
        <v>263</v>
      </c>
      <c r="M74" t="str">
        <f>CONCATENATE(L74," ",K74)</f>
        <v>BARRY BRENNER</v>
      </c>
      <c r="N74" t="s">
        <v>86</v>
      </c>
      <c r="O74" s="1">
        <v>46067</v>
      </c>
      <c r="P74" s="1">
        <v>46125</v>
      </c>
      <c r="Q74"/>
      <c r="R74" s="2">
        <v>0</v>
      </c>
      <c r="S74"/>
      <c r="T74"/>
      <c r="U74"/>
      <c r="V74"/>
      <c r="W74"/>
      <c r="X74"/>
      <c r="Y74" s="2">
        <v>610.74</v>
      </c>
      <c r="Z74" s="2">
        <v>0</v>
      </c>
      <c r="AA74" s="2">
        <v>203.58</v>
      </c>
      <c r="AB74" s="2">
        <v>-407.16</v>
      </c>
      <c r="AC74" s="2">
        <v>-407.16</v>
      </c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</row>
    <row r="75" spans="1:51" s="5" customFormat="1" x14ac:dyDescent="0.3">
      <c r="A75">
        <v>2025649889</v>
      </c>
      <c r="B75" t="s">
        <v>545</v>
      </c>
      <c r="C75" t="s">
        <v>546</v>
      </c>
      <c r="D75"/>
      <c r="E75"/>
      <c r="F75" t="s">
        <v>533</v>
      </c>
      <c r="G75"/>
      <c r="H75" t="s">
        <v>534</v>
      </c>
      <c r="I75"/>
      <c r="J75">
        <v>649163</v>
      </c>
      <c r="K75" t="s">
        <v>544</v>
      </c>
      <c r="L75" t="s">
        <v>324</v>
      </c>
      <c r="M75" t="str">
        <f>CONCATENATE(L75," ",K75)</f>
        <v>CAROL FOLEY</v>
      </c>
      <c r="N75" t="s">
        <v>86</v>
      </c>
      <c r="O75" s="1">
        <v>45658</v>
      </c>
      <c r="P75" s="1">
        <v>46125</v>
      </c>
      <c r="Q75"/>
      <c r="R75" s="2">
        <v>0</v>
      </c>
      <c r="S75"/>
      <c r="T75"/>
      <c r="U75"/>
      <c r="V75"/>
      <c r="W75"/>
      <c r="X75"/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</row>
    <row r="76" spans="1:51" s="5" customFormat="1" x14ac:dyDescent="0.3">
      <c r="A76">
        <v>2025649890</v>
      </c>
      <c r="B76" t="s">
        <v>545</v>
      </c>
      <c r="C76" t="s">
        <v>546</v>
      </c>
      <c r="D76"/>
      <c r="E76"/>
      <c r="F76" t="s">
        <v>499</v>
      </c>
      <c r="G76"/>
      <c r="H76" t="s">
        <v>502</v>
      </c>
      <c r="I76"/>
      <c r="J76">
        <v>649163</v>
      </c>
      <c r="K76" t="s">
        <v>544</v>
      </c>
      <c r="L76" t="s">
        <v>324</v>
      </c>
      <c r="M76" t="str">
        <f>CONCATENATE(L76," ",K76)</f>
        <v>CAROL FOLEY</v>
      </c>
      <c r="N76" t="s">
        <v>86</v>
      </c>
      <c r="O76" s="1">
        <v>45658</v>
      </c>
      <c r="P76" s="1">
        <v>46125</v>
      </c>
      <c r="Q76"/>
      <c r="R76" s="2">
        <v>0</v>
      </c>
      <c r="S76"/>
      <c r="T76"/>
      <c r="U76"/>
      <c r="V76"/>
      <c r="W76"/>
      <c r="X76"/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</row>
    <row r="77" spans="1:51" s="5" customFormat="1" x14ac:dyDescent="0.3">
      <c r="A77">
        <v>2028937325</v>
      </c>
      <c r="B77" t="s">
        <v>955</v>
      </c>
      <c r="C77" t="s">
        <v>956</v>
      </c>
      <c r="D77"/>
      <c r="E77"/>
      <c r="F77" t="s">
        <v>53</v>
      </c>
      <c r="G77"/>
      <c r="H77" t="s">
        <v>54</v>
      </c>
      <c r="I77"/>
      <c r="J77">
        <v>856163</v>
      </c>
      <c r="K77" t="s">
        <v>120</v>
      </c>
      <c r="L77" t="s">
        <v>183</v>
      </c>
      <c r="M77" t="str">
        <f>CONCATENATE(L77," ",K77)</f>
        <v>Chad Yale</v>
      </c>
      <c r="N77" t="s">
        <v>86</v>
      </c>
      <c r="O77" s="1">
        <v>45792</v>
      </c>
      <c r="P77" s="1">
        <v>46125</v>
      </c>
      <c r="Q77"/>
      <c r="R77" s="2">
        <v>0</v>
      </c>
      <c r="S77"/>
      <c r="T77"/>
      <c r="U77"/>
      <c r="V77"/>
      <c r="W77"/>
      <c r="X77"/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</row>
    <row r="78" spans="1:51" s="5" customFormat="1" x14ac:dyDescent="0.3">
      <c r="A78">
        <v>2033521990</v>
      </c>
      <c r="B78" t="s">
        <v>967</v>
      </c>
      <c r="C78" t="s">
        <v>968</v>
      </c>
      <c r="D78"/>
      <c r="E78"/>
      <c r="F78" t="s">
        <v>53</v>
      </c>
      <c r="G78"/>
      <c r="H78" t="s">
        <v>54</v>
      </c>
      <c r="I78"/>
      <c r="J78">
        <v>856163</v>
      </c>
      <c r="K78" t="s">
        <v>120</v>
      </c>
      <c r="L78" t="s">
        <v>183</v>
      </c>
      <c r="M78" t="str">
        <f>CONCATENATE(L78," ",K78)</f>
        <v>Chad Yale</v>
      </c>
      <c r="N78" t="s">
        <v>86</v>
      </c>
      <c r="O78" s="1">
        <v>46060</v>
      </c>
      <c r="P78" s="1">
        <v>46125</v>
      </c>
      <c r="Q78"/>
      <c r="R78" s="2">
        <v>0</v>
      </c>
      <c r="S78"/>
      <c r="T78"/>
      <c r="U78"/>
      <c r="V78"/>
      <c r="W78"/>
      <c r="X78"/>
      <c r="Y78" s="2">
        <v>147.18</v>
      </c>
      <c r="Z78" s="2">
        <v>0</v>
      </c>
      <c r="AA78" s="2">
        <v>49.06</v>
      </c>
      <c r="AB78" s="2">
        <v>-98.12</v>
      </c>
      <c r="AC78" s="2">
        <v>-98.12</v>
      </c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</row>
    <row r="79" spans="1:51" s="5" customFormat="1" x14ac:dyDescent="0.3">
      <c r="A79">
        <v>2033521991</v>
      </c>
      <c r="B79" t="s">
        <v>967</v>
      </c>
      <c r="C79" t="s">
        <v>968</v>
      </c>
      <c r="D79"/>
      <c r="E79"/>
      <c r="F79" t="s">
        <v>499</v>
      </c>
      <c r="G79"/>
      <c r="H79" t="s">
        <v>877</v>
      </c>
      <c r="I79"/>
      <c r="J79">
        <v>856163</v>
      </c>
      <c r="K79" t="s">
        <v>120</v>
      </c>
      <c r="L79" t="s">
        <v>183</v>
      </c>
      <c r="M79" t="str">
        <f>CONCATENATE(L79," ",K79)</f>
        <v>Chad Yale</v>
      </c>
      <c r="N79" t="s">
        <v>86</v>
      </c>
      <c r="O79" s="1">
        <v>46060</v>
      </c>
      <c r="P79" s="1">
        <v>46125</v>
      </c>
      <c r="Q79"/>
      <c r="R79" s="2">
        <v>0</v>
      </c>
      <c r="S79"/>
      <c r="T79"/>
      <c r="U79"/>
      <c r="V79"/>
      <c r="W79"/>
      <c r="X79"/>
      <c r="Y79" s="2">
        <v>195.84</v>
      </c>
      <c r="Z79" s="2">
        <v>0</v>
      </c>
      <c r="AA79" s="2">
        <v>65.28</v>
      </c>
      <c r="AB79" s="2">
        <v>-130.56</v>
      </c>
      <c r="AC79" s="2">
        <v>-130.56</v>
      </c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</row>
    <row r="80" spans="1:51" x14ac:dyDescent="0.3">
      <c r="A80">
        <v>2033521992</v>
      </c>
      <c r="B80" t="s">
        <v>967</v>
      </c>
      <c r="C80" t="s">
        <v>968</v>
      </c>
      <c r="F80" t="s">
        <v>475</v>
      </c>
      <c r="H80" t="s">
        <v>762</v>
      </c>
      <c r="J80">
        <v>856163</v>
      </c>
      <c r="K80" t="s">
        <v>120</v>
      </c>
      <c r="L80" t="s">
        <v>183</v>
      </c>
      <c r="M80" t="str">
        <f>CONCATENATE(L80," ",K80)</f>
        <v>Chad Yale</v>
      </c>
      <c r="N80" t="s">
        <v>86</v>
      </c>
      <c r="O80" s="1">
        <v>46060</v>
      </c>
      <c r="P80" s="1">
        <v>46125</v>
      </c>
      <c r="R80" s="2">
        <v>0</v>
      </c>
      <c r="Y80" s="2">
        <v>17.100000000000001</v>
      </c>
      <c r="Z80" s="2">
        <v>0</v>
      </c>
      <c r="AA80" s="2">
        <v>5.7</v>
      </c>
      <c r="AB80" s="2">
        <v>-11.4</v>
      </c>
      <c r="AC80" s="2">
        <v>-11.4</v>
      </c>
    </row>
    <row r="81" spans="1:51" x14ac:dyDescent="0.3">
      <c r="A81">
        <v>2033574216</v>
      </c>
      <c r="B81" t="s">
        <v>971</v>
      </c>
      <c r="C81" t="s">
        <v>972</v>
      </c>
      <c r="F81" t="s">
        <v>483</v>
      </c>
      <c r="H81" t="s">
        <v>484</v>
      </c>
      <c r="J81">
        <v>856163</v>
      </c>
      <c r="K81" t="s">
        <v>120</v>
      </c>
      <c r="L81" t="s">
        <v>183</v>
      </c>
      <c r="M81" t="str">
        <f>CONCATENATE(L81," ",K81)</f>
        <v>Chad Yale</v>
      </c>
      <c r="N81" t="s">
        <v>86</v>
      </c>
      <c r="O81" s="1">
        <v>46066</v>
      </c>
      <c r="P81" s="1">
        <v>46125</v>
      </c>
      <c r="R81" s="2">
        <v>0</v>
      </c>
      <c r="Y81" s="2">
        <v>115.68</v>
      </c>
      <c r="Z81" s="2">
        <v>0</v>
      </c>
      <c r="AA81" s="2">
        <v>19.28</v>
      </c>
      <c r="AB81" s="2">
        <v>-96.4</v>
      </c>
      <c r="AC81" s="2">
        <v>-96.4</v>
      </c>
    </row>
    <row r="82" spans="1:51" x14ac:dyDescent="0.3">
      <c r="A82">
        <v>2033574217</v>
      </c>
      <c r="B82" t="s">
        <v>971</v>
      </c>
      <c r="C82" t="s">
        <v>972</v>
      </c>
      <c r="F82" t="s">
        <v>53</v>
      </c>
      <c r="H82" t="s">
        <v>54</v>
      </c>
      <c r="J82">
        <v>856163</v>
      </c>
      <c r="K82" t="s">
        <v>120</v>
      </c>
      <c r="L82" t="s">
        <v>183</v>
      </c>
      <c r="M82" t="str">
        <f>CONCATENATE(L82," ",K82)</f>
        <v>Chad Yale</v>
      </c>
      <c r="N82" t="s">
        <v>86</v>
      </c>
      <c r="O82" s="1">
        <v>46066</v>
      </c>
      <c r="P82" s="1">
        <v>46125</v>
      </c>
      <c r="R82" s="2">
        <v>0</v>
      </c>
      <c r="Y82" s="2">
        <v>54.6</v>
      </c>
      <c r="Z82" s="2">
        <v>0</v>
      </c>
      <c r="AA82" s="2">
        <v>9.1</v>
      </c>
      <c r="AB82" s="2">
        <v>-45.5</v>
      </c>
      <c r="AC82" s="2">
        <v>-45.5</v>
      </c>
    </row>
    <row r="83" spans="1:51" x14ac:dyDescent="0.3">
      <c r="A83">
        <v>2032430003</v>
      </c>
      <c r="B83" t="s">
        <v>521</v>
      </c>
      <c r="C83" t="s">
        <v>719</v>
      </c>
      <c r="F83" t="s">
        <v>475</v>
      </c>
      <c r="H83" t="s">
        <v>966</v>
      </c>
      <c r="J83">
        <v>822733</v>
      </c>
      <c r="K83" t="s">
        <v>219</v>
      </c>
      <c r="L83" t="s">
        <v>220</v>
      </c>
      <c r="M83" t="str">
        <f>CONCATENATE(L83," ",K83)</f>
        <v>Christopher Brousseau</v>
      </c>
      <c r="N83" t="s">
        <v>86</v>
      </c>
      <c r="O83" s="1">
        <v>45993</v>
      </c>
      <c r="P83" s="1">
        <v>46125</v>
      </c>
      <c r="R83" s="2">
        <v>0</v>
      </c>
      <c r="Y83" s="2">
        <v>6.96</v>
      </c>
      <c r="Z83" s="2">
        <v>0</v>
      </c>
      <c r="AA83" s="2">
        <v>1.1599999999999999</v>
      </c>
      <c r="AB83" s="2">
        <v>-5.8</v>
      </c>
      <c r="AC83" s="2">
        <v>-5.8</v>
      </c>
    </row>
    <row r="84" spans="1:51" x14ac:dyDescent="0.3">
      <c r="A84">
        <v>2030943608</v>
      </c>
      <c r="B84" t="s">
        <v>169</v>
      </c>
      <c r="C84" t="s">
        <v>170</v>
      </c>
      <c r="F84" t="s">
        <v>53</v>
      </c>
      <c r="H84" t="s">
        <v>54</v>
      </c>
      <c r="J84">
        <v>649163</v>
      </c>
      <c r="K84" t="s">
        <v>171</v>
      </c>
      <c r="L84" t="s">
        <v>172</v>
      </c>
      <c r="M84" t="str">
        <f>CONCATENATE(L84," ",K84)</f>
        <v>GARY PORTUGAL</v>
      </c>
      <c r="N84" t="s">
        <v>86</v>
      </c>
      <c r="O84" s="1">
        <v>45931</v>
      </c>
      <c r="P84" s="1">
        <v>46125</v>
      </c>
      <c r="R84" s="2">
        <v>0</v>
      </c>
      <c r="Y84" s="2">
        <v>668.82</v>
      </c>
      <c r="Z84" s="2">
        <v>0</v>
      </c>
      <c r="AA84" s="2">
        <v>668.82</v>
      </c>
      <c r="AB84" s="2">
        <v>0</v>
      </c>
      <c r="AC84" s="2">
        <v>0</v>
      </c>
    </row>
    <row r="85" spans="1:51" x14ac:dyDescent="0.3">
      <c r="A85">
        <v>2033593650</v>
      </c>
      <c r="B85" t="s">
        <v>973</v>
      </c>
      <c r="C85" t="s">
        <v>599</v>
      </c>
      <c r="F85" t="s">
        <v>53</v>
      </c>
      <c r="H85" t="s">
        <v>54</v>
      </c>
      <c r="J85">
        <v>812656</v>
      </c>
      <c r="K85" t="s">
        <v>171</v>
      </c>
      <c r="L85" t="s">
        <v>172</v>
      </c>
      <c r="M85" t="str">
        <f>CONCATENATE(L85," ",K85)</f>
        <v>GARY PORTUGAL</v>
      </c>
      <c r="N85" t="s">
        <v>86</v>
      </c>
      <c r="O85" s="1">
        <v>46067</v>
      </c>
      <c r="P85" s="1">
        <v>46125</v>
      </c>
      <c r="R85" s="2">
        <v>0</v>
      </c>
      <c r="Y85" s="2">
        <v>275.27999999999997</v>
      </c>
      <c r="Z85" s="2">
        <v>0</v>
      </c>
      <c r="AA85" s="2">
        <v>45.88</v>
      </c>
      <c r="AB85" s="2">
        <v>-229.4</v>
      </c>
      <c r="AC85" s="2">
        <v>-229.4</v>
      </c>
    </row>
    <row r="86" spans="1:51" x14ac:dyDescent="0.3">
      <c r="A86">
        <v>2027859846</v>
      </c>
      <c r="B86" t="s">
        <v>951</v>
      </c>
      <c r="C86" t="s">
        <v>952</v>
      </c>
      <c r="F86" t="s">
        <v>53</v>
      </c>
      <c r="H86" t="s">
        <v>65</v>
      </c>
      <c r="J86">
        <v>651818</v>
      </c>
      <c r="K86" t="s">
        <v>55</v>
      </c>
      <c r="L86" t="s">
        <v>56</v>
      </c>
      <c r="M86" t="str">
        <f>CONCATENATE(L86," ",K86)</f>
        <v>GREGORY TEIPEL</v>
      </c>
      <c r="N86" t="s">
        <v>86</v>
      </c>
      <c r="O86" s="1">
        <v>45754</v>
      </c>
      <c r="P86" s="1">
        <v>46125</v>
      </c>
      <c r="R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</row>
    <row r="87" spans="1:51" x14ac:dyDescent="0.3">
      <c r="A87">
        <v>2029959146</v>
      </c>
      <c r="B87" t="s">
        <v>83</v>
      </c>
      <c r="C87" t="s">
        <v>84</v>
      </c>
      <c r="F87" t="s">
        <v>444</v>
      </c>
      <c r="H87" t="s">
        <v>454</v>
      </c>
      <c r="J87">
        <v>649163</v>
      </c>
      <c r="K87" t="s">
        <v>55</v>
      </c>
      <c r="L87" t="s">
        <v>56</v>
      </c>
      <c r="M87" t="str">
        <f>CONCATENATE(L87," ",K87)</f>
        <v>GREGORY TEIPEL</v>
      </c>
      <c r="N87" t="s">
        <v>86</v>
      </c>
      <c r="O87" s="1">
        <v>45876</v>
      </c>
      <c r="P87" s="1">
        <v>46125</v>
      </c>
      <c r="R87" s="2">
        <v>0</v>
      </c>
      <c r="Y87" s="2">
        <v>841.5</v>
      </c>
      <c r="Z87" s="2">
        <v>0</v>
      </c>
      <c r="AA87" s="2">
        <v>841.5</v>
      </c>
      <c r="AB87" s="2">
        <v>0</v>
      </c>
      <c r="AC87" s="2">
        <v>0</v>
      </c>
    </row>
    <row r="88" spans="1:51" x14ac:dyDescent="0.3">
      <c r="A88">
        <v>2029959147</v>
      </c>
      <c r="B88" t="s">
        <v>83</v>
      </c>
      <c r="C88" t="s">
        <v>84</v>
      </c>
      <c r="F88" t="s">
        <v>53</v>
      </c>
      <c r="H88" t="s">
        <v>54</v>
      </c>
      <c r="J88">
        <v>649163</v>
      </c>
      <c r="K88" t="s">
        <v>55</v>
      </c>
      <c r="L88" t="s">
        <v>56</v>
      </c>
      <c r="M88" t="str">
        <f>CONCATENATE(L88," ",K88)</f>
        <v>GREGORY TEIPEL</v>
      </c>
      <c r="N88" t="s">
        <v>86</v>
      </c>
      <c r="O88" s="1">
        <v>45876</v>
      </c>
      <c r="P88" s="1">
        <v>46125</v>
      </c>
      <c r="R88" s="2">
        <v>0</v>
      </c>
      <c r="Y88" s="2">
        <v>513.74</v>
      </c>
      <c r="Z88" s="2">
        <v>0</v>
      </c>
      <c r="AA88" s="2">
        <v>513.74</v>
      </c>
      <c r="AB88" s="2">
        <v>0</v>
      </c>
      <c r="AC88" s="2">
        <v>0</v>
      </c>
    </row>
    <row r="89" spans="1:51" s="8" customFormat="1" x14ac:dyDescent="0.3">
      <c r="A89">
        <v>2030517072</v>
      </c>
      <c r="B89" t="s">
        <v>957</v>
      </c>
      <c r="C89" t="s">
        <v>958</v>
      </c>
      <c r="D89"/>
      <c r="E89"/>
      <c r="F89" t="s">
        <v>483</v>
      </c>
      <c r="G89"/>
      <c r="H89" t="s">
        <v>484</v>
      </c>
      <c r="I89"/>
      <c r="J89">
        <v>651818</v>
      </c>
      <c r="K89" t="s">
        <v>55</v>
      </c>
      <c r="L89" t="s">
        <v>56</v>
      </c>
      <c r="M89" t="str">
        <f>CONCATENATE(L89," ",K89)</f>
        <v>GREGORY TEIPEL</v>
      </c>
      <c r="N89" t="s">
        <v>86</v>
      </c>
      <c r="O89" s="1">
        <v>45907</v>
      </c>
      <c r="P89" s="1">
        <v>46125</v>
      </c>
      <c r="Q89"/>
      <c r="R89" s="2">
        <v>0</v>
      </c>
      <c r="S89"/>
      <c r="T89"/>
      <c r="U89"/>
      <c r="V89"/>
      <c r="W89"/>
      <c r="X89"/>
      <c r="Y89" s="2">
        <v>107.62</v>
      </c>
      <c r="Z89" s="2">
        <v>0</v>
      </c>
      <c r="AA89" s="2">
        <v>107.62</v>
      </c>
      <c r="AB89" s="2">
        <v>0</v>
      </c>
      <c r="AC89" s="2">
        <v>0</v>
      </c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</row>
    <row r="90" spans="1:51" s="8" customFormat="1" x14ac:dyDescent="0.3">
      <c r="A90">
        <v>2033028673</v>
      </c>
      <c r="B90" t="s">
        <v>813</v>
      </c>
      <c r="C90" t="s">
        <v>56</v>
      </c>
      <c r="D90"/>
      <c r="E90"/>
      <c r="F90" t="s">
        <v>444</v>
      </c>
      <c r="G90"/>
      <c r="H90" t="s">
        <v>454</v>
      </c>
      <c r="I90"/>
      <c r="J90">
        <v>651818</v>
      </c>
      <c r="K90" t="s">
        <v>55</v>
      </c>
      <c r="L90" t="s">
        <v>56</v>
      </c>
      <c r="M90" t="str">
        <f>CONCATENATE(L90," ",K90)</f>
        <v>GREGORY TEIPEL</v>
      </c>
      <c r="N90" t="s">
        <v>86</v>
      </c>
      <c r="O90" s="1">
        <v>46039</v>
      </c>
      <c r="P90" s="1">
        <v>46125</v>
      </c>
      <c r="Q90"/>
      <c r="R90" s="2">
        <v>0</v>
      </c>
      <c r="S90"/>
      <c r="T90"/>
      <c r="U90"/>
      <c r="V90"/>
      <c r="W90"/>
      <c r="X90"/>
      <c r="Y90" s="2">
        <v>547.5</v>
      </c>
      <c r="Z90" s="2">
        <v>0</v>
      </c>
      <c r="AA90" s="2">
        <v>182.5</v>
      </c>
      <c r="AB90" s="2">
        <v>-365</v>
      </c>
      <c r="AC90" s="2">
        <v>-365</v>
      </c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</row>
    <row r="91" spans="1:51" s="8" customFormat="1" x14ac:dyDescent="0.3">
      <c r="A91">
        <v>2034555344</v>
      </c>
      <c r="B91" t="s">
        <v>978</v>
      </c>
      <c r="C91" t="s">
        <v>979</v>
      </c>
      <c r="D91"/>
      <c r="E91"/>
      <c r="F91" t="s">
        <v>483</v>
      </c>
      <c r="G91"/>
      <c r="H91" t="s">
        <v>484</v>
      </c>
      <c r="I91"/>
      <c r="J91">
        <v>651818</v>
      </c>
      <c r="K91" t="s">
        <v>55</v>
      </c>
      <c r="L91" t="s">
        <v>56</v>
      </c>
      <c r="M91" t="str">
        <f>CONCATENATE(L91," ",K91)</f>
        <v>GREGORY TEIPEL</v>
      </c>
      <c r="N91" t="s">
        <v>86</v>
      </c>
      <c r="O91" s="1">
        <v>46107</v>
      </c>
      <c r="P91" s="1">
        <v>46125</v>
      </c>
      <c r="Q91"/>
      <c r="R91" s="2">
        <v>0</v>
      </c>
      <c r="S91"/>
      <c r="T91"/>
      <c r="U91"/>
      <c r="V91"/>
      <c r="W91"/>
      <c r="X91"/>
      <c r="Y91" s="2">
        <v>115.68</v>
      </c>
      <c r="Z91" s="2">
        <v>0</v>
      </c>
      <c r="AA91" s="2">
        <v>19.28</v>
      </c>
      <c r="AB91" s="2">
        <v>-96.4</v>
      </c>
      <c r="AC91" s="2">
        <v>-96.4</v>
      </c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</row>
    <row r="92" spans="1:51" s="8" customFormat="1" x14ac:dyDescent="0.3">
      <c r="A92">
        <v>2034555345</v>
      </c>
      <c r="B92" t="s">
        <v>978</v>
      </c>
      <c r="C92" t="s">
        <v>979</v>
      </c>
      <c r="D92"/>
      <c r="E92"/>
      <c r="F92" t="s">
        <v>444</v>
      </c>
      <c r="G92"/>
      <c r="H92" t="s">
        <v>445</v>
      </c>
      <c r="I92"/>
      <c r="J92">
        <v>651818</v>
      </c>
      <c r="K92" t="s">
        <v>55</v>
      </c>
      <c r="L92" t="s">
        <v>56</v>
      </c>
      <c r="M92" t="str">
        <f>CONCATENATE(L92," ",K92)</f>
        <v>GREGORY TEIPEL</v>
      </c>
      <c r="N92" t="s">
        <v>86</v>
      </c>
      <c r="O92" s="1">
        <v>46107</v>
      </c>
      <c r="P92" s="1">
        <v>46125</v>
      </c>
      <c r="Q92"/>
      <c r="R92" s="2">
        <v>0</v>
      </c>
      <c r="S92"/>
      <c r="T92"/>
      <c r="U92"/>
      <c r="V92"/>
      <c r="W92"/>
      <c r="X92"/>
      <c r="Y92" s="2">
        <v>48.18</v>
      </c>
      <c r="Z92" s="2">
        <v>0</v>
      </c>
      <c r="AA92" s="2">
        <v>8.0299999999999994</v>
      </c>
      <c r="AB92" s="2">
        <v>-40.15</v>
      </c>
      <c r="AC92" s="2">
        <v>-40.15</v>
      </c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</row>
    <row r="93" spans="1:51" s="8" customFormat="1" x14ac:dyDescent="0.3">
      <c r="A93" s="8">
        <v>2034528725</v>
      </c>
      <c r="B93" s="8" t="s">
        <v>976</v>
      </c>
      <c r="C93" s="8" t="s">
        <v>977</v>
      </c>
      <c r="F93" s="8" t="s">
        <v>524</v>
      </c>
      <c r="H93" s="8" t="s">
        <v>525</v>
      </c>
      <c r="J93" s="8">
        <v>862109</v>
      </c>
      <c r="K93" s="8" t="s">
        <v>497</v>
      </c>
      <c r="L93" s="8" t="s">
        <v>498</v>
      </c>
      <c r="M93" s="8" t="str">
        <f>CONCATENATE(L93," ",K93)</f>
        <v>Heidi Berthelsen</v>
      </c>
      <c r="N93" s="8" t="s">
        <v>86</v>
      </c>
      <c r="O93" s="9">
        <v>46101</v>
      </c>
      <c r="P93" s="9">
        <v>46125</v>
      </c>
      <c r="R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</row>
    <row r="94" spans="1:51" x14ac:dyDescent="0.3">
      <c r="A94" s="8">
        <v>2034528726</v>
      </c>
      <c r="B94" s="8" t="s">
        <v>976</v>
      </c>
      <c r="C94" s="8" t="s">
        <v>977</v>
      </c>
      <c r="D94" s="8"/>
      <c r="E94" s="8"/>
      <c r="F94" s="8" t="s">
        <v>524</v>
      </c>
      <c r="G94" s="8"/>
      <c r="H94" s="8" t="s">
        <v>527</v>
      </c>
      <c r="I94" s="8"/>
      <c r="J94" s="8">
        <v>862109</v>
      </c>
      <c r="K94" s="8" t="s">
        <v>497</v>
      </c>
      <c r="L94" s="8" t="s">
        <v>498</v>
      </c>
      <c r="M94" s="8" t="str">
        <f>CONCATENATE(L94," ",K94)</f>
        <v>Heidi Berthelsen</v>
      </c>
      <c r="N94" s="8" t="s">
        <v>86</v>
      </c>
      <c r="O94" s="9">
        <v>46101</v>
      </c>
      <c r="P94" s="9">
        <v>46125</v>
      </c>
      <c r="Q94" s="8"/>
      <c r="R94" s="10">
        <v>0</v>
      </c>
      <c r="S94" s="8"/>
      <c r="T94" s="8"/>
      <c r="U94" s="8"/>
      <c r="V94" s="8"/>
      <c r="W94" s="8"/>
      <c r="X94" s="8"/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</row>
    <row r="95" spans="1:51" x14ac:dyDescent="0.3">
      <c r="A95" s="8">
        <v>2034528727</v>
      </c>
      <c r="B95" s="8" t="s">
        <v>976</v>
      </c>
      <c r="C95" s="8" t="s">
        <v>977</v>
      </c>
      <c r="D95" s="8"/>
      <c r="E95" s="8"/>
      <c r="F95" s="8" t="s">
        <v>483</v>
      </c>
      <c r="G95" s="8"/>
      <c r="H95" s="8" t="s">
        <v>484</v>
      </c>
      <c r="I95" s="8"/>
      <c r="J95" s="8">
        <v>862109</v>
      </c>
      <c r="K95" s="8" t="s">
        <v>497</v>
      </c>
      <c r="L95" s="8" t="s">
        <v>498</v>
      </c>
      <c r="M95" s="8" t="str">
        <f>CONCATENATE(L95," ",K95)</f>
        <v>Heidi Berthelsen</v>
      </c>
      <c r="N95" s="8" t="s">
        <v>86</v>
      </c>
      <c r="O95" s="9">
        <v>46101</v>
      </c>
      <c r="P95" s="9">
        <v>46125</v>
      </c>
      <c r="Q95" s="8"/>
      <c r="R95" s="10">
        <v>0</v>
      </c>
      <c r="S95" s="8"/>
      <c r="T95" s="8"/>
      <c r="U95" s="8"/>
      <c r="V95" s="8"/>
      <c r="W95" s="8"/>
      <c r="X95" s="8"/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</row>
    <row r="96" spans="1:51" x14ac:dyDescent="0.3">
      <c r="A96" s="8">
        <v>2034528728</v>
      </c>
      <c r="B96" s="8" t="s">
        <v>976</v>
      </c>
      <c r="C96" s="8" t="s">
        <v>977</v>
      </c>
      <c r="D96" s="8"/>
      <c r="E96" s="8"/>
      <c r="F96" s="8" t="s">
        <v>53</v>
      </c>
      <c r="G96" s="8"/>
      <c r="H96" s="8" t="s">
        <v>54</v>
      </c>
      <c r="I96" s="8"/>
      <c r="J96" s="8">
        <v>862109</v>
      </c>
      <c r="K96" s="8" t="s">
        <v>497</v>
      </c>
      <c r="L96" s="8" t="s">
        <v>498</v>
      </c>
      <c r="M96" s="8" t="str">
        <f>CONCATENATE(L96," ",K96)</f>
        <v>Heidi Berthelsen</v>
      </c>
      <c r="N96" s="8" t="s">
        <v>86</v>
      </c>
      <c r="O96" s="9">
        <v>46101</v>
      </c>
      <c r="P96" s="9">
        <v>46125</v>
      </c>
      <c r="Q96" s="8"/>
      <c r="R96" s="10">
        <v>0</v>
      </c>
      <c r="S96" s="8"/>
      <c r="T96" s="8"/>
      <c r="U96" s="8"/>
      <c r="V96" s="8"/>
      <c r="W96" s="8"/>
      <c r="X96" s="8"/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</row>
    <row r="97" spans="1:51" x14ac:dyDescent="0.3">
      <c r="A97" s="8">
        <v>2034528729</v>
      </c>
      <c r="B97" s="8" t="s">
        <v>976</v>
      </c>
      <c r="C97" s="8" t="s">
        <v>977</v>
      </c>
      <c r="D97" s="8"/>
      <c r="E97" s="8"/>
      <c r="F97" s="8" t="s">
        <v>53</v>
      </c>
      <c r="G97" s="8"/>
      <c r="H97" s="8" t="s">
        <v>65</v>
      </c>
      <c r="I97" s="8"/>
      <c r="J97" s="8">
        <v>862109</v>
      </c>
      <c r="K97" s="8" t="s">
        <v>497</v>
      </c>
      <c r="L97" s="8" t="s">
        <v>498</v>
      </c>
      <c r="M97" s="8" t="str">
        <f>CONCATENATE(L97," ",K97)</f>
        <v>Heidi Berthelsen</v>
      </c>
      <c r="N97" s="8" t="s">
        <v>86</v>
      </c>
      <c r="O97" s="9">
        <v>46101</v>
      </c>
      <c r="P97" s="9">
        <v>46125</v>
      </c>
      <c r="Q97" s="8"/>
      <c r="R97" s="10">
        <v>0</v>
      </c>
      <c r="S97" s="8"/>
      <c r="T97" s="8"/>
      <c r="U97" s="8"/>
      <c r="V97" s="8"/>
      <c r="W97" s="8"/>
      <c r="X97" s="8"/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</row>
    <row r="98" spans="1:51" x14ac:dyDescent="0.3">
      <c r="A98">
        <v>2026836000</v>
      </c>
      <c r="B98" t="s">
        <v>815</v>
      </c>
      <c r="C98" t="s">
        <v>816</v>
      </c>
      <c r="F98" t="s">
        <v>483</v>
      </c>
      <c r="H98" t="s">
        <v>484</v>
      </c>
      <c r="J98">
        <v>649163</v>
      </c>
      <c r="K98" t="s">
        <v>224</v>
      </c>
      <c r="L98" t="s">
        <v>225</v>
      </c>
      <c r="M98" t="str">
        <f>CONCATENATE(L98," ",K98)</f>
        <v>JACOB YALE</v>
      </c>
      <c r="N98" t="s">
        <v>86</v>
      </c>
      <c r="O98" s="1">
        <v>45689</v>
      </c>
      <c r="P98" s="1">
        <v>46125</v>
      </c>
      <c r="R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</row>
    <row r="99" spans="1:51" s="8" customFormat="1" x14ac:dyDescent="0.3">
      <c r="A99">
        <v>2026836001</v>
      </c>
      <c r="B99" t="s">
        <v>815</v>
      </c>
      <c r="C99" t="s">
        <v>816</v>
      </c>
      <c r="D99"/>
      <c r="E99"/>
      <c r="F99" t="s">
        <v>53</v>
      </c>
      <c r="G99"/>
      <c r="H99" t="s">
        <v>54</v>
      </c>
      <c r="I99"/>
      <c r="J99">
        <v>649163</v>
      </c>
      <c r="K99" t="s">
        <v>224</v>
      </c>
      <c r="L99" t="s">
        <v>225</v>
      </c>
      <c r="M99" t="str">
        <f>CONCATENATE(L99," ",K99)</f>
        <v>JACOB YALE</v>
      </c>
      <c r="N99" t="s">
        <v>86</v>
      </c>
      <c r="O99" s="1">
        <v>45689</v>
      </c>
      <c r="P99" s="1">
        <v>46125</v>
      </c>
      <c r="Q99"/>
      <c r="R99" s="2">
        <v>0</v>
      </c>
      <c r="S99"/>
      <c r="T99"/>
      <c r="U99"/>
      <c r="V99"/>
      <c r="W99"/>
      <c r="X99"/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</row>
    <row r="100" spans="1:51" x14ac:dyDescent="0.3">
      <c r="A100">
        <v>2032634844</v>
      </c>
      <c r="B100" t="s">
        <v>323</v>
      </c>
      <c r="C100" t="s">
        <v>324</v>
      </c>
      <c r="F100" t="s">
        <v>483</v>
      </c>
      <c r="H100" t="s">
        <v>484</v>
      </c>
      <c r="J100">
        <v>649163</v>
      </c>
      <c r="K100" t="s">
        <v>311</v>
      </c>
      <c r="L100" t="s">
        <v>312</v>
      </c>
      <c r="M100" t="str">
        <f>CONCATENATE(L100," ",K100)</f>
        <v>Kenneth Weitzman</v>
      </c>
      <c r="N100" t="s">
        <v>86</v>
      </c>
      <c r="O100" s="1">
        <v>46003</v>
      </c>
      <c r="P100" s="1">
        <v>46125</v>
      </c>
      <c r="R100" s="2">
        <v>0</v>
      </c>
      <c r="Y100" s="2">
        <v>164.64</v>
      </c>
      <c r="Z100" s="2">
        <v>0</v>
      </c>
      <c r="AA100" s="2">
        <v>109.76</v>
      </c>
      <c r="AB100" s="2">
        <v>-54.88</v>
      </c>
      <c r="AC100" s="2">
        <v>-54.88</v>
      </c>
    </row>
    <row r="101" spans="1:51" s="5" customFormat="1" x14ac:dyDescent="0.3">
      <c r="A101">
        <v>2034615252</v>
      </c>
      <c r="B101" t="s">
        <v>648</v>
      </c>
      <c r="C101" t="s">
        <v>649</v>
      </c>
      <c r="D101"/>
      <c r="E101"/>
      <c r="F101" t="s">
        <v>53</v>
      </c>
      <c r="G101"/>
      <c r="H101" t="s">
        <v>54</v>
      </c>
      <c r="I101"/>
      <c r="J101">
        <v>649163</v>
      </c>
      <c r="K101" t="s">
        <v>146</v>
      </c>
      <c r="L101" t="s">
        <v>147</v>
      </c>
      <c r="M101" t="str">
        <f>CONCATENATE(L101," ",K101)</f>
        <v>MATTHEW DAUGHERTY</v>
      </c>
      <c r="N101" t="s">
        <v>86</v>
      </c>
      <c r="O101" s="1">
        <v>46117</v>
      </c>
      <c r="P101" s="1">
        <v>46125</v>
      </c>
      <c r="Q101"/>
      <c r="R101" s="2">
        <v>0</v>
      </c>
      <c r="S101"/>
      <c r="T101"/>
      <c r="U101"/>
      <c r="V101"/>
      <c r="W101"/>
      <c r="X101"/>
      <c r="Y101" s="2">
        <v>142.80000000000001</v>
      </c>
      <c r="Z101" s="2">
        <v>0</v>
      </c>
      <c r="AA101" s="2">
        <v>23.8</v>
      </c>
      <c r="AB101" s="2">
        <v>-119</v>
      </c>
      <c r="AC101" s="2">
        <v>-119</v>
      </c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</row>
    <row r="102" spans="1:51" x14ac:dyDescent="0.3">
      <c r="A102">
        <v>2034615253</v>
      </c>
      <c r="B102" t="s">
        <v>648</v>
      </c>
      <c r="C102" t="s">
        <v>649</v>
      </c>
      <c r="F102" t="s">
        <v>444</v>
      </c>
      <c r="H102" t="s">
        <v>567</v>
      </c>
      <c r="J102">
        <v>649163</v>
      </c>
      <c r="K102" t="s">
        <v>146</v>
      </c>
      <c r="L102" t="s">
        <v>147</v>
      </c>
      <c r="M102" t="str">
        <f>CONCATENATE(L102," ",K102)</f>
        <v>MATTHEW DAUGHERTY</v>
      </c>
      <c r="N102" t="s">
        <v>86</v>
      </c>
      <c r="O102" s="1">
        <v>46117</v>
      </c>
      <c r="P102" s="1">
        <v>46125</v>
      </c>
      <c r="R102" s="2">
        <v>0</v>
      </c>
      <c r="Y102" s="2">
        <v>456.36</v>
      </c>
      <c r="Z102" s="2">
        <v>0</v>
      </c>
      <c r="AA102" s="2">
        <v>76.06</v>
      </c>
      <c r="AB102" s="2">
        <v>-380.3</v>
      </c>
      <c r="AC102" s="2">
        <v>-380.3</v>
      </c>
    </row>
    <row r="103" spans="1:51" x14ac:dyDescent="0.3">
      <c r="A103" s="8">
        <v>2028890707</v>
      </c>
      <c r="B103" s="8" t="s">
        <v>953</v>
      </c>
      <c r="C103" s="8" t="s">
        <v>954</v>
      </c>
      <c r="D103" s="8"/>
      <c r="E103" s="8"/>
      <c r="F103" s="8" t="s">
        <v>53</v>
      </c>
      <c r="G103" s="8"/>
      <c r="H103" s="8" t="s">
        <v>54</v>
      </c>
      <c r="I103" s="8"/>
      <c r="J103" s="8">
        <v>807212</v>
      </c>
      <c r="K103" s="8" t="s">
        <v>89</v>
      </c>
      <c r="L103" s="8" t="s">
        <v>90</v>
      </c>
      <c r="M103" s="8" t="str">
        <f>CONCATENATE(L103," ",K103)</f>
        <v>NASANDELGER ZANA</v>
      </c>
      <c r="N103" s="8" t="s">
        <v>86</v>
      </c>
      <c r="O103" s="9">
        <v>45790</v>
      </c>
      <c r="P103" s="9">
        <v>46125</v>
      </c>
      <c r="Q103" s="8"/>
      <c r="R103" s="10">
        <v>0</v>
      </c>
      <c r="S103" s="8"/>
      <c r="T103" s="8"/>
      <c r="U103" s="8"/>
      <c r="V103" s="8"/>
      <c r="W103" s="8"/>
      <c r="X103" s="8"/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</row>
    <row r="104" spans="1:51" x14ac:dyDescent="0.3">
      <c r="A104">
        <v>2032489609</v>
      </c>
      <c r="B104" t="s">
        <v>959</v>
      </c>
      <c r="C104" t="s">
        <v>960</v>
      </c>
      <c r="F104" t="s">
        <v>53</v>
      </c>
      <c r="H104" t="s">
        <v>54</v>
      </c>
      <c r="J104">
        <v>884312</v>
      </c>
      <c r="K104" t="s">
        <v>374</v>
      </c>
      <c r="L104" t="s">
        <v>375</v>
      </c>
      <c r="M104" t="str">
        <f>CONCATENATE(L104," ",K104)</f>
        <v>Noah Dionesotes</v>
      </c>
      <c r="N104" t="s">
        <v>86</v>
      </c>
      <c r="O104" s="1">
        <v>45999</v>
      </c>
      <c r="P104" s="1">
        <v>46125</v>
      </c>
      <c r="R104" s="2">
        <v>0</v>
      </c>
      <c r="Y104" s="2">
        <v>173.4</v>
      </c>
      <c r="Z104" s="2">
        <v>0</v>
      </c>
      <c r="AA104" s="2">
        <v>115.6</v>
      </c>
      <c r="AB104" s="2">
        <v>-57.8</v>
      </c>
      <c r="AC104" s="2">
        <v>-57.8</v>
      </c>
    </row>
    <row r="105" spans="1:51" x14ac:dyDescent="0.3">
      <c r="A105">
        <v>2026127399</v>
      </c>
      <c r="B105" t="s">
        <v>487</v>
      </c>
      <c r="C105" t="s">
        <v>145</v>
      </c>
      <c r="F105" t="s">
        <v>53</v>
      </c>
      <c r="H105" t="s">
        <v>54</v>
      </c>
      <c r="J105">
        <v>649163</v>
      </c>
      <c r="K105" t="s">
        <v>115</v>
      </c>
      <c r="L105" t="s">
        <v>116</v>
      </c>
      <c r="M105" t="str">
        <f>CONCATENATE(L105," ",K105)</f>
        <v>RYAN CALTAGIRONE</v>
      </c>
      <c r="N105" t="s">
        <v>86</v>
      </c>
      <c r="O105" s="1">
        <v>45658</v>
      </c>
      <c r="P105" s="1">
        <v>46125</v>
      </c>
      <c r="R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</row>
    <row r="106" spans="1:51" x14ac:dyDescent="0.3">
      <c r="A106">
        <v>2026127400</v>
      </c>
      <c r="B106" t="s">
        <v>487</v>
      </c>
      <c r="C106" t="s">
        <v>145</v>
      </c>
      <c r="F106" t="s">
        <v>483</v>
      </c>
      <c r="H106" t="s">
        <v>484</v>
      </c>
      <c r="J106">
        <v>649163</v>
      </c>
      <c r="K106" t="s">
        <v>115</v>
      </c>
      <c r="L106" t="s">
        <v>116</v>
      </c>
      <c r="M106" t="str">
        <f>CONCATENATE(L106," ",K106)</f>
        <v>RYAN CALTAGIRONE</v>
      </c>
      <c r="N106" t="s">
        <v>86</v>
      </c>
      <c r="O106" s="1">
        <v>45658</v>
      </c>
      <c r="P106" s="1">
        <v>46125</v>
      </c>
      <c r="R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</row>
    <row r="107" spans="1:51" x14ac:dyDescent="0.3">
      <c r="A107">
        <v>2029657453</v>
      </c>
      <c r="B107" t="s">
        <v>149</v>
      </c>
      <c r="C107" t="s">
        <v>602</v>
      </c>
      <c r="F107" t="s">
        <v>444</v>
      </c>
      <c r="H107" t="s">
        <v>451</v>
      </c>
      <c r="J107">
        <v>649163</v>
      </c>
      <c r="K107" t="s">
        <v>115</v>
      </c>
      <c r="L107" t="s">
        <v>116</v>
      </c>
      <c r="M107" t="str">
        <f>CONCATENATE(L107," ",K107)</f>
        <v>RYAN CALTAGIRONE</v>
      </c>
      <c r="N107" t="s">
        <v>86</v>
      </c>
      <c r="O107" s="1">
        <v>45870</v>
      </c>
      <c r="P107" s="1">
        <v>46125</v>
      </c>
      <c r="R107" s="2">
        <v>0</v>
      </c>
      <c r="Y107" s="2">
        <v>398.43</v>
      </c>
      <c r="Z107" s="2">
        <v>0</v>
      </c>
      <c r="AA107" s="2">
        <v>398.43</v>
      </c>
      <c r="AB107" s="2">
        <v>0</v>
      </c>
      <c r="AC107" s="2">
        <v>0</v>
      </c>
    </row>
    <row r="108" spans="1:51" x14ac:dyDescent="0.3">
      <c r="A108">
        <v>2029657454</v>
      </c>
      <c r="B108" t="s">
        <v>149</v>
      </c>
      <c r="C108" t="s">
        <v>602</v>
      </c>
      <c r="F108" t="s">
        <v>53</v>
      </c>
      <c r="H108" t="s">
        <v>117</v>
      </c>
      <c r="J108">
        <v>649163</v>
      </c>
      <c r="K108" t="s">
        <v>115</v>
      </c>
      <c r="L108" t="s">
        <v>116</v>
      </c>
      <c r="M108" t="str">
        <f>CONCATENATE(L108," ",K108)</f>
        <v>RYAN CALTAGIRONE</v>
      </c>
      <c r="N108" t="s">
        <v>86</v>
      </c>
      <c r="O108" s="1">
        <v>45870</v>
      </c>
      <c r="P108" s="1">
        <v>46125</v>
      </c>
      <c r="R108" s="2">
        <v>0</v>
      </c>
      <c r="Y108" s="2">
        <v>108.07</v>
      </c>
      <c r="Z108" s="2">
        <v>0</v>
      </c>
      <c r="AA108" s="2">
        <v>108.07</v>
      </c>
      <c r="AB108" s="2">
        <v>0</v>
      </c>
      <c r="AC108" s="2">
        <v>0</v>
      </c>
    </row>
    <row r="109" spans="1:51" x14ac:dyDescent="0.3">
      <c r="A109">
        <v>2029657455</v>
      </c>
      <c r="B109" t="s">
        <v>149</v>
      </c>
      <c r="C109" t="s">
        <v>602</v>
      </c>
      <c r="F109" t="s">
        <v>53</v>
      </c>
      <c r="H109" t="s">
        <v>54</v>
      </c>
      <c r="J109">
        <v>649163</v>
      </c>
      <c r="K109" t="s">
        <v>115</v>
      </c>
      <c r="L109" t="s">
        <v>116</v>
      </c>
      <c r="M109" t="str">
        <f>CONCATENATE(L109," ",K109)</f>
        <v>RYAN CALTAGIRONE</v>
      </c>
      <c r="N109" t="s">
        <v>86</v>
      </c>
      <c r="O109" s="1">
        <v>45870</v>
      </c>
      <c r="P109" s="1">
        <v>46125</v>
      </c>
      <c r="R109" s="2">
        <v>0</v>
      </c>
      <c r="Y109" s="2">
        <v>308.14999999999998</v>
      </c>
      <c r="Z109" s="2">
        <v>0</v>
      </c>
      <c r="AA109" s="2">
        <v>308.14999999999998</v>
      </c>
      <c r="AB109" s="2">
        <v>0</v>
      </c>
      <c r="AC109" s="2">
        <v>0</v>
      </c>
    </row>
    <row r="110" spans="1:51" x14ac:dyDescent="0.3">
      <c r="A110">
        <v>2029657456</v>
      </c>
      <c r="B110" t="s">
        <v>149</v>
      </c>
      <c r="C110" t="s">
        <v>602</v>
      </c>
      <c r="F110" t="s">
        <v>483</v>
      </c>
      <c r="H110" t="s">
        <v>484</v>
      </c>
      <c r="J110">
        <v>649163</v>
      </c>
      <c r="K110" t="s">
        <v>115</v>
      </c>
      <c r="L110" t="s">
        <v>116</v>
      </c>
      <c r="M110" t="str">
        <f>CONCATENATE(L110," ",K110)</f>
        <v>RYAN CALTAGIRONE</v>
      </c>
      <c r="N110" t="s">
        <v>86</v>
      </c>
      <c r="O110" s="1">
        <v>45870</v>
      </c>
      <c r="P110" s="1">
        <v>46125</v>
      </c>
      <c r="R110" s="2">
        <v>0</v>
      </c>
      <c r="Y110" s="2">
        <v>81.27</v>
      </c>
      <c r="Z110" s="2">
        <v>0</v>
      </c>
      <c r="AA110" s="2">
        <v>81.27</v>
      </c>
      <c r="AB110" s="2">
        <v>0</v>
      </c>
      <c r="AC110" s="2">
        <v>0</v>
      </c>
    </row>
    <row r="111" spans="1:51" s="8" customFormat="1" x14ac:dyDescent="0.3">
      <c r="A111">
        <v>2034430398</v>
      </c>
      <c r="B111" t="s">
        <v>646</v>
      </c>
      <c r="C111" t="s">
        <v>548</v>
      </c>
      <c r="D111"/>
      <c r="E111"/>
      <c r="F111" t="s">
        <v>444</v>
      </c>
      <c r="G111"/>
      <c r="H111" t="s">
        <v>451</v>
      </c>
      <c r="I111"/>
      <c r="J111">
        <v>649163</v>
      </c>
      <c r="K111" t="s">
        <v>115</v>
      </c>
      <c r="L111" t="s">
        <v>116</v>
      </c>
      <c r="M111" t="str">
        <f>CONCATENATE(L111," ",K111)</f>
        <v>RYAN CALTAGIRONE</v>
      </c>
      <c r="N111" t="s">
        <v>86</v>
      </c>
      <c r="O111" s="1">
        <v>46113</v>
      </c>
      <c r="P111" s="1">
        <v>46125</v>
      </c>
      <c r="Q111"/>
      <c r="R111" s="2">
        <v>0</v>
      </c>
      <c r="S111"/>
      <c r="T111"/>
      <c r="U111"/>
      <c r="V111"/>
      <c r="W111"/>
      <c r="X111"/>
      <c r="Y111" s="2">
        <v>459.9</v>
      </c>
      <c r="Z111" s="2">
        <v>0</v>
      </c>
      <c r="AA111" s="2">
        <v>76.650000000000006</v>
      </c>
      <c r="AB111" s="2">
        <v>-383.25</v>
      </c>
      <c r="AC111" s="2">
        <v>-383.25</v>
      </c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</row>
    <row r="112" spans="1:51" s="8" customFormat="1" x14ac:dyDescent="0.3">
      <c r="A112">
        <v>2034430399</v>
      </c>
      <c r="B112" t="s">
        <v>646</v>
      </c>
      <c r="C112" t="s">
        <v>548</v>
      </c>
      <c r="D112"/>
      <c r="E112"/>
      <c r="F112" t="s">
        <v>53</v>
      </c>
      <c r="G112"/>
      <c r="H112" t="s">
        <v>54</v>
      </c>
      <c r="I112"/>
      <c r="J112">
        <v>649163</v>
      </c>
      <c r="K112" t="s">
        <v>115</v>
      </c>
      <c r="L112" t="s">
        <v>116</v>
      </c>
      <c r="M112" t="str">
        <f>CONCATENATE(L112," ",K112)</f>
        <v>RYAN CALTAGIRONE</v>
      </c>
      <c r="N112" t="s">
        <v>86</v>
      </c>
      <c r="O112" s="1">
        <v>46113</v>
      </c>
      <c r="P112" s="1">
        <v>46125</v>
      </c>
      <c r="Q112"/>
      <c r="R112" s="2">
        <v>0</v>
      </c>
      <c r="S112"/>
      <c r="T112"/>
      <c r="U112"/>
      <c r="V112"/>
      <c r="W112"/>
      <c r="X112"/>
      <c r="Y112" s="2">
        <v>395.46</v>
      </c>
      <c r="Z112" s="2">
        <v>0</v>
      </c>
      <c r="AA112" s="2">
        <v>65.91</v>
      </c>
      <c r="AB112" s="2">
        <v>-329.55</v>
      </c>
      <c r="AC112" s="2">
        <v>-329.55</v>
      </c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</row>
    <row r="113" spans="1:51" s="5" customFormat="1" x14ac:dyDescent="0.3">
      <c r="A113">
        <v>2034430400</v>
      </c>
      <c r="B113" t="s">
        <v>646</v>
      </c>
      <c r="C113" t="s">
        <v>548</v>
      </c>
      <c r="D113"/>
      <c r="E113"/>
      <c r="F113" t="s">
        <v>483</v>
      </c>
      <c r="G113"/>
      <c r="H113" t="s">
        <v>484</v>
      </c>
      <c r="I113"/>
      <c r="J113">
        <v>649163</v>
      </c>
      <c r="K113" t="s">
        <v>115</v>
      </c>
      <c r="L113" t="s">
        <v>116</v>
      </c>
      <c r="M113" t="str">
        <f>CONCATENATE(L113," ",K113)</f>
        <v>RYAN CALTAGIRONE</v>
      </c>
      <c r="N113" t="s">
        <v>86</v>
      </c>
      <c r="O113" s="1">
        <v>46113</v>
      </c>
      <c r="P113" s="1">
        <v>46125</v>
      </c>
      <c r="Q113"/>
      <c r="R113" s="2">
        <v>0</v>
      </c>
      <c r="S113"/>
      <c r="T113"/>
      <c r="U113"/>
      <c r="V113"/>
      <c r="W113"/>
      <c r="X113"/>
      <c r="Y113" s="2">
        <v>58.26</v>
      </c>
      <c r="Z113" s="2">
        <v>0</v>
      </c>
      <c r="AA113" s="2">
        <v>9.7100000000000009</v>
      </c>
      <c r="AB113" s="2">
        <v>-48.55</v>
      </c>
      <c r="AC113" s="2">
        <v>-48.55</v>
      </c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</row>
    <row r="114" spans="1:51" s="5" customFormat="1" x14ac:dyDescent="0.3">
      <c r="A114" s="8">
        <v>2027431059</v>
      </c>
      <c r="B114" s="8" t="s">
        <v>828</v>
      </c>
      <c r="C114" s="8" t="s">
        <v>829</v>
      </c>
      <c r="D114" s="8"/>
      <c r="E114" s="8"/>
      <c r="F114" s="8" t="s">
        <v>483</v>
      </c>
      <c r="G114" s="8"/>
      <c r="H114" s="8" t="s">
        <v>484</v>
      </c>
      <c r="I114" s="8"/>
      <c r="J114" s="8">
        <v>649163</v>
      </c>
      <c r="K114" s="8" t="s">
        <v>134</v>
      </c>
      <c r="L114" s="8" t="s">
        <v>98</v>
      </c>
      <c r="M114" s="8" t="str">
        <f>CONCATENATE(L114," ",K114)</f>
        <v>THOMAS PARDUE</v>
      </c>
      <c r="N114" s="8" t="s">
        <v>86</v>
      </c>
      <c r="O114" s="9">
        <v>45716</v>
      </c>
      <c r="P114" s="9">
        <v>46125</v>
      </c>
      <c r="Q114" s="8"/>
      <c r="R114" s="10">
        <v>0</v>
      </c>
      <c r="S114" s="8"/>
      <c r="T114" s="8"/>
      <c r="U114" s="8"/>
      <c r="V114" s="8"/>
      <c r="W114" s="8"/>
      <c r="X114" s="8"/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</row>
    <row r="115" spans="1:51" s="5" customFormat="1" x14ac:dyDescent="0.3">
      <c r="A115" s="8">
        <v>2034527196</v>
      </c>
      <c r="B115" s="8" t="s">
        <v>975</v>
      </c>
      <c r="C115" s="8" t="s">
        <v>863</v>
      </c>
      <c r="D115" s="8"/>
      <c r="E115" s="8"/>
      <c r="F115" s="8" t="s">
        <v>53</v>
      </c>
      <c r="G115" s="8"/>
      <c r="H115" s="8" t="s">
        <v>54</v>
      </c>
      <c r="I115" s="8"/>
      <c r="J115" s="8">
        <v>767312</v>
      </c>
      <c r="K115" s="8" t="s">
        <v>134</v>
      </c>
      <c r="L115" s="8" t="s">
        <v>98</v>
      </c>
      <c r="M115" s="8" t="str">
        <f>CONCATENATE(L115," ",K115)</f>
        <v>THOMAS PARDUE</v>
      </c>
      <c r="N115" s="8" t="s">
        <v>86</v>
      </c>
      <c r="O115" s="9">
        <v>46113</v>
      </c>
      <c r="P115" s="9">
        <v>46125</v>
      </c>
      <c r="Q115" s="8"/>
      <c r="R115" s="10">
        <v>0</v>
      </c>
      <c r="S115" s="8"/>
      <c r="T115" s="8"/>
      <c r="U115" s="8"/>
      <c r="V115" s="8"/>
      <c r="W115" s="8"/>
      <c r="X115" s="8"/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</row>
  </sheetData>
  <sortState xmlns:xlrd2="http://schemas.microsoft.com/office/spreadsheetml/2017/richdata2" ref="A57:AY115">
    <sortCondition sortBy="cellColor" ref="M57:M115" dxfId="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3BC2A-0E7A-47A0-B423-D14EBEAE7834}">
  <dimension ref="A1:AZ61"/>
  <sheetViews>
    <sheetView tabSelected="1" topLeftCell="E1" workbookViewId="0">
      <selection activeCell="X2" sqref="X2:X61"/>
    </sheetView>
  </sheetViews>
  <sheetFormatPr defaultRowHeight="14.4" x14ac:dyDescent="0.3"/>
  <cols>
    <col min="1" max="1" width="11" bestFit="1" customWidth="1"/>
    <col min="8" max="8" width="24.44140625" customWidth="1"/>
    <col min="9" max="9" width="24.6640625" customWidth="1"/>
    <col min="10" max="10" width="15.21875" style="12" bestFit="1" customWidth="1"/>
    <col min="13" max="13" width="12.109375" bestFit="1" customWidth="1"/>
    <col min="15" max="15" width="10.88671875" customWidth="1"/>
    <col min="16" max="16" width="9.44140625" customWidth="1"/>
  </cols>
  <sheetData>
    <row r="1" spans="1:52" x14ac:dyDescent="0.3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21</v>
      </c>
      <c r="H1" t="s">
        <v>9</v>
      </c>
      <c r="J1" s="12" t="s">
        <v>10</v>
      </c>
      <c r="K1" t="s">
        <v>11</v>
      </c>
      <c r="L1" t="s">
        <v>12</v>
      </c>
      <c r="N1" t="s">
        <v>13</v>
      </c>
      <c r="O1" t="s">
        <v>14</v>
      </c>
      <c r="P1" t="s">
        <v>16</v>
      </c>
      <c r="Q1" t="s">
        <v>17</v>
      </c>
      <c r="R1" t="s">
        <v>18</v>
      </c>
      <c r="S1" t="s">
        <v>19</v>
      </c>
      <c r="T1" t="s">
        <v>23</v>
      </c>
      <c r="U1" t="s">
        <v>24</v>
      </c>
      <c r="V1" t="s">
        <v>25</v>
      </c>
      <c r="W1" t="s">
        <v>26</v>
      </c>
      <c r="X1" t="s">
        <v>37</v>
      </c>
    </row>
    <row r="2" spans="1:52" s="5" customFormat="1" x14ac:dyDescent="0.3">
      <c r="A2" s="5">
        <v>2034115985</v>
      </c>
      <c r="B2" s="5" t="s">
        <v>443</v>
      </c>
      <c r="C2" s="5" t="s">
        <v>62</v>
      </c>
      <c r="D2" s="5" t="str">
        <f>CONCATENATE(C2," ",B2)</f>
        <v>JULIE O'BRIEN</v>
      </c>
      <c r="E2" s="5" t="s">
        <v>64</v>
      </c>
      <c r="F2" s="5" t="s">
        <v>444</v>
      </c>
      <c r="G2" s="17">
        <v>0.75</v>
      </c>
      <c r="H2" s="5" t="s">
        <v>445</v>
      </c>
      <c r="I2" s="5" t="s">
        <v>980</v>
      </c>
      <c r="J2" s="19" t="s">
        <v>1038</v>
      </c>
      <c r="K2" s="5" t="s">
        <v>446</v>
      </c>
      <c r="L2" s="5" t="s">
        <v>447</v>
      </c>
      <c r="M2" s="5" t="str">
        <f>CONCATENATE(L2," ",K2)</f>
        <v>Danna Green</v>
      </c>
      <c r="N2" s="5" t="s">
        <v>57</v>
      </c>
      <c r="O2" s="6">
        <v>46127</v>
      </c>
      <c r="P2" s="6">
        <v>46157</v>
      </c>
      <c r="Q2" s="7">
        <v>20.9</v>
      </c>
      <c r="R2" s="5">
        <v>1</v>
      </c>
      <c r="S2" s="5" t="s">
        <v>58</v>
      </c>
      <c r="T2" s="5">
        <v>0</v>
      </c>
      <c r="U2" s="5" t="s">
        <v>60</v>
      </c>
      <c r="V2" s="5" t="s">
        <v>448</v>
      </c>
      <c r="W2" s="5">
        <v>6</v>
      </c>
      <c r="X2" s="7">
        <v>15.68</v>
      </c>
      <c r="Y2" s="5" t="s">
        <v>1040</v>
      </c>
      <c r="Z2" s="5" t="s">
        <v>1041</v>
      </c>
    </row>
    <row r="3" spans="1:52" s="5" customFormat="1" x14ac:dyDescent="0.3">
      <c r="A3" s="5">
        <v>2034837346</v>
      </c>
      <c r="B3" s="5" t="s">
        <v>465</v>
      </c>
      <c r="C3" s="5" t="s">
        <v>406</v>
      </c>
      <c r="D3" s="5" t="str">
        <f>CONCATENATE(C3," ",B3)</f>
        <v>BRIAN KEHOE</v>
      </c>
      <c r="E3" s="5" t="s">
        <v>103</v>
      </c>
      <c r="F3" s="5" t="s">
        <v>444</v>
      </c>
      <c r="G3" s="17">
        <v>0.65</v>
      </c>
      <c r="H3" s="5" t="s">
        <v>466</v>
      </c>
      <c r="I3" s="5" t="s">
        <v>993</v>
      </c>
      <c r="J3" s="19" t="s">
        <v>1001</v>
      </c>
      <c r="K3" s="5" t="s">
        <v>104</v>
      </c>
      <c r="L3" s="5" t="s">
        <v>105</v>
      </c>
      <c r="M3" s="5" t="str">
        <f>CONCATENATE(L3," ",K3)</f>
        <v>Heather Geske</v>
      </c>
      <c r="N3" s="5" t="s">
        <v>57</v>
      </c>
      <c r="O3" s="6">
        <v>46122</v>
      </c>
      <c r="P3" s="6">
        <v>46152</v>
      </c>
      <c r="Q3" s="7">
        <v>135.83000000000001</v>
      </c>
      <c r="R3" s="5">
        <v>1</v>
      </c>
      <c r="S3" s="5" t="s">
        <v>58</v>
      </c>
      <c r="T3" s="5">
        <v>0</v>
      </c>
      <c r="U3" s="5" t="s">
        <v>60</v>
      </c>
      <c r="V3" s="5" t="s">
        <v>448</v>
      </c>
      <c r="W3" s="5">
        <v>6</v>
      </c>
      <c r="X3" s="7">
        <v>88.29</v>
      </c>
      <c r="Y3" s="5" t="s">
        <v>1040</v>
      </c>
      <c r="Z3" s="5" t="s">
        <v>1041</v>
      </c>
    </row>
    <row r="4" spans="1:52" s="5" customFormat="1" x14ac:dyDescent="0.3">
      <c r="A4" s="5">
        <v>2034774462</v>
      </c>
      <c r="B4" s="5" t="s">
        <v>458</v>
      </c>
      <c r="C4" s="5" t="s">
        <v>459</v>
      </c>
      <c r="D4" s="5" t="str">
        <f>CONCATENATE(C4," ",B4)</f>
        <v>PHILIP VALDEZ</v>
      </c>
      <c r="E4" s="5" t="s">
        <v>103</v>
      </c>
      <c r="F4" s="5" t="s">
        <v>444</v>
      </c>
      <c r="G4" s="17">
        <v>0.75</v>
      </c>
      <c r="H4" s="5" t="s">
        <v>451</v>
      </c>
      <c r="I4" s="5" t="s">
        <v>980</v>
      </c>
      <c r="J4" s="19" t="s">
        <v>1001</v>
      </c>
      <c r="K4" s="5" t="s">
        <v>104</v>
      </c>
      <c r="L4" s="5" t="s">
        <v>105</v>
      </c>
      <c r="M4" s="5" t="str">
        <f>CONCATENATE(L4," ",K4)</f>
        <v>Heather Geske</v>
      </c>
      <c r="N4" s="5" t="s">
        <v>57</v>
      </c>
      <c r="O4" s="6">
        <v>46123</v>
      </c>
      <c r="P4" s="6">
        <v>46153</v>
      </c>
      <c r="Q4" s="7">
        <v>10.51</v>
      </c>
      <c r="R4" s="5">
        <v>1</v>
      </c>
      <c r="S4" s="5" t="s">
        <v>58</v>
      </c>
      <c r="T4" s="5">
        <v>0</v>
      </c>
      <c r="U4" s="5" t="s">
        <v>60</v>
      </c>
      <c r="V4" s="5" t="s">
        <v>448</v>
      </c>
      <c r="W4" s="5">
        <v>6</v>
      </c>
      <c r="X4" s="7">
        <v>7.88</v>
      </c>
      <c r="Y4" s="5" t="s">
        <v>1040</v>
      </c>
      <c r="Z4" s="5" t="s">
        <v>1041</v>
      </c>
    </row>
    <row r="5" spans="1:52" s="5" customFormat="1" x14ac:dyDescent="0.3">
      <c r="A5" s="5">
        <v>2034796226</v>
      </c>
      <c r="B5" s="5" t="s">
        <v>462</v>
      </c>
      <c r="C5" s="5" t="s">
        <v>463</v>
      </c>
      <c r="D5" s="5" t="str">
        <f>CONCATENATE(C5," ",B5)</f>
        <v>REBECCA CAUSIE</v>
      </c>
      <c r="E5" s="5" t="s">
        <v>298</v>
      </c>
      <c r="F5" s="5" t="s">
        <v>444</v>
      </c>
      <c r="G5" s="17">
        <v>0.75</v>
      </c>
      <c r="H5" s="5" t="s">
        <v>451</v>
      </c>
      <c r="I5" s="5" t="s">
        <v>980</v>
      </c>
      <c r="J5" s="19" t="s">
        <v>1013</v>
      </c>
      <c r="K5" s="5" t="s">
        <v>244</v>
      </c>
      <c r="L5" s="5" t="s">
        <v>245</v>
      </c>
      <c r="M5" s="5" t="str">
        <f>CONCATENATE(L5," ",K5)</f>
        <v>Jennifer Hess</v>
      </c>
      <c r="N5" s="5" t="s">
        <v>57</v>
      </c>
      <c r="O5" s="6">
        <v>46120</v>
      </c>
      <c r="P5" s="6">
        <v>46150</v>
      </c>
      <c r="Q5" s="7">
        <v>59.1</v>
      </c>
      <c r="R5" s="5">
        <v>1</v>
      </c>
      <c r="S5" s="5" t="s">
        <v>58</v>
      </c>
      <c r="T5" s="5">
        <v>0</v>
      </c>
      <c r="U5" s="5" t="s">
        <v>60</v>
      </c>
      <c r="V5" s="5" t="s">
        <v>448</v>
      </c>
      <c r="W5" s="5">
        <v>6</v>
      </c>
      <c r="X5" s="7">
        <v>44.32</v>
      </c>
      <c r="Y5" s="5" t="s">
        <v>1040</v>
      </c>
      <c r="Z5" s="5" t="s">
        <v>1041</v>
      </c>
    </row>
    <row r="6" spans="1:52" s="5" customFormat="1" x14ac:dyDescent="0.3">
      <c r="A6" s="5">
        <v>2034793910</v>
      </c>
      <c r="B6" s="5" t="s">
        <v>478</v>
      </c>
      <c r="C6" s="5" t="s">
        <v>479</v>
      </c>
      <c r="D6" s="5" t="str">
        <f>CONCATENATE(C6," ",B6)</f>
        <v>MARY MCKAY</v>
      </c>
      <c r="E6" s="5" t="s">
        <v>80</v>
      </c>
      <c r="F6" s="5" t="s">
        <v>475</v>
      </c>
      <c r="G6" s="17">
        <v>0.38</v>
      </c>
      <c r="H6" s="5" t="s">
        <v>476</v>
      </c>
      <c r="I6" s="5" t="s">
        <v>476</v>
      </c>
      <c r="J6" s="19" t="s">
        <v>989</v>
      </c>
      <c r="K6" s="5" t="s">
        <v>307</v>
      </c>
      <c r="L6" s="5" t="s">
        <v>308</v>
      </c>
      <c r="M6" s="5" t="str">
        <f>CONCATENATE(L6," ",K6)</f>
        <v>Dale Walenga</v>
      </c>
      <c r="N6" s="5" t="s">
        <v>57</v>
      </c>
      <c r="O6" s="6">
        <v>46120</v>
      </c>
      <c r="P6" s="6">
        <v>46150</v>
      </c>
      <c r="Q6" s="7">
        <v>15</v>
      </c>
      <c r="R6" s="5">
        <v>1</v>
      </c>
      <c r="S6" s="5" t="s">
        <v>58</v>
      </c>
      <c r="T6" s="5">
        <v>0</v>
      </c>
      <c r="U6" s="5" t="s">
        <v>60</v>
      </c>
      <c r="V6" s="5" t="s">
        <v>448</v>
      </c>
      <c r="W6" s="5">
        <v>6</v>
      </c>
      <c r="X6" s="7">
        <v>5.7</v>
      </c>
      <c r="Y6" s="5" t="s">
        <v>1040</v>
      </c>
      <c r="Z6" s="5" t="s">
        <v>1041</v>
      </c>
    </row>
    <row r="7" spans="1:52" s="5" customFormat="1" x14ac:dyDescent="0.3">
      <c r="A7" s="5">
        <v>2034837304</v>
      </c>
      <c r="B7" s="5" t="s">
        <v>494</v>
      </c>
      <c r="C7" s="5" t="s">
        <v>149</v>
      </c>
      <c r="D7" s="5" t="str">
        <f>CONCATENATE(C7," ",B7)</f>
        <v>JOHN EARLEY</v>
      </c>
      <c r="E7" s="5" t="s">
        <v>52</v>
      </c>
      <c r="F7" s="5" t="s">
        <v>483</v>
      </c>
      <c r="G7" s="20">
        <v>0.375</v>
      </c>
      <c r="H7" s="5" t="s">
        <v>484</v>
      </c>
      <c r="I7" s="5" t="s">
        <v>484</v>
      </c>
      <c r="J7" s="19" t="s">
        <v>1007</v>
      </c>
      <c r="K7" s="5" t="s">
        <v>167</v>
      </c>
      <c r="L7" s="5" t="s">
        <v>168</v>
      </c>
      <c r="M7" s="5" t="str">
        <f>CONCATENATE(L7," ",K7)</f>
        <v>Andrew Choi</v>
      </c>
      <c r="N7" s="5" t="s">
        <v>57</v>
      </c>
      <c r="O7" s="6">
        <v>46122</v>
      </c>
      <c r="P7" s="6">
        <v>46152</v>
      </c>
      <c r="Q7" s="7">
        <v>64.540000000000006</v>
      </c>
      <c r="R7" s="5">
        <v>1</v>
      </c>
      <c r="S7" s="5" t="s">
        <v>58</v>
      </c>
      <c r="T7" s="5">
        <v>0</v>
      </c>
      <c r="U7" s="5" t="s">
        <v>60</v>
      </c>
      <c r="V7" s="5" t="s">
        <v>448</v>
      </c>
      <c r="W7" s="5">
        <v>6</v>
      </c>
      <c r="X7" s="7">
        <v>24.2</v>
      </c>
      <c r="Y7" s="5" t="s">
        <v>1040</v>
      </c>
      <c r="Z7" s="5" t="s">
        <v>1041</v>
      </c>
    </row>
    <row r="8" spans="1:52" s="5" customFormat="1" x14ac:dyDescent="0.3">
      <c r="A8" s="5">
        <v>2034774463</v>
      </c>
      <c r="B8" s="5" t="s">
        <v>458</v>
      </c>
      <c r="C8" s="5" t="s">
        <v>459</v>
      </c>
      <c r="D8" s="5" t="str">
        <f>CONCATENATE(C8," ",B8)</f>
        <v>PHILIP VALDEZ</v>
      </c>
      <c r="E8" s="5" t="s">
        <v>103</v>
      </c>
      <c r="F8" s="5" t="s">
        <v>483</v>
      </c>
      <c r="G8" s="20">
        <v>0.375</v>
      </c>
      <c r="H8" s="5" t="s">
        <v>484</v>
      </c>
      <c r="I8" s="5" t="s">
        <v>484</v>
      </c>
      <c r="J8" s="19" t="s">
        <v>1001</v>
      </c>
      <c r="K8" s="5" t="s">
        <v>104</v>
      </c>
      <c r="L8" s="5" t="s">
        <v>105</v>
      </c>
      <c r="M8" s="5" t="str">
        <f>CONCATENATE(L8," ",K8)</f>
        <v>Heather Geske</v>
      </c>
      <c r="N8" s="5" t="s">
        <v>57</v>
      </c>
      <c r="O8" s="6">
        <v>46123</v>
      </c>
      <c r="P8" s="6">
        <v>46153</v>
      </c>
      <c r="Q8" s="7">
        <v>40.479999999999997</v>
      </c>
      <c r="R8" s="5">
        <v>1</v>
      </c>
      <c r="S8" s="5" t="s">
        <v>58</v>
      </c>
      <c r="T8" s="5">
        <v>0</v>
      </c>
      <c r="U8" s="5" t="s">
        <v>60</v>
      </c>
      <c r="V8" s="5" t="s">
        <v>448</v>
      </c>
      <c r="W8" s="5">
        <v>6</v>
      </c>
      <c r="X8" s="7">
        <v>15.18</v>
      </c>
      <c r="Y8" s="5" t="s">
        <v>1040</v>
      </c>
      <c r="Z8" s="5" t="s">
        <v>1041</v>
      </c>
    </row>
    <row r="9" spans="1:52" s="5" customFormat="1" x14ac:dyDescent="0.3">
      <c r="A9" s="5">
        <v>2034839067</v>
      </c>
      <c r="B9" s="5" t="s">
        <v>495</v>
      </c>
      <c r="C9" s="5" t="s">
        <v>233</v>
      </c>
      <c r="D9" s="5" t="str">
        <f>CONCATENATE(C9," ",B9)</f>
        <v>LAURA HEINE</v>
      </c>
      <c r="E9" s="5" t="s">
        <v>496</v>
      </c>
      <c r="F9" s="5" t="s">
        <v>483</v>
      </c>
      <c r="G9" s="20">
        <v>0.375</v>
      </c>
      <c r="H9" s="5" t="s">
        <v>484</v>
      </c>
      <c r="I9" s="5" t="s">
        <v>484</v>
      </c>
      <c r="J9" s="19" t="s">
        <v>1039</v>
      </c>
      <c r="K9" s="5" t="s">
        <v>497</v>
      </c>
      <c r="L9" s="5" t="s">
        <v>498</v>
      </c>
      <c r="M9" s="5" t="str">
        <f>CONCATENATE(L9," ",K9)</f>
        <v>Heidi Berthelsen</v>
      </c>
      <c r="N9" s="5" t="s">
        <v>57</v>
      </c>
      <c r="O9" s="6">
        <v>46125</v>
      </c>
      <c r="P9" s="6">
        <v>46155</v>
      </c>
      <c r="Q9" s="7">
        <v>173.85</v>
      </c>
      <c r="R9" s="5">
        <v>1</v>
      </c>
      <c r="S9" s="5" t="s">
        <v>58</v>
      </c>
      <c r="T9" s="5">
        <v>0</v>
      </c>
      <c r="U9" s="5" t="s">
        <v>60</v>
      </c>
      <c r="V9" s="5" t="s">
        <v>448</v>
      </c>
      <c r="W9" s="5">
        <v>6</v>
      </c>
      <c r="X9" s="7">
        <v>65.19</v>
      </c>
      <c r="Y9" s="5" t="s">
        <v>1040</v>
      </c>
      <c r="Z9" s="5" t="s">
        <v>1041</v>
      </c>
    </row>
    <row r="10" spans="1:52" s="5" customFormat="1" x14ac:dyDescent="0.3">
      <c r="A10" s="5">
        <v>2034793971</v>
      </c>
      <c r="B10" s="5" t="s">
        <v>490</v>
      </c>
      <c r="C10" s="5" t="s">
        <v>491</v>
      </c>
      <c r="D10" s="5" t="str">
        <f>CONCATENATE(C10," ",B10)</f>
        <v>GENEVIEVE SPIELHAGEN</v>
      </c>
      <c r="E10" s="5" t="s">
        <v>103</v>
      </c>
      <c r="F10" s="5" t="s">
        <v>483</v>
      </c>
      <c r="G10" s="20">
        <v>0.375</v>
      </c>
      <c r="H10" s="5" t="s">
        <v>484</v>
      </c>
      <c r="I10" s="5" t="s">
        <v>484</v>
      </c>
      <c r="J10" s="19" t="s">
        <v>1005</v>
      </c>
      <c r="K10" s="5" t="s">
        <v>150</v>
      </c>
      <c r="L10" s="5" t="s">
        <v>151</v>
      </c>
      <c r="M10" s="5" t="str">
        <f>CONCATENATE(L10," ",K10)</f>
        <v>Joel Lee</v>
      </c>
      <c r="N10" s="5" t="s">
        <v>57</v>
      </c>
      <c r="O10" s="6">
        <v>46120</v>
      </c>
      <c r="P10" s="6">
        <v>46150</v>
      </c>
      <c r="Q10" s="7">
        <v>116.87</v>
      </c>
      <c r="R10" s="5">
        <v>1</v>
      </c>
      <c r="S10" s="5" t="s">
        <v>58</v>
      </c>
      <c r="T10" s="5">
        <v>0</v>
      </c>
      <c r="U10" s="5" t="s">
        <v>60</v>
      </c>
      <c r="V10" s="5" t="s">
        <v>448</v>
      </c>
      <c r="W10" s="5">
        <v>6</v>
      </c>
      <c r="X10" s="7">
        <v>43.83</v>
      </c>
      <c r="Y10" s="5" t="s">
        <v>1040</v>
      </c>
      <c r="Z10" s="5" t="s">
        <v>1041</v>
      </c>
    </row>
    <row r="11" spans="1:52" x14ac:dyDescent="0.3">
      <c r="A11" s="5">
        <v>2034815377</v>
      </c>
      <c r="B11" s="5" t="s">
        <v>492</v>
      </c>
      <c r="C11" s="5" t="s">
        <v>493</v>
      </c>
      <c r="D11" s="5" t="str">
        <f>CONCATENATE(C11," ",B11)</f>
        <v>ANNA AMOAH</v>
      </c>
      <c r="E11" s="5" t="s">
        <v>103</v>
      </c>
      <c r="F11" s="5" t="s">
        <v>483</v>
      </c>
      <c r="G11" s="20">
        <v>0.375</v>
      </c>
      <c r="H11" s="5" t="s">
        <v>484</v>
      </c>
      <c r="I11" s="5" t="s">
        <v>484</v>
      </c>
      <c r="J11" s="19" t="s">
        <v>1005</v>
      </c>
      <c r="K11" s="5" t="s">
        <v>150</v>
      </c>
      <c r="L11" s="5" t="s">
        <v>151</v>
      </c>
      <c r="M11" s="5" t="str">
        <f>CONCATENATE(L11," ",K11)</f>
        <v>Joel Lee</v>
      </c>
      <c r="N11" s="5" t="s">
        <v>57</v>
      </c>
      <c r="O11" s="6">
        <v>46121</v>
      </c>
      <c r="P11" s="6">
        <v>46151</v>
      </c>
      <c r="Q11" s="7">
        <v>59.46</v>
      </c>
      <c r="R11" s="5">
        <v>1</v>
      </c>
      <c r="S11" s="5" t="s">
        <v>58</v>
      </c>
      <c r="T11" s="5">
        <v>0</v>
      </c>
      <c r="U11" s="5" t="s">
        <v>60</v>
      </c>
      <c r="V11" s="5" t="s">
        <v>448</v>
      </c>
      <c r="W11" s="5">
        <v>6</v>
      </c>
      <c r="X11" s="7">
        <v>22.3</v>
      </c>
      <c r="Y11" s="5" t="s">
        <v>1040</v>
      </c>
      <c r="Z11" s="5" t="s">
        <v>1041</v>
      </c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</row>
    <row r="12" spans="1:52" x14ac:dyDescent="0.3">
      <c r="A12" s="5">
        <v>2034781435</v>
      </c>
      <c r="B12" s="5" t="s">
        <v>489</v>
      </c>
      <c r="C12" s="5" t="s">
        <v>98</v>
      </c>
      <c r="D12" s="5" t="str">
        <f>CONCATENATE(C12," ",B12)</f>
        <v>THOMAS SLINEY</v>
      </c>
      <c r="E12" s="5" t="s">
        <v>270</v>
      </c>
      <c r="F12" s="5" t="s">
        <v>483</v>
      </c>
      <c r="G12" s="20">
        <v>0.375</v>
      </c>
      <c r="H12" s="5" t="s">
        <v>484</v>
      </c>
      <c r="I12" s="5" t="s">
        <v>484</v>
      </c>
      <c r="J12" s="19" t="s">
        <v>984</v>
      </c>
      <c r="K12" s="5" t="s">
        <v>120</v>
      </c>
      <c r="L12" s="5" t="s">
        <v>121</v>
      </c>
      <c r="M12" s="5" t="str">
        <f>CONCATENATE(L12," ",K12)</f>
        <v>Richard Yale</v>
      </c>
      <c r="N12" s="5" t="s">
        <v>57</v>
      </c>
      <c r="O12" s="6">
        <v>46119</v>
      </c>
      <c r="P12" s="6">
        <v>46149</v>
      </c>
      <c r="Q12" s="7">
        <v>90.22</v>
      </c>
      <c r="R12" s="5">
        <v>1</v>
      </c>
      <c r="S12" s="5" t="s">
        <v>58</v>
      </c>
      <c r="T12" s="5">
        <v>0</v>
      </c>
      <c r="U12" s="5" t="s">
        <v>60</v>
      </c>
      <c r="V12" s="5" t="s">
        <v>448</v>
      </c>
      <c r="W12" s="5">
        <v>6</v>
      </c>
      <c r="X12" s="7">
        <v>33.83</v>
      </c>
      <c r="Y12" s="5" t="s">
        <v>1040</v>
      </c>
      <c r="Z12" s="5" t="s">
        <v>1041</v>
      </c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</row>
    <row r="13" spans="1:52" x14ac:dyDescent="0.3">
      <c r="A13" s="5">
        <v>2034775870</v>
      </c>
      <c r="B13" s="5" t="s">
        <v>485</v>
      </c>
      <c r="C13" s="5" t="s">
        <v>486</v>
      </c>
      <c r="D13" s="5" t="str">
        <f>CONCATENATE(C13," ",B13)</f>
        <v>DURAND SIGNE</v>
      </c>
      <c r="E13" s="5" t="s">
        <v>295</v>
      </c>
      <c r="F13" s="5" t="s">
        <v>483</v>
      </c>
      <c r="G13" s="20">
        <v>0.375</v>
      </c>
      <c r="H13" s="5" t="s">
        <v>484</v>
      </c>
      <c r="I13" s="5" t="s">
        <v>484</v>
      </c>
      <c r="J13" s="19" t="s">
        <v>1029</v>
      </c>
      <c r="K13" s="5" t="s">
        <v>134</v>
      </c>
      <c r="L13" s="5" t="s">
        <v>98</v>
      </c>
      <c r="M13" s="5" t="str">
        <f>CONCATENATE(L13," ",K13)</f>
        <v>THOMAS PARDUE</v>
      </c>
      <c r="N13" s="5" t="s">
        <v>57</v>
      </c>
      <c r="O13" s="6">
        <v>46119</v>
      </c>
      <c r="P13" s="6">
        <v>46149</v>
      </c>
      <c r="Q13" s="7">
        <v>19.93</v>
      </c>
      <c r="R13" s="5">
        <v>1</v>
      </c>
      <c r="S13" s="5" t="s">
        <v>58</v>
      </c>
      <c r="T13" s="5">
        <v>0</v>
      </c>
      <c r="U13" s="5" t="s">
        <v>60</v>
      </c>
      <c r="V13" s="5" t="s">
        <v>448</v>
      </c>
      <c r="W13" s="5">
        <v>6</v>
      </c>
      <c r="X13" s="7">
        <v>7.47</v>
      </c>
      <c r="Y13" s="5" t="s">
        <v>1040</v>
      </c>
      <c r="Z13" s="5" t="s">
        <v>1041</v>
      </c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</row>
    <row r="14" spans="1:52" x14ac:dyDescent="0.3">
      <c r="A14" s="5">
        <v>2034793908</v>
      </c>
      <c r="B14" s="5" t="s">
        <v>478</v>
      </c>
      <c r="C14" s="5" t="s">
        <v>479</v>
      </c>
      <c r="D14" s="5" t="str">
        <f>CONCATENATE(C14," ",B14)</f>
        <v>MARY MCKAY</v>
      </c>
      <c r="E14" s="5" t="s">
        <v>80</v>
      </c>
      <c r="F14" s="5" t="s">
        <v>499</v>
      </c>
      <c r="G14" s="17">
        <v>0.38</v>
      </c>
      <c r="H14" s="5" t="s">
        <v>500</v>
      </c>
      <c r="I14" s="5" t="s">
        <v>500</v>
      </c>
      <c r="J14" s="19" t="s">
        <v>989</v>
      </c>
      <c r="K14" s="5" t="s">
        <v>307</v>
      </c>
      <c r="L14" s="5" t="s">
        <v>308</v>
      </c>
      <c r="M14" s="5" t="str">
        <f>CONCATENATE(L14," ",K14)</f>
        <v>Dale Walenga</v>
      </c>
      <c r="N14" s="5" t="s">
        <v>57</v>
      </c>
      <c r="O14" s="6">
        <v>46120</v>
      </c>
      <c r="P14" s="6">
        <v>46150</v>
      </c>
      <c r="Q14" s="7">
        <v>486.8</v>
      </c>
      <c r="R14" s="5">
        <v>1</v>
      </c>
      <c r="S14" s="5" t="s">
        <v>58</v>
      </c>
      <c r="T14" s="5">
        <v>0</v>
      </c>
      <c r="U14" s="5" t="s">
        <v>60</v>
      </c>
      <c r="V14" s="5" t="s">
        <v>448</v>
      </c>
      <c r="W14" s="5">
        <v>6</v>
      </c>
      <c r="X14" s="7">
        <v>184.98</v>
      </c>
      <c r="Y14" s="5" t="s">
        <v>1040</v>
      </c>
      <c r="Z14" s="5" t="s">
        <v>1041</v>
      </c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</row>
    <row r="15" spans="1:52" x14ac:dyDescent="0.3">
      <c r="A15" s="5">
        <v>2034793909</v>
      </c>
      <c r="B15" s="5" t="s">
        <v>478</v>
      </c>
      <c r="C15" s="5" t="s">
        <v>479</v>
      </c>
      <c r="D15" s="5" t="str">
        <f>CONCATENATE(C15," ",B15)</f>
        <v>MARY MCKAY</v>
      </c>
      <c r="E15" s="5" t="s">
        <v>80</v>
      </c>
      <c r="F15" s="5" t="s">
        <v>499</v>
      </c>
      <c r="G15" s="17">
        <v>0.38</v>
      </c>
      <c r="H15" s="5" t="s">
        <v>501</v>
      </c>
      <c r="I15" s="5" t="s">
        <v>500</v>
      </c>
      <c r="J15" s="19" t="s">
        <v>989</v>
      </c>
      <c r="K15" s="5" t="s">
        <v>307</v>
      </c>
      <c r="L15" s="5" t="s">
        <v>308</v>
      </c>
      <c r="M15" s="5" t="str">
        <f>CONCATENATE(L15," ",K15)</f>
        <v>Dale Walenga</v>
      </c>
      <c r="N15" s="5" t="s">
        <v>57</v>
      </c>
      <c r="O15" s="6">
        <v>46120</v>
      </c>
      <c r="P15" s="6">
        <v>46150</v>
      </c>
      <c r="Q15" s="7">
        <v>7.09</v>
      </c>
      <c r="R15" s="5">
        <v>1</v>
      </c>
      <c r="S15" s="5" t="s">
        <v>58</v>
      </c>
      <c r="T15" s="5">
        <v>0</v>
      </c>
      <c r="U15" s="5" t="s">
        <v>60</v>
      </c>
      <c r="V15" s="5" t="s">
        <v>448</v>
      </c>
      <c r="W15" s="5">
        <v>6</v>
      </c>
      <c r="X15" s="7">
        <v>2.69</v>
      </c>
      <c r="Y15" s="5" t="s">
        <v>1040</v>
      </c>
      <c r="Z15" s="5" t="s">
        <v>1041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</row>
    <row r="16" spans="1:52" x14ac:dyDescent="0.3">
      <c r="A16" s="5">
        <v>2034837347</v>
      </c>
      <c r="B16" s="5" t="s">
        <v>465</v>
      </c>
      <c r="C16" s="5" t="s">
        <v>406</v>
      </c>
      <c r="D16" s="5" t="str">
        <f>CONCATENATE(C16," ",B16)</f>
        <v>BRIAN KEHOE</v>
      </c>
      <c r="E16" s="5" t="s">
        <v>103</v>
      </c>
      <c r="F16" s="5" t="s">
        <v>499</v>
      </c>
      <c r="G16" s="17">
        <v>0.38</v>
      </c>
      <c r="H16" s="5" t="s">
        <v>502</v>
      </c>
      <c r="I16" s="5" t="s">
        <v>502</v>
      </c>
      <c r="J16" s="19" t="s">
        <v>1001</v>
      </c>
      <c r="K16" s="5" t="s">
        <v>104</v>
      </c>
      <c r="L16" s="5" t="s">
        <v>105</v>
      </c>
      <c r="M16" s="5" t="str">
        <f>CONCATENATE(L16," ",K16)</f>
        <v>Heather Geske</v>
      </c>
      <c r="N16" s="5" t="s">
        <v>57</v>
      </c>
      <c r="O16" s="6">
        <v>46122</v>
      </c>
      <c r="P16" s="6">
        <v>46152</v>
      </c>
      <c r="Q16" s="7">
        <v>32.79</v>
      </c>
      <c r="R16" s="5">
        <v>1</v>
      </c>
      <c r="S16" s="5" t="s">
        <v>58</v>
      </c>
      <c r="T16" s="5">
        <v>0</v>
      </c>
      <c r="U16" s="5" t="s">
        <v>60</v>
      </c>
      <c r="V16" s="5" t="s">
        <v>448</v>
      </c>
      <c r="W16" s="5">
        <v>6</v>
      </c>
      <c r="X16" s="7">
        <v>12.46</v>
      </c>
      <c r="Y16" s="5" t="s">
        <v>1040</v>
      </c>
      <c r="Z16" s="5" t="s">
        <v>1041</v>
      </c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</row>
    <row r="17" spans="1:52" s="5" customFormat="1" x14ac:dyDescent="0.3">
      <c r="A17" s="5">
        <v>2034686687</v>
      </c>
      <c r="B17" s="5" t="s">
        <v>503</v>
      </c>
      <c r="C17" s="5" t="s">
        <v>504</v>
      </c>
      <c r="D17" s="5" t="str">
        <f>CONCATENATE(C17," ",B17)</f>
        <v>ZAHRA RAHMANI</v>
      </c>
      <c r="E17" s="5" t="s">
        <v>80</v>
      </c>
      <c r="F17" s="5" t="s">
        <v>53</v>
      </c>
      <c r="G17" s="17">
        <v>0.42</v>
      </c>
      <c r="H17" s="5" t="s">
        <v>94</v>
      </c>
      <c r="I17" s="5" t="s">
        <v>94</v>
      </c>
      <c r="J17" s="19" t="s">
        <v>1007</v>
      </c>
      <c r="K17" s="5" t="s">
        <v>167</v>
      </c>
      <c r="L17" s="5" t="s">
        <v>168</v>
      </c>
      <c r="M17" s="5" t="str">
        <f>CONCATENATE(L17," ",K17)</f>
        <v>Andrew Choi</v>
      </c>
      <c r="N17" s="5" t="s">
        <v>57</v>
      </c>
      <c r="O17" s="6">
        <v>46143</v>
      </c>
      <c r="P17" s="6">
        <v>46174</v>
      </c>
      <c r="Q17" s="7">
        <v>57.8</v>
      </c>
      <c r="R17" s="5">
        <v>1</v>
      </c>
      <c r="S17" s="5" t="s">
        <v>58</v>
      </c>
      <c r="T17" s="5">
        <v>0</v>
      </c>
      <c r="U17" s="5" t="s">
        <v>60</v>
      </c>
      <c r="V17" s="5" t="s">
        <v>448</v>
      </c>
      <c r="W17" s="5">
        <v>6</v>
      </c>
      <c r="X17" s="7">
        <v>24.28</v>
      </c>
      <c r="Y17" s="5" t="s">
        <v>1040</v>
      </c>
      <c r="Z17" s="5" t="s">
        <v>1041</v>
      </c>
    </row>
    <row r="18" spans="1:52" s="5" customFormat="1" x14ac:dyDescent="0.3">
      <c r="A18" s="5">
        <v>2034686690</v>
      </c>
      <c r="B18" s="5" t="s">
        <v>503</v>
      </c>
      <c r="C18" s="5" t="s">
        <v>504</v>
      </c>
      <c r="D18" s="5" t="str">
        <f>CONCATENATE(C18," ",B18)</f>
        <v>ZAHRA RAHMANI</v>
      </c>
      <c r="E18" s="5" t="s">
        <v>80</v>
      </c>
      <c r="F18" s="5" t="s">
        <v>53</v>
      </c>
      <c r="G18" s="17">
        <v>0.7</v>
      </c>
      <c r="H18" s="5" t="s">
        <v>54</v>
      </c>
      <c r="I18" s="5" t="s">
        <v>54</v>
      </c>
      <c r="J18" s="19" t="s">
        <v>1007</v>
      </c>
      <c r="K18" s="5" t="s">
        <v>167</v>
      </c>
      <c r="L18" s="5" t="s">
        <v>168</v>
      </c>
      <c r="M18" s="5" t="str">
        <f>CONCATENATE(L18," ",K18)</f>
        <v>Andrew Choi</v>
      </c>
      <c r="N18" s="5" t="s">
        <v>57</v>
      </c>
      <c r="O18" s="6">
        <v>46143</v>
      </c>
      <c r="P18" s="6">
        <v>46174</v>
      </c>
      <c r="Q18" s="7">
        <v>11.5</v>
      </c>
      <c r="R18" s="5">
        <v>1</v>
      </c>
      <c r="S18" s="5" t="s">
        <v>58</v>
      </c>
      <c r="T18" s="5">
        <v>0</v>
      </c>
      <c r="U18" s="5" t="s">
        <v>60</v>
      </c>
      <c r="V18" s="5" t="s">
        <v>448</v>
      </c>
      <c r="W18" s="5">
        <v>6</v>
      </c>
      <c r="X18" s="7">
        <v>8.0500000000000007</v>
      </c>
      <c r="Y18" s="5" t="s">
        <v>1040</v>
      </c>
      <c r="Z18" s="5" t="s">
        <v>1041</v>
      </c>
    </row>
    <row r="19" spans="1:52" s="5" customFormat="1" x14ac:dyDescent="0.3">
      <c r="A19" s="5">
        <v>2034837305</v>
      </c>
      <c r="B19" s="5" t="s">
        <v>494</v>
      </c>
      <c r="C19" s="5" t="s">
        <v>149</v>
      </c>
      <c r="D19" s="5" t="str">
        <f>CONCATENATE(C19," ",B19)</f>
        <v>JOHN EARLEY</v>
      </c>
      <c r="E19" s="5" t="s">
        <v>52</v>
      </c>
      <c r="F19" s="5" t="s">
        <v>53</v>
      </c>
      <c r="G19" s="17">
        <v>0.7</v>
      </c>
      <c r="H19" s="5" t="s">
        <v>54</v>
      </c>
      <c r="I19" s="5" t="s">
        <v>54</v>
      </c>
      <c r="J19" s="19" t="s">
        <v>1007</v>
      </c>
      <c r="K19" s="5" t="s">
        <v>167</v>
      </c>
      <c r="L19" s="5" t="s">
        <v>168</v>
      </c>
      <c r="M19" s="5" t="str">
        <f>CONCATENATE(L19," ",K19)</f>
        <v>Andrew Choi</v>
      </c>
      <c r="N19" s="5" t="s">
        <v>57</v>
      </c>
      <c r="O19" s="6">
        <v>46122</v>
      </c>
      <c r="P19" s="6">
        <v>46152</v>
      </c>
      <c r="Q19" s="7">
        <v>10.53</v>
      </c>
      <c r="R19" s="5">
        <v>1</v>
      </c>
      <c r="S19" s="5" t="s">
        <v>58</v>
      </c>
      <c r="T19" s="5">
        <v>0</v>
      </c>
      <c r="U19" s="5" t="s">
        <v>60</v>
      </c>
      <c r="V19" s="5" t="s">
        <v>448</v>
      </c>
      <c r="W19" s="5">
        <v>6</v>
      </c>
      <c r="X19" s="7">
        <v>7.37</v>
      </c>
      <c r="Y19" s="5" t="s">
        <v>1040</v>
      </c>
      <c r="Z19" s="5" t="s">
        <v>1041</v>
      </c>
    </row>
    <row r="20" spans="1:52" s="5" customFormat="1" x14ac:dyDescent="0.3">
      <c r="A20" s="5">
        <v>2034769312</v>
      </c>
      <c r="B20" s="5" t="s">
        <v>505</v>
      </c>
      <c r="C20" s="5" t="s">
        <v>506</v>
      </c>
      <c r="D20" s="5" t="str">
        <f>CONCATENATE(C20," ",B20)</f>
        <v>JOY HEINSOHN</v>
      </c>
      <c r="E20" s="5" t="s">
        <v>93</v>
      </c>
      <c r="F20" s="5" t="s">
        <v>53</v>
      </c>
      <c r="G20" s="17">
        <v>0.7</v>
      </c>
      <c r="H20" s="5" t="s">
        <v>97</v>
      </c>
      <c r="I20" s="5" t="s">
        <v>117</v>
      </c>
      <c r="J20" s="19" t="s">
        <v>987</v>
      </c>
      <c r="K20" s="5" t="s">
        <v>281</v>
      </c>
      <c r="L20" s="5" t="s">
        <v>282</v>
      </c>
      <c r="M20" s="5" t="str">
        <f>CONCATENATE(L20," ",K20)</f>
        <v>Brittany Oliver</v>
      </c>
      <c r="N20" s="5" t="s">
        <v>57</v>
      </c>
      <c r="O20" s="6">
        <v>46119</v>
      </c>
      <c r="P20" s="6">
        <v>46149</v>
      </c>
      <c r="Q20" s="7">
        <v>24.61</v>
      </c>
      <c r="R20" s="5">
        <v>1</v>
      </c>
      <c r="S20" s="5" t="s">
        <v>58</v>
      </c>
      <c r="T20" s="5">
        <v>0</v>
      </c>
      <c r="U20" s="5" t="s">
        <v>60</v>
      </c>
      <c r="V20" s="5" t="s">
        <v>448</v>
      </c>
      <c r="W20" s="5">
        <v>6</v>
      </c>
      <c r="X20" s="7">
        <v>17.23</v>
      </c>
      <c r="Y20" s="5" t="s">
        <v>1040</v>
      </c>
      <c r="Z20" s="5" t="s">
        <v>1041</v>
      </c>
    </row>
    <row r="21" spans="1:52" s="5" customFormat="1" x14ac:dyDescent="0.3">
      <c r="A21" s="5">
        <v>2034862526</v>
      </c>
      <c r="B21" s="5" t="s">
        <v>521</v>
      </c>
      <c r="C21" s="5" t="s">
        <v>522</v>
      </c>
      <c r="D21" s="5" t="str">
        <f>CONCATENATE(C21," ",B21)</f>
        <v>BETTE WATKINS</v>
      </c>
      <c r="E21" s="5" t="s">
        <v>93</v>
      </c>
      <c r="F21" s="5" t="s">
        <v>53</v>
      </c>
      <c r="G21" s="17">
        <v>0.7</v>
      </c>
      <c r="H21" s="5" t="s">
        <v>97</v>
      </c>
      <c r="I21" s="5" t="s">
        <v>117</v>
      </c>
      <c r="J21" s="19" t="s">
        <v>987</v>
      </c>
      <c r="K21" s="5" t="s">
        <v>281</v>
      </c>
      <c r="L21" s="5" t="s">
        <v>282</v>
      </c>
      <c r="M21" s="5" t="str">
        <f>CONCATENATE(L21," ",K21)</f>
        <v>Brittany Oliver</v>
      </c>
      <c r="N21" s="5" t="s">
        <v>57</v>
      </c>
      <c r="O21" s="6">
        <v>46123</v>
      </c>
      <c r="P21" s="6">
        <v>46153</v>
      </c>
      <c r="Q21" s="7">
        <v>24.61</v>
      </c>
      <c r="R21" s="5">
        <v>1</v>
      </c>
      <c r="S21" s="5" t="s">
        <v>58</v>
      </c>
      <c r="T21" s="5">
        <v>0</v>
      </c>
      <c r="U21" s="5" t="s">
        <v>60</v>
      </c>
      <c r="V21" s="5" t="s">
        <v>448</v>
      </c>
      <c r="W21" s="5">
        <v>6</v>
      </c>
      <c r="X21" s="7">
        <v>17.23</v>
      </c>
      <c r="Y21" s="5" t="s">
        <v>1040</v>
      </c>
      <c r="Z21" s="5" t="s">
        <v>1041</v>
      </c>
    </row>
    <row r="22" spans="1:52" s="5" customFormat="1" x14ac:dyDescent="0.3">
      <c r="A22" s="5">
        <v>2034862525</v>
      </c>
      <c r="B22" s="5" t="s">
        <v>521</v>
      </c>
      <c r="C22" s="5" t="s">
        <v>522</v>
      </c>
      <c r="D22" s="5" t="str">
        <f>CONCATENATE(C22," ",B22)</f>
        <v>BETTE WATKINS</v>
      </c>
      <c r="E22" s="5" t="s">
        <v>93</v>
      </c>
      <c r="F22" s="5" t="s">
        <v>53</v>
      </c>
      <c r="G22" s="17">
        <v>0.9</v>
      </c>
      <c r="H22" s="5" t="s">
        <v>65</v>
      </c>
      <c r="I22" s="5" t="s">
        <v>65</v>
      </c>
      <c r="J22" s="19" t="s">
        <v>987</v>
      </c>
      <c r="K22" s="5" t="s">
        <v>281</v>
      </c>
      <c r="L22" s="5" t="s">
        <v>282</v>
      </c>
      <c r="M22" s="5" t="str">
        <f>CONCATENATE(L22," ",K22)</f>
        <v>Brittany Oliver</v>
      </c>
      <c r="N22" s="5" t="s">
        <v>57</v>
      </c>
      <c r="O22" s="6">
        <v>46123</v>
      </c>
      <c r="P22" s="6">
        <v>46153</v>
      </c>
      <c r="Q22" s="7">
        <v>27.81</v>
      </c>
      <c r="R22" s="5">
        <v>1</v>
      </c>
      <c r="S22" s="5" t="s">
        <v>58</v>
      </c>
      <c r="T22" s="5">
        <v>0</v>
      </c>
      <c r="U22" s="5" t="s">
        <v>60</v>
      </c>
      <c r="V22" s="5" t="s">
        <v>448</v>
      </c>
      <c r="W22" s="5">
        <v>6</v>
      </c>
      <c r="X22" s="7">
        <v>25.03</v>
      </c>
      <c r="Y22" s="5" t="s">
        <v>1040</v>
      </c>
      <c r="Z22" s="5" t="s">
        <v>1041</v>
      </c>
    </row>
    <row r="23" spans="1:52" s="5" customFormat="1" x14ac:dyDescent="0.3">
      <c r="A23" s="5">
        <v>2034782482</v>
      </c>
      <c r="B23" s="5" t="s">
        <v>509</v>
      </c>
      <c r="C23" s="5" t="s">
        <v>510</v>
      </c>
      <c r="D23" s="5" t="str">
        <f>CONCATENATE(C23," ",B23)</f>
        <v>JOSEF KEIVAN</v>
      </c>
      <c r="E23" s="5" t="s">
        <v>75</v>
      </c>
      <c r="F23" s="5" t="s">
        <v>53</v>
      </c>
      <c r="G23" s="17">
        <v>0.7</v>
      </c>
      <c r="H23" s="5" t="s">
        <v>54</v>
      </c>
      <c r="I23" s="5" t="s">
        <v>54</v>
      </c>
      <c r="J23" s="19" t="s">
        <v>1002</v>
      </c>
      <c r="K23" s="5" t="s">
        <v>127</v>
      </c>
      <c r="L23" s="5" t="s">
        <v>128</v>
      </c>
      <c r="M23" s="5" t="str">
        <f>CONCATENATE(L23," ",K23)</f>
        <v>CHRISTIAN TAUGNER</v>
      </c>
      <c r="N23" s="5" t="s">
        <v>57</v>
      </c>
      <c r="O23" s="6">
        <v>46119</v>
      </c>
      <c r="P23" s="6">
        <v>46149</v>
      </c>
      <c r="Q23" s="7">
        <v>28.73</v>
      </c>
      <c r="R23" s="5">
        <v>1</v>
      </c>
      <c r="S23" s="5" t="s">
        <v>58</v>
      </c>
      <c r="T23" s="5">
        <v>0</v>
      </c>
      <c r="U23" s="5" t="s">
        <v>60</v>
      </c>
      <c r="V23" s="5" t="s">
        <v>448</v>
      </c>
      <c r="W23" s="5">
        <v>6</v>
      </c>
      <c r="X23" s="7">
        <v>20.11</v>
      </c>
      <c r="Y23" s="5" t="s">
        <v>1040</v>
      </c>
      <c r="Z23" s="5" t="s">
        <v>1041</v>
      </c>
    </row>
    <row r="24" spans="1:52" x14ac:dyDescent="0.3">
      <c r="A24" s="5">
        <v>2034870435</v>
      </c>
      <c r="B24" s="5" t="s">
        <v>523</v>
      </c>
      <c r="C24" s="5" t="s">
        <v>147</v>
      </c>
      <c r="D24" s="5" t="str">
        <f>CONCATENATE(C24," ",B24)</f>
        <v>MATTHEW PAOLELLI</v>
      </c>
      <c r="E24" s="5" t="s">
        <v>80</v>
      </c>
      <c r="F24" s="5" t="s">
        <v>53</v>
      </c>
      <c r="G24" s="17">
        <v>0.42</v>
      </c>
      <c r="H24" s="5" t="s">
        <v>94</v>
      </c>
      <c r="I24" s="5" t="s">
        <v>94</v>
      </c>
      <c r="J24" s="19" t="s">
        <v>1000</v>
      </c>
      <c r="K24" s="5" t="s">
        <v>99</v>
      </c>
      <c r="L24" s="5" t="s">
        <v>100</v>
      </c>
      <c r="M24" s="5" t="str">
        <f>CONCATENATE(L24," ",K24)</f>
        <v>FRANK LISKOVEC</v>
      </c>
      <c r="N24" s="5" t="s">
        <v>57</v>
      </c>
      <c r="O24" s="6">
        <v>46143</v>
      </c>
      <c r="P24" s="6">
        <v>46174</v>
      </c>
      <c r="Q24" s="7">
        <v>129.96</v>
      </c>
      <c r="R24" s="5">
        <v>1</v>
      </c>
      <c r="S24" s="5" t="s">
        <v>58</v>
      </c>
      <c r="T24" s="5">
        <v>0</v>
      </c>
      <c r="U24" s="5" t="s">
        <v>60</v>
      </c>
      <c r="V24" s="5" t="s">
        <v>448</v>
      </c>
      <c r="W24" s="5">
        <v>6</v>
      </c>
      <c r="X24" s="7">
        <v>54.58</v>
      </c>
      <c r="Y24" s="5" t="s">
        <v>1040</v>
      </c>
      <c r="Z24" s="5" t="s">
        <v>1041</v>
      </c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</row>
    <row r="25" spans="1:52" x14ac:dyDescent="0.3">
      <c r="A25" s="5">
        <v>2034870434</v>
      </c>
      <c r="B25" s="5" t="s">
        <v>523</v>
      </c>
      <c r="C25" s="5" t="s">
        <v>147</v>
      </c>
      <c r="D25" s="5" t="str">
        <f>CONCATENATE(C25," ",B25)</f>
        <v>MATTHEW PAOLELLI</v>
      </c>
      <c r="E25" s="5" t="s">
        <v>80</v>
      </c>
      <c r="F25" s="5" t="s">
        <v>53</v>
      </c>
      <c r="G25" s="17">
        <v>0.7</v>
      </c>
      <c r="H25" s="5" t="s">
        <v>54</v>
      </c>
      <c r="I25" s="5" t="s">
        <v>54</v>
      </c>
      <c r="J25" s="19" t="s">
        <v>1000</v>
      </c>
      <c r="K25" s="5" t="s">
        <v>99</v>
      </c>
      <c r="L25" s="5" t="s">
        <v>100</v>
      </c>
      <c r="M25" s="5" t="str">
        <f>CONCATENATE(L25," ",K25)</f>
        <v>FRANK LISKOVEC</v>
      </c>
      <c r="N25" s="5" t="s">
        <v>57</v>
      </c>
      <c r="O25" s="6">
        <v>46143</v>
      </c>
      <c r="P25" s="6">
        <v>46174</v>
      </c>
      <c r="Q25" s="7">
        <v>153.66999999999999</v>
      </c>
      <c r="R25" s="5">
        <v>1</v>
      </c>
      <c r="S25" s="5" t="s">
        <v>58</v>
      </c>
      <c r="T25" s="5">
        <v>0</v>
      </c>
      <c r="U25" s="5" t="s">
        <v>60</v>
      </c>
      <c r="V25" s="5" t="s">
        <v>448</v>
      </c>
      <c r="W25" s="5">
        <v>6</v>
      </c>
      <c r="X25" s="7">
        <v>107.57</v>
      </c>
      <c r="Y25" s="5" t="s">
        <v>1040</v>
      </c>
      <c r="Z25" s="5" t="s">
        <v>1041</v>
      </c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</row>
    <row r="26" spans="1:52" x14ac:dyDescent="0.3">
      <c r="A26" s="5">
        <v>2034774461</v>
      </c>
      <c r="B26" s="5" t="s">
        <v>458</v>
      </c>
      <c r="C26" s="5" t="s">
        <v>459</v>
      </c>
      <c r="D26" s="5" t="str">
        <f>CONCATENATE(C26," ",B26)</f>
        <v>PHILIP VALDEZ</v>
      </c>
      <c r="E26" s="5" t="s">
        <v>103</v>
      </c>
      <c r="F26" s="5" t="s">
        <v>53</v>
      </c>
      <c r="G26" s="17">
        <v>0.7</v>
      </c>
      <c r="H26" s="5" t="s">
        <v>54</v>
      </c>
      <c r="I26" s="5" t="s">
        <v>54</v>
      </c>
      <c r="J26" s="19" t="s">
        <v>1001</v>
      </c>
      <c r="K26" s="5" t="s">
        <v>104</v>
      </c>
      <c r="L26" s="5" t="s">
        <v>105</v>
      </c>
      <c r="M26" s="5" t="str">
        <f>CONCATENATE(L26," ",K26)</f>
        <v>Heather Geske</v>
      </c>
      <c r="N26" s="5" t="s">
        <v>57</v>
      </c>
      <c r="O26" s="6">
        <v>46123</v>
      </c>
      <c r="P26" s="6">
        <v>46153</v>
      </c>
      <c r="Q26" s="7">
        <v>9.6999999999999993</v>
      </c>
      <c r="R26" s="5">
        <v>1</v>
      </c>
      <c r="S26" s="5" t="s">
        <v>58</v>
      </c>
      <c r="T26" s="5">
        <v>0</v>
      </c>
      <c r="U26" s="5" t="s">
        <v>60</v>
      </c>
      <c r="V26" s="5" t="s">
        <v>448</v>
      </c>
      <c r="W26" s="5">
        <v>6</v>
      </c>
      <c r="X26" s="7">
        <v>6.79</v>
      </c>
      <c r="Y26" s="5" t="s">
        <v>1040</v>
      </c>
      <c r="Z26" s="5" t="s">
        <v>1041</v>
      </c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</row>
    <row r="27" spans="1:52" x14ac:dyDescent="0.3">
      <c r="A27" s="5">
        <v>2034837345</v>
      </c>
      <c r="B27" s="5" t="s">
        <v>465</v>
      </c>
      <c r="C27" s="5" t="s">
        <v>406</v>
      </c>
      <c r="D27" s="5" t="str">
        <f>CONCATENATE(C27," ",B27)</f>
        <v>BRIAN KEHOE</v>
      </c>
      <c r="E27" s="5" t="s">
        <v>103</v>
      </c>
      <c r="F27" s="5" t="s">
        <v>53</v>
      </c>
      <c r="G27" s="17">
        <v>0.7</v>
      </c>
      <c r="H27" s="5" t="s">
        <v>54</v>
      </c>
      <c r="I27" s="5" t="s">
        <v>54</v>
      </c>
      <c r="J27" s="19" t="s">
        <v>1001</v>
      </c>
      <c r="K27" s="5" t="s">
        <v>104</v>
      </c>
      <c r="L27" s="5" t="s">
        <v>105</v>
      </c>
      <c r="M27" s="5" t="str">
        <f>CONCATENATE(L27," ",K27)</f>
        <v>Heather Geske</v>
      </c>
      <c r="N27" s="5" t="s">
        <v>57</v>
      </c>
      <c r="O27" s="6">
        <v>46122</v>
      </c>
      <c r="P27" s="6">
        <v>46152</v>
      </c>
      <c r="Q27" s="7">
        <v>9.6999999999999993</v>
      </c>
      <c r="R27" s="5">
        <v>1</v>
      </c>
      <c r="S27" s="5" t="s">
        <v>58</v>
      </c>
      <c r="T27" s="5">
        <v>0</v>
      </c>
      <c r="U27" s="5" t="s">
        <v>60</v>
      </c>
      <c r="V27" s="5" t="s">
        <v>448</v>
      </c>
      <c r="W27" s="5">
        <v>6</v>
      </c>
      <c r="X27" s="7">
        <v>6.79</v>
      </c>
      <c r="Y27" s="5" t="s">
        <v>1040</v>
      </c>
      <c r="Z27" s="5" t="s">
        <v>1041</v>
      </c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</row>
    <row r="28" spans="1:52" x14ac:dyDescent="0.3">
      <c r="A28" s="5">
        <v>2034797233</v>
      </c>
      <c r="B28" s="5" t="s">
        <v>511</v>
      </c>
      <c r="C28" s="5" t="s">
        <v>512</v>
      </c>
      <c r="D28" s="5" t="str">
        <f>CONCATENATE(C28," ",B28)</f>
        <v>TRISTEN PETERSEN</v>
      </c>
      <c r="E28" s="5" t="s">
        <v>496</v>
      </c>
      <c r="F28" s="5" t="s">
        <v>53</v>
      </c>
      <c r="G28" s="17">
        <v>0.7</v>
      </c>
      <c r="H28" s="5" t="s">
        <v>54</v>
      </c>
      <c r="I28" s="5" t="s">
        <v>54</v>
      </c>
      <c r="J28" s="19" t="s">
        <v>1039</v>
      </c>
      <c r="K28" s="5" t="s">
        <v>497</v>
      </c>
      <c r="L28" s="5" t="s">
        <v>498</v>
      </c>
      <c r="M28" s="5" t="str">
        <f>CONCATENATE(L28," ",K28)</f>
        <v>Heidi Berthelsen</v>
      </c>
      <c r="N28" s="5" t="s">
        <v>57</v>
      </c>
      <c r="O28" s="6">
        <v>46120</v>
      </c>
      <c r="P28" s="6">
        <v>46150</v>
      </c>
      <c r="Q28" s="7">
        <v>54.83</v>
      </c>
      <c r="R28" s="5">
        <v>1</v>
      </c>
      <c r="S28" s="5" t="s">
        <v>58</v>
      </c>
      <c r="T28" s="5">
        <v>0</v>
      </c>
      <c r="U28" s="5" t="s">
        <v>60</v>
      </c>
      <c r="V28" s="5" t="s">
        <v>448</v>
      </c>
      <c r="W28" s="5">
        <v>6</v>
      </c>
      <c r="X28" s="7">
        <v>38.380000000000003</v>
      </c>
      <c r="Y28" s="5" t="s">
        <v>1040</v>
      </c>
      <c r="Z28" s="5" t="s">
        <v>1041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</row>
    <row r="29" spans="1:52" x14ac:dyDescent="0.3">
      <c r="A29" s="5">
        <v>2034839068</v>
      </c>
      <c r="B29" s="5" t="s">
        <v>495</v>
      </c>
      <c r="C29" s="5" t="s">
        <v>233</v>
      </c>
      <c r="D29" s="5" t="str">
        <f>CONCATENATE(C29," ",B29)</f>
        <v>LAURA HEINE</v>
      </c>
      <c r="E29" s="5" t="s">
        <v>496</v>
      </c>
      <c r="F29" s="5" t="s">
        <v>53</v>
      </c>
      <c r="G29" s="17">
        <v>0.7</v>
      </c>
      <c r="H29" s="5" t="s">
        <v>54</v>
      </c>
      <c r="I29" s="5" t="s">
        <v>54</v>
      </c>
      <c r="J29" s="19" t="s">
        <v>1039</v>
      </c>
      <c r="K29" s="5" t="s">
        <v>497</v>
      </c>
      <c r="L29" s="5" t="s">
        <v>498</v>
      </c>
      <c r="M29" s="5" t="str">
        <f>CONCATENATE(L29," ",K29)</f>
        <v>Heidi Berthelsen</v>
      </c>
      <c r="N29" s="5" t="s">
        <v>57</v>
      </c>
      <c r="O29" s="6">
        <v>46125</v>
      </c>
      <c r="P29" s="6">
        <v>46155</v>
      </c>
      <c r="Q29" s="7">
        <v>216.13</v>
      </c>
      <c r="R29" s="5">
        <v>1</v>
      </c>
      <c r="S29" s="5" t="s">
        <v>58</v>
      </c>
      <c r="T29" s="5">
        <v>0</v>
      </c>
      <c r="U29" s="5" t="s">
        <v>60</v>
      </c>
      <c r="V29" s="5" t="s">
        <v>448</v>
      </c>
      <c r="W29" s="5">
        <v>6</v>
      </c>
      <c r="X29" s="7">
        <v>151.29</v>
      </c>
      <c r="Y29" s="5" t="s">
        <v>1040</v>
      </c>
      <c r="Z29" s="5" t="s">
        <v>1041</v>
      </c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</row>
    <row r="30" spans="1:52" s="5" customFormat="1" x14ac:dyDescent="0.3">
      <c r="A30" s="5">
        <v>2034798356</v>
      </c>
      <c r="B30" s="5" t="s">
        <v>513</v>
      </c>
      <c r="C30" s="5" t="s">
        <v>514</v>
      </c>
      <c r="D30" s="5" t="str">
        <f>CONCATENATE(C30," ",B30)</f>
        <v>CHRISTINE GEZING</v>
      </c>
      <c r="E30" s="5" t="s">
        <v>80</v>
      </c>
      <c r="F30" s="5" t="s">
        <v>53</v>
      </c>
      <c r="G30" s="17">
        <v>0.7</v>
      </c>
      <c r="H30" s="5" t="s">
        <v>54</v>
      </c>
      <c r="I30" s="5" t="s">
        <v>54</v>
      </c>
      <c r="J30" s="19" t="s">
        <v>1019</v>
      </c>
      <c r="K30" s="5" t="s">
        <v>299</v>
      </c>
      <c r="L30" s="5" t="s">
        <v>300</v>
      </c>
      <c r="M30" s="5" t="str">
        <f>CONCATENATE(L30," ",K30)</f>
        <v>Raluca Cheregi</v>
      </c>
      <c r="N30" s="5" t="s">
        <v>57</v>
      </c>
      <c r="O30" s="6">
        <v>46120</v>
      </c>
      <c r="P30" s="6">
        <v>46150</v>
      </c>
      <c r="Q30" s="7">
        <v>102.7</v>
      </c>
      <c r="R30" s="5">
        <v>1</v>
      </c>
      <c r="S30" s="5" t="s">
        <v>58</v>
      </c>
      <c r="T30" s="5">
        <v>0</v>
      </c>
      <c r="U30" s="5" t="s">
        <v>60</v>
      </c>
      <c r="V30" s="5" t="s">
        <v>448</v>
      </c>
      <c r="W30" s="5">
        <v>6</v>
      </c>
      <c r="X30" s="7">
        <v>71.89</v>
      </c>
      <c r="Y30" s="5" t="s">
        <v>1040</v>
      </c>
      <c r="Z30" s="5" t="s">
        <v>1041</v>
      </c>
    </row>
    <row r="31" spans="1:52" s="5" customFormat="1" x14ac:dyDescent="0.3">
      <c r="A31" s="5">
        <v>2034781436</v>
      </c>
      <c r="B31" s="5" t="s">
        <v>489</v>
      </c>
      <c r="C31" s="5" t="s">
        <v>98</v>
      </c>
      <c r="D31" s="5" t="str">
        <f>CONCATENATE(C31," ",B31)</f>
        <v>THOMAS SLINEY</v>
      </c>
      <c r="E31" s="5" t="s">
        <v>270</v>
      </c>
      <c r="F31" s="5" t="s">
        <v>53</v>
      </c>
      <c r="G31" s="17">
        <v>0.7</v>
      </c>
      <c r="H31" s="5" t="s">
        <v>54</v>
      </c>
      <c r="I31" s="5" t="s">
        <v>54</v>
      </c>
      <c r="J31" s="19" t="s">
        <v>984</v>
      </c>
      <c r="K31" s="5" t="s">
        <v>120</v>
      </c>
      <c r="L31" s="5" t="s">
        <v>121</v>
      </c>
      <c r="M31" s="5" t="str">
        <f>CONCATENATE(L31," ",K31)</f>
        <v>Richard Yale</v>
      </c>
      <c r="N31" s="5" t="s">
        <v>57</v>
      </c>
      <c r="O31" s="6">
        <v>46119</v>
      </c>
      <c r="P31" s="6">
        <v>46149</v>
      </c>
      <c r="Q31" s="7">
        <v>10.82</v>
      </c>
      <c r="R31" s="5">
        <v>1</v>
      </c>
      <c r="S31" s="5" t="s">
        <v>58</v>
      </c>
      <c r="T31" s="5">
        <v>0</v>
      </c>
      <c r="U31" s="5" t="s">
        <v>60</v>
      </c>
      <c r="V31" s="5" t="s">
        <v>448</v>
      </c>
      <c r="W31" s="5">
        <v>6</v>
      </c>
      <c r="X31" s="7">
        <v>7.57</v>
      </c>
      <c r="Y31" s="5" t="s">
        <v>1040</v>
      </c>
      <c r="Z31" s="5" t="s">
        <v>1041</v>
      </c>
    </row>
    <row r="32" spans="1:52" s="8" customFormat="1" x14ac:dyDescent="0.3">
      <c r="A32" s="5">
        <v>2034686689</v>
      </c>
      <c r="B32" s="5" t="s">
        <v>503</v>
      </c>
      <c r="C32" s="5" t="s">
        <v>504</v>
      </c>
      <c r="D32" s="5" t="str">
        <f>CONCATENATE(C32," ",B32)</f>
        <v>ZAHRA RAHMANI</v>
      </c>
      <c r="E32" s="5" t="s">
        <v>80</v>
      </c>
      <c r="F32" s="5" t="s">
        <v>529</v>
      </c>
      <c r="G32" s="17">
        <v>0.51</v>
      </c>
      <c r="H32" s="5" t="s">
        <v>531</v>
      </c>
      <c r="I32" s="5" t="s">
        <v>530</v>
      </c>
      <c r="J32" s="19" t="s">
        <v>1007</v>
      </c>
      <c r="K32" s="5" t="s">
        <v>167</v>
      </c>
      <c r="L32" s="5" t="s">
        <v>168</v>
      </c>
      <c r="M32" s="5" t="str">
        <f>CONCATENATE(L32," ",K32)</f>
        <v>Andrew Choi</v>
      </c>
      <c r="N32" s="5" t="s">
        <v>57</v>
      </c>
      <c r="O32" s="6">
        <v>46143</v>
      </c>
      <c r="P32" s="6">
        <v>46174</v>
      </c>
      <c r="Q32" s="7">
        <v>5.95</v>
      </c>
      <c r="R32" s="5">
        <v>1</v>
      </c>
      <c r="S32" s="5" t="s">
        <v>58</v>
      </c>
      <c r="T32" s="5">
        <v>0</v>
      </c>
      <c r="U32" s="5" t="s">
        <v>60</v>
      </c>
      <c r="V32" s="5" t="s">
        <v>448</v>
      </c>
      <c r="W32" s="5">
        <v>6</v>
      </c>
      <c r="X32" s="7">
        <v>3.03</v>
      </c>
      <c r="Y32" s="5" t="s">
        <v>1040</v>
      </c>
      <c r="Z32" s="5" t="s">
        <v>1041</v>
      </c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</row>
    <row r="33" spans="1:52" s="8" customFormat="1" x14ac:dyDescent="0.3">
      <c r="A33" s="5">
        <v>2034686688</v>
      </c>
      <c r="B33" s="5" t="s">
        <v>503</v>
      </c>
      <c r="C33" s="5" t="s">
        <v>504</v>
      </c>
      <c r="D33" s="5" t="str">
        <f>CONCATENATE(C33," ",B33)</f>
        <v>ZAHRA RAHMANI</v>
      </c>
      <c r="E33" s="5" t="s">
        <v>80</v>
      </c>
      <c r="F33" s="5" t="s">
        <v>529</v>
      </c>
      <c r="G33" s="17">
        <v>0.51</v>
      </c>
      <c r="H33" s="5" t="s">
        <v>530</v>
      </c>
      <c r="I33" s="5" t="s">
        <v>530</v>
      </c>
      <c r="J33" s="19" t="s">
        <v>1007</v>
      </c>
      <c r="K33" s="5" t="s">
        <v>167</v>
      </c>
      <c r="L33" s="5" t="s">
        <v>168</v>
      </c>
      <c r="M33" s="5" t="str">
        <f>CONCATENATE(L33," ",K33)</f>
        <v>Andrew Choi</v>
      </c>
      <c r="N33" s="5" t="s">
        <v>57</v>
      </c>
      <c r="O33" s="6">
        <v>46143</v>
      </c>
      <c r="P33" s="6">
        <v>46174</v>
      </c>
      <c r="Q33" s="7">
        <v>197.14</v>
      </c>
      <c r="R33" s="5">
        <v>1</v>
      </c>
      <c r="S33" s="5" t="s">
        <v>58</v>
      </c>
      <c r="T33" s="5">
        <v>0</v>
      </c>
      <c r="U33" s="5" t="s">
        <v>60</v>
      </c>
      <c r="V33" s="5" t="s">
        <v>448</v>
      </c>
      <c r="W33" s="5">
        <v>6</v>
      </c>
      <c r="X33" s="7">
        <v>100.54</v>
      </c>
      <c r="Y33" s="5" t="s">
        <v>1040</v>
      </c>
      <c r="Z33" s="5" t="s">
        <v>1041</v>
      </c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</row>
    <row r="34" spans="1:52" s="5" customFormat="1" x14ac:dyDescent="0.3">
      <c r="A34" s="8">
        <v>2034790173</v>
      </c>
      <c r="B34" s="8" t="s">
        <v>460</v>
      </c>
      <c r="C34" s="8" t="s">
        <v>461</v>
      </c>
      <c r="D34" s="8" t="str">
        <f>CONCATENATE(C34," ",B34)</f>
        <v>BRADFORD MYERS</v>
      </c>
      <c r="E34" s="8" t="s">
        <v>182</v>
      </c>
      <c r="F34" s="8" t="s">
        <v>444</v>
      </c>
      <c r="G34" s="13">
        <v>0.75</v>
      </c>
      <c r="H34" s="8" t="s">
        <v>451</v>
      </c>
      <c r="I34" s="8" t="s">
        <v>980</v>
      </c>
      <c r="J34" s="15">
        <v>20003537</v>
      </c>
      <c r="K34" s="8" t="s">
        <v>120</v>
      </c>
      <c r="L34" s="8" t="s">
        <v>183</v>
      </c>
      <c r="M34" s="8" t="str">
        <f>CONCATENATE(L34," ",K34)</f>
        <v>Chad Yale</v>
      </c>
      <c r="N34" s="8" t="s">
        <v>57</v>
      </c>
      <c r="O34" s="9">
        <v>46124</v>
      </c>
      <c r="P34" s="9">
        <v>46154</v>
      </c>
      <c r="Q34" s="10">
        <v>99.12</v>
      </c>
      <c r="R34" s="8">
        <v>1</v>
      </c>
      <c r="S34" s="8" t="s">
        <v>58</v>
      </c>
      <c r="T34" s="8">
        <v>0</v>
      </c>
      <c r="U34" s="8" t="s">
        <v>60</v>
      </c>
      <c r="V34" s="8" t="s">
        <v>448</v>
      </c>
      <c r="W34" s="8">
        <v>6</v>
      </c>
      <c r="X34" s="10">
        <v>74.34</v>
      </c>
      <c r="Y34" s="8" t="s">
        <v>536</v>
      </c>
      <c r="Z34" s="8" t="s">
        <v>1037</v>
      </c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 spans="1:52" s="5" customFormat="1" x14ac:dyDescent="0.3">
      <c r="A35" s="8">
        <v>2034206692</v>
      </c>
      <c r="B35" s="8" t="s">
        <v>452</v>
      </c>
      <c r="C35" s="8" t="s">
        <v>453</v>
      </c>
      <c r="D35" s="8" t="str">
        <f>CONCATENATE(C35," ",B35)</f>
        <v>KATHERINE TERPSTRA</v>
      </c>
      <c r="E35" s="8" t="s">
        <v>85</v>
      </c>
      <c r="F35" s="8" t="s">
        <v>444</v>
      </c>
      <c r="G35" s="13">
        <v>0.75</v>
      </c>
      <c r="H35" s="8" t="s">
        <v>454</v>
      </c>
      <c r="I35" s="8" t="s">
        <v>980</v>
      </c>
      <c r="J35" s="15">
        <v>8307933</v>
      </c>
      <c r="K35" s="8" t="s">
        <v>55</v>
      </c>
      <c r="L35" s="8" t="s">
        <v>56</v>
      </c>
      <c r="M35" s="8" t="str">
        <f>CONCATENATE(L35," ",K35)</f>
        <v>GREGORY TEIPEL</v>
      </c>
      <c r="N35" s="8" t="s">
        <v>57</v>
      </c>
      <c r="O35" s="9">
        <v>46118</v>
      </c>
      <c r="P35" s="9">
        <v>46148</v>
      </c>
      <c r="Q35" s="10">
        <v>146.24</v>
      </c>
      <c r="R35" s="8">
        <v>1</v>
      </c>
      <c r="S35" s="8" t="s">
        <v>58</v>
      </c>
      <c r="T35" s="8">
        <v>0</v>
      </c>
      <c r="U35" s="8" t="s">
        <v>60</v>
      </c>
      <c r="V35" s="8" t="s">
        <v>448</v>
      </c>
      <c r="W35" s="8">
        <v>6</v>
      </c>
      <c r="X35" s="10">
        <v>109.68</v>
      </c>
      <c r="Y35" s="8" t="s">
        <v>536</v>
      </c>
      <c r="Z35" s="8" t="s">
        <v>1037</v>
      </c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 spans="1:52" s="8" customFormat="1" x14ac:dyDescent="0.3">
      <c r="A36" s="8">
        <v>2034204961</v>
      </c>
      <c r="B36" s="8" t="s">
        <v>449</v>
      </c>
      <c r="C36" s="8" t="s">
        <v>450</v>
      </c>
      <c r="D36" s="8" t="str">
        <f>CONCATENATE(C36," ",B36)</f>
        <v>EVAN THOMPSON</v>
      </c>
      <c r="E36" s="8" t="s">
        <v>85</v>
      </c>
      <c r="F36" s="8" t="s">
        <v>444</v>
      </c>
      <c r="G36" s="13">
        <v>0.75</v>
      </c>
      <c r="H36" s="8" t="s">
        <v>451</v>
      </c>
      <c r="I36" s="8" t="s">
        <v>980</v>
      </c>
      <c r="J36" s="15">
        <v>8307933</v>
      </c>
      <c r="K36" s="8" t="s">
        <v>55</v>
      </c>
      <c r="L36" s="8" t="s">
        <v>56</v>
      </c>
      <c r="M36" s="8" t="str">
        <f>CONCATENATE(L36," ",K36)</f>
        <v>GREGORY TEIPEL</v>
      </c>
      <c r="N36" s="8" t="s">
        <v>57</v>
      </c>
      <c r="O36" s="9">
        <v>46118</v>
      </c>
      <c r="P36" s="9">
        <v>46148</v>
      </c>
      <c r="Q36" s="10">
        <v>30.01</v>
      </c>
      <c r="R36" s="8">
        <v>1</v>
      </c>
      <c r="S36" s="8" t="s">
        <v>58</v>
      </c>
      <c r="T36" s="8">
        <v>0</v>
      </c>
      <c r="U36" s="8" t="s">
        <v>60</v>
      </c>
      <c r="V36" s="8" t="s">
        <v>448</v>
      </c>
      <c r="W36" s="8">
        <v>6</v>
      </c>
      <c r="X36" s="10">
        <v>22.51</v>
      </c>
      <c r="Y36" s="8" t="s">
        <v>536</v>
      </c>
      <c r="Z36" s="8" t="s">
        <v>1037</v>
      </c>
    </row>
    <row r="37" spans="1:52" s="8" customFormat="1" x14ac:dyDescent="0.3">
      <c r="A37" s="8">
        <v>2034814749</v>
      </c>
      <c r="B37" s="8" t="s">
        <v>464</v>
      </c>
      <c r="C37" s="8" t="s">
        <v>419</v>
      </c>
      <c r="D37" s="8" t="str">
        <f>CONCATENATE(C37," ",B37)</f>
        <v>CHARLES CARSPECKEN</v>
      </c>
      <c r="E37" s="8" t="s">
        <v>399</v>
      </c>
      <c r="F37" s="8" t="s">
        <v>444</v>
      </c>
      <c r="G37" s="13">
        <v>0.75</v>
      </c>
      <c r="H37" s="8" t="s">
        <v>454</v>
      </c>
      <c r="I37" s="8" t="s">
        <v>980</v>
      </c>
      <c r="J37" s="15">
        <v>8977234</v>
      </c>
      <c r="K37" s="8" t="s">
        <v>115</v>
      </c>
      <c r="L37" s="8" t="s">
        <v>116</v>
      </c>
      <c r="M37" s="8" t="str">
        <f>CONCATENATE(L37," ",K37)</f>
        <v>RYAN CALTAGIRONE</v>
      </c>
      <c r="N37" s="8" t="s">
        <v>57</v>
      </c>
      <c r="O37" s="9">
        <v>46121</v>
      </c>
      <c r="P37" s="9">
        <v>46151</v>
      </c>
      <c r="Q37" s="10">
        <v>71.8</v>
      </c>
      <c r="R37" s="8">
        <v>1</v>
      </c>
      <c r="S37" s="8" t="s">
        <v>58</v>
      </c>
      <c r="T37" s="8">
        <v>0</v>
      </c>
      <c r="U37" s="8" t="s">
        <v>60</v>
      </c>
      <c r="V37" s="8" t="s">
        <v>448</v>
      </c>
      <c r="W37" s="8">
        <v>6</v>
      </c>
      <c r="X37" s="10">
        <v>53.85</v>
      </c>
      <c r="Y37" s="8" t="s">
        <v>536</v>
      </c>
      <c r="Z37" s="8" t="s">
        <v>1037</v>
      </c>
    </row>
    <row r="38" spans="1:52" s="8" customFormat="1" x14ac:dyDescent="0.3">
      <c r="A38" s="8">
        <v>2034516479</v>
      </c>
      <c r="B38" s="8" t="s">
        <v>455</v>
      </c>
      <c r="C38" s="8" t="s">
        <v>456</v>
      </c>
      <c r="D38" s="8" t="str">
        <f>CONCATENATE(C38," ",B38)</f>
        <v>HAROLD STOFFEL</v>
      </c>
      <c r="E38" s="8" t="s">
        <v>457</v>
      </c>
      <c r="F38" s="8" t="s">
        <v>444</v>
      </c>
      <c r="G38" s="13">
        <v>0.75</v>
      </c>
      <c r="H38" s="8" t="s">
        <v>451</v>
      </c>
      <c r="I38" s="8" t="s">
        <v>980</v>
      </c>
      <c r="J38" s="15">
        <v>8977234</v>
      </c>
      <c r="K38" s="8" t="s">
        <v>115</v>
      </c>
      <c r="L38" s="8" t="s">
        <v>116</v>
      </c>
      <c r="M38" s="8" t="str">
        <f>CONCATENATE(L38," ",K38)</f>
        <v>RYAN CALTAGIRONE</v>
      </c>
      <c r="N38" s="8" t="s">
        <v>57</v>
      </c>
      <c r="O38" s="9">
        <v>46119</v>
      </c>
      <c r="P38" s="9">
        <v>46149</v>
      </c>
      <c r="Q38" s="10">
        <v>13.24</v>
      </c>
      <c r="R38" s="8">
        <v>1</v>
      </c>
      <c r="S38" s="8" t="s">
        <v>58</v>
      </c>
      <c r="T38" s="8">
        <v>0</v>
      </c>
      <c r="U38" s="8" t="s">
        <v>60</v>
      </c>
      <c r="V38" s="8" t="s">
        <v>448</v>
      </c>
      <c r="W38" s="8">
        <v>6</v>
      </c>
      <c r="X38" s="10">
        <v>9.93</v>
      </c>
      <c r="Y38" s="8" t="s">
        <v>536</v>
      </c>
      <c r="Z38" s="8" t="s">
        <v>1037</v>
      </c>
    </row>
    <row r="39" spans="1:52" s="8" customFormat="1" x14ac:dyDescent="0.3">
      <c r="A39" s="8">
        <v>2034843832</v>
      </c>
      <c r="B39" s="8" t="s">
        <v>471</v>
      </c>
      <c r="C39" s="8" t="s">
        <v>472</v>
      </c>
      <c r="D39" s="8" t="str">
        <f>CONCATENATE(C39," ",B39)</f>
        <v>ELIZABETH STEVENSON</v>
      </c>
      <c r="E39" s="8" t="s">
        <v>52</v>
      </c>
      <c r="F39" s="8" t="s">
        <v>444</v>
      </c>
      <c r="G39" s="13">
        <v>0.75</v>
      </c>
      <c r="H39" s="8" t="s">
        <v>451</v>
      </c>
      <c r="I39" s="8" t="s">
        <v>980</v>
      </c>
      <c r="J39" s="15">
        <v>8977234</v>
      </c>
      <c r="K39" s="8" t="s">
        <v>115</v>
      </c>
      <c r="L39" s="8" t="s">
        <v>116</v>
      </c>
      <c r="M39" s="8" t="str">
        <f>CONCATENATE(L39," ",K39)</f>
        <v>RYAN CALTAGIRONE</v>
      </c>
      <c r="N39" s="8" t="s">
        <v>57</v>
      </c>
      <c r="O39" s="9">
        <v>46122</v>
      </c>
      <c r="P39" s="9">
        <v>46152</v>
      </c>
      <c r="Q39" s="10">
        <v>50.98</v>
      </c>
      <c r="R39" s="8">
        <v>1</v>
      </c>
      <c r="S39" s="8" t="s">
        <v>58</v>
      </c>
      <c r="T39" s="8">
        <v>0</v>
      </c>
      <c r="U39" s="8" t="s">
        <v>60</v>
      </c>
      <c r="V39" s="8" t="s">
        <v>448</v>
      </c>
      <c r="W39" s="8">
        <v>6</v>
      </c>
      <c r="X39" s="10">
        <v>38.24</v>
      </c>
      <c r="Y39" s="8" t="s">
        <v>536</v>
      </c>
      <c r="Z39" s="8" t="s">
        <v>1037</v>
      </c>
    </row>
    <row r="40" spans="1:52" s="8" customFormat="1" x14ac:dyDescent="0.3">
      <c r="A40" s="8">
        <v>2034841867</v>
      </c>
      <c r="B40" s="8" t="s">
        <v>467</v>
      </c>
      <c r="C40" s="8" t="s">
        <v>468</v>
      </c>
      <c r="D40" s="8" t="str">
        <f>CONCATENATE(C40," ",B40)</f>
        <v>JILL SHEPARD</v>
      </c>
      <c r="E40" s="8" t="s">
        <v>114</v>
      </c>
      <c r="F40" s="8" t="s">
        <v>444</v>
      </c>
      <c r="G40" s="13">
        <v>0.75</v>
      </c>
      <c r="H40" s="8" t="s">
        <v>451</v>
      </c>
      <c r="I40" s="8" t="s">
        <v>980</v>
      </c>
      <c r="J40" s="15">
        <v>16170994</v>
      </c>
      <c r="K40" s="8" t="s">
        <v>469</v>
      </c>
      <c r="L40" s="8" t="s">
        <v>470</v>
      </c>
      <c r="M40" s="8" t="str">
        <f>CONCATENATE(L40," ",K40)</f>
        <v>Ryan Shepard</v>
      </c>
      <c r="N40" s="8" t="s">
        <v>57</v>
      </c>
      <c r="O40" s="9">
        <v>46122</v>
      </c>
      <c r="P40" s="9">
        <v>46152</v>
      </c>
      <c r="Q40" s="10">
        <v>35.83</v>
      </c>
      <c r="R40" s="8">
        <v>1</v>
      </c>
      <c r="S40" s="8" t="s">
        <v>58</v>
      </c>
      <c r="T40" s="8">
        <v>0</v>
      </c>
      <c r="U40" s="8" t="s">
        <v>60</v>
      </c>
      <c r="V40" s="8" t="s">
        <v>448</v>
      </c>
      <c r="W40" s="8">
        <v>6</v>
      </c>
      <c r="X40" s="10">
        <v>26.87</v>
      </c>
      <c r="Y40" s="8" t="s">
        <v>536</v>
      </c>
      <c r="Z40" s="8" t="s">
        <v>1037</v>
      </c>
    </row>
    <row r="41" spans="1:52" s="8" customFormat="1" x14ac:dyDescent="0.3">
      <c r="A41" s="8">
        <v>2034792989</v>
      </c>
      <c r="B41" s="8" t="s">
        <v>473</v>
      </c>
      <c r="C41" s="8" t="s">
        <v>474</v>
      </c>
      <c r="D41" s="8" t="str">
        <f>CONCATENATE(C41," ",B41)</f>
        <v>BRETT WERNER</v>
      </c>
      <c r="E41" s="8" t="s">
        <v>80</v>
      </c>
      <c r="F41" s="8" t="s">
        <v>475</v>
      </c>
      <c r="G41" s="13">
        <v>0.38</v>
      </c>
      <c r="H41" s="8" t="s">
        <v>476</v>
      </c>
      <c r="I41" s="8" t="s">
        <v>476</v>
      </c>
      <c r="J41" s="15">
        <v>20003537</v>
      </c>
      <c r="K41" s="8" t="s">
        <v>120</v>
      </c>
      <c r="L41" s="8" t="s">
        <v>183</v>
      </c>
      <c r="M41" s="8" t="str">
        <f>CONCATENATE(L41," ",K41)</f>
        <v>Chad Yale</v>
      </c>
      <c r="N41" s="8" t="s">
        <v>57</v>
      </c>
      <c r="O41" s="9">
        <v>46120</v>
      </c>
      <c r="P41" s="9">
        <v>46150</v>
      </c>
      <c r="Q41" s="10">
        <v>15</v>
      </c>
      <c r="R41" s="8">
        <v>1</v>
      </c>
      <c r="S41" s="8" t="s">
        <v>58</v>
      </c>
      <c r="T41" s="8">
        <v>0</v>
      </c>
      <c r="U41" s="8" t="s">
        <v>60</v>
      </c>
      <c r="V41" s="8" t="s">
        <v>448</v>
      </c>
      <c r="W41" s="8">
        <v>6</v>
      </c>
      <c r="X41" s="10">
        <v>5.7</v>
      </c>
      <c r="Y41" s="8" t="s">
        <v>536</v>
      </c>
      <c r="Z41" s="8" t="s">
        <v>1037</v>
      </c>
    </row>
    <row r="42" spans="1:52" s="8" customFormat="1" x14ac:dyDescent="0.3">
      <c r="A42" s="8">
        <v>2034840569</v>
      </c>
      <c r="B42" s="8" t="s">
        <v>480</v>
      </c>
      <c r="C42" s="8" t="s">
        <v>481</v>
      </c>
      <c r="D42" s="8" t="str">
        <f>CONCATENATE(C42," ",B42)</f>
        <v>TANNER CHRIST</v>
      </c>
      <c r="E42" s="8" t="s">
        <v>223</v>
      </c>
      <c r="F42" s="8" t="s">
        <v>475</v>
      </c>
      <c r="G42" s="13">
        <v>0.28999999999999998</v>
      </c>
      <c r="H42" s="8" t="s">
        <v>482</v>
      </c>
      <c r="I42" s="8" t="s">
        <v>994</v>
      </c>
      <c r="J42" s="15">
        <v>8977234</v>
      </c>
      <c r="K42" s="8" t="s">
        <v>115</v>
      </c>
      <c r="L42" s="8" t="s">
        <v>116</v>
      </c>
      <c r="M42" s="8" t="str">
        <f>CONCATENATE(L42," ",K42)</f>
        <v>RYAN CALTAGIRONE</v>
      </c>
      <c r="N42" s="8" t="s">
        <v>57</v>
      </c>
      <c r="O42" s="9">
        <v>46123</v>
      </c>
      <c r="P42" s="9">
        <v>46153</v>
      </c>
      <c r="Q42" s="10">
        <v>15</v>
      </c>
      <c r="R42" s="8">
        <v>1</v>
      </c>
      <c r="S42" s="8" t="s">
        <v>58</v>
      </c>
      <c r="T42" s="8">
        <v>0</v>
      </c>
      <c r="U42" s="8" t="s">
        <v>60</v>
      </c>
      <c r="V42" s="8" t="s">
        <v>448</v>
      </c>
      <c r="W42" s="8">
        <v>6</v>
      </c>
      <c r="X42" s="10">
        <v>4.3499999999999996</v>
      </c>
      <c r="Y42" s="8" t="s">
        <v>536</v>
      </c>
      <c r="Z42" s="8" t="s">
        <v>1037</v>
      </c>
    </row>
    <row r="43" spans="1:52" s="8" customFormat="1" x14ac:dyDescent="0.3">
      <c r="A43" s="8">
        <v>2034778430</v>
      </c>
      <c r="B43" s="8" t="s">
        <v>487</v>
      </c>
      <c r="C43" s="8" t="s">
        <v>488</v>
      </c>
      <c r="D43" s="8" t="str">
        <f>CONCATENATE(C43," ",B43)</f>
        <v>KIM GANDEE</v>
      </c>
      <c r="E43" s="8" t="s">
        <v>114</v>
      </c>
      <c r="F43" s="8" t="s">
        <v>483</v>
      </c>
      <c r="G43" s="16">
        <v>0.375</v>
      </c>
      <c r="H43" s="8" t="s">
        <v>484</v>
      </c>
      <c r="I43" s="8" t="s">
        <v>484</v>
      </c>
      <c r="J43" s="15">
        <v>8977234</v>
      </c>
      <c r="K43" s="8" t="s">
        <v>115</v>
      </c>
      <c r="L43" s="8" t="s">
        <v>116</v>
      </c>
      <c r="M43" s="8" t="str">
        <f>CONCATENATE(L43," ",K43)</f>
        <v>RYAN CALTAGIRONE</v>
      </c>
      <c r="N43" s="8" t="s">
        <v>57</v>
      </c>
      <c r="O43" s="9">
        <v>46119</v>
      </c>
      <c r="P43" s="9">
        <v>46149</v>
      </c>
      <c r="Q43" s="10">
        <v>48.11</v>
      </c>
      <c r="R43" s="8">
        <v>1</v>
      </c>
      <c r="S43" s="8" t="s">
        <v>58</v>
      </c>
      <c r="T43" s="8">
        <v>0</v>
      </c>
      <c r="U43" s="8" t="s">
        <v>60</v>
      </c>
      <c r="V43" s="8" t="s">
        <v>448</v>
      </c>
      <c r="W43" s="8">
        <v>6</v>
      </c>
      <c r="X43" s="10">
        <v>18.04</v>
      </c>
      <c r="Y43" s="8" t="s">
        <v>536</v>
      </c>
      <c r="Z43" s="8" t="s">
        <v>1037</v>
      </c>
    </row>
    <row r="44" spans="1:52" s="8" customFormat="1" x14ac:dyDescent="0.3">
      <c r="A44" s="8">
        <v>2034792987</v>
      </c>
      <c r="B44" s="8" t="s">
        <v>473</v>
      </c>
      <c r="C44" s="8" t="s">
        <v>474</v>
      </c>
      <c r="D44" s="8" t="str">
        <f>CONCATENATE(C44," ",B44)</f>
        <v>BRETT WERNER</v>
      </c>
      <c r="E44" s="8" t="s">
        <v>80</v>
      </c>
      <c r="F44" s="8" t="s">
        <v>499</v>
      </c>
      <c r="G44" s="13">
        <v>0.38</v>
      </c>
      <c r="H44" s="8" t="s">
        <v>500</v>
      </c>
      <c r="I44" s="8" t="s">
        <v>500</v>
      </c>
      <c r="J44" s="15">
        <v>20003537</v>
      </c>
      <c r="K44" s="8" t="s">
        <v>120</v>
      </c>
      <c r="L44" s="8" t="s">
        <v>183</v>
      </c>
      <c r="M44" s="8" t="str">
        <f>CONCATENATE(L44," ",K44)</f>
        <v>Chad Yale</v>
      </c>
      <c r="N44" s="8" t="s">
        <v>57</v>
      </c>
      <c r="O44" s="9">
        <v>46120</v>
      </c>
      <c r="P44" s="9">
        <v>46150</v>
      </c>
      <c r="Q44" s="10">
        <v>131.32</v>
      </c>
      <c r="R44" s="8">
        <v>1</v>
      </c>
      <c r="S44" s="8" t="s">
        <v>58</v>
      </c>
      <c r="T44" s="8">
        <v>0</v>
      </c>
      <c r="U44" s="8" t="s">
        <v>60</v>
      </c>
      <c r="V44" s="8" t="s">
        <v>448</v>
      </c>
      <c r="W44" s="8">
        <v>6</v>
      </c>
      <c r="X44" s="10">
        <v>49.9</v>
      </c>
      <c r="Y44" s="8" t="s">
        <v>536</v>
      </c>
      <c r="Z44" s="8" t="s">
        <v>1037</v>
      </c>
    </row>
    <row r="45" spans="1:52" s="8" customFormat="1" x14ac:dyDescent="0.3">
      <c r="A45" s="8">
        <v>2034790172</v>
      </c>
      <c r="B45" s="8" t="s">
        <v>460</v>
      </c>
      <c r="C45" s="8" t="s">
        <v>461</v>
      </c>
      <c r="D45" s="8" t="str">
        <f>CONCATENATE(C45," ",B45)</f>
        <v>BRADFORD MYERS</v>
      </c>
      <c r="E45" s="8" t="s">
        <v>182</v>
      </c>
      <c r="F45" s="8" t="s">
        <v>53</v>
      </c>
      <c r="G45" s="13">
        <v>0.7</v>
      </c>
      <c r="H45" s="8" t="s">
        <v>54</v>
      </c>
      <c r="I45" s="8" t="s">
        <v>54</v>
      </c>
      <c r="J45" s="15">
        <v>20003537</v>
      </c>
      <c r="K45" s="8" t="s">
        <v>120</v>
      </c>
      <c r="L45" s="8" t="s">
        <v>183</v>
      </c>
      <c r="M45" s="8" t="str">
        <f>CONCATENATE(L45," ",K45)</f>
        <v>Chad Yale</v>
      </c>
      <c r="N45" s="8" t="s">
        <v>57</v>
      </c>
      <c r="O45" s="9">
        <v>46124</v>
      </c>
      <c r="P45" s="9">
        <v>46154</v>
      </c>
      <c r="Q45" s="10">
        <v>35.18</v>
      </c>
      <c r="R45" s="8">
        <v>1</v>
      </c>
      <c r="S45" s="8" t="s">
        <v>58</v>
      </c>
      <c r="T45" s="8">
        <v>0</v>
      </c>
      <c r="U45" s="8" t="s">
        <v>60</v>
      </c>
      <c r="V45" s="8" t="s">
        <v>448</v>
      </c>
      <c r="W45" s="8">
        <v>6</v>
      </c>
      <c r="X45" s="10">
        <v>24.63</v>
      </c>
      <c r="Y45" s="8" t="s">
        <v>536</v>
      </c>
      <c r="Z45" s="8" t="s">
        <v>1037</v>
      </c>
    </row>
    <row r="46" spans="1:52" s="8" customFormat="1" x14ac:dyDescent="0.3">
      <c r="A46" s="8">
        <v>2034792988</v>
      </c>
      <c r="B46" s="8" t="s">
        <v>473</v>
      </c>
      <c r="C46" s="8" t="s">
        <v>474</v>
      </c>
      <c r="D46" s="8" t="str">
        <f>CONCATENATE(C46," ",B46)</f>
        <v>BRETT WERNER</v>
      </c>
      <c r="E46" s="8" t="s">
        <v>80</v>
      </c>
      <c r="F46" s="8" t="s">
        <v>53</v>
      </c>
      <c r="G46" s="13">
        <v>0.7</v>
      </c>
      <c r="H46" s="8" t="s">
        <v>54</v>
      </c>
      <c r="I46" s="8" t="s">
        <v>54</v>
      </c>
      <c r="J46" s="15">
        <v>20003537</v>
      </c>
      <c r="K46" s="8" t="s">
        <v>120</v>
      </c>
      <c r="L46" s="8" t="s">
        <v>183</v>
      </c>
      <c r="M46" s="8" t="str">
        <f>CONCATENATE(L46," ",K46)</f>
        <v>Chad Yale</v>
      </c>
      <c r="N46" s="8" t="s">
        <v>57</v>
      </c>
      <c r="O46" s="9">
        <v>46120</v>
      </c>
      <c r="P46" s="9">
        <v>46150</v>
      </c>
      <c r="Q46" s="10">
        <v>81.150000000000006</v>
      </c>
      <c r="R46" s="8">
        <v>1</v>
      </c>
      <c r="S46" s="8" t="s">
        <v>58</v>
      </c>
      <c r="T46" s="8">
        <v>0</v>
      </c>
      <c r="U46" s="8" t="s">
        <v>60</v>
      </c>
      <c r="V46" s="8" t="s">
        <v>448</v>
      </c>
      <c r="W46" s="8">
        <v>6</v>
      </c>
      <c r="X46" s="10">
        <v>56.8</v>
      </c>
      <c r="Y46" s="8" t="s">
        <v>536</v>
      </c>
      <c r="Z46" s="8" t="s">
        <v>1037</v>
      </c>
    </row>
    <row r="47" spans="1:52" s="8" customFormat="1" x14ac:dyDescent="0.3">
      <c r="A47" s="8">
        <v>2034823531</v>
      </c>
      <c r="B47" s="8" t="s">
        <v>519</v>
      </c>
      <c r="C47" s="8" t="s">
        <v>520</v>
      </c>
      <c r="D47" s="8" t="str">
        <f>CONCATENATE(C47," ",B47)</f>
        <v>VANESSA FOSTER</v>
      </c>
      <c r="E47" s="8" t="s">
        <v>496</v>
      </c>
      <c r="F47" s="8" t="s">
        <v>53</v>
      </c>
      <c r="G47" s="13">
        <v>0.7</v>
      </c>
      <c r="H47" s="8" t="s">
        <v>54</v>
      </c>
      <c r="I47" s="8" t="s">
        <v>54</v>
      </c>
      <c r="J47" s="15">
        <v>20003537</v>
      </c>
      <c r="K47" s="8" t="s">
        <v>120</v>
      </c>
      <c r="L47" s="8" t="s">
        <v>183</v>
      </c>
      <c r="M47" s="8" t="str">
        <f>CONCATENATE(L47," ",K47)</f>
        <v>Chad Yale</v>
      </c>
      <c r="N47" s="8" t="s">
        <v>57</v>
      </c>
      <c r="O47" s="9">
        <v>46143</v>
      </c>
      <c r="P47" s="9">
        <v>46174</v>
      </c>
      <c r="Q47" s="10">
        <v>110.16</v>
      </c>
      <c r="R47" s="8">
        <v>1</v>
      </c>
      <c r="S47" s="8" t="s">
        <v>58</v>
      </c>
      <c r="T47" s="8">
        <v>0</v>
      </c>
      <c r="U47" s="8" t="s">
        <v>60</v>
      </c>
      <c r="V47" s="8" t="s">
        <v>448</v>
      </c>
      <c r="W47" s="8">
        <v>6</v>
      </c>
      <c r="X47" s="10">
        <v>77.11</v>
      </c>
      <c r="Y47" s="8" t="s">
        <v>536</v>
      </c>
      <c r="Z47" s="8" t="s">
        <v>1037</v>
      </c>
    </row>
    <row r="48" spans="1:52" s="8" customFormat="1" x14ac:dyDescent="0.3">
      <c r="A48" s="8">
        <v>2034808537</v>
      </c>
      <c r="B48" s="8" t="s">
        <v>517</v>
      </c>
      <c r="C48" s="8" t="s">
        <v>518</v>
      </c>
      <c r="D48" s="8" t="str">
        <f>CONCATENATE(C48," ",B48)</f>
        <v>SHAWN WOODRUFF</v>
      </c>
      <c r="E48" s="8" t="s">
        <v>80</v>
      </c>
      <c r="F48" s="8" t="s">
        <v>53</v>
      </c>
      <c r="G48" s="13">
        <v>0.7</v>
      </c>
      <c r="H48" s="8" t="s">
        <v>54</v>
      </c>
      <c r="I48" s="8" t="s">
        <v>54</v>
      </c>
      <c r="J48" s="15">
        <v>9213293</v>
      </c>
      <c r="K48" s="8" t="s">
        <v>171</v>
      </c>
      <c r="L48" s="8" t="s">
        <v>172</v>
      </c>
      <c r="M48" s="8" t="str">
        <f>CONCATENATE(L48," ",K48)</f>
        <v>GARY PORTUGAL</v>
      </c>
      <c r="N48" s="8" t="s">
        <v>57</v>
      </c>
      <c r="O48" s="9">
        <v>46124</v>
      </c>
      <c r="P48" s="9">
        <v>46154</v>
      </c>
      <c r="Q48" s="10">
        <v>95.54</v>
      </c>
      <c r="R48" s="8">
        <v>1</v>
      </c>
      <c r="S48" s="8" t="s">
        <v>58</v>
      </c>
      <c r="T48" s="8">
        <v>0</v>
      </c>
      <c r="U48" s="8" t="s">
        <v>60</v>
      </c>
      <c r="V48" s="8" t="s">
        <v>448</v>
      </c>
      <c r="W48" s="8">
        <v>6</v>
      </c>
      <c r="X48" s="10">
        <v>66.88</v>
      </c>
      <c r="Y48" s="8" t="s">
        <v>536</v>
      </c>
      <c r="Z48" s="8" t="s">
        <v>1037</v>
      </c>
    </row>
    <row r="49" spans="1:26" s="8" customFormat="1" x14ac:dyDescent="0.3">
      <c r="A49" s="8">
        <v>2034204960</v>
      </c>
      <c r="B49" s="8" t="s">
        <v>449</v>
      </c>
      <c r="C49" s="8" t="s">
        <v>450</v>
      </c>
      <c r="D49" s="8" t="str">
        <f>CONCATENATE(C49," ",B49)</f>
        <v>EVAN THOMPSON</v>
      </c>
      <c r="E49" s="8" t="s">
        <v>85</v>
      </c>
      <c r="F49" s="8" t="s">
        <v>53</v>
      </c>
      <c r="G49" s="13">
        <v>0.7</v>
      </c>
      <c r="H49" s="8" t="s">
        <v>54</v>
      </c>
      <c r="I49" s="8" t="s">
        <v>54</v>
      </c>
      <c r="J49" s="15">
        <v>8307933</v>
      </c>
      <c r="K49" s="8" t="s">
        <v>55</v>
      </c>
      <c r="L49" s="8" t="s">
        <v>56</v>
      </c>
      <c r="M49" s="8" t="str">
        <f>CONCATENATE(L49," ",K49)</f>
        <v>GREGORY TEIPEL</v>
      </c>
      <c r="N49" s="8" t="s">
        <v>57</v>
      </c>
      <c r="O49" s="9">
        <v>46118</v>
      </c>
      <c r="P49" s="9">
        <v>46148</v>
      </c>
      <c r="Q49" s="10">
        <v>73.56</v>
      </c>
      <c r="R49" s="8">
        <v>1</v>
      </c>
      <c r="S49" s="8" t="s">
        <v>58</v>
      </c>
      <c r="T49" s="8">
        <v>0</v>
      </c>
      <c r="U49" s="8" t="s">
        <v>60</v>
      </c>
      <c r="V49" s="8" t="s">
        <v>448</v>
      </c>
      <c r="W49" s="8">
        <v>6</v>
      </c>
      <c r="X49" s="10">
        <v>51.49</v>
      </c>
      <c r="Y49" s="8" t="s">
        <v>536</v>
      </c>
      <c r="Z49" s="8" t="s">
        <v>1037</v>
      </c>
    </row>
    <row r="50" spans="1:26" s="8" customFormat="1" x14ac:dyDescent="0.3">
      <c r="A50" s="8">
        <v>2034206691</v>
      </c>
      <c r="B50" s="8" t="s">
        <v>452</v>
      </c>
      <c r="C50" s="8" t="s">
        <v>453</v>
      </c>
      <c r="D50" s="8" t="str">
        <f>CONCATENATE(C50," ",B50)</f>
        <v>KATHERINE TERPSTRA</v>
      </c>
      <c r="E50" s="8" t="s">
        <v>85</v>
      </c>
      <c r="F50" s="8" t="s">
        <v>53</v>
      </c>
      <c r="G50" s="13">
        <v>0.7</v>
      </c>
      <c r="H50" s="8" t="s">
        <v>54</v>
      </c>
      <c r="I50" s="8" t="s">
        <v>54</v>
      </c>
      <c r="J50" s="15">
        <v>8307933</v>
      </c>
      <c r="K50" s="8" t="s">
        <v>55</v>
      </c>
      <c r="L50" s="8" t="s">
        <v>56</v>
      </c>
      <c r="M50" s="8" t="str">
        <f>CONCATENATE(L50," ",K50)</f>
        <v>GREGORY TEIPEL</v>
      </c>
      <c r="N50" s="8" t="s">
        <v>57</v>
      </c>
      <c r="O50" s="9">
        <v>46118</v>
      </c>
      <c r="P50" s="9">
        <v>46148</v>
      </c>
      <c r="Q50" s="10">
        <v>65.16</v>
      </c>
      <c r="R50" s="8">
        <v>1</v>
      </c>
      <c r="S50" s="8" t="s">
        <v>58</v>
      </c>
      <c r="T50" s="8">
        <v>0</v>
      </c>
      <c r="U50" s="8" t="s">
        <v>60</v>
      </c>
      <c r="V50" s="8" t="s">
        <v>448</v>
      </c>
      <c r="W50" s="8">
        <v>6</v>
      </c>
      <c r="X50" s="10">
        <v>45.61</v>
      </c>
      <c r="Y50" s="8" t="s">
        <v>536</v>
      </c>
      <c r="Z50" s="8" t="s">
        <v>1037</v>
      </c>
    </row>
    <row r="51" spans="1:26" s="8" customFormat="1" x14ac:dyDescent="0.3">
      <c r="A51" s="8">
        <v>2034206693</v>
      </c>
      <c r="B51" s="8" t="s">
        <v>452</v>
      </c>
      <c r="C51" s="8" t="s">
        <v>453</v>
      </c>
      <c r="D51" s="8" t="str">
        <f>CONCATENATE(C51," ",B51)</f>
        <v>KATHERINE TERPSTRA</v>
      </c>
      <c r="E51" s="8" t="s">
        <v>85</v>
      </c>
      <c r="F51" s="8" t="s">
        <v>53</v>
      </c>
      <c r="G51" s="13">
        <v>0.9</v>
      </c>
      <c r="H51" s="8" t="s">
        <v>65</v>
      </c>
      <c r="I51" s="8" t="s">
        <v>65</v>
      </c>
      <c r="J51" s="15">
        <v>8307933</v>
      </c>
      <c r="K51" s="8" t="s">
        <v>55</v>
      </c>
      <c r="L51" s="8" t="s">
        <v>56</v>
      </c>
      <c r="M51" s="8" t="str">
        <f>CONCATENATE(L51," ",K51)</f>
        <v>GREGORY TEIPEL</v>
      </c>
      <c r="N51" s="8" t="s">
        <v>57</v>
      </c>
      <c r="O51" s="9">
        <v>46118</v>
      </c>
      <c r="P51" s="9">
        <v>46148</v>
      </c>
      <c r="Q51" s="10">
        <v>51.63</v>
      </c>
      <c r="R51" s="8">
        <v>1</v>
      </c>
      <c r="S51" s="8" t="s">
        <v>58</v>
      </c>
      <c r="T51" s="8">
        <v>0</v>
      </c>
      <c r="U51" s="8" t="s">
        <v>60</v>
      </c>
      <c r="V51" s="8" t="s">
        <v>448</v>
      </c>
      <c r="W51" s="8">
        <v>6</v>
      </c>
      <c r="X51" s="10">
        <v>46.47</v>
      </c>
      <c r="Y51" s="8" t="s">
        <v>536</v>
      </c>
      <c r="Z51" s="8" t="s">
        <v>1037</v>
      </c>
    </row>
    <row r="52" spans="1:26" s="8" customFormat="1" x14ac:dyDescent="0.3">
      <c r="A52" s="8">
        <v>2034769848</v>
      </c>
      <c r="B52" s="8" t="s">
        <v>507</v>
      </c>
      <c r="C52" s="8" t="s">
        <v>508</v>
      </c>
      <c r="D52" s="8" t="str">
        <f>CONCATENATE(C52," ",B52)</f>
        <v>JACCO NOORDZIJ</v>
      </c>
      <c r="E52" s="8" t="s">
        <v>93</v>
      </c>
      <c r="F52" s="8" t="s">
        <v>53</v>
      </c>
      <c r="G52" s="13">
        <v>0.9</v>
      </c>
      <c r="H52" s="8" t="s">
        <v>65</v>
      </c>
      <c r="I52" s="8" t="s">
        <v>65</v>
      </c>
      <c r="J52" s="15">
        <v>5442438</v>
      </c>
      <c r="K52" s="8" t="s">
        <v>95</v>
      </c>
      <c r="L52" s="8" t="s">
        <v>96</v>
      </c>
      <c r="M52" s="8" t="str">
        <f>CONCATENATE(L52," ",K52)</f>
        <v>Ronald Max</v>
      </c>
      <c r="N52" s="8" t="s">
        <v>57</v>
      </c>
      <c r="O52" s="9">
        <v>46119</v>
      </c>
      <c r="P52" s="9">
        <v>46149</v>
      </c>
      <c r="Q52" s="10">
        <v>25.78</v>
      </c>
      <c r="R52" s="8">
        <v>1</v>
      </c>
      <c r="S52" s="8" t="s">
        <v>58</v>
      </c>
      <c r="T52" s="8">
        <v>0</v>
      </c>
      <c r="U52" s="8" t="s">
        <v>60</v>
      </c>
      <c r="V52" s="8" t="s">
        <v>448</v>
      </c>
      <c r="W52" s="8">
        <v>6</v>
      </c>
      <c r="X52" s="10">
        <v>23.2</v>
      </c>
      <c r="Y52" s="8" t="s">
        <v>536</v>
      </c>
      <c r="Z52" s="8" t="s">
        <v>1037</v>
      </c>
    </row>
    <row r="53" spans="1:26" s="8" customFormat="1" x14ac:dyDescent="0.3">
      <c r="A53" s="8">
        <v>2034516480</v>
      </c>
      <c r="B53" s="8" t="s">
        <v>455</v>
      </c>
      <c r="C53" s="8" t="s">
        <v>456</v>
      </c>
      <c r="D53" s="8" t="str">
        <f>CONCATENATE(C53," ",B53)</f>
        <v>HAROLD STOFFEL</v>
      </c>
      <c r="E53" s="8" t="s">
        <v>457</v>
      </c>
      <c r="F53" s="8" t="s">
        <v>53</v>
      </c>
      <c r="G53" s="13">
        <v>0.7</v>
      </c>
      <c r="H53" s="8" t="s">
        <v>54</v>
      </c>
      <c r="I53" s="8" t="s">
        <v>54</v>
      </c>
      <c r="J53" s="15">
        <v>8977234</v>
      </c>
      <c r="K53" s="8" t="s">
        <v>115</v>
      </c>
      <c r="L53" s="8" t="s">
        <v>116</v>
      </c>
      <c r="M53" s="8" t="str">
        <f>CONCATENATE(L53," ",K53)</f>
        <v>RYAN CALTAGIRONE</v>
      </c>
      <c r="N53" s="8" t="s">
        <v>57</v>
      </c>
      <c r="O53" s="9">
        <v>46119</v>
      </c>
      <c r="P53" s="9">
        <v>46149</v>
      </c>
      <c r="Q53" s="10">
        <v>66.239999999999995</v>
      </c>
      <c r="R53" s="8">
        <v>1</v>
      </c>
      <c r="S53" s="8" t="s">
        <v>58</v>
      </c>
      <c r="T53" s="8">
        <v>0</v>
      </c>
      <c r="U53" s="8" t="s">
        <v>60</v>
      </c>
      <c r="V53" s="8" t="s">
        <v>448</v>
      </c>
      <c r="W53" s="8">
        <v>6</v>
      </c>
      <c r="X53" s="10">
        <v>46.37</v>
      </c>
      <c r="Y53" s="8" t="s">
        <v>536</v>
      </c>
      <c r="Z53" s="8" t="s">
        <v>1037</v>
      </c>
    </row>
    <row r="54" spans="1:26" s="8" customFormat="1" x14ac:dyDescent="0.3">
      <c r="A54" s="8">
        <v>2034778429</v>
      </c>
      <c r="B54" s="8" t="s">
        <v>487</v>
      </c>
      <c r="C54" s="8" t="s">
        <v>488</v>
      </c>
      <c r="D54" s="8" t="str">
        <f>CONCATENATE(C54," ",B54)</f>
        <v>KIM GANDEE</v>
      </c>
      <c r="E54" s="8" t="s">
        <v>114</v>
      </c>
      <c r="F54" s="8" t="s">
        <v>53</v>
      </c>
      <c r="G54" s="13">
        <v>0.7</v>
      </c>
      <c r="H54" s="8" t="s">
        <v>54</v>
      </c>
      <c r="I54" s="8" t="s">
        <v>54</v>
      </c>
      <c r="J54" s="15">
        <v>8977234</v>
      </c>
      <c r="K54" s="8" t="s">
        <v>115</v>
      </c>
      <c r="L54" s="8" t="s">
        <v>116</v>
      </c>
      <c r="M54" s="8" t="str">
        <f>CONCATENATE(L54," ",K54)</f>
        <v>RYAN CALTAGIRONE</v>
      </c>
      <c r="N54" s="8" t="s">
        <v>57</v>
      </c>
      <c r="O54" s="9">
        <v>46119</v>
      </c>
      <c r="P54" s="9">
        <v>46149</v>
      </c>
      <c r="Q54" s="10">
        <v>34.909999999999997</v>
      </c>
      <c r="R54" s="8">
        <v>1</v>
      </c>
      <c r="S54" s="8" t="s">
        <v>58</v>
      </c>
      <c r="T54" s="8">
        <v>0</v>
      </c>
      <c r="U54" s="8" t="s">
        <v>60</v>
      </c>
      <c r="V54" s="8" t="s">
        <v>448</v>
      </c>
      <c r="W54" s="8">
        <v>6</v>
      </c>
      <c r="X54" s="10">
        <v>24.44</v>
      </c>
      <c r="Y54" s="8" t="s">
        <v>536</v>
      </c>
      <c r="Z54" s="8" t="s">
        <v>1037</v>
      </c>
    </row>
    <row r="55" spans="1:26" s="8" customFormat="1" x14ac:dyDescent="0.3">
      <c r="A55" s="8">
        <v>2034814748</v>
      </c>
      <c r="B55" s="8" t="s">
        <v>464</v>
      </c>
      <c r="C55" s="8" t="s">
        <v>419</v>
      </c>
      <c r="D55" s="8" t="str">
        <f>CONCATENATE(C55," ",B55)</f>
        <v>CHARLES CARSPECKEN</v>
      </c>
      <c r="E55" s="8" t="s">
        <v>399</v>
      </c>
      <c r="F55" s="8" t="s">
        <v>53</v>
      </c>
      <c r="G55" s="13">
        <v>0.7</v>
      </c>
      <c r="H55" s="8" t="s">
        <v>54</v>
      </c>
      <c r="I55" s="8" t="s">
        <v>54</v>
      </c>
      <c r="J55" s="15">
        <v>8977234</v>
      </c>
      <c r="K55" s="8" t="s">
        <v>115</v>
      </c>
      <c r="L55" s="8" t="s">
        <v>116</v>
      </c>
      <c r="M55" s="8" t="str">
        <f>CONCATENATE(L55," ",K55)</f>
        <v>RYAN CALTAGIRONE</v>
      </c>
      <c r="N55" s="8" t="s">
        <v>57</v>
      </c>
      <c r="O55" s="9">
        <v>46121</v>
      </c>
      <c r="P55" s="9">
        <v>46151</v>
      </c>
      <c r="Q55" s="10">
        <v>81.58</v>
      </c>
      <c r="R55" s="8">
        <v>1</v>
      </c>
      <c r="S55" s="8" t="s">
        <v>58</v>
      </c>
      <c r="T55" s="8">
        <v>0</v>
      </c>
      <c r="U55" s="8" t="s">
        <v>60</v>
      </c>
      <c r="V55" s="8" t="s">
        <v>448</v>
      </c>
      <c r="W55" s="8">
        <v>6</v>
      </c>
      <c r="X55" s="10">
        <v>57.11</v>
      </c>
      <c r="Y55" s="8" t="s">
        <v>536</v>
      </c>
      <c r="Z55" s="8" t="s">
        <v>1037</v>
      </c>
    </row>
    <row r="56" spans="1:26" s="8" customFormat="1" x14ac:dyDescent="0.3">
      <c r="A56" s="8">
        <v>2034840568</v>
      </c>
      <c r="B56" s="8" t="s">
        <v>480</v>
      </c>
      <c r="C56" s="8" t="s">
        <v>481</v>
      </c>
      <c r="D56" s="8" t="str">
        <f>CONCATENATE(C56," ",B56)</f>
        <v>TANNER CHRIST</v>
      </c>
      <c r="E56" s="8" t="s">
        <v>223</v>
      </c>
      <c r="F56" s="8" t="s">
        <v>53</v>
      </c>
      <c r="G56" s="13">
        <v>0.7</v>
      </c>
      <c r="H56" s="8" t="s">
        <v>54</v>
      </c>
      <c r="I56" s="8" t="s">
        <v>54</v>
      </c>
      <c r="J56" s="15">
        <v>8977234</v>
      </c>
      <c r="K56" s="8" t="s">
        <v>115</v>
      </c>
      <c r="L56" s="8" t="s">
        <v>116</v>
      </c>
      <c r="M56" s="8" t="str">
        <f>CONCATENATE(L56," ",K56)</f>
        <v>RYAN CALTAGIRONE</v>
      </c>
      <c r="N56" s="8" t="s">
        <v>57</v>
      </c>
      <c r="O56" s="9">
        <v>46123</v>
      </c>
      <c r="P56" s="9">
        <v>46153</v>
      </c>
      <c r="Q56" s="10">
        <v>31.28</v>
      </c>
      <c r="R56" s="8">
        <v>1</v>
      </c>
      <c r="S56" s="8" t="s">
        <v>58</v>
      </c>
      <c r="T56" s="8">
        <v>0</v>
      </c>
      <c r="U56" s="8" t="s">
        <v>60</v>
      </c>
      <c r="V56" s="8" t="s">
        <v>448</v>
      </c>
      <c r="W56" s="8">
        <v>6</v>
      </c>
      <c r="X56" s="10">
        <v>21.9</v>
      </c>
      <c r="Y56" s="8" t="s">
        <v>536</v>
      </c>
      <c r="Z56" s="8" t="s">
        <v>1037</v>
      </c>
    </row>
    <row r="57" spans="1:26" s="8" customFormat="1" x14ac:dyDescent="0.3">
      <c r="A57" s="8">
        <v>2034843833</v>
      </c>
      <c r="B57" s="8" t="s">
        <v>471</v>
      </c>
      <c r="C57" s="8" t="s">
        <v>472</v>
      </c>
      <c r="D57" s="8" t="str">
        <f>CONCATENATE(C57," ",B57)</f>
        <v>ELIZABETH STEVENSON</v>
      </c>
      <c r="E57" s="8" t="s">
        <v>52</v>
      </c>
      <c r="F57" s="8" t="s">
        <v>53</v>
      </c>
      <c r="G57" s="13">
        <v>0.7</v>
      </c>
      <c r="H57" s="8" t="s">
        <v>54</v>
      </c>
      <c r="I57" s="8" t="s">
        <v>54</v>
      </c>
      <c r="J57" s="15">
        <v>8977234</v>
      </c>
      <c r="K57" s="8" t="s">
        <v>115</v>
      </c>
      <c r="L57" s="8" t="s">
        <v>116</v>
      </c>
      <c r="M57" s="8" t="str">
        <f>CONCATENATE(L57," ",K57)</f>
        <v>RYAN CALTAGIRONE</v>
      </c>
      <c r="N57" s="8" t="s">
        <v>57</v>
      </c>
      <c r="O57" s="9">
        <v>46122</v>
      </c>
      <c r="P57" s="9">
        <v>46152</v>
      </c>
      <c r="Q57" s="10">
        <v>57.27</v>
      </c>
      <c r="R57" s="8">
        <v>1</v>
      </c>
      <c r="S57" s="8" t="s">
        <v>58</v>
      </c>
      <c r="T57" s="8">
        <v>0</v>
      </c>
      <c r="U57" s="8" t="s">
        <v>60</v>
      </c>
      <c r="V57" s="8" t="s">
        <v>448</v>
      </c>
      <c r="W57" s="8">
        <v>6</v>
      </c>
      <c r="X57" s="10">
        <v>40.090000000000003</v>
      </c>
      <c r="Y57" s="8" t="s">
        <v>536</v>
      </c>
      <c r="Z57" s="8" t="s">
        <v>1037</v>
      </c>
    </row>
    <row r="58" spans="1:26" s="8" customFormat="1" x14ac:dyDescent="0.3">
      <c r="A58" s="8">
        <v>2034798596</v>
      </c>
      <c r="B58" s="8" t="s">
        <v>515</v>
      </c>
      <c r="C58" s="8" t="s">
        <v>516</v>
      </c>
      <c r="D58" s="8" t="str">
        <f>CONCATENATE(C58," ",B58)</f>
        <v>HAMEED ABDUL</v>
      </c>
      <c r="E58" s="8" t="s">
        <v>80</v>
      </c>
      <c r="F58" s="8" t="s">
        <v>53</v>
      </c>
      <c r="G58" s="13">
        <v>0.7</v>
      </c>
      <c r="H58" s="8" t="s">
        <v>54</v>
      </c>
      <c r="I58" s="8" t="s">
        <v>54</v>
      </c>
      <c r="J58" s="15">
        <v>19396223</v>
      </c>
      <c r="K58" s="8" t="s">
        <v>81</v>
      </c>
      <c r="L58" s="8" t="s">
        <v>82</v>
      </c>
      <c r="M58" s="8" t="str">
        <f>CONCATENATE(L58," ",K58)</f>
        <v>Saadia Abdul</v>
      </c>
      <c r="N58" s="8" t="s">
        <v>57</v>
      </c>
      <c r="O58" s="9">
        <v>46120</v>
      </c>
      <c r="P58" s="9">
        <v>46150</v>
      </c>
      <c r="Q58" s="10">
        <v>27.5</v>
      </c>
      <c r="R58" s="8">
        <v>1</v>
      </c>
      <c r="S58" s="8" t="s">
        <v>58</v>
      </c>
      <c r="T58" s="8">
        <v>0</v>
      </c>
      <c r="U58" s="8" t="s">
        <v>60</v>
      </c>
      <c r="V58" s="8" t="s">
        <v>448</v>
      </c>
      <c r="W58" s="8">
        <v>6</v>
      </c>
      <c r="X58" s="10">
        <v>19.25</v>
      </c>
      <c r="Y58" s="8" t="s">
        <v>536</v>
      </c>
      <c r="Z58" s="8" t="s">
        <v>1037</v>
      </c>
    </row>
    <row r="59" spans="1:26" s="8" customFormat="1" x14ac:dyDescent="0.3">
      <c r="A59" s="8">
        <v>2034797232</v>
      </c>
      <c r="B59" s="8" t="s">
        <v>511</v>
      </c>
      <c r="C59" s="8" t="s">
        <v>512</v>
      </c>
      <c r="D59" s="8" t="str">
        <f>CONCATENATE(C59," ",B59)</f>
        <v>TRISTEN PETERSEN</v>
      </c>
      <c r="E59" s="8" t="s">
        <v>496</v>
      </c>
      <c r="F59" s="8" t="s">
        <v>524</v>
      </c>
      <c r="G59" s="13">
        <v>0.27</v>
      </c>
      <c r="H59" s="8" t="s">
        <v>525</v>
      </c>
      <c r="I59" s="8" t="s">
        <v>995</v>
      </c>
      <c r="J59" s="15">
        <v>19617796</v>
      </c>
      <c r="K59" s="8" t="s">
        <v>497</v>
      </c>
      <c r="L59" s="8" t="s">
        <v>498</v>
      </c>
      <c r="M59" s="8" t="str">
        <f>CONCATENATE(L59," ",K59)</f>
        <v>Heidi Berthelsen</v>
      </c>
      <c r="N59" s="8" t="s">
        <v>57</v>
      </c>
      <c r="O59" s="9">
        <v>46120</v>
      </c>
      <c r="P59" s="9">
        <v>46150</v>
      </c>
      <c r="Q59" s="10">
        <v>77.03</v>
      </c>
      <c r="R59" s="8">
        <v>1</v>
      </c>
      <c r="S59" s="8" t="s">
        <v>58</v>
      </c>
      <c r="T59" s="8">
        <v>0</v>
      </c>
      <c r="U59" s="8" t="s">
        <v>60</v>
      </c>
      <c r="V59" s="8" t="s">
        <v>448</v>
      </c>
      <c r="W59" s="8">
        <v>6</v>
      </c>
      <c r="X59" s="10">
        <v>20.8</v>
      </c>
      <c r="Y59" s="8" t="s">
        <v>536</v>
      </c>
      <c r="Z59" s="8" t="s">
        <v>1037</v>
      </c>
    </row>
    <row r="60" spans="1:26" s="8" customFormat="1" x14ac:dyDescent="0.3">
      <c r="A60" s="8">
        <v>2034797234</v>
      </c>
      <c r="B60" s="8" t="s">
        <v>511</v>
      </c>
      <c r="C60" s="8" t="s">
        <v>512</v>
      </c>
      <c r="D60" s="8" t="str">
        <f>CONCATENATE(C60," ",B60)</f>
        <v>TRISTEN PETERSEN</v>
      </c>
      <c r="E60" s="8" t="s">
        <v>496</v>
      </c>
      <c r="F60" s="8" t="s">
        <v>524</v>
      </c>
      <c r="G60" s="13">
        <v>0.27</v>
      </c>
      <c r="H60" s="8" t="s">
        <v>527</v>
      </c>
      <c r="I60" s="8" t="s">
        <v>995</v>
      </c>
      <c r="J60" s="15">
        <v>19617796</v>
      </c>
      <c r="K60" s="8" t="s">
        <v>497</v>
      </c>
      <c r="L60" s="8" t="s">
        <v>498</v>
      </c>
      <c r="M60" s="8" t="str">
        <f>CONCATENATE(L60," ",K60)</f>
        <v>Heidi Berthelsen</v>
      </c>
      <c r="N60" s="8" t="s">
        <v>57</v>
      </c>
      <c r="O60" s="9">
        <v>46120</v>
      </c>
      <c r="P60" s="9">
        <v>46150</v>
      </c>
      <c r="Q60" s="10">
        <v>9.9499999999999993</v>
      </c>
      <c r="R60" s="8">
        <v>1</v>
      </c>
      <c r="S60" s="8" t="s">
        <v>58</v>
      </c>
      <c r="T60" s="8">
        <v>0</v>
      </c>
      <c r="U60" s="8" t="s">
        <v>60</v>
      </c>
      <c r="V60" s="8" t="s">
        <v>448</v>
      </c>
      <c r="W60" s="8">
        <v>6</v>
      </c>
      <c r="X60" s="10">
        <v>2.69</v>
      </c>
      <c r="Y60" s="8" t="s">
        <v>536</v>
      </c>
      <c r="Z60" s="8" t="s">
        <v>1037</v>
      </c>
    </row>
    <row r="61" spans="1:26" s="8" customFormat="1" x14ac:dyDescent="0.3">
      <c r="A61" s="8">
        <v>2034840567</v>
      </c>
      <c r="B61" s="8" t="s">
        <v>480</v>
      </c>
      <c r="C61" s="8" t="s">
        <v>481</v>
      </c>
      <c r="D61" s="8" t="str">
        <f>CONCATENATE(C61," ",B61)</f>
        <v>TANNER CHRIST</v>
      </c>
      <c r="E61" s="8" t="s">
        <v>223</v>
      </c>
      <c r="F61" s="8" t="s">
        <v>524</v>
      </c>
      <c r="G61" s="13">
        <v>0.28999999999999998</v>
      </c>
      <c r="H61" s="8" t="s">
        <v>528</v>
      </c>
      <c r="I61" s="8" t="s">
        <v>528</v>
      </c>
      <c r="J61" s="15">
        <v>8977234</v>
      </c>
      <c r="K61" s="8" t="s">
        <v>115</v>
      </c>
      <c r="L61" s="8" t="s">
        <v>116</v>
      </c>
      <c r="M61" s="8" t="str">
        <f>CONCATENATE(L61," ",K61)</f>
        <v>RYAN CALTAGIRONE</v>
      </c>
      <c r="N61" s="8" t="s">
        <v>57</v>
      </c>
      <c r="O61" s="9">
        <v>46123</v>
      </c>
      <c r="P61" s="9">
        <v>46153</v>
      </c>
      <c r="Q61" s="10">
        <v>126.53</v>
      </c>
      <c r="R61" s="8">
        <v>1</v>
      </c>
      <c r="S61" s="8" t="s">
        <v>58</v>
      </c>
      <c r="T61" s="8">
        <v>0</v>
      </c>
      <c r="U61" s="8" t="s">
        <v>60</v>
      </c>
      <c r="V61" s="8" t="s">
        <v>448</v>
      </c>
      <c r="W61" s="8">
        <v>6</v>
      </c>
      <c r="X61" s="10">
        <v>36.69</v>
      </c>
      <c r="Y61" s="8" t="s">
        <v>536</v>
      </c>
      <c r="Z61" s="8" t="s">
        <v>1037</v>
      </c>
    </row>
  </sheetData>
  <sortState xmlns:xlrd2="http://schemas.microsoft.com/office/spreadsheetml/2017/richdata2" ref="A2:AZ61">
    <sortCondition sortBy="cellColor" ref="A2:A61" dxfId="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20411454 - Main Line Benefits L</vt:lpstr>
      <vt:lpstr>RN</vt:lpstr>
      <vt:lpstr>CB</vt:lpstr>
      <vt:lpstr>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</cp:lastModifiedBy>
  <dcterms:created xsi:type="dcterms:W3CDTF">2026-04-17T07:07:41Z</dcterms:created>
  <dcterms:modified xsi:type="dcterms:W3CDTF">2026-04-21T15:29:23Z</dcterms:modified>
</cp:coreProperties>
</file>