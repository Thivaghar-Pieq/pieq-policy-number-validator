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2-9-26\"/>
    </mc:Choice>
  </mc:AlternateContent>
  <xr:revisionPtr revIDLastSave="0" documentId="13_ncr:2001_{7B076A2C-24AD-49EA-B42A-4D3D42D500A2}" xr6:coauthVersionLast="47" xr6:coauthVersionMax="47" xr10:uidLastSave="{00000000-0000-0000-0000-000000000000}"/>
  <bookViews>
    <workbookView xWindow="-120" yWindow="-120" windowWidth="29040" windowHeight="16440" activeTab="3" xr2:uid="{0F927E1F-CA35-496B-9778-4108ECC00D5C}"/>
  </bookViews>
  <sheets>
    <sheet name="20411454 - Main Line Benefits L" sheetId="1" r:id="rId1"/>
    <sheet name="NB" sheetId="3" r:id="rId2"/>
    <sheet name="RN" sheetId="2" r:id="rId3"/>
    <sheet name="CB" sheetId="4" r:id="rId4"/>
  </sheets>
  <calcPr calcId="181029"/>
  <fileRecoveryPr repairLoad="1"/>
</workbook>
</file>

<file path=xl/calcChain.xml><?xml version="1.0" encoding="utf-8"?>
<calcChain xmlns="http://schemas.openxmlformats.org/spreadsheetml/2006/main">
  <c r="L22" i="3" l="1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Q23" i="3" l="1"/>
  <c r="Q2" i="3"/>
  <c r="Q39" i="3"/>
  <c r="Q29" i="3"/>
  <c r="Q31" i="3"/>
  <c r="Q28" i="3"/>
  <c r="Q30" i="3"/>
  <c r="Q36" i="3"/>
  <c r="Q27" i="3"/>
  <c r="Q35" i="3"/>
  <c r="Q34" i="3"/>
  <c r="Q33" i="3"/>
  <c r="Q32" i="3"/>
  <c r="Q38" i="3"/>
  <c r="Q25" i="3"/>
  <c r="Q26" i="3"/>
  <c r="Q3" i="3"/>
  <c r="Q4" i="3"/>
  <c r="Q37" i="3"/>
  <c r="Q5" i="3"/>
  <c r="Q7" i="3"/>
  <c r="Q41" i="3"/>
  <c r="Q6" i="3"/>
  <c r="Q40" i="3"/>
  <c r="Q9" i="3"/>
  <c r="Q44" i="3"/>
  <c r="Q43" i="3"/>
  <c r="Q42" i="3"/>
  <c r="Q46" i="3"/>
  <c r="Q11" i="3"/>
  <c r="Q12" i="3"/>
  <c r="Q10" i="3"/>
  <c r="Q45" i="3"/>
  <c r="Q8" i="3"/>
  <c r="Q49" i="3"/>
  <c r="Q48" i="3"/>
  <c r="Q50" i="3"/>
  <c r="Q51" i="3"/>
  <c r="Q13" i="3"/>
  <c r="Q14" i="3"/>
  <c r="Q47" i="3"/>
  <c r="Q67" i="3"/>
  <c r="Q63" i="3"/>
  <c r="Q62" i="3"/>
  <c r="Q61" i="3"/>
  <c r="Q60" i="3"/>
  <c r="Q59" i="3"/>
  <c r="Q58" i="3"/>
  <c r="Q64" i="3"/>
  <c r="Q15" i="3"/>
  <c r="Q57" i="3"/>
  <c r="Q56" i="3"/>
  <c r="Q72" i="3"/>
  <c r="Q55" i="3"/>
  <c r="Q52" i="3"/>
  <c r="Q54" i="3"/>
  <c r="Q19" i="3"/>
  <c r="Q16" i="3"/>
  <c r="Q18" i="3"/>
  <c r="Q22" i="3"/>
  <c r="Q66" i="3"/>
  <c r="Q71" i="3"/>
  <c r="Q20" i="3"/>
  <c r="Q21" i="3"/>
  <c r="Q53" i="3"/>
  <c r="Q69" i="3"/>
  <c r="Q68" i="3"/>
  <c r="Q70" i="3"/>
  <c r="Q65" i="3"/>
  <c r="Q17" i="3"/>
  <c r="Q74" i="3"/>
  <c r="Q79" i="3"/>
  <c r="Q73" i="3"/>
  <c r="Q76" i="3"/>
  <c r="Q75" i="3"/>
  <c r="Q77" i="3"/>
  <c r="Q78" i="3"/>
  <c r="Q24" i="3"/>
  <c r="D23" i="3"/>
  <c r="D2" i="3"/>
  <c r="D39" i="3"/>
  <c r="D29" i="3"/>
  <c r="D31" i="3"/>
  <c r="D28" i="3"/>
  <c r="D30" i="3"/>
  <c r="D36" i="3"/>
  <c r="D27" i="3"/>
  <c r="D35" i="3"/>
  <c r="D34" i="3"/>
  <c r="D33" i="3"/>
  <c r="D32" i="3"/>
  <c r="D38" i="3"/>
  <c r="D25" i="3"/>
  <c r="D26" i="3"/>
  <c r="D3" i="3"/>
  <c r="D4" i="3"/>
  <c r="D37" i="3"/>
  <c r="D5" i="3"/>
  <c r="D7" i="3"/>
  <c r="D41" i="3"/>
  <c r="D6" i="3"/>
  <c r="D40" i="3"/>
  <c r="D9" i="3"/>
  <c r="D44" i="3"/>
  <c r="D43" i="3"/>
  <c r="D42" i="3"/>
  <c r="D46" i="3"/>
  <c r="D11" i="3"/>
  <c r="D12" i="3"/>
  <c r="D10" i="3"/>
  <c r="D45" i="3"/>
  <c r="D8" i="3"/>
  <c r="D49" i="3"/>
  <c r="D48" i="3"/>
  <c r="D50" i="3"/>
  <c r="D51" i="3"/>
  <c r="D13" i="3"/>
  <c r="D14" i="3"/>
  <c r="D47" i="3"/>
  <c r="D67" i="3"/>
  <c r="D63" i="3"/>
  <c r="D62" i="3"/>
  <c r="D61" i="3"/>
  <c r="D60" i="3"/>
  <c r="D59" i="3"/>
  <c r="D58" i="3"/>
  <c r="D64" i="3"/>
  <c r="D15" i="3"/>
  <c r="D57" i="3"/>
  <c r="D56" i="3"/>
  <c r="D72" i="3"/>
  <c r="D55" i="3"/>
  <c r="D52" i="3"/>
  <c r="D54" i="3"/>
  <c r="D19" i="3"/>
  <c r="D16" i="3"/>
  <c r="D18" i="3"/>
  <c r="D22" i="3"/>
  <c r="D66" i="3"/>
  <c r="D71" i="3"/>
  <c r="D20" i="3"/>
  <c r="D21" i="3"/>
  <c r="D53" i="3"/>
  <c r="D69" i="3"/>
  <c r="D68" i="3"/>
  <c r="D70" i="3"/>
  <c r="D65" i="3"/>
  <c r="D17" i="3"/>
  <c r="D74" i="3"/>
  <c r="D79" i="3"/>
  <c r="D73" i="3"/>
  <c r="D76" i="3"/>
  <c r="D75" i="3"/>
  <c r="D77" i="3"/>
  <c r="D78" i="3"/>
  <c r="D24" i="3"/>
  <c r="P555" i="2"/>
  <c r="P568" i="2"/>
  <c r="P569" i="2"/>
  <c r="P1019" i="2"/>
  <c r="P1013" i="2"/>
  <c r="P1022" i="2"/>
  <c r="P29" i="2"/>
  <c r="P30" i="2"/>
  <c r="P39" i="2"/>
  <c r="P40" i="2"/>
  <c r="P556" i="2"/>
  <c r="P31" i="2"/>
  <c r="P133" i="2"/>
  <c r="P134" i="2"/>
  <c r="P538" i="2"/>
  <c r="P539" i="2"/>
  <c r="P540" i="2"/>
  <c r="P559" i="2"/>
  <c r="P586" i="2"/>
  <c r="P609" i="2"/>
  <c r="P619" i="2"/>
  <c r="P651" i="2"/>
  <c r="P728" i="2"/>
  <c r="P749" i="2"/>
  <c r="P799" i="2"/>
  <c r="P810" i="2"/>
  <c r="P825" i="2"/>
  <c r="P841" i="2"/>
  <c r="P1003" i="2"/>
  <c r="P32" i="2"/>
  <c r="P135" i="2"/>
  <c r="P541" i="2"/>
  <c r="P542" i="2"/>
  <c r="P842" i="2"/>
  <c r="P951" i="2"/>
  <c r="P33" i="2"/>
  <c r="P68" i="2"/>
  <c r="P137" i="2"/>
  <c r="P136" i="2"/>
  <c r="P169" i="2"/>
  <c r="P548" i="2"/>
  <c r="P543" i="2"/>
  <c r="P544" i="2"/>
  <c r="P545" i="2"/>
  <c r="P549" i="2"/>
  <c r="P592" i="2"/>
  <c r="P594" i="2"/>
  <c r="P595" i="2"/>
  <c r="P612" i="2"/>
  <c r="P722" i="2"/>
  <c r="P788" i="2"/>
  <c r="P848" i="2"/>
  <c r="P845" i="2"/>
  <c r="P843" i="2"/>
  <c r="P950" i="2"/>
  <c r="P986" i="2"/>
  <c r="P1004" i="2"/>
  <c r="P1006" i="2"/>
  <c r="P553" i="2"/>
  <c r="P557" i="2"/>
  <c r="P560" i="2"/>
  <c r="P584" i="2"/>
  <c r="P570" i="2"/>
  <c r="P571" i="2"/>
  <c r="P572" i="2"/>
  <c r="P654" i="2"/>
  <c r="P994" i="2"/>
  <c r="P1020" i="2"/>
  <c r="P1014" i="2"/>
  <c r="P1015" i="2"/>
  <c r="P34" i="2"/>
  <c r="P573" i="2"/>
  <c r="P759" i="2"/>
  <c r="P953" i="2"/>
  <c r="P987" i="2"/>
  <c r="P977" i="2"/>
  <c r="P971" i="2"/>
  <c r="P1011" i="2"/>
  <c r="P73" i="2"/>
  <c r="P170" i="2"/>
  <c r="P599" i="2"/>
  <c r="P972" i="2"/>
  <c r="P821" i="2"/>
  <c r="P35" i="2"/>
  <c r="P41" i="2"/>
  <c r="P164" i="2"/>
  <c r="P785" i="2"/>
  <c r="P750" i="2"/>
  <c r="P751" i="2"/>
  <c r="P752" i="2"/>
  <c r="P753" i="2"/>
  <c r="P754" i="2"/>
  <c r="P755" i="2"/>
  <c r="P764" i="2"/>
  <c r="P760" i="2"/>
  <c r="P827" i="2"/>
  <c r="P19" i="2"/>
  <c r="P142" i="2"/>
  <c r="P203" i="2"/>
  <c r="P214" i="2"/>
  <c r="P546" i="2"/>
  <c r="P574" i="2"/>
  <c r="P640" i="2"/>
  <c r="P756" i="2"/>
  <c r="P765" i="2"/>
  <c r="P973" i="2"/>
  <c r="P1000" i="2"/>
  <c r="P561" i="2"/>
  <c r="P143" i="2"/>
  <c r="P171" i="2"/>
  <c r="P172" i="2"/>
  <c r="P550" i="2"/>
  <c r="P547" i="2"/>
  <c r="P575" i="2"/>
  <c r="P576" i="2"/>
  <c r="P655" i="2"/>
  <c r="P828" i="2"/>
  <c r="P1007" i="2"/>
  <c r="P1016" i="2"/>
  <c r="P166" i="2"/>
  <c r="P167" i="2"/>
  <c r="P206" i="2"/>
  <c r="P207" i="2"/>
  <c r="P947" i="2"/>
  <c r="P28" i="2"/>
  <c r="P20" i="2"/>
  <c r="P21" i="2"/>
  <c r="P22" i="2"/>
  <c r="P23" i="2"/>
  <c r="P24" i="2"/>
  <c r="P176" i="2"/>
  <c r="P215" i="2"/>
  <c r="P567" i="2"/>
  <c r="P173" i="2"/>
  <c r="P174" i="2"/>
  <c r="P175" i="2"/>
  <c r="P761" i="2"/>
  <c r="P44" i="2"/>
  <c r="P954" i="2"/>
  <c r="P955" i="2"/>
  <c r="P956" i="2"/>
  <c r="P957" i="2"/>
  <c r="P74" i="2"/>
  <c r="P75" i="2"/>
  <c r="P76" i="2"/>
  <c r="P77" i="2"/>
  <c r="P78" i="2"/>
  <c r="P79" i="2"/>
  <c r="P80" i="2"/>
  <c r="P18" i="2"/>
  <c r="P16" i="2"/>
  <c r="P25" i="2"/>
  <c r="P26" i="2"/>
  <c r="P42" i="2"/>
  <c r="P36" i="2"/>
  <c r="P45" i="2"/>
  <c r="P46" i="2"/>
  <c r="P72" i="2"/>
  <c r="P69" i="2"/>
  <c r="P138" i="2"/>
  <c r="P139" i="2"/>
  <c r="P140" i="2"/>
  <c r="P144" i="2"/>
  <c r="P161" i="2"/>
  <c r="P163" i="2"/>
  <c r="P162" i="2"/>
  <c r="P168" i="2"/>
  <c r="P204" i="2"/>
  <c r="P208" i="2"/>
  <c r="P551" i="2"/>
  <c r="P558" i="2"/>
  <c r="P554" i="2"/>
  <c r="P585" i="2"/>
  <c r="P577" i="2"/>
  <c r="P578" i="2"/>
  <c r="P579" i="2"/>
  <c r="P580" i="2"/>
  <c r="P581" i="2"/>
  <c r="P565" i="2"/>
  <c r="P593" i="2"/>
  <c r="P596" i="2"/>
  <c r="P597" i="2"/>
  <c r="P613" i="2"/>
  <c r="P615" i="2"/>
  <c r="P616" i="2"/>
  <c r="P610" i="2"/>
  <c r="P620" i="2"/>
  <c r="P622" i="2"/>
  <c r="P648" i="2"/>
  <c r="P656" i="2"/>
  <c r="P718" i="2"/>
  <c r="P723" i="2"/>
  <c r="P724" i="2"/>
  <c r="P719" i="2"/>
  <c r="P762" i="2"/>
  <c r="P757" i="2"/>
  <c r="P766" i="2"/>
  <c r="P792" i="2"/>
  <c r="P793" i="2"/>
  <c r="P790" i="2"/>
  <c r="P789" i="2"/>
  <c r="P806" i="2"/>
  <c r="P807" i="2"/>
  <c r="P802" i="2"/>
  <c r="P801" i="2"/>
  <c r="P803" i="2"/>
  <c r="P804" i="2"/>
  <c r="P805" i="2"/>
  <c r="P815" i="2"/>
  <c r="P812" i="2"/>
  <c r="P811" i="2"/>
  <c r="P808" i="2"/>
  <c r="P809" i="2"/>
  <c r="P818" i="2"/>
  <c r="P819" i="2"/>
  <c r="P829" i="2"/>
  <c r="P830" i="2"/>
  <c r="P831" i="2"/>
  <c r="P832" i="2"/>
  <c r="P826" i="2"/>
  <c r="P836" i="2"/>
  <c r="P838" i="2"/>
  <c r="P839" i="2"/>
  <c r="P849" i="2"/>
  <c r="P850" i="2"/>
  <c r="P846" i="2"/>
  <c r="P851" i="2"/>
  <c r="P854" i="2"/>
  <c r="P855" i="2"/>
  <c r="P948" i="2"/>
  <c r="P958" i="2"/>
  <c r="P952" i="2"/>
  <c r="P970" i="2"/>
  <c r="P959" i="2"/>
  <c r="P960" i="2"/>
  <c r="P998" i="2"/>
  <c r="P995" i="2"/>
  <c r="P988" i="2"/>
  <c r="P989" i="2"/>
  <c r="P978" i="2"/>
  <c r="P1005" i="2"/>
  <c r="P1021" i="2"/>
  <c r="P1017" i="2"/>
  <c r="P1018" i="2"/>
  <c r="P1012" i="2"/>
  <c r="P1008" i="2"/>
  <c r="P1009" i="2"/>
  <c r="P27" i="2"/>
  <c r="P17" i="2"/>
  <c r="P47" i="2"/>
  <c r="P48" i="2"/>
  <c r="P37" i="2"/>
  <c r="P70" i="2"/>
  <c r="P141" i="2"/>
  <c r="P205" i="2"/>
  <c r="P552" i="2"/>
  <c r="P582" i="2"/>
  <c r="P583" i="2"/>
  <c r="P566" i="2"/>
  <c r="P562" i="2"/>
  <c r="P598" i="2"/>
  <c r="P600" i="2"/>
  <c r="P601" i="2"/>
  <c r="P602" i="2"/>
  <c r="P603" i="2"/>
  <c r="P617" i="2"/>
  <c r="P618" i="2"/>
  <c r="P614" i="2"/>
  <c r="P621" i="2"/>
  <c r="P611" i="2"/>
  <c r="P649" i="2"/>
  <c r="P653" i="2"/>
  <c r="P652" i="2"/>
  <c r="P727" i="2"/>
  <c r="P725" i="2"/>
  <c r="P726" i="2"/>
  <c r="P720" i="2"/>
  <c r="P721" i="2"/>
  <c r="P763" i="2"/>
  <c r="P758" i="2"/>
  <c r="P767" i="2"/>
  <c r="P794" i="2"/>
  <c r="P791" i="2"/>
  <c r="P824" i="2"/>
  <c r="P822" i="2"/>
  <c r="P833" i="2"/>
  <c r="P834" i="2"/>
  <c r="P837" i="2"/>
  <c r="P840" i="2"/>
  <c r="P847" i="2"/>
  <c r="P852" i="2"/>
  <c r="P853" i="2"/>
  <c r="P856" i="2"/>
  <c r="P857" i="2"/>
  <c r="P946" i="2"/>
  <c r="P944" i="2"/>
  <c r="P961" i="2"/>
  <c r="P962" i="2"/>
  <c r="P963" i="2"/>
  <c r="P964" i="2"/>
  <c r="P965" i="2"/>
  <c r="P966" i="2"/>
  <c r="P999" i="2"/>
  <c r="P990" i="2"/>
  <c r="P981" i="2"/>
  <c r="P982" i="2"/>
  <c r="P983" i="2"/>
  <c r="P984" i="2"/>
  <c r="P980" i="2"/>
  <c r="P975" i="2"/>
  <c r="P974" i="2"/>
  <c r="P1010" i="2"/>
  <c r="P38" i="2"/>
  <c r="P43" i="2"/>
  <c r="P71" i="2"/>
  <c r="P165" i="2"/>
  <c r="P563" i="2"/>
  <c r="P564" i="2"/>
  <c r="P768" i="2"/>
  <c r="P786" i="2"/>
  <c r="P787" i="2"/>
  <c r="P800" i="2"/>
  <c r="P813" i="2"/>
  <c r="P814" i="2"/>
  <c r="P835" i="2"/>
  <c r="P844" i="2"/>
  <c r="P858" i="2"/>
  <c r="P942" i="2"/>
  <c r="P941" i="2"/>
  <c r="P945" i="2"/>
  <c r="P943" i="2"/>
  <c r="P949" i="2"/>
  <c r="P968" i="2"/>
  <c r="P967" i="2"/>
  <c r="P969" i="2"/>
  <c r="P996" i="2"/>
  <c r="P997" i="2"/>
  <c r="P991" i="2"/>
  <c r="P992" i="2"/>
  <c r="P993" i="2"/>
  <c r="P985" i="2"/>
  <c r="P979" i="2"/>
  <c r="P976" i="2"/>
  <c r="P1001" i="2"/>
  <c r="P1002" i="2"/>
  <c r="P823" i="2"/>
  <c r="P9" i="2"/>
  <c r="P7" i="2"/>
  <c r="P8" i="2"/>
  <c r="P4" i="2"/>
  <c r="P95" i="2"/>
  <c r="P201" i="2"/>
  <c r="P216" i="2"/>
  <c r="P217" i="2"/>
  <c r="P528" i="2"/>
  <c r="P525" i="2"/>
  <c r="P359" i="2"/>
  <c r="P318" i="2"/>
  <c r="P294" i="2"/>
  <c r="P295" i="2"/>
  <c r="P669" i="2"/>
  <c r="P705" i="2"/>
  <c r="P706" i="2"/>
  <c r="P701" i="2"/>
  <c r="P795" i="2"/>
  <c r="P861" i="2"/>
  <c r="P862" i="2"/>
  <c r="P859" i="2"/>
  <c r="P871" i="2"/>
  <c r="P868" i="2"/>
  <c r="P865" i="2"/>
  <c r="P880" i="2"/>
  <c r="P875" i="2"/>
  <c r="P876" i="2"/>
  <c r="P899" i="2"/>
  <c r="P887" i="2"/>
  <c r="P931" i="2"/>
  <c r="P917" i="2"/>
  <c r="P912" i="2"/>
  <c r="P390" i="2"/>
  <c r="P604" i="2"/>
  <c r="P605" i="2"/>
  <c r="P888" i="2"/>
  <c r="P889" i="2"/>
  <c r="P904" i="2"/>
  <c r="P905" i="2"/>
  <c r="P934" i="2"/>
  <c r="P935" i="2"/>
  <c r="P729" i="2"/>
  <c r="P730" i="2"/>
  <c r="P732" i="2"/>
  <c r="P742" i="2"/>
  <c r="P741" i="2"/>
  <c r="P734" i="2"/>
  <c r="P736" i="2"/>
  <c r="P739" i="2"/>
  <c r="P743" i="2"/>
  <c r="P746" i="2"/>
  <c r="P747" i="2"/>
  <c r="P744" i="2"/>
  <c r="P735" i="2"/>
  <c r="P745" i="2"/>
  <c r="P737" i="2"/>
  <c r="P733" i="2"/>
  <c r="P740" i="2"/>
  <c r="P731" i="2"/>
  <c r="P748" i="2"/>
  <c r="P738" i="2"/>
  <c r="P60" i="2"/>
  <c r="P61" i="2"/>
  <c r="P218" i="2"/>
  <c r="P219" i="2"/>
  <c r="P769" i="2"/>
  <c r="P882" i="2"/>
  <c r="P657" i="2"/>
  <c r="P770" i="2"/>
  <c r="P130" i="2"/>
  <c r="P220" i="2"/>
  <c r="P221" i="2"/>
  <c r="P222" i="2"/>
  <c r="P280" i="2"/>
  <c r="P223" i="2"/>
  <c r="P271" i="2"/>
  <c r="P224" i="2"/>
  <c r="P225" i="2"/>
  <c r="P226" i="2"/>
  <c r="P281" i="2"/>
  <c r="P227" i="2"/>
  <c r="P228" i="2"/>
  <c r="P229" i="2"/>
  <c r="P272" i="2"/>
  <c r="P230" i="2"/>
  <c r="P231" i="2"/>
  <c r="P232" i="2"/>
  <c r="P233" i="2"/>
  <c r="P234" i="2"/>
  <c r="P235" i="2"/>
  <c r="P236" i="2"/>
  <c r="P237" i="2"/>
  <c r="P296" i="2"/>
  <c r="P531" i="2"/>
  <c r="P529" i="2"/>
  <c r="P509" i="2"/>
  <c r="P510" i="2"/>
  <c r="P504" i="2"/>
  <c r="P497" i="2"/>
  <c r="P498" i="2"/>
  <c r="P431" i="2"/>
  <c r="P432" i="2"/>
  <c r="P475" i="2"/>
  <c r="P476" i="2"/>
  <c r="P477" i="2"/>
  <c r="P478" i="2"/>
  <c r="P479" i="2"/>
  <c r="P433" i="2"/>
  <c r="P434" i="2"/>
  <c r="P435" i="2"/>
  <c r="P436" i="2"/>
  <c r="P437" i="2"/>
  <c r="P438" i="2"/>
  <c r="P439" i="2"/>
  <c r="P440" i="2"/>
  <c r="P441" i="2"/>
  <c r="P442" i="2"/>
  <c r="P391" i="2"/>
  <c r="P392" i="2"/>
  <c r="P393" i="2"/>
  <c r="P394" i="2"/>
  <c r="P395" i="2"/>
  <c r="P396" i="2"/>
  <c r="P397" i="2"/>
  <c r="P398" i="2"/>
  <c r="P399" i="2"/>
  <c r="P400" i="2"/>
  <c r="P401" i="2"/>
  <c r="P375" i="2"/>
  <c r="P376" i="2"/>
  <c r="P377" i="2"/>
  <c r="P360" i="2"/>
  <c r="P378" i="2"/>
  <c r="P379" i="2"/>
  <c r="P361" i="2"/>
  <c r="P362" i="2"/>
  <c r="P363" i="2"/>
  <c r="P364" i="2"/>
  <c r="P350" i="2"/>
  <c r="P351" i="2"/>
  <c r="P352" i="2"/>
  <c r="P353" i="2"/>
  <c r="P345" i="2"/>
  <c r="P340" i="2"/>
  <c r="P341" i="2"/>
  <c r="P319" i="2"/>
  <c r="P320" i="2"/>
  <c r="P321" i="2"/>
  <c r="P322" i="2"/>
  <c r="P323" i="2"/>
  <c r="P324" i="2"/>
  <c r="P325" i="2"/>
  <c r="P297" i="2"/>
  <c r="P298" i="2"/>
  <c r="P606" i="2"/>
  <c r="P643" i="2"/>
  <c r="P771" i="2"/>
  <c r="P772" i="2"/>
  <c r="P773" i="2"/>
  <c r="P774" i="2"/>
  <c r="P895" i="2"/>
  <c r="P897" i="2"/>
  <c r="P883" i="2"/>
  <c r="P900" i="2"/>
  <c r="P913" i="2"/>
  <c r="P902" i="2"/>
  <c r="P10" i="2"/>
  <c r="P238" i="2"/>
  <c r="P326" i="2"/>
  <c r="P890" i="2"/>
  <c r="P2" i="2"/>
  <c r="P3" i="2"/>
  <c r="P5" i="2"/>
  <c r="P145" i="2"/>
  <c r="P282" i="2"/>
  <c r="P283" i="2"/>
  <c r="P273" i="2"/>
  <c r="P284" i="2"/>
  <c r="P239" i="2"/>
  <c r="P299" i="2"/>
  <c r="P300" i="2"/>
  <c r="P530" i="2"/>
  <c r="P526" i="2"/>
  <c r="P523" i="2"/>
  <c r="P521" i="2"/>
  <c r="P520" i="2"/>
  <c r="P517" i="2"/>
  <c r="P515" i="2"/>
  <c r="P511" i="2"/>
  <c r="P506" i="2"/>
  <c r="P480" i="2"/>
  <c r="P443" i="2"/>
  <c r="P444" i="2"/>
  <c r="P445" i="2"/>
  <c r="P446" i="2"/>
  <c r="P447" i="2"/>
  <c r="P402" i="2"/>
  <c r="P403" i="2"/>
  <c r="P404" i="2"/>
  <c r="P365" i="2"/>
  <c r="P346" i="2"/>
  <c r="P327" i="2"/>
  <c r="P301" i="2"/>
  <c r="P328" i="2"/>
  <c r="P302" i="2"/>
  <c r="P303" i="2"/>
  <c r="P304" i="2"/>
  <c r="P775" i="2"/>
  <c r="P860" i="2"/>
  <c r="P866" i="2"/>
  <c r="P872" i="2"/>
  <c r="P863" i="2"/>
  <c r="P869" i="2"/>
  <c r="P877" i="2"/>
  <c r="P878" i="2"/>
  <c r="P881" i="2"/>
  <c r="P891" i="2"/>
  <c r="P906" i="2"/>
  <c r="P6" i="2"/>
  <c r="P150" i="2"/>
  <c r="P366" i="2"/>
  <c r="P864" i="2"/>
  <c r="P873" i="2"/>
  <c r="P870" i="2"/>
  <c r="P879" i="2"/>
  <c r="P274" i="2"/>
  <c r="P354" i="2"/>
  <c r="P607" i="2"/>
  <c r="P608" i="2"/>
  <c r="P892" i="2"/>
  <c r="P907" i="2"/>
  <c r="P936" i="2"/>
  <c r="P81" i="2"/>
  <c r="P641" i="2"/>
  <c r="P647" i="2"/>
  <c r="P644" i="2"/>
  <c r="P86" i="2"/>
  <c r="P82" i="2"/>
  <c r="P124" i="2"/>
  <c r="P114" i="2"/>
  <c r="P104" i="2"/>
  <c r="P658" i="2"/>
  <c r="P677" i="2"/>
  <c r="P690" i="2"/>
  <c r="P691" i="2"/>
  <c r="P874" i="2"/>
  <c r="P240" i="2"/>
  <c r="P11" i="2"/>
  <c r="P57" i="2"/>
  <c r="P55" i="2"/>
  <c r="P54" i="2"/>
  <c r="P52" i="2"/>
  <c r="P50" i="2"/>
  <c r="P51" i="2"/>
  <c r="P122" i="2"/>
  <c r="P177" i="2"/>
  <c r="P199" i="2"/>
  <c r="P198" i="2"/>
  <c r="P194" i="2"/>
  <c r="P195" i="2"/>
  <c r="P196" i="2"/>
  <c r="P197" i="2"/>
  <c r="P193" i="2"/>
  <c r="P191" i="2"/>
  <c r="P192" i="2"/>
  <c r="P189" i="2"/>
  <c r="P186" i="2"/>
  <c r="P181" i="2"/>
  <c r="P184" i="2"/>
  <c r="P180" i="2"/>
  <c r="P182" i="2"/>
  <c r="P183" i="2"/>
  <c r="P178" i="2"/>
  <c r="P179" i="2"/>
  <c r="P587" i="2"/>
  <c r="P639" i="2"/>
  <c r="P635" i="2"/>
  <c r="P636" i="2"/>
  <c r="P637" i="2"/>
  <c r="P638" i="2"/>
  <c r="P634" i="2"/>
  <c r="P633" i="2"/>
  <c r="P632" i="2"/>
  <c r="P629" i="2"/>
  <c r="P630" i="2"/>
  <c r="P626" i="2"/>
  <c r="P627" i="2"/>
  <c r="P625" i="2"/>
  <c r="P650" i="2"/>
  <c r="P675" i="2"/>
  <c r="P692" i="2"/>
  <c r="P707" i="2"/>
  <c r="P702" i="2"/>
  <c r="P711" i="2"/>
  <c r="P712" i="2"/>
  <c r="P710" i="2"/>
  <c r="P932" i="2"/>
  <c r="P929" i="2"/>
  <c r="P930" i="2"/>
  <c r="P928" i="2"/>
  <c r="P926" i="2"/>
  <c r="P920" i="2"/>
  <c r="P933" i="2"/>
  <c r="P87" i="2"/>
  <c r="P88" i="2"/>
  <c r="P83" i="2"/>
  <c r="P90" i="2"/>
  <c r="P105" i="2"/>
  <c r="P123" i="2"/>
  <c r="P125" i="2"/>
  <c r="P115" i="2"/>
  <c r="P116" i="2"/>
  <c r="P117" i="2"/>
  <c r="P113" i="2"/>
  <c r="P106" i="2"/>
  <c r="P107" i="2"/>
  <c r="P108" i="2"/>
  <c r="P109" i="2"/>
  <c r="P110" i="2"/>
  <c r="P99" i="2"/>
  <c r="P96" i="2"/>
  <c r="P367" i="2"/>
  <c r="P659" i="2"/>
  <c r="P660" i="2"/>
  <c r="P661" i="2"/>
  <c r="P662" i="2"/>
  <c r="P663" i="2"/>
  <c r="P670" i="2"/>
  <c r="P671" i="2"/>
  <c r="P672" i="2"/>
  <c r="P678" i="2"/>
  <c r="P680" i="2"/>
  <c r="P681" i="2"/>
  <c r="P684" i="2"/>
  <c r="P685" i="2"/>
  <c r="P687" i="2"/>
  <c r="P693" i="2"/>
  <c r="P694" i="2"/>
  <c r="P695" i="2"/>
  <c r="P696" i="2"/>
  <c r="P275" i="2"/>
  <c r="P305" i="2"/>
  <c r="P276" i="2"/>
  <c r="P405" i="2"/>
  <c r="P406" i="2"/>
  <c r="P306" i="2"/>
  <c r="P676" i="2"/>
  <c r="P697" i="2"/>
  <c r="P698" i="2"/>
  <c r="P100" i="2"/>
  <c r="P56" i="2"/>
  <c r="P58" i="2"/>
  <c r="P126" i="2"/>
  <c r="P89" i="2"/>
  <c r="P111" i="2"/>
  <c r="P101" i="2"/>
  <c r="P98" i="2"/>
  <c r="P187" i="2"/>
  <c r="P200" i="2"/>
  <c r="P185" i="2"/>
  <c r="P642" i="2"/>
  <c r="P645" i="2"/>
  <c r="P84" i="2"/>
  <c r="P534" i="2"/>
  <c r="P535" i="2"/>
  <c r="P536" i="2"/>
  <c r="P776" i="2"/>
  <c r="P777" i="2"/>
  <c r="P781" i="2"/>
  <c r="P924" i="2"/>
  <c r="P49" i="2"/>
  <c r="P62" i="2"/>
  <c r="P63" i="2"/>
  <c r="P67" i="2"/>
  <c r="P65" i="2"/>
  <c r="P91" i="2"/>
  <c r="P118" i="2"/>
  <c r="P129" i="2"/>
  <c r="P151" i="2"/>
  <c r="P152" i="2"/>
  <c r="P153" i="2"/>
  <c r="P157" i="2"/>
  <c r="P155" i="2"/>
  <c r="P156" i="2"/>
  <c r="P154" i="2"/>
  <c r="P159" i="2"/>
  <c r="P209" i="2"/>
  <c r="P210" i="2"/>
  <c r="P211" i="2"/>
  <c r="P285" i="2"/>
  <c r="P241" i="2"/>
  <c r="P242" i="2"/>
  <c r="P243" i="2"/>
  <c r="P244" i="2"/>
  <c r="P286" i="2"/>
  <c r="P245" i="2"/>
  <c r="P246" i="2"/>
  <c r="P277" i="2"/>
  <c r="P247" i="2"/>
  <c r="P278" i="2"/>
  <c r="P248" i="2"/>
  <c r="P249" i="2"/>
  <c r="P250" i="2"/>
  <c r="P264" i="2"/>
  <c r="P251" i="2"/>
  <c r="P252" i="2"/>
  <c r="P265" i="2"/>
  <c r="P253" i="2"/>
  <c r="P254" i="2"/>
  <c r="P266" i="2"/>
  <c r="P255" i="2"/>
  <c r="P256" i="2"/>
  <c r="P257" i="2"/>
  <c r="P258" i="2"/>
  <c r="P279" i="2"/>
  <c r="P287" i="2"/>
  <c r="P307" i="2"/>
  <c r="P519" i="2"/>
  <c r="P518" i="2"/>
  <c r="P516" i="2"/>
  <c r="P512" i="2"/>
  <c r="P508" i="2"/>
  <c r="P507" i="2"/>
  <c r="P500" i="2"/>
  <c r="P501" i="2"/>
  <c r="P448" i="2"/>
  <c r="P481" i="2"/>
  <c r="P449" i="2"/>
  <c r="P482" i="2"/>
  <c r="P483" i="2"/>
  <c r="P484" i="2"/>
  <c r="P485" i="2"/>
  <c r="P486" i="2"/>
  <c r="P487" i="2"/>
  <c r="P488" i="2"/>
  <c r="P489" i="2"/>
  <c r="P490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380" i="2"/>
  <c r="P381" i="2"/>
  <c r="P382" i="2"/>
  <c r="P383" i="2"/>
  <c r="P368" i="2"/>
  <c r="P369" i="2"/>
  <c r="P370" i="2"/>
  <c r="P371" i="2"/>
  <c r="P355" i="2"/>
  <c r="P356" i="2"/>
  <c r="P357" i="2"/>
  <c r="P347" i="2"/>
  <c r="P329" i="2"/>
  <c r="P342" i="2"/>
  <c r="P330" i="2"/>
  <c r="P331" i="2"/>
  <c r="P332" i="2"/>
  <c r="P333" i="2"/>
  <c r="P334" i="2"/>
  <c r="P335" i="2"/>
  <c r="P308" i="2"/>
  <c r="P309" i="2"/>
  <c r="P336" i="2"/>
  <c r="P310" i="2"/>
  <c r="P311" i="2"/>
  <c r="P312" i="2"/>
  <c r="P590" i="2"/>
  <c r="P589" i="2"/>
  <c r="P588" i="2"/>
  <c r="P623" i="2"/>
  <c r="P646" i="2"/>
  <c r="P664" i="2"/>
  <c r="P679" i="2"/>
  <c r="P703" i="2"/>
  <c r="P714" i="2"/>
  <c r="P715" i="2"/>
  <c r="P716" i="2"/>
  <c r="P778" i="2"/>
  <c r="P779" i="2"/>
  <c r="P782" i="2"/>
  <c r="P816" i="2"/>
  <c r="P820" i="2"/>
  <c r="P893" i="2"/>
  <c r="P896" i="2"/>
  <c r="P898" i="2"/>
  <c r="P901" i="2"/>
  <c r="P894" i="2"/>
  <c r="P884" i="2"/>
  <c r="P922" i="2"/>
  <c r="P918" i="2"/>
  <c r="P914" i="2"/>
  <c r="P915" i="2"/>
  <c r="P908" i="2"/>
  <c r="P909" i="2"/>
  <c r="P903" i="2"/>
  <c r="P937" i="2"/>
  <c r="P938" i="2"/>
  <c r="P14" i="2"/>
  <c r="P59" i="2"/>
  <c r="P53" i="2"/>
  <c r="P66" i="2"/>
  <c r="P64" i="2"/>
  <c r="P85" i="2"/>
  <c r="P92" i="2"/>
  <c r="P128" i="2"/>
  <c r="P127" i="2"/>
  <c r="P119" i="2"/>
  <c r="P112" i="2"/>
  <c r="P102" i="2"/>
  <c r="P97" i="2"/>
  <c r="P93" i="2"/>
  <c r="P131" i="2"/>
  <c r="P146" i="2"/>
  <c r="P158" i="2"/>
  <c r="P160" i="2"/>
  <c r="P190" i="2"/>
  <c r="P188" i="2"/>
  <c r="P202" i="2"/>
  <c r="P212" i="2"/>
  <c r="P213" i="2"/>
  <c r="P288" i="2"/>
  <c r="P259" i="2"/>
  <c r="P313" i="2"/>
  <c r="P314" i="2"/>
  <c r="P524" i="2"/>
  <c r="P513" i="2"/>
  <c r="P502" i="2"/>
  <c r="P470" i="2"/>
  <c r="P491" i="2"/>
  <c r="P492" i="2"/>
  <c r="P493" i="2"/>
  <c r="P494" i="2"/>
  <c r="P471" i="2"/>
  <c r="P472" i="2"/>
  <c r="P422" i="2"/>
  <c r="P423" i="2"/>
  <c r="P424" i="2"/>
  <c r="P425" i="2"/>
  <c r="P384" i="2"/>
  <c r="P385" i="2"/>
  <c r="P343" i="2"/>
  <c r="P337" i="2"/>
  <c r="P315" i="2"/>
  <c r="P316" i="2"/>
  <c r="P591" i="2"/>
  <c r="P624" i="2"/>
  <c r="P665" i="2"/>
  <c r="P673" i="2"/>
  <c r="P686" i="2"/>
  <c r="P688" i="2"/>
  <c r="P699" i="2"/>
  <c r="P709" i="2"/>
  <c r="P708" i="2"/>
  <c r="P717" i="2"/>
  <c r="P780" i="2"/>
  <c r="P783" i="2"/>
  <c r="P796" i="2"/>
  <c r="P797" i="2"/>
  <c r="P817" i="2"/>
  <c r="P927" i="2"/>
  <c r="P925" i="2"/>
  <c r="P921" i="2"/>
  <c r="P919" i="2"/>
  <c r="P916" i="2"/>
  <c r="P910" i="2"/>
  <c r="P911" i="2"/>
  <c r="P885" i="2"/>
  <c r="P939" i="2"/>
  <c r="P940" i="2"/>
  <c r="P12" i="2"/>
  <c r="P132" i="2"/>
  <c r="P147" i="2"/>
  <c r="P260" i="2"/>
  <c r="P267" i="2"/>
  <c r="P289" i="2"/>
  <c r="P268" i="2"/>
  <c r="P269" i="2"/>
  <c r="P290" i="2"/>
  <c r="P270" i="2"/>
  <c r="P291" i="2"/>
  <c r="P292" i="2"/>
  <c r="P261" i="2"/>
  <c r="P262" i="2"/>
  <c r="P293" i="2"/>
  <c r="P263" i="2"/>
  <c r="P532" i="2"/>
  <c r="P533" i="2"/>
  <c r="P527" i="2"/>
  <c r="P522" i="2"/>
  <c r="P514" i="2"/>
  <c r="P505" i="2"/>
  <c r="P503" i="2"/>
  <c r="P499" i="2"/>
  <c r="P495" i="2"/>
  <c r="P496" i="2"/>
  <c r="P473" i="2"/>
  <c r="P474" i="2"/>
  <c r="P426" i="2"/>
  <c r="P427" i="2"/>
  <c r="P428" i="2"/>
  <c r="P429" i="2"/>
  <c r="P430" i="2"/>
  <c r="P386" i="2"/>
  <c r="P387" i="2"/>
  <c r="P388" i="2"/>
  <c r="P389" i="2"/>
  <c r="P372" i="2"/>
  <c r="P373" i="2"/>
  <c r="P374" i="2"/>
  <c r="P358" i="2"/>
  <c r="P348" i="2"/>
  <c r="P349" i="2"/>
  <c r="P344" i="2"/>
  <c r="P338" i="2"/>
  <c r="P339" i="2"/>
  <c r="P317" i="2"/>
  <c r="P784" i="2"/>
  <c r="P867" i="2"/>
  <c r="P923" i="2"/>
  <c r="P713" i="2"/>
  <c r="P798" i="2"/>
  <c r="P13" i="2"/>
  <c r="P15" i="2"/>
  <c r="P94" i="2"/>
  <c r="P120" i="2"/>
  <c r="P121" i="2"/>
  <c r="P103" i="2"/>
  <c r="P148" i="2"/>
  <c r="P149" i="2"/>
  <c r="P631" i="2"/>
  <c r="P628" i="2"/>
  <c r="P666" i="2"/>
  <c r="P667" i="2"/>
  <c r="P668" i="2"/>
  <c r="P674" i="2"/>
  <c r="P682" i="2"/>
  <c r="P683" i="2"/>
  <c r="P689" i="2"/>
  <c r="P700" i="2"/>
  <c r="P704" i="2"/>
  <c r="P886" i="2"/>
  <c r="P537" i="2"/>
  <c r="L751" i="2"/>
  <c r="L776" i="2"/>
  <c r="L639" i="2"/>
  <c r="L635" i="2"/>
  <c r="L707" i="2"/>
  <c r="L636" i="2"/>
  <c r="L637" i="2"/>
  <c r="L11" i="2"/>
  <c r="L638" i="2"/>
  <c r="L702" i="2"/>
  <c r="L932" i="2"/>
  <c r="L711" i="2"/>
  <c r="L712" i="2"/>
  <c r="L634" i="2"/>
  <c r="L710" i="2"/>
  <c r="L929" i="2"/>
  <c r="L930" i="2"/>
  <c r="L928" i="2"/>
  <c r="L633" i="2"/>
  <c r="L57" i="2"/>
  <c r="L632" i="2"/>
  <c r="L926" i="2"/>
  <c r="L629" i="2"/>
  <c r="L630" i="2"/>
  <c r="L199" i="2"/>
  <c r="L626" i="2"/>
  <c r="L55" i="2"/>
  <c r="L54" i="2"/>
  <c r="L627" i="2"/>
  <c r="L198" i="2"/>
  <c r="L194" i="2"/>
  <c r="L195" i="2"/>
  <c r="L196" i="2"/>
  <c r="L197" i="2"/>
  <c r="L625" i="2"/>
  <c r="L697" i="2"/>
  <c r="L698" i="2"/>
  <c r="L692" i="2"/>
  <c r="L122" i="2"/>
  <c r="L193" i="2"/>
  <c r="L191" i="2"/>
  <c r="L192" i="2"/>
  <c r="L52" i="2"/>
  <c r="L189" i="2"/>
  <c r="L920" i="2"/>
  <c r="L50" i="2"/>
  <c r="L51" i="2"/>
  <c r="L676" i="2"/>
  <c r="L675" i="2"/>
  <c r="L186" i="2"/>
  <c r="L405" i="2"/>
  <c r="L406" i="2"/>
  <c r="L574" i="2"/>
  <c r="L181" i="2"/>
  <c r="L184" i="2"/>
  <c r="L180" i="2"/>
  <c r="L206" i="2"/>
  <c r="L207" i="2"/>
  <c r="L214" i="2"/>
  <c r="L203" i="2"/>
  <c r="L19" i="2"/>
  <c r="L182" i="2"/>
  <c r="L183" i="2"/>
  <c r="L178" i="2"/>
  <c r="L142" i="2"/>
  <c r="L179" i="2"/>
  <c r="L765" i="2"/>
  <c r="L973" i="2"/>
  <c r="L306" i="2"/>
  <c r="L305" i="2"/>
  <c r="L177" i="2"/>
  <c r="L650" i="2"/>
  <c r="L166" i="2"/>
  <c r="L167" i="2"/>
  <c r="L756" i="2"/>
  <c r="L275" i="2"/>
  <c r="L276" i="2"/>
  <c r="L587" i="2"/>
  <c r="L546" i="2"/>
  <c r="L640" i="2"/>
  <c r="L1000" i="2"/>
  <c r="L933" i="2"/>
  <c r="L15" i="2"/>
  <c r="L13" i="2"/>
  <c r="L704" i="2"/>
  <c r="L823" i="2"/>
  <c r="L713" i="2"/>
  <c r="L631" i="2"/>
  <c r="L628" i="2"/>
  <c r="L700" i="2"/>
  <c r="L689" i="2"/>
  <c r="L120" i="2"/>
  <c r="L121" i="2"/>
  <c r="L683" i="2"/>
  <c r="L682" i="2"/>
  <c r="L674" i="2"/>
  <c r="L103" i="2"/>
  <c r="L94" i="2"/>
  <c r="L798" i="2"/>
  <c r="L149" i="2"/>
  <c r="L886" i="2"/>
  <c r="L148" i="2"/>
  <c r="L668" i="2"/>
  <c r="L666" i="2"/>
  <c r="L667" i="2"/>
  <c r="L10" i="2"/>
  <c r="L531" i="2"/>
  <c r="L529" i="2"/>
  <c r="L530" i="2"/>
  <c r="L526" i="2"/>
  <c r="L523" i="2"/>
  <c r="L521" i="2"/>
  <c r="L520" i="2"/>
  <c r="L517" i="2"/>
  <c r="L515" i="2"/>
  <c r="L509" i="2"/>
  <c r="L511" i="2"/>
  <c r="L510" i="2"/>
  <c r="L950" i="2"/>
  <c r="L506" i="2"/>
  <c r="L504" i="2"/>
  <c r="L994" i="2"/>
  <c r="L986" i="2"/>
  <c r="L497" i="2"/>
  <c r="L1020" i="2"/>
  <c r="L987" i="2"/>
  <c r="L498" i="2"/>
  <c r="L431" i="2"/>
  <c r="L1014" i="2"/>
  <c r="L1015" i="2"/>
  <c r="L432" i="2"/>
  <c r="L475" i="2"/>
  <c r="L476" i="2"/>
  <c r="L480" i="2"/>
  <c r="L477" i="2"/>
  <c r="L478" i="2"/>
  <c r="L479" i="2"/>
  <c r="L443" i="2"/>
  <c r="L1011" i="2"/>
  <c r="L433" i="2"/>
  <c r="L434" i="2"/>
  <c r="L444" i="2"/>
  <c r="L435" i="2"/>
  <c r="L436" i="2"/>
  <c r="L584" i="2"/>
  <c r="L445" i="2"/>
  <c r="L446" i="2"/>
  <c r="L437" i="2"/>
  <c r="L438" i="2"/>
  <c r="L439" i="2"/>
  <c r="L440" i="2"/>
  <c r="L447" i="2"/>
  <c r="L441" i="2"/>
  <c r="L442" i="2"/>
  <c r="L391" i="2"/>
  <c r="L402" i="2"/>
  <c r="L392" i="2"/>
  <c r="L393" i="2"/>
  <c r="L394" i="2"/>
  <c r="L395" i="2"/>
  <c r="L396" i="2"/>
  <c r="L397" i="2"/>
  <c r="L398" i="2"/>
  <c r="L399" i="2"/>
  <c r="L403" i="2"/>
  <c r="L400" i="2"/>
  <c r="L401" i="2"/>
  <c r="L404" i="2"/>
  <c r="L375" i="2"/>
  <c r="L573" i="2"/>
  <c r="L570" i="2"/>
  <c r="L571" i="2"/>
  <c r="L572" i="2"/>
  <c r="L654" i="2"/>
  <c r="L647" i="2"/>
  <c r="L764" i="2"/>
  <c r="L41" i="2"/>
  <c r="L781" i="2"/>
  <c r="L644" i="2"/>
  <c r="L874" i="2"/>
  <c r="L172" i="2"/>
  <c r="L760" i="2"/>
  <c r="L535" i="2"/>
  <c r="L164" i="2"/>
  <c r="L658" i="2"/>
  <c r="L936" i="2"/>
  <c r="L955" i="2"/>
  <c r="L892" i="2"/>
  <c r="L827" i="2"/>
  <c r="L785" i="2"/>
  <c r="L86" i="2"/>
  <c r="L607" i="2"/>
  <c r="L608" i="2"/>
  <c r="L82" i="2"/>
  <c r="L76" i="2"/>
  <c r="L641" i="2"/>
  <c r="L753" i="2"/>
  <c r="L81" i="2"/>
  <c r="L35" i="2"/>
  <c r="L754" i="2"/>
  <c r="L755" i="2"/>
  <c r="L777" i="2"/>
  <c r="L14" i="2"/>
  <c r="L824" i="2"/>
  <c r="L822" i="2"/>
  <c r="L128" i="2"/>
  <c r="L59" i="2"/>
  <c r="L524" i="2"/>
  <c r="L709" i="2"/>
  <c r="L946" i="2"/>
  <c r="L927" i="2"/>
  <c r="L944" i="2"/>
  <c r="L925" i="2"/>
  <c r="L708" i="2"/>
  <c r="L127" i="2"/>
  <c r="L53" i="2"/>
  <c r="L699" i="2"/>
  <c r="L513" i="2"/>
  <c r="L688" i="2"/>
  <c r="L686" i="2"/>
  <c r="L794" i="2"/>
  <c r="L119" i="2"/>
  <c r="L999" i="2"/>
  <c r="L190" i="2"/>
  <c r="L502" i="2"/>
  <c r="L921" i="2"/>
  <c r="L990" i="2"/>
  <c r="L919" i="2"/>
  <c r="L981" i="2"/>
  <c r="L982" i="2"/>
  <c r="L112" i="2"/>
  <c r="L983" i="2"/>
  <c r="L624" i="2"/>
  <c r="L470" i="2"/>
  <c r="L984" i="2"/>
  <c r="L491" i="2"/>
  <c r="L492" i="2"/>
  <c r="L493" i="2"/>
  <c r="L494" i="2"/>
  <c r="L471" i="2"/>
  <c r="L980" i="2"/>
  <c r="L472" i="2"/>
  <c r="L188" i="2"/>
  <c r="L673" i="2"/>
  <c r="L102" i="2"/>
  <c r="L422" i="2"/>
  <c r="L423" i="2"/>
  <c r="L424" i="2"/>
  <c r="L425" i="2"/>
  <c r="L47" i="2"/>
  <c r="L582" i="2"/>
  <c r="L916" i="2"/>
  <c r="L791" i="2"/>
  <c r="L583" i="2"/>
  <c r="L48" i="2"/>
  <c r="L158" i="2"/>
  <c r="L384" i="2"/>
  <c r="L727" i="2"/>
  <c r="L385" i="2"/>
  <c r="L910" i="2"/>
  <c r="L27" i="2"/>
  <c r="L591" i="2"/>
  <c r="L205" i="2"/>
  <c r="L621" i="2"/>
  <c r="L603" i="2"/>
  <c r="L66" i="2"/>
  <c r="L566" i="2"/>
  <c r="L725" i="2"/>
  <c r="L911" i="2"/>
  <c r="L726" i="2"/>
  <c r="L939" i="2"/>
  <c r="L601" i="2"/>
  <c r="L602" i="2"/>
  <c r="L940" i="2"/>
  <c r="L160" i="2"/>
  <c r="L97" i="2"/>
  <c r="L600" i="2"/>
  <c r="L64" i="2"/>
  <c r="L131" i="2"/>
  <c r="L975" i="2"/>
  <c r="L70" i="2"/>
  <c r="L856" i="2"/>
  <c r="L212" i="2"/>
  <c r="L213" i="2"/>
  <c r="L857" i="2"/>
  <c r="L720" i="2"/>
  <c r="L974" i="2"/>
  <c r="L653" i="2"/>
  <c r="L840" i="2"/>
  <c r="L767" i="2"/>
  <c r="L343" i="2"/>
  <c r="L598" i="2"/>
  <c r="L337" i="2"/>
  <c r="L92" i="2"/>
  <c r="L93" i="2"/>
  <c r="L721" i="2"/>
  <c r="L1010" i="2"/>
  <c r="L314" i="2"/>
  <c r="L783" i="2"/>
  <c r="L652" i="2"/>
  <c r="L562" i="2"/>
  <c r="L315" i="2"/>
  <c r="L316" i="2"/>
  <c r="L853" i="2"/>
  <c r="L313" i="2"/>
  <c r="L763" i="2"/>
  <c r="L796" i="2"/>
  <c r="L852" i="2"/>
  <c r="L797" i="2"/>
  <c r="L288" i="2"/>
  <c r="L847" i="2"/>
  <c r="L758" i="2"/>
  <c r="L243" i="2"/>
  <c r="L1002" i="2"/>
  <c r="L1001" i="2"/>
  <c r="L615" i="2"/>
  <c r="L209" i="2"/>
  <c r="L968" i="2"/>
  <c r="L804" i="2"/>
  <c r="L803" i="2"/>
  <c r="L805" i="2"/>
  <c r="L151" i="2"/>
  <c r="L802" i="2"/>
  <c r="L264" i="2"/>
  <c r="L937" i="2"/>
  <c r="L610" i="2"/>
  <c r="L648" i="2"/>
  <c r="L787" i="2"/>
  <c r="L786" i="2"/>
  <c r="L255" i="2"/>
  <c r="L268" i="2"/>
  <c r="L894" i="2"/>
  <c r="L887" i="2"/>
  <c r="L247" i="2"/>
  <c r="L942" i="2"/>
  <c r="L163" i="2"/>
  <c r="L36" i="2"/>
  <c r="L38" i="2"/>
  <c r="L270" i="2"/>
  <c r="L162" i="2"/>
  <c r="L266" i="2"/>
  <c r="L16" i="2"/>
  <c r="L258" i="2"/>
  <c r="L779" i="2"/>
  <c r="L147" i="2"/>
  <c r="L622" i="2"/>
  <c r="L73" i="2"/>
  <c r="L884" i="2"/>
  <c r="L664" i="2"/>
  <c r="L861" i="2"/>
  <c r="L864" i="2"/>
  <c r="L251" i="2"/>
  <c r="L816" i="2"/>
  <c r="L244" i="2"/>
  <c r="L138" i="2"/>
  <c r="L820" i="2"/>
  <c r="L959" i="2"/>
  <c r="L958" i="2"/>
  <c r="L967" i="2"/>
  <c r="L960" i="2"/>
  <c r="L893" i="2"/>
  <c r="L829" i="2"/>
  <c r="L941" i="2"/>
  <c r="L669" i="2"/>
  <c r="L831" i="2"/>
  <c r="L801" i="2"/>
  <c r="L613" i="2"/>
  <c r="L835" i="2"/>
  <c r="L129" i="2"/>
  <c r="L952" i="2"/>
  <c r="L165" i="2"/>
  <c r="L715" i="2"/>
  <c r="L245" i="2"/>
  <c r="L862" i="2"/>
  <c r="L250" i="2"/>
  <c r="L260" i="2"/>
  <c r="L551" i="2"/>
  <c r="L714" i="2"/>
  <c r="L716" i="2"/>
  <c r="L140" i="2"/>
  <c r="L830" i="2"/>
  <c r="L63" i="2"/>
  <c r="L139" i="2"/>
  <c r="L62" i="2"/>
  <c r="L832" i="2"/>
  <c r="L593" i="2"/>
  <c r="L246" i="2"/>
  <c r="L253" i="2"/>
  <c r="L254" i="2"/>
  <c r="L249" i="2"/>
  <c r="L216" i="2"/>
  <c r="L261" i="2"/>
  <c r="L252" i="2"/>
  <c r="L263" i="2"/>
  <c r="L778" i="2"/>
  <c r="L248" i="2"/>
  <c r="L218" i="2"/>
  <c r="L262" i="2"/>
  <c r="L217" i="2"/>
  <c r="L256" i="2"/>
  <c r="L769" i="2"/>
  <c r="L826" i="2"/>
  <c r="L257" i="2"/>
  <c r="L728" i="2"/>
  <c r="L609" i="2"/>
  <c r="L538" i="2"/>
  <c r="L133" i="2"/>
  <c r="L841" i="2"/>
  <c r="L844" i="2"/>
  <c r="L134" i="2"/>
  <c r="L31" i="2"/>
  <c r="L799" i="2"/>
  <c r="L1022" i="2"/>
  <c r="L60" i="2"/>
  <c r="L882" i="2"/>
  <c r="L586" i="2"/>
  <c r="L825" i="2"/>
  <c r="L749" i="2"/>
  <c r="L1003" i="2"/>
  <c r="L219" i="2"/>
  <c r="L539" i="2"/>
  <c r="L61" i="2"/>
  <c r="L800" i="2"/>
  <c r="L540" i="2"/>
  <c r="L537" i="2"/>
  <c r="L859" i="2"/>
  <c r="L161" i="2"/>
  <c r="L836" i="2"/>
  <c r="L645" i="2"/>
  <c r="L761" i="2"/>
  <c r="L534" i="2"/>
  <c r="L536" i="2"/>
  <c r="L954" i="2"/>
  <c r="L956" i="2"/>
  <c r="L957" i="2"/>
  <c r="L75" i="2"/>
  <c r="L77" i="2"/>
  <c r="L79" i="2"/>
  <c r="L642" i="2"/>
  <c r="L752" i="2"/>
  <c r="L84" i="2"/>
  <c r="L74" i="2"/>
  <c r="L78" i="2"/>
  <c r="L80" i="2"/>
  <c r="L913" i="2"/>
  <c r="L376" i="2"/>
  <c r="L377" i="2"/>
  <c r="L360" i="2"/>
  <c r="L378" i="2"/>
  <c r="L379" i="2"/>
  <c r="L5" i="2"/>
  <c r="L365" i="2"/>
  <c r="L361" i="2"/>
  <c r="L362" i="2"/>
  <c r="L363" i="2"/>
  <c r="L364" i="2"/>
  <c r="L350" i="2"/>
  <c r="L906" i="2"/>
  <c r="L722" i="2"/>
  <c r="L351" i="2"/>
  <c r="L352" i="2"/>
  <c r="L353" i="2"/>
  <c r="L345" i="2"/>
  <c r="L788" i="2"/>
  <c r="L977" i="2"/>
  <c r="L346" i="2"/>
  <c r="L130" i="2"/>
  <c r="L68" i="2"/>
  <c r="L881" i="2"/>
  <c r="L340" i="2"/>
  <c r="L902" i="2"/>
  <c r="L341" i="2"/>
  <c r="L319" i="2"/>
  <c r="L320" i="2"/>
  <c r="L321" i="2"/>
  <c r="L327" i="2"/>
  <c r="L322" i="2"/>
  <c r="L323" i="2"/>
  <c r="L324" i="2"/>
  <c r="L326" i="2"/>
  <c r="L325" i="2"/>
  <c r="L900" i="2"/>
  <c r="L297" i="2"/>
  <c r="L877" i="2"/>
  <c r="L301" i="2"/>
  <c r="L878" i="2"/>
  <c r="L971" i="2"/>
  <c r="L328" i="2"/>
  <c r="L3" i="2"/>
  <c r="L1006" i="2"/>
  <c r="L302" i="2"/>
  <c r="L303" i="2"/>
  <c r="L304" i="2"/>
  <c r="L560" i="2"/>
  <c r="L298" i="2"/>
  <c r="L296" i="2"/>
  <c r="L299" i="2"/>
  <c r="L300" i="2"/>
  <c r="L643" i="2"/>
  <c r="L872" i="2"/>
  <c r="L169" i="2"/>
  <c r="L283" i="2"/>
  <c r="L2" i="2"/>
  <c r="L897" i="2"/>
  <c r="L759" i="2"/>
  <c r="L848" i="2"/>
  <c r="L284" i="2"/>
  <c r="L281" i="2"/>
  <c r="L282" i="2"/>
  <c r="L280" i="2"/>
  <c r="L869" i="2"/>
  <c r="L273" i="2"/>
  <c r="L845" i="2"/>
  <c r="L557" i="2"/>
  <c r="L272" i="2"/>
  <c r="L866" i="2"/>
  <c r="L271" i="2"/>
  <c r="L226" i="2"/>
  <c r="L895" i="2"/>
  <c r="L222" i="2"/>
  <c r="L553" i="2"/>
  <c r="L229" i="2"/>
  <c r="L595" i="2"/>
  <c r="L224" i="2"/>
  <c r="L890" i="2"/>
  <c r="L231" i="2"/>
  <c r="L594" i="2"/>
  <c r="L33" i="2"/>
  <c r="L234" i="2"/>
  <c r="L774" i="2"/>
  <c r="L863" i="2"/>
  <c r="L233" i="2"/>
  <c r="L549" i="2"/>
  <c r="L953" i="2"/>
  <c r="L891" i="2"/>
  <c r="L612" i="2"/>
  <c r="L145" i="2"/>
  <c r="L232" i="2"/>
  <c r="L228" i="2"/>
  <c r="L548" i="2"/>
  <c r="L137" i="2"/>
  <c r="L592" i="2"/>
  <c r="L223" i="2"/>
  <c r="L236" i="2"/>
  <c r="L237" i="2"/>
  <c r="L225" i="2"/>
  <c r="L239" i="2"/>
  <c r="L235" i="2"/>
  <c r="L772" i="2"/>
  <c r="L221" i="2"/>
  <c r="L227" i="2"/>
  <c r="L238" i="2"/>
  <c r="L771" i="2"/>
  <c r="L230" i="2"/>
  <c r="L545" i="2"/>
  <c r="L136" i="2"/>
  <c r="L606" i="2"/>
  <c r="L843" i="2"/>
  <c r="L34" i="2"/>
  <c r="L883" i="2"/>
  <c r="L1004" i="2"/>
  <c r="L220" i="2"/>
  <c r="L543" i="2"/>
  <c r="L544" i="2"/>
  <c r="L860" i="2"/>
  <c r="L775" i="2"/>
  <c r="L773" i="2"/>
  <c r="L924" i="2"/>
  <c r="L691" i="2"/>
  <c r="L690" i="2"/>
  <c r="L124" i="2"/>
  <c r="L684" i="2"/>
  <c r="L114" i="2"/>
  <c r="L677" i="2"/>
  <c r="L104" i="2"/>
  <c r="L105" i="2"/>
  <c r="L44" i="2"/>
  <c r="L907" i="2"/>
  <c r="L618" i="2"/>
  <c r="L259" i="2"/>
  <c r="L202" i="2"/>
  <c r="L617" i="2"/>
  <c r="L611" i="2"/>
  <c r="L649" i="2"/>
  <c r="L37" i="2"/>
  <c r="L17" i="2"/>
  <c r="L885" i="2"/>
  <c r="L963" i="2"/>
  <c r="L817" i="2"/>
  <c r="L665" i="2"/>
  <c r="L141" i="2"/>
  <c r="L552" i="2"/>
  <c r="L962" i="2"/>
  <c r="L966" i="2"/>
  <c r="L833" i="2"/>
  <c r="L834" i="2"/>
  <c r="L961" i="2"/>
  <c r="L614" i="2"/>
  <c r="L965" i="2"/>
  <c r="L717" i="2"/>
  <c r="L964" i="2"/>
  <c r="L85" i="2"/>
  <c r="L146" i="2"/>
  <c r="L770" i="2"/>
  <c r="L542" i="2"/>
  <c r="L842" i="2"/>
  <c r="L951" i="2"/>
  <c r="L135" i="2"/>
  <c r="L32" i="2"/>
  <c r="L657" i="2"/>
  <c r="L541" i="2"/>
  <c r="L780" i="2"/>
  <c r="L837" i="2"/>
  <c r="L695" i="2"/>
  <c r="L696" i="2"/>
  <c r="L694" i="2"/>
  <c r="L693" i="2"/>
  <c r="L123" i="2"/>
  <c r="L125" i="2"/>
  <c r="L687" i="2"/>
  <c r="L685" i="2"/>
  <c r="L115" i="2"/>
  <c r="L116" i="2"/>
  <c r="L117" i="2"/>
  <c r="L681" i="2"/>
  <c r="L680" i="2"/>
  <c r="L678" i="2"/>
  <c r="L113" i="2"/>
  <c r="L106" i="2"/>
  <c r="L107" i="2"/>
  <c r="L108" i="2"/>
  <c r="L1016" i="2"/>
  <c r="L109" i="2"/>
  <c r="L110" i="2"/>
  <c r="L672" i="2"/>
  <c r="L99" i="2"/>
  <c r="L390" i="2"/>
  <c r="L575" i="2"/>
  <c r="L576" i="2"/>
  <c r="L655" i="2"/>
  <c r="L143" i="2"/>
  <c r="L367" i="2"/>
  <c r="L904" i="2"/>
  <c r="L905" i="2"/>
  <c r="L96" i="2"/>
  <c r="L90" i="2"/>
  <c r="L1007" i="2"/>
  <c r="L40" i="2"/>
  <c r="L39" i="2"/>
  <c r="L561" i="2"/>
  <c r="L171" i="2"/>
  <c r="L556" i="2"/>
  <c r="L662" i="2"/>
  <c r="L663" i="2"/>
  <c r="L934" i="2"/>
  <c r="L935" i="2"/>
  <c r="L888" i="2"/>
  <c r="L889" i="2"/>
  <c r="L87" i="2"/>
  <c r="L671" i="2"/>
  <c r="L828" i="2"/>
  <c r="L550" i="2"/>
  <c r="L88" i="2"/>
  <c r="L670" i="2"/>
  <c r="L604" i="2"/>
  <c r="L605" i="2"/>
  <c r="L83" i="2"/>
  <c r="L240" i="2"/>
  <c r="L29" i="2"/>
  <c r="L30" i="2"/>
  <c r="L661" i="2"/>
  <c r="L659" i="2"/>
  <c r="L660" i="2"/>
  <c r="L547" i="2"/>
  <c r="L821" i="2"/>
  <c r="L354" i="2"/>
  <c r="L274" i="2"/>
  <c r="L56" i="2"/>
  <c r="L58" i="2"/>
  <c r="L187" i="2"/>
  <c r="L200" i="2"/>
  <c r="L185" i="2"/>
  <c r="L126" i="2"/>
  <c r="L28" i="2"/>
  <c r="L89" i="2"/>
  <c r="L111" i="2"/>
  <c r="L100" i="2"/>
  <c r="L101" i="2"/>
  <c r="L947" i="2"/>
  <c r="L98" i="2"/>
  <c r="L567" i="2"/>
  <c r="L215" i="2"/>
  <c r="L20" i="2"/>
  <c r="L21" i="2"/>
  <c r="L22" i="2"/>
  <c r="L23" i="2"/>
  <c r="L24" i="2"/>
  <c r="L176" i="2"/>
  <c r="L173" i="2"/>
  <c r="L174" i="2"/>
  <c r="L175" i="2"/>
  <c r="L705" i="2"/>
  <c r="L706" i="2"/>
  <c r="L9" i="2"/>
  <c r="L12" i="2"/>
  <c r="L703" i="2"/>
  <c r="L701" i="2"/>
  <c r="L532" i="2"/>
  <c r="L533" i="2"/>
  <c r="L931" i="2"/>
  <c r="L528" i="2"/>
  <c r="L7" i="2"/>
  <c r="L8" i="2"/>
  <c r="L525" i="2"/>
  <c r="L527" i="2"/>
  <c r="L945" i="2"/>
  <c r="L522" i="2"/>
  <c r="L519" i="2"/>
  <c r="L518" i="2"/>
  <c r="L516" i="2"/>
  <c r="L514" i="2"/>
  <c r="L512" i="2"/>
  <c r="L508" i="2"/>
  <c r="L923" i="2"/>
  <c r="L507" i="2"/>
  <c r="L792" i="2"/>
  <c r="L793" i="2"/>
  <c r="L118" i="2"/>
  <c r="L998" i="2"/>
  <c r="L505" i="2"/>
  <c r="L996" i="2"/>
  <c r="L995" i="2"/>
  <c r="L997" i="2"/>
  <c r="L922" i="2"/>
  <c r="L500" i="2"/>
  <c r="L503" i="2"/>
  <c r="L501" i="2"/>
  <c r="L679" i="2"/>
  <c r="L988" i="2"/>
  <c r="L991" i="2"/>
  <c r="L1021" i="2"/>
  <c r="L1019" i="2"/>
  <c r="L992" i="2"/>
  <c r="L993" i="2"/>
  <c r="L989" i="2"/>
  <c r="L499" i="2"/>
  <c r="L917" i="2"/>
  <c r="L918" i="2"/>
  <c r="L985" i="2"/>
  <c r="L1005" i="2"/>
  <c r="L448" i="2"/>
  <c r="L481" i="2"/>
  <c r="L1017" i="2"/>
  <c r="L1013" i="2"/>
  <c r="L623" i="2"/>
  <c r="L1018" i="2"/>
  <c r="L449" i="2"/>
  <c r="L67" i="2"/>
  <c r="L482" i="2"/>
  <c r="L483" i="2"/>
  <c r="L495" i="2"/>
  <c r="L484" i="2"/>
  <c r="L496" i="2"/>
  <c r="L485" i="2"/>
  <c r="L486" i="2"/>
  <c r="L487" i="2"/>
  <c r="L488" i="2"/>
  <c r="L489" i="2"/>
  <c r="L490" i="2"/>
  <c r="L784" i="2"/>
  <c r="L450" i="2"/>
  <c r="L451" i="2"/>
  <c r="L452" i="2"/>
  <c r="L1012" i="2"/>
  <c r="L453" i="2"/>
  <c r="L454" i="2"/>
  <c r="L49" i="2"/>
  <c r="L455" i="2"/>
  <c r="L473" i="2"/>
  <c r="L456" i="2"/>
  <c r="L457" i="2"/>
  <c r="L458" i="2"/>
  <c r="L459" i="2"/>
  <c r="L460" i="2"/>
  <c r="L461" i="2"/>
  <c r="L462" i="2"/>
  <c r="L585" i="2"/>
  <c r="L463" i="2"/>
  <c r="L464" i="2"/>
  <c r="L465" i="2"/>
  <c r="L466" i="2"/>
  <c r="L467" i="2"/>
  <c r="L468" i="2"/>
  <c r="L474" i="2"/>
  <c r="L469" i="2"/>
  <c r="L943" i="2"/>
  <c r="L407" i="2"/>
  <c r="L948" i="2"/>
  <c r="L426" i="2"/>
  <c r="L427" i="2"/>
  <c r="L408" i="2"/>
  <c r="L409" i="2"/>
  <c r="L410" i="2"/>
  <c r="L428" i="2"/>
  <c r="L411" i="2"/>
  <c r="L412" i="2"/>
  <c r="L413" i="2"/>
  <c r="L414" i="2"/>
  <c r="L415" i="2"/>
  <c r="L429" i="2"/>
  <c r="L416" i="2"/>
  <c r="L417" i="2"/>
  <c r="L418" i="2"/>
  <c r="L419" i="2"/>
  <c r="L430" i="2"/>
  <c r="L420" i="2"/>
  <c r="L421" i="2"/>
  <c r="L386" i="2"/>
  <c r="L819" i="2"/>
  <c r="L45" i="2"/>
  <c r="L577" i="2"/>
  <c r="L578" i="2"/>
  <c r="L568" i="2"/>
  <c r="L579" i="2"/>
  <c r="L580" i="2"/>
  <c r="L569" i="2"/>
  <c r="L914" i="2"/>
  <c r="L656" i="2"/>
  <c r="L144" i="2"/>
  <c r="L790" i="2"/>
  <c r="L581" i="2"/>
  <c r="L46" i="2"/>
  <c r="L912" i="2"/>
  <c r="L915" i="2"/>
  <c r="L380" i="2"/>
  <c r="L381" i="2"/>
  <c r="L387" i="2"/>
  <c r="L157" i="2"/>
  <c r="L382" i="2"/>
  <c r="L383" i="2"/>
  <c r="L388" i="2"/>
  <c r="L4" i="2"/>
  <c r="L6" i="2"/>
  <c r="L389" i="2"/>
  <c r="L908" i="2"/>
  <c r="L208" i="2"/>
  <c r="L818" i="2"/>
  <c r="L359" i="2"/>
  <c r="L25" i="2"/>
  <c r="L26" i="2"/>
  <c r="L590" i="2"/>
  <c r="L978" i="2"/>
  <c r="L979" i="2"/>
  <c r="L204" i="2"/>
  <c r="L372" i="2"/>
  <c r="L368" i="2"/>
  <c r="L373" i="2"/>
  <c r="L369" i="2"/>
  <c r="L374" i="2"/>
  <c r="L370" i="2"/>
  <c r="L366" i="2"/>
  <c r="L155" i="2"/>
  <c r="L371" i="2"/>
  <c r="L156" i="2"/>
  <c r="L620" i="2"/>
  <c r="L355" i="2"/>
  <c r="L65" i="2"/>
  <c r="L565" i="2"/>
  <c r="L815" i="2"/>
  <c r="L723" i="2"/>
  <c r="L909" i="2"/>
  <c r="L154" i="2"/>
  <c r="L724" i="2"/>
  <c r="L356" i="2"/>
  <c r="L357" i="2"/>
  <c r="L358" i="2"/>
  <c r="L72" i="2"/>
  <c r="L938" i="2"/>
  <c r="L348" i="2"/>
  <c r="L813" i="2"/>
  <c r="L789" i="2"/>
  <c r="L159" i="2"/>
  <c r="L95" i="2"/>
  <c r="L812" i="2"/>
  <c r="L814" i="2"/>
  <c r="L132" i="2"/>
  <c r="L347" i="2"/>
  <c r="L349" i="2"/>
  <c r="L976" i="2"/>
  <c r="L71" i="2"/>
  <c r="L69" i="2"/>
  <c r="L880" i="2"/>
  <c r="L811" i="2"/>
  <c r="L210" i="2"/>
  <c r="L854" i="2"/>
  <c r="L858" i="2"/>
  <c r="L211" i="2"/>
  <c r="L599" i="2"/>
  <c r="L619" i="2"/>
  <c r="L855" i="2"/>
  <c r="L810" i="2"/>
  <c r="L589" i="2"/>
  <c r="L903" i="2"/>
  <c r="L344" i="2"/>
  <c r="L588" i="2"/>
  <c r="L329" i="2"/>
  <c r="L838" i="2"/>
  <c r="L839" i="2"/>
  <c r="L766" i="2"/>
  <c r="L342" i="2"/>
  <c r="L768" i="2"/>
  <c r="L597" i="2"/>
  <c r="L330" i="2"/>
  <c r="L331" i="2"/>
  <c r="L332" i="2"/>
  <c r="L338" i="2"/>
  <c r="L333" i="2"/>
  <c r="L339" i="2"/>
  <c r="L318" i="2"/>
  <c r="L334" i="2"/>
  <c r="L335" i="2"/>
  <c r="L901" i="2"/>
  <c r="L899" i="2"/>
  <c r="L153" i="2"/>
  <c r="L308" i="2"/>
  <c r="L879" i="2"/>
  <c r="L875" i="2"/>
  <c r="L309" i="2"/>
  <c r="L808" i="2"/>
  <c r="L876" i="2"/>
  <c r="L972" i="2"/>
  <c r="L809" i="2"/>
  <c r="L336" i="2"/>
  <c r="L91" i="2"/>
  <c r="L563" i="2"/>
  <c r="L1008" i="2"/>
  <c r="L42" i="2"/>
  <c r="L43" i="2"/>
  <c r="L719" i="2"/>
  <c r="L1009" i="2"/>
  <c r="L294" i="2"/>
  <c r="L310" i="2"/>
  <c r="L782" i="2"/>
  <c r="L651" i="2"/>
  <c r="L559" i="2"/>
  <c r="L564" i="2"/>
  <c r="L311" i="2"/>
  <c r="L312" i="2"/>
  <c r="L307" i="2"/>
  <c r="L317" i="2"/>
  <c r="L295" i="2"/>
  <c r="L849" i="2"/>
  <c r="L291" i="2"/>
  <c r="L646" i="2"/>
  <c r="L873" i="2"/>
  <c r="L871" i="2"/>
  <c r="L170" i="2"/>
  <c r="L293" i="2"/>
  <c r="L718" i="2"/>
  <c r="L898" i="2"/>
  <c r="L851" i="2"/>
  <c r="L285" i="2"/>
  <c r="L762" i="2"/>
  <c r="L290" i="2"/>
  <c r="L850" i="2"/>
  <c r="L795" i="2"/>
  <c r="L286" i="2"/>
  <c r="L292" i="2"/>
  <c r="L289" i="2"/>
  <c r="L287" i="2"/>
  <c r="L868" i="2"/>
  <c r="L870" i="2"/>
  <c r="L168" i="2"/>
  <c r="L949" i="2"/>
  <c r="L846" i="2"/>
  <c r="L18" i="2"/>
  <c r="L555" i="2"/>
  <c r="L558" i="2"/>
  <c r="L757" i="2"/>
  <c r="L970" i="2"/>
  <c r="L806" i="2"/>
  <c r="L596" i="2"/>
  <c r="L807" i="2"/>
  <c r="L277" i="2"/>
  <c r="L865" i="2"/>
  <c r="L867" i="2"/>
  <c r="L969" i="2"/>
  <c r="L278" i="2"/>
  <c r="L279" i="2"/>
  <c r="L152" i="2"/>
  <c r="L150" i="2"/>
  <c r="L265" i="2"/>
  <c r="L269" i="2"/>
  <c r="L242" i="2"/>
  <c r="L267" i="2"/>
  <c r="L616" i="2"/>
  <c r="L896" i="2"/>
  <c r="L241" i="2"/>
  <c r="L554" i="2"/>
  <c r="L201" i="2"/>
  <c r="L750" i="2"/>
  <c r="D751" i="2"/>
  <c r="D776" i="2"/>
  <c r="D639" i="2"/>
  <c r="D635" i="2"/>
  <c r="D707" i="2"/>
  <c r="D636" i="2"/>
  <c r="D637" i="2"/>
  <c r="D11" i="2"/>
  <c r="D638" i="2"/>
  <c r="D702" i="2"/>
  <c r="D932" i="2"/>
  <c r="D711" i="2"/>
  <c r="D712" i="2"/>
  <c r="D634" i="2"/>
  <c r="D710" i="2"/>
  <c r="D929" i="2"/>
  <c r="D930" i="2"/>
  <c r="D928" i="2"/>
  <c r="D748" i="2"/>
  <c r="D633" i="2"/>
  <c r="D57" i="2"/>
  <c r="D632" i="2"/>
  <c r="D926" i="2"/>
  <c r="D629" i="2"/>
  <c r="D630" i="2"/>
  <c r="D199" i="2"/>
  <c r="D626" i="2"/>
  <c r="D55" i="2"/>
  <c r="D54" i="2"/>
  <c r="D627" i="2"/>
  <c r="D198" i="2"/>
  <c r="D194" i="2"/>
  <c r="D195" i="2"/>
  <c r="D196" i="2"/>
  <c r="D197" i="2"/>
  <c r="D625" i="2"/>
  <c r="D697" i="2"/>
  <c r="D698" i="2"/>
  <c r="D692" i="2"/>
  <c r="D122" i="2"/>
  <c r="D193" i="2"/>
  <c r="D191" i="2"/>
  <c r="D192" i="2"/>
  <c r="D52" i="2"/>
  <c r="D189" i="2"/>
  <c r="D920" i="2"/>
  <c r="D50" i="2"/>
  <c r="D51" i="2"/>
  <c r="D676" i="2"/>
  <c r="D675" i="2"/>
  <c r="D741" i="2"/>
  <c r="D186" i="2"/>
  <c r="D405" i="2"/>
  <c r="D406" i="2"/>
  <c r="D574" i="2"/>
  <c r="D181" i="2"/>
  <c r="D184" i="2"/>
  <c r="D180" i="2"/>
  <c r="D206" i="2"/>
  <c r="D207" i="2"/>
  <c r="D214" i="2"/>
  <c r="D203" i="2"/>
  <c r="D19" i="2"/>
  <c r="D182" i="2"/>
  <c r="D183" i="2"/>
  <c r="D178" i="2"/>
  <c r="D142" i="2"/>
  <c r="D179" i="2"/>
  <c r="D765" i="2"/>
  <c r="D973" i="2"/>
  <c r="D306" i="2"/>
  <c r="D305" i="2"/>
  <c r="D177" i="2"/>
  <c r="D650" i="2"/>
  <c r="D166" i="2"/>
  <c r="D167" i="2"/>
  <c r="D756" i="2"/>
  <c r="D275" i="2"/>
  <c r="D276" i="2"/>
  <c r="D587" i="2"/>
  <c r="D546" i="2"/>
  <c r="D640" i="2"/>
  <c r="D1000" i="2"/>
  <c r="D933" i="2"/>
  <c r="D15" i="2"/>
  <c r="D13" i="2"/>
  <c r="D704" i="2"/>
  <c r="D823" i="2"/>
  <c r="D713" i="2"/>
  <c r="D631" i="2"/>
  <c r="D628" i="2"/>
  <c r="D700" i="2"/>
  <c r="D689" i="2"/>
  <c r="D120" i="2"/>
  <c r="D121" i="2"/>
  <c r="D683" i="2"/>
  <c r="D682" i="2"/>
  <c r="D674" i="2"/>
  <c r="D103" i="2"/>
  <c r="D94" i="2"/>
  <c r="D798" i="2"/>
  <c r="D731" i="2"/>
  <c r="D149" i="2"/>
  <c r="D886" i="2"/>
  <c r="D148" i="2"/>
  <c r="D668" i="2"/>
  <c r="D666" i="2"/>
  <c r="D667" i="2"/>
  <c r="D10" i="2"/>
  <c r="D531" i="2"/>
  <c r="D529" i="2"/>
  <c r="D530" i="2"/>
  <c r="D526" i="2"/>
  <c r="D523" i="2"/>
  <c r="D521" i="2"/>
  <c r="D520" i="2"/>
  <c r="D517" i="2"/>
  <c r="D515" i="2"/>
  <c r="D509" i="2"/>
  <c r="D511" i="2"/>
  <c r="D510" i="2"/>
  <c r="D950" i="2"/>
  <c r="D506" i="2"/>
  <c r="D504" i="2"/>
  <c r="D994" i="2"/>
  <c r="D986" i="2"/>
  <c r="D497" i="2"/>
  <c r="D1020" i="2"/>
  <c r="D987" i="2"/>
  <c r="D498" i="2"/>
  <c r="D431" i="2"/>
  <c r="D1014" i="2"/>
  <c r="D1015" i="2"/>
  <c r="D432" i="2"/>
  <c r="D475" i="2"/>
  <c r="D476" i="2"/>
  <c r="D480" i="2"/>
  <c r="D477" i="2"/>
  <c r="D478" i="2"/>
  <c r="D479" i="2"/>
  <c r="D443" i="2"/>
  <c r="D1011" i="2"/>
  <c r="D433" i="2"/>
  <c r="D434" i="2"/>
  <c r="D444" i="2"/>
  <c r="D435" i="2"/>
  <c r="D436" i="2"/>
  <c r="D584" i="2"/>
  <c r="D445" i="2"/>
  <c r="D446" i="2"/>
  <c r="D437" i="2"/>
  <c r="D438" i="2"/>
  <c r="D439" i="2"/>
  <c r="D440" i="2"/>
  <c r="D447" i="2"/>
  <c r="D441" i="2"/>
  <c r="D442" i="2"/>
  <c r="D391" i="2"/>
  <c r="D402" i="2"/>
  <c r="D392" i="2"/>
  <c r="D393" i="2"/>
  <c r="D394" i="2"/>
  <c r="D395" i="2"/>
  <c r="D396" i="2"/>
  <c r="D397" i="2"/>
  <c r="D398" i="2"/>
  <c r="D399" i="2"/>
  <c r="D403" i="2"/>
  <c r="D400" i="2"/>
  <c r="D401" i="2"/>
  <c r="D404" i="2"/>
  <c r="D375" i="2"/>
  <c r="D573" i="2"/>
  <c r="D570" i="2"/>
  <c r="D571" i="2"/>
  <c r="D572" i="2"/>
  <c r="D654" i="2"/>
  <c r="D647" i="2"/>
  <c r="D764" i="2"/>
  <c r="D41" i="2"/>
  <c r="D781" i="2"/>
  <c r="D644" i="2"/>
  <c r="D874" i="2"/>
  <c r="D172" i="2"/>
  <c r="D760" i="2"/>
  <c r="D535" i="2"/>
  <c r="D164" i="2"/>
  <c r="D658" i="2"/>
  <c r="D936" i="2"/>
  <c r="D955" i="2"/>
  <c r="D892" i="2"/>
  <c r="D827" i="2"/>
  <c r="D785" i="2"/>
  <c r="D86" i="2"/>
  <c r="D607" i="2"/>
  <c r="D608" i="2"/>
  <c r="D82" i="2"/>
  <c r="D76" i="2"/>
  <c r="D641" i="2"/>
  <c r="D753" i="2"/>
  <c r="D81" i="2"/>
  <c r="D35" i="2"/>
  <c r="D754" i="2"/>
  <c r="D755" i="2"/>
  <c r="D777" i="2"/>
  <c r="D14" i="2"/>
  <c r="D824" i="2"/>
  <c r="D822" i="2"/>
  <c r="D128" i="2"/>
  <c r="D59" i="2"/>
  <c r="D524" i="2"/>
  <c r="D709" i="2"/>
  <c r="D946" i="2"/>
  <c r="D927" i="2"/>
  <c r="D944" i="2"/>
  <c r="D925" i="2"/>
  <c r="D708" i="2"/>
  <c r="D127" i="2"/>
  <c r="D53" i="2"/>
  <c r="D699" i="2"/>
  <c r="D513" i="2"/>
  <c r="D688" i="2"/>
  <c r="D686" i="2"/>
  <c r="D794" i="2"/>
  <c r="D119" i="2"/>
  <c r="D999" i="2"/>
  <c r="D190" i="2"/>
  <c r="D502" i="2"/>
  <c r="D921" i="2"/>
  <c r="D990" i="2"/>
  <c r="D919" i="2"/>
  <c r="D981" i="2"/>
  <c r="D982" i="2"/>
  <c r="D112" i="2"/>
  <c r="D983" i="2"/>
  <c r="D624" i="2"/>
  <c r="D470" i="2"/>
  <c r="D984" i="2"/>
  <c r="D491" i="2"/>
  <c r="D492" i="2"/>
  <c r="D493" i="2"/>
  <c r="D494" i="2"/>
  <c r="D471" i="2"/>
  <c r="D980" i="2"/>
  <c r="D472" i="2"/>
  <c r="D188" i="2"/>
  <c r="D673" i="2"/>
  <c r="D102" i="2"/>
  <c r="D422" i="2"/>
  <c r="D423" i="2"/>
  <c r="D424" i="2"/>
  <c r="D425" i="2"/>
  <c r="D47" i="2"/>
  <c r="D582" i="2"/>
  <c r="D916" i="2"/>
  <c r="D791" i="2"/>
  <c r="D583" i="2"/>
  <c r="D48" i="2"/>
  <c r="D158" i="2"/>
  <c r="D384" i="2"/>
  <c r="D727" i="2"/>
  <c r="D385" i="2"/>
  <c r="D910" i="2"/>
  <c r="D27" i="2"/>
  <c r="D591" i="2"/>
  <c r="D205" i="2"/>
  <c r="D621" i="2"/>
  <c r="D603" i="2"/>
  <c r="D66" i="2"/>
  <c r="D566" i="2"/>
  <c r="D725" i="2"/>
  <c r="D911" i="2"/>
  <c r="D726" i="2"/>
  <c r="D939" i="2"/>
  <c r="D601" i="2"/>
  <c r="D602" i="2"/>
  <c r="D940" i="2"/>
  <c r="D160" i="2"/>
  <c r="D97" i="2"/>
  <c r="D600" i="2"/>
  <c r="D64" i="2"/>
  <c r="D131" i="2"/>
  <c r="D975" i="2"/>
  <c r="D70" i="2"/>
  <c r="D856" i="2"/>
  <c r="D212" i="2"/>
  <c r="D213" i="2"/>
  <c r="D857" i="2"/>
  <c r="D720" i="2"/>
  <c r="D974" i="2"/>
  <c r="D653" i="2"/>
  <c r="D840" i="2"/>
  <c r="D767" i="2"/>
  <c r="D343" i="2"/>
  <c r="D598" i="2"/>
  <c r="D337" i="2"/>
  <c r="D92" i="2"/>
  <c r="D93" i="2"/>
  <c r="D721" i="2"/>
  <c r="D1010" i="2"/>
  <c r="D314" i="2"/>
  <c r="D783" i="2"/>
  <c r="D652" i="2"/>
  <c r="D562" i="2"/>
  <c r="D315" i="2"/>
  <c r="D316" i="2"/>
  <c r="D853" i="2"/>
  <c r="D313" i="2"/>
  <c r="D763" i="2"/>
  <c r="D796" i="2"/>
  <c r="D852" i="2"/>
  <c r="D797" i="2"/>
  <c r="D288" i="2"/>
  <c r="D847" i="2"/>
  <c r="D758" i="2"/>
  <c r="D243" i="2"/>
  <c r="D1002" i="2"/>
  <c r="D1001" i="2"/>
  <c r="D615" i="2"/>
  <c r="D209" i="2"/>
  <c r="D968" i="2"/>
  <c r="D804" i="2"/>
  <c r="D803" i="2"/>
  <c r="D805" i="2"/>
  <c r="D151" i="2"/>
  <c r="D802" i="2"/>
  <c r="D264" i="2"/>
  <c r="D937" i="2"/>
  <c r="D610" i="2"/>
  <c r="D648" i="2"/>
  <c r="D787" i="2"/>
  <c r="D786" i="2"/>
  <c r="D255" i="2"/>
  <c r="D268" i="2"/>
  <c r="D894" i="2"/>
  <c r="D887" i="2"/>
  <c r="D247" i="2"/>
  <c r="D942" i="2"/>
  <c r="D163" i="2"/>
  <c r="D36" i="2"/>
  <c r="D38" i="2"/>
  <c r="D270" i="2"/>
  <c r="D162" i="2"/>
  <c r="D266" i="2"/>
  <c r="D16" i="2"/>
  <c r="D258" i="2"/>
  <c r="D779" i="2"/>
  <c r="D147" i="2"/>
  <c r="D622" i="2"/>
  <c r="D73" i="2"/>
  <c r="D884" i="2"/>
  <c r="D664" i="2"/>
  <c r="D861" i="2"/>
  <c r="D864" i="2"/>
  <c r="D251" i="2"/>
  <c r="D816" i="2"/>
  <c r="D244" i="2"/>
  <c r="D138" i="2"/>
  <c r="D820" i="2"/>
  <c r="D959" i="2"/>
  <c r="D958" i="2"/>
  <c r="D967" i="2"/>
  <c r="D960" i="2"/>
  <c r="D893" i="2"/>
  <c r="D829" i="2"/>
  <c r="D941" i="2"/>
  <c r="D669" i="2"/>
  <c r="D831" i="2"/>
  <c r="D801" i="2"/>
  <c r="D613" i="2"/>
  <c r="D835" i="2"/>
  <c r="D129" i="2"/>
  <c r="D952" i="2"/>
  <c r="D165" i="2"/>
  <c r="D715" i="2"/>
  <c r="D245" i="2"/>
  <c r="D862" i="2"/>
  <c r="D250" i="2"/>
  <c r="D260" i="2"/>
  <c r="D551" i="2"/>
  <c r="D714" i="2"/>
  <c r="D716" i="2"/>
  <c r="D140" i="2"/>
  <c r="D830" i="2"/>
  <c r="D63" i="2"/>
  <c r="D139" i="2"/>
  <c r="D62" i="2"/>
  <c r="D832" i="2"/>
  <c r="D593" i="2"/>
  <c r="D246" i="2"/>
  <c r="D253" i="2"/>
  <c r="D254" i="2"/>
  <c r="D249" i="2"/>
  <c r="D216" i="2"/>
  <c r="D261" i="2"/>
  <c r="D252" i="2"/>
  <c r="D263" i="2"/>
  <c r="D778" i="2"/>
  <c r="D248" i="2"/>
  <c r="D218" i="2"/>
  <c r="D262" i="2"/>
  <c r="D217" i="2"/>
  <c r="D256" i="2"/>
  <c r="D769" i="2"/>
  <c r="D826" i="2"/>
  <c r="D257" i="2"/>
  <c r="D728" i="2"/>
  <c r="D609" i="2"/>
  <c r="D538" i="2"/>
  <c r="D133" i="2"/>
  <c r="D841" i="2"/>
  <c r="D844" i="2"/>
  <c r="D134" i="2"/>
  <c r="D31" i="2"/>
  <c r="D799" i="2"/>
  <c r="D1022" i="2"/>
  <c r="D60" i="2"/>
  <c r="D882" i="2"/>
  <c r="D586" i="2"/>
  <c r="D825" i="2"/>
  <c r="D749" i="2"/>
  <c r="D1003" i="2"/>
  <c r="D219" i="2"/>
  <c r="D539" i="2"/>
  <c r="D61" i="2"/>
  <c r="D800" i="2"/>
  <c r="D540" i="2"/>
  <c r="D537" i="2"/>
  <c r="D859" i="2"/>
  <c r="D161" i="2"/>
  <c r="D836" i="2"/>
  <c r="D645" i="2"/>
  <c r="D761" i="2"/>
  <c r="D534" i="2"/>
  <c r="D536" i="2"/>
  <c r="D954" i="2"/>
  <c r="D956" i="2"/>
  <c r="D957" i="2"/>
  <c r="D75" i="2"/>
  <c r="D77" i="2"/>
  <c r="D79" i="2"/>
  <c r="D642" i="2"/>
  <c r="D752" i="2"/>
  <c r="D84" i="2"/>
  <c r="D74" i="2"/>
  <c r="D78" i="2"/>
  <c r="D80" i="2"/>
  <c r="D913" i="2"/>
  <c r="D376" i="2"/>
  <c r="D377" i="2"/>
  <c r="D360" i="2"/>
  <c r="D378" i="2"/>
  <c r="D379" i="2"/>
  <c r="D5" i="2"/>
  <c r="D365" i="2"/>
  <c r="D361" i="2"/>
  <c r="D362" i="2"/>
  <c r="D363" i="2"/>
  <c r="D364" i="2"/>
  <c r="D350" i="2"/>
  <c r="D906" i="2"/>
  <c r="D722" i="2"/>
  <c r="D351" i="2"/>
  <c r="D352" i="2"/>
  <c r="D353" i="2"/>
  <c r="D345" i="2"/>
  <c r="D788" i="2"/>
  <c r="D977" i="2"/>
  <c r="D346" i="2"/>
  <c r="D130" i="2"/>
  <c r="D68" i="2"/>
  <c r="D881" i="2"/>
  <c r="D340" i="2"/>
  <c r="D902" i="2"/>
  <c r="D341" i="2"/>
  <c r="D319" i="2"/>
  <c r="D320" i="2"/>
  <c r="D321" i="2"/>
  <c r="D327" i="2"/>
  <c r="D322" i="2"/>
  <c r="D323" i="2"/>
  <c r="D324" i="2"/>
  <c r="D326" i="2"/>
  <c r="D325" i="2"/>
  <c r="D900" i="2"/>
  <c r="D297" i="2"/>
  <c r="D877" i="2"/>
  <c r="D301" i="2"/>
  <c r="D878" i="2"/>
  <c r="D971" i="2"/>
  <c r="D328" i="2"/>
  <c r="D3" i="2"/>
  <c r="D1006" i="2"/>
  <c r="D302" i="2"/>
  <c r="D303" i="2"/>
  <c r="D304" i="2"/>
  <c r="D560" i="2"/>
  <c r="D298" i="2"/>
  <c r="D296" i="2"/>
  <c r="D299" i="2"/>
  <c r="D300" i="2"/>
  <c r="D643" i="2"/>
  <c r="D872" i="2"/>
  <c r="D169" i="2"/>
  <c r="D283" i="2"/>
  <c r="D2" i="2"/>
  <c r="D897" i="2"/>
  <c r="D759" i="2"/>
  <c r="D848" i="2"/>
  <c r="D284" i="2"/>
  <c r="D281" i="2"/>
  <c r="D282" i="2"/>
  <c r="D280" i="2"/>
  <c r="D869" i="2"/>
  <c r="D273" i="2"/>
  <c r="D845" i="2"/>
  <c r="D557" i="2"/>
  <c r="D272" i="2"/>
  <c r="D866" i="2"/>
  <c r="D271" i="2"/>
  <c r="D226" i="2"/>
  <c r="D895" i="2"/>
  <c r="D222" i="2"/>
  <c r="D553" i="2"/>
  <c r="D229" i="2"/>
  <c r="D595" i="2"/>
  <c r="D224" i="2"/>
  <c r="D890" i="2"/>
  <c r="D231" i="2"/>
  <c r="D594" i="2"/>
  <c r="D33" i="2"/>
  <c r="D234" i="2"/>
  <c r="D774" i="2"/>
  <c r="D863" i="2"/>
  <c r="D233" i="2"/>
  <c r="D549" i="2"/>
  <c r="D953" i="2"/>
  <c r="D891" i="2"/>
  <c r="D612" i="2"/>
  <c r="D145" i="2"/>
  <c r="D232" i="2"/>
  <c r="D228" i="2"/>
  <c r="D548" i="2"/>
  <c r="D137" i="2"/>
  <c r="D592" i="2"/>
  <c r="D223" i="2"/>
  <c r="D236" i="2"/>
  <c r="D237" i="2"/>
  <c r="D225" i="2"/>
  <c r="D239" i="2"/>
  <c r="D235" i="2"/>
  <c r="D772" i="2"/>
  <c r="D221" i="2"/>
  <c r="D227" i="2"/>
  <c r="D238" i="2"/>
  <c r="D771" i="2"/>
  <c r="D230" i="2"/>
  <c r="D545" i="2"/>
  <c r="D136" i="2"/>
  <c r="D606" i="2"/>
  <c r="D843" i="2"/>
  <c r="D34" i="2"/>
  <c r="D883" i="2"/>
  <c r="D1004" i="2"/>
  <c r="D220" i="2"/>
  <c r="D543" i="2"/>
  <c r="D544" i="2"/>
  <c r="D860" i="2"/>
  <c r="D775" i="2"/>
  <c r="D773" i="2"/>
  <c r="D924" i="2"/>
  <c r="D691" i="2"/>
  <c r="D690" i="2"/>
  <c r="D124" i="2"/>
  <c r="D684" i="2"/>
  <c r="D114" i="2"/>
  <c r="D677" i="2"/>
  <c r="D104" i="2"/>
  <c r="D105" i="2"/>
  <c r="D44" i="2"/>
  <c r="D907" i="2"/>
  <c r="D618" i="2"/>
  <c r="D259" i="2"/>
  <c r="D202" i="2"/>
  <c r="D617" i="2"/>
  <c r="D611" i="2"/>
  <c r="D649" i="2"/>
  <c r="D37" i="2"/>
  <c r="D17" i="2"/>
  <c r="D885" i="2"/>
  <c r="D963" i="2"/>
  <c r="D817" i="2"/>
  <c r="D665" i="2"/>
  <c r="D141" i="2"/>
  <c r="D552" i="2"/>
  <c r="D962" i="2"/>
  <c r="D966" i="2"/>
  <c r="D833" i="2"/>
  <c r="D834" i="2"/>
  <c r="D961" i="2"/>
  <c r="D614" i="2"/>
  <c r="D965" i="2"/>
  <c r="D717" i="2"/>
  <c r="D964" i="2"/>
  <c r="D85" i="2"/>
  <c r="D146" i="2"/>
  <c r="D770" i="2"/>
  <c r="D542" i="2"/>
  <c r="D842" i="2"/>
  <c r="D951" i="2"/>
  <c r="D135" i="2"/>
  <c r="D32" i="2"/>
  <c r="D657" i="2"/>
  <c r="D541" i="2"/>
  <c r="D780" i="2"/>
  <c r="D837" i="2"/>
  <c r="D695" i="2"/>
  <c r="D696" i="2"/>
  <c r="D694" i="2"/>
  <c r="D693" i="2"/>
  <c r="D123" i="2"/>
  <c r="D125" i="2"/>
  <c r="D687" i="2"/>
  <c r="D685" i="2"/>
  <c r="D115" i="2"/>
  <c r="D116" i="2"/>
  <c r="D117" i="2"/>
  <c r="D681" i="2"/>
  <c r="D680" i="2"/>
  <c r="D678" i="2"/>
  <c r="D113" i="2"/>
  <c r="D106" i="2"/>
  <c r="D107" i="2"/>
  <c r="D108" i="2"/>
  <c r="D1016" i="2"/>
  <c r="D109" i="2"/>
  <c r="D110" i="2"/>
  <c r="D672" i="2"/>
  <c r="D99" i="2"/>
  <c r="D390" i="2"/>
  <c r="D575" i="2"/>
  <c r="D576" i="2"/>
  <c r="D655" i="2"/>
  <c r="D143" i="2"/>
  <c r="D367" i="2"/>
  <c r="D738" i="2"/>
  <c r="D904" i="2"/>
  <c r="D905" i="2"/>
  <c r="D96" i="2"/>
  <c r="D90" i="2"/>
  <c r="D1007" i="2"/>
  <c r="D40" i="2"/>
  <c r="D39" i="2"/>
  <c r="D561" i="2"/>
  <c r="D171" i="2"/>
  <c r="D556" i="2"/>
  <c r="D662" i="2"/>
  <c r="D663" i="2"/>
  <c r="D934" i="2"/>
  <c r="D935" i="2"/>
  <c r="D888" i="2"/>
  <c r="D889" i="2"/>
  <c r="D87" i="2"/>
  <c r="D671" i="2"/>
  <c r="D828" i="2"/>
  <c r="D550" i="2"/>
  <c r="D88" i="2"/>
  <c r="D670" i="2"/>
  <c r="D604" i="2"/>
  <c r="D605" i="2"/>
  <c r="D83" i="2"/>
  <c r="D240" i="2"/>
  <c r="D729" i="2"/>
  <c r="D730" i="2"/>
  <c r="D29" i="2"/>
  <c r="D30" i="2"/>
  <c r="D661" i="2"/>
  <c r="D659" i="2"/>
  <c r="D660" i="2"/>
  <c r="D547" i="2"/>
  <c r="D821" i="2"/>
  <c r="D354" i="2"/>
  <c r="D274" i="2"/>
  <c r="D56" i="2"/>
  <c r="D58" i="2"/>
  <c r="D187" i="2"/>
  <c r="D200" i="2"/>
  <c r="D185" i="2"/>
  <c r="D126" i="2"/>
  <c r="D734" i="2"/>
  <c r="D736" i="2"/>
  <c r="D739" i="2"/>
  <c r="D743" i="2"/>
  <c r="D746" i="2"/>
  <c r="D747" i="2"/>
  <c r="D732" i="2"/>
  <c r="D742" i="2"/>
  <c r="D744" i="2"/>
  <c r="D735" i="2"/>
  <c r="D745" i="2"/>
  <c r="D28" i="2"/>
  <c r="D89" i="2"/>
  <c r="D111" i="2"/>
  <c r="D740" i="2"/>
  <c r="D100" i="2"/>
  <c r="D101" i="2"/>
  <c r="D947" i="2"/>
  <c r="D98" i="2"/>
  <c r="D567" i="2"/>
  <c r="D737" i="2"/>
  <c r="D215" i="2"/>
  <c r="D20" i="2"/>
  <c r="D21" i="2"/>
  <c r="D22" i="2"/>
  <c r="D23" i="2"/>
  <c r="D24" i="2"/>
  <c r="D176" i="2"/>
  <c r="D173" i="2"/>
  <c r="D174" i="2"/>
  <c r="D175" i="2"/>
  <c r="D733" i="2"/>
  <c r="D705" i="2"/>
  <c r="D706" i="2"/>
  <c r="D9" i="2"/>
  <c r="D12" i="2"/>
  <c r="D703" i="2"/>
  <c r="D701" i="2"/>
  <c r="D532" i="2"/>
  <c r="D533" i="2"/>
  <c r="D931" i="2"/>
  <c r="D528" i="2"/>
  <c r="D7" i="2"/>
  <c r="D8" i="2"/>
  <c r="D525" i="2"/>
  <c r="D527" i="2"/>
  <c r="D945" i="2"/>
  <c r="D522" i="2"/>
  <c r="D519" i="2"/>
  <c r="D518" i="2"/>
  <c r="D516" i="2"/>
  <c r="D514" i="2"/>
  <c r="D512" i="2"/>
  <c r="D508" i="2"/>
  <c r="D923" i="2"/>
  <c r="D507" i="2"/>
  <c r="D792" i="2"/>
  <c r="D793" i="2"/>
  <c r="D118" i="2"/>
  <c r="D998" i="2"/>
  <c r="D505" i="2"/>
  <c r="D996" i="2"/>
  <c r="D995" i="2"/>
  <c r="D997" i="2"/>
  <c r="D922" i="2"/>
  <c r="D500" i="2"/>
  <c r="D503" i="2"/>
  <c r="D501" i="2"/>
  <c r="D679" i="2"/>
  <c r="D988" i="2"/>
  <c r="D991" i="2"/>
  <c r="D1021" i="2"/>
  <c r="D1019" i="2"/>
  <c r="D992" i="2"/>
  <c r="D993" i="2"/>
  <c r="D989" i="2"/>
  <c r="D499" i="2"/>
  <c r="D917" i="2"/>
  <c r="D918" i="2"/>
  <c r="D985" i="2"/>
  <c r="D1005" i="2"/>
  <c r="D448" i="2"/>
  <c r="D481" i="2"/>
  <c r="D1017" i="2"/>
  <c r="D1013" i="2"/>
  <c r="D623" i="2"/>
  <c r="D1018" i="2"/>
  <c r="D449" i="2"/>
  <c r="D67" i="2"/>
  <c r="D482" i="2"/>
  <c r="D483" i="2"/>
  <c r="D495" i="2"/>
  <c r="D484" i="2"/>
  <c r="D496" i="2"/>
  <c r="D485" i="2"/>
  <c r="D486" i="2"/>
  <c r="D487" i="2"/>
  <c r="D488" i="2"/>
  <c r="D489" i="2"/>
  <c r="D490" i="2"/>
  <c r="D784" i="2"/>
  <c r="D450" i="2"/>
  <c r="D451" i="2"/>
  <c r="D452" i="2"/>
  <c r="D1012" i="2"/>
  <c r="D453" i="2"/>
  <c r="D454" i="2"/>
  <c r="D49" i="2"/>
  <c r="D455" i="2"/>
  <c r="D473" i="2"/>
  <c r="D456" i="2"/>
  <c r="D457" i="2"/>
  <c r="D458" i="2"/>
  <c r="D459" i="2"/>
  <c r="D460" i="2"/>
  <c r="D461" i="2"/>
  <c r="D462" i="2"/>
  <c r="D585" i="2"/>
  <c r="D463" i="2"/>
  <c r="D464" i="2"/>
  <c r="D465" i="2"/>
  <c r="D466" i="2"/>
  <c r="D467" i="2"/>
  <c r="D468" i="2"/>
  <c r="D474" i="2"/>
  <c r="D469" i="2"/>
  <c r="D943" i="2"/>
  <c r="D407" i="2"/>
  <c r="D948" i="2"/>
  <c r="D426" i="2"/>
  <c r="D427" i="2"/>
  <c r="D408" i="2"/>
  <c r="D409" i="2"/>
  <c r="D410" i="2"/>
  <c r="D428" i="2"/>
  <c r="D411" i="2"/>
  <c r="D412" i="2"/>
  <c r="D413" i="2"/>
  <c r="D414" i="2"/>
  <c r="D415" i="2"/>
  <c r="D429" i="2"/>
  <c r="D416" i="2"/>
  <c r="D417" i="2"/>
  <c r="D418" i="2"/>
  <c r="D419" i="2"/>
  <c r="D430" i="2"/>
  <c r="D420" i="2"/>
  <c r="D421" i="2"/>
  <c r="D386" i="2"/>
  <c r="D819" i="2"/>
  <c r="D45" i="2"/>
  <c r="D577" i="2"/>
  <c r="D578" i="2"/>
  <c r="D568" i="2"/>
  <c r="D579" i="2"/>
  <c r="D580" i="2"/>
  <c r="D569" i="2"/>
  <c r="D914" i="2"/>
  <c r="D656" i="2"/>
  <c r="D144" i="2"/>
  <c r="D790" i="2"/>
  <c r="D581" i="2"/>
  <c r="D46" i="2"/>
  <c r="D912" i="2"/>
  <c r="D915" i="2"/>
  <c r="D380" i="2"/>
  <c r="D381" i="2"/>
  <c r="D387" i="2"/>
  <c r="D157" i="2"/>
  <c r="D382" i="2"/>
  <c r="D383" i="2"/>
  <c r="D388" i="2"/>
  <c r="D4" i="2"/>
  <c r="D6" i="2"/>
  <c r="D389" i="2"/>
  <c r="D908" i="2"/>
  <c r="D208" i="2"/>
  <c r="D818" i="2"/>
  <c r="D359" i="2"/>
  <c r="D25" i="2"/>
  <c r="D26" i="2"/>
  <c r="D590" i="2"/>
  <c r="D978" i="2"/>
  <c r="D979" i="2"/>
  <c r="D204" i="2"/>
  <c r="D372" i="2"/>
  <c r="D368" i="2"/>
  <c r="D373" i="2"/>
  <c r="D369" i="2"/>
  <c r="D374" i="2"/>
  <c r="D370" i="2"/>
  <c r="D366" i="2"/>
  <c r="D155" i="2"/>
  <c r="D371" i="2"/>
  <c r="D156" i="2"/>
  <c r="D620" i="2"/>
  <c r="D355" i="2"/>
  <c r="D65" i="2"/>
  <c r="D565" i="2"/>
  <c r="D815" i="2"/>
  <c r="D723" i="2"/>
  <c r="D909" i="2"/>
  <c r="D154" i="2"/>
  <c r="D724" i="2"/>
  <c r="D356" i="2"/>
  <c r="D357" i="2"/>
  <c r="D358" i="2"/>
  <c r="D72" i="2"/>
  <c r="D938" i="2"/>
  <c r="D348" i="2"/>
  <c r="D813" i="2"/>
  <c r="D789" i="2"/>
  <c r="D159" i="2"/>
  <c r="D95" i="2"/>
  <c r="D812" i="2"/>
  <c r="D814" i="2"/>
  <c r="D132" i="2"/>
  <c r="D347" i="2"/>
  <c r="D349" i="2"/>
  <c r="D976" i="2"/>
  <c r="D71" i="2"/>
  <c r="D69" i="2"/>
  <c r="D880" i="2"/>
  <c r="D811" i="2"/>
  <c r="D210" i="2"/>
  <c r="D854" i="2"/>
  <c r="D858" i="2"/>
  <c r="D211" i="2"/>
  <c r="D599" i="2"/>
  <c r="D619" i="2"/>
  <c r="D855" i="2"/>
  <c r="D810" i="2"/>
  <c r="D589" i="2"/>
  <c r="D903" i="2"/>
  <c r="D344" i="2"/>
  <c r="D588" i="2"/>
  <c r="D329" i="2"/>
  <c r="D838" i="2"/>
  <c r="D839" i="2"/>
  <c r="D766" i="2"/>
  <c r="D342" i="2"/>
  <c r="D768" i="2"/>
  <c r="D597" i="2"/>
  <c r="D330" i="2"/>
  <c r="D331" i="2"/>
  <c r="D332" i="2"/>
  <c r="D338" i="2"/>
  <c r="D333" i="2"/>
  <c r="D339" i="2"/>
  <c r="D318" i="2"/>
  <c r="D334" i="2"/>
  <c r="D335" i="2"/>
  <c r="D901" i="2"/>
  <c r="D899" i="2"/>
  <c r="D153" i="2"/>
  <c r="D308" i="2"/>
  <c r="D879" i="2"/>
  <c r="D875" i="2"/>
  <c r="D309" i="2"/>
  <c r="D808" i="2"/>
  <c r="D876" i="2"/>
  <c r="D972" i="2"/>
  <c r="D809" i="2"/>
  <c r="D336" i="2"/>
  <c r="D91" i="2"/>
  <c r="D563" i="2"/>
  <c r="D1008" i="2"/>
  <c r="D42" i="2"/>
  <c r="D43" i="2"/>
  <c r="D719" i="2"/>
  <c r="D1009" i="2"/>
  <c r="D294" i="2"/>
  <c r="D310" i="2"/>
  <c r="D782" i="2"/>
  <c r="D651" i="2"/>
  <c r="D559" i="2"/>
  <c r="D564" i="2"/>
  <c r="D311" i="2"/>
  <c r="D312" i="2"/>
  <c r="D307" i="2"/>
  <c r="D317" i="2"/>
  <c r="D295" i="2"/>
  <c r="D849" i="2"/>
  <c r="D291" i="2"/>
  <c r="D646" i="2"/>
  <c r="D873" i="2"/>
  <c r="D871" i="2"/>
  <c r="D170" i="2"/>
  <c r="D293" i="2"/>
  <c r="D718" i="2"/>
  <c r="D898" i="2"/>
  <c r="D851" i="2"/>
  <c r="D285" i="2"/>
  <c r="D762" i="2"/>
  <c r="D290" i="2"/>
  <c r="D850" i="2"/>
  <c r="D795" i="2"/>
  <c r="D286" i="2"/>
  <c r="D292" i="2"/>
  <c r="D289" i="2"/>
  <c r="D287" i="2"/>
  <c r="D868" i="2"/>
  <c r="D870" i="2"/>
  <c r="D168" i="2"/>
  <c r="D949" i="2"/>
  <c r="D846" i="2"/>
  <c r="D18" i="2"/>
  <c r="D555" i="2"/>
  <c r="D558" i="2"/>
  <c r="D757" i="2"/>
  <c r="D970" i="2"/>
  <c r="D806" i="2"/>
  <c r="D596" i="2"/>
  <c r="D807" i="2"/>
  <c r="D277" i="2"/>
  <c r="D865" i="2"/>
  <c r="D867" i="2"/>
  <c r="D969" i="2"/>
  <c r="D278" i="2"/>
  <c r="D279" i="2"/>
  <c r="D152" i="2"/>
  <c r="D150" i="2"/>
  <c r="D265" i="2"/>
  <c r="D269" i="2"/>
  <c r="D242" i="2"/>
  <c r="D267" i="2"/>
  <c r="D616" i="2"/>
  <c r="D896" i="2"/>
  <c r="D241" i="2"/>
  <c r="D554" i="2"/>
  <c r="D201" i="2"/>
  <c r="D750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2" i="4"/>
  <c r="M36" i="4" l="1"/>
  <c r="M37" i="4"/>
  <c r="M111" i="4"/>
  <c r="M112" i="4"/>
  <c r="M113" i="4"/>
  <c r="M114" i="4"/>
  <c r="M9" i="4"/>
  <c r="M17" i="4"/>
  <c r="M33" i="4"/>
  <c r="M34" i="4"/>
  <c r="M42" i="4"/>
  <c r="M35" i="4"/>
  <c r="M30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2" i="4"/>
  <c r="M62" i="4"/>
  <c r="M63" i="4"/>
  <c r="M64" i="4"/>
  <c r="M65" i="4"/>
  <c r="M29" i="4"/>
  <c r="M66" i="4"/>
  <c r="M43" i="4"/>
  <c r="M44" i="4"/>
  <c r="M45" i="4"/>
  <c r="M41" i="4"/>
  <c r="M19" i="4"/>
  <c r="M20" i="4"/>
  <c r="M21" i="4"/>
  <c r="M10" i="4"/>
  <c r="M11" i="4"/>
  <c r="M12" i="4"/>
  <c r="M22" i="4"/>
  <c r="M18" i="4"/>
  <c r="M23" i="4"/>
  <c r="M13" i="4"/>
  <c r="M14" i="4"/>
  <c r="M24" i="4"/>
  <c r="M15" i="4"/>
  <c r="M16" i="4"/>
  <c r="M25" i="4"/>
  <c r="M26" i="4"/>
  <c r="M27" i="4"/>
  <c r="M28" i="4"/>
  <c r="M32" i="4"/>
  <c r="M31" i="4"/>
  <c r="M102" i="4"/>
  <c r="M103" i="4"/>
  <c r="M104" i="4"/>
  <c r="M105" i="4"/>
  <c r="M106" i="4"/>
  <c r="M107" i="4"/>
  <c r="M108" i="4"/>
  <c r="M38" i="4"/>
  <c r="M5" i="4"/>
  <c r="M6" i="4"/>
  <c r="M39" i="4"/>
  <c r="M7" i="4"/>
  <c r="M8" i="4"/>
  <c r="M109" i="4"/>
  <c r="M67" i="4"/>
  <c r="M3" i="4"/>
  <c r="M68" i="4"/>
  <c r="M69" i="4"/>
  <c r="M70" i="4"/>
  <c r="M71" i="4"/>
  <c r="M72" i="4"/>
  <c r="M4" i="4"/>
  <c r="M73" i="4"/>
  <c r="M74" i="4"/>
  <c r="M75" i="4"/>
  <c r="M76" i="4"/>
  <c r="M77" i="4"/>
  <c r="M78" i="4"/>
  <c r="M79" i="4"/>
  <c r="M110" i="4"/>
  <c r="M80" i="4"/>
  <c r="M81" i="4"/>
  <c r="M82" i="4"/>
  <c r="M83" i="4"/>
  <c r="M84" i="4"/>
  <c r="M40" i="4"/>
  <c r="X131" i="4"/>
  <c r="X128" i="4"/>
  <c r="X125" i="4"/>
  <c r="X123" i="4"/>
  <c r="X121" i="4"/>
  <c r="X120" i="4"/>
  <c r="M200" i="4"/>
  <c r="M204" i="4"/>
  <c r="M201" i="4"/>
  <c r="M205" i="4"/>
  <c r="M206" i="4"/>
  <c r="M202" i="4"/>
  <c r="M203" i="4"/>
  <c r="M189" i="4"/>
  <c r="M207" i="4"/>
  <c r="M194" i="4"/>
  <c r="M208" i="4"/>
  <c r="M152" i="4"/>
  <c r="M209" i="4"/>
  <c r="M153" i="4"/>
  <c r="M188" i="4"/>
  <c r="M154" i="4"/>
  <c r="M157" i="4"/>
  <c r="M142" i="4"/>
  <c r="M151" i="4"/>
  <c r="M191" i="4"/>
  <c r="M192" i="4"/>
  <c r="M195" i="4"/>
  <c r="M190" i="4"/>
  <c r="M196" i="4"/>
  <c r="M197" i="4"/>
  <c r="M136" i="4"/>
  <c r="M137" i="4"/>
  <c r="M210" i="4"/>
  <c r="M211" i="4"/>
  <c r="M155" i="4"/>
  <c r="M138" i="4"/>
  <c r="M139" i="4"/>
  <c r="M156" i="4"/>
  <c r="M147" i="4"/>
  <c r="M148" i="4"/>
  <c r="M149" i="4"/>
  <c r="M150" i="4"/>
  <c r="M143" i="4"/>
  <c r="M133" i="4"/>
  <c r="M144" i="4"/>
  <c r="M134" i="4"/>
  <c r="M140" i="4"/>
  <c r="M132" i="4"/>
  <c r="M183" i="4"/>
  <c r="M135" i="4"/>
  <c r="M141" i="4"/>
  <c r="M131" i="4"/>
  <c r="M128" i="4"/>
  <c r="M198" i="4"/>
  <c r="M199" i="4"/>
  <c r="M181" i="4"/>
  <c r="M177" i="4"/>
  <c r="M186" i="4"/>
  <c r="M173" i="4"/>
  <c r="M185" i="4"/>
  <c r="M162" i="4"/>
  <c r="M120" i="4"/>
  <c r="M121" i="4"/>
  <c r="M168" i="4"/>
  <c r="M184" i="4"/>
  <c r="M125" i="4"/>
  <c r="M180" i="4"/>
  <c r="M178" i="4"/>
  <c r="M179" i="4"/>
  <c r="M174" i="4"/>
  <c r="M161" i="4"/>
  <c r="M172" i="4"/>
  <c r="M123" i="4"/>
  <c r="M145" i="4"/>
  <c r="M187" i="4"/>
  <c r="M164" i="4"/>
  <c r="M124" i="4"/>
  <c r="M167" i="4"/>
  <c r="M171" i="4"/>
  <c r="M146" i="4"/>
  <c r="M166" i="4"/>
  <c r="M159" i="4"/>
  <c r="M169" i="4"/>
  <c r="M176" i="4"/>
  <c r="M158" i="4"/>
  <c r="M165" i="4"/>
  <c r="M160" i="4"/>
  <c r="M163" i="4"/>
  <c r="M119" i="4"/>
  <c r="M126" i="4"/>
  <c r="M129" i="4"/>
  <c r="M122" i="4"/>
  <c r="M118" i="4"/>
  <c r="M182" i="4"/>
  <c r="M175" i="4"/>
  <c r="M170" i="4"/>
  <c r="M130" i="4"/>
  <c r="M127" i="4"/>
  <c r="M193" i="4"/>
</calcChain>
</file>

<file path=xl/sharedStrings.xml><?xml version="1.0" encoding="utf-8"?>
<sst xmlns="http://schemas.openxmlformats.org/spreadsheetml/2006/main" count="34652" uniqueCount="1393">
  <si>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</si>
  <si>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</si>
  <si>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</si>
  <si>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</si>
  <si>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</si>
  <si>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</si>
  <si>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</si>
  <si>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</si>
  <si>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</si>
  <si>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</si>
  <si>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</si>
  <si>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</si>
  <si>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</si>
  <si>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</si>
  <si>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</si>
  <si>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</si>
  <si>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</si>
  <si>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</si>
  <si>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</si>
  <si>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</si>
  <si>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</si>
  <si>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</si>
  <si>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</si>
  <si>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</si>
  <si>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</si>
  <si>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</si>
  <si>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</si>
  <si>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</si>
  <si>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</si>
  <si>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</si>
  <si>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</si>
  <si>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</si>
  <si>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</si>
  <si>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</si>
  <si>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</si>
  <si>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</si>
  <si>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</si>
  <si>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</si>
  <si>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</si>
  <si>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</si>
  <si>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</si>
  <si>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</si>
  <si>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</si>
  <si>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</si>
  <si>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</si>
  <si>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</si>
  <si>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</si>
  <si>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</si>
  <si>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</si>
  <si>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BENN</t>
  </si>
  <si>
    <t>LEWIS</t>
  </si>
  <si>
    <t>Allstate Health Solutions</t>
  </si>
  <si>
    <t>PA</t>
  </si>
  <si>
    <t>Accident</t>
  </si>
  <si>
    <t>TrioMED Accident and CI 14939</t>
  </si>
  <si>
    <t>Rader</t>
  </si>
  <si>
    <t>John</t>
  </si>
  <si>
    <t>Active</t>
  </si>
  <si>
    <t xml:space="preserve">Monthly </t>
  </si>
  <si>
    <t>Default</t>
  </si>
  <si>
    <t>FY</t>
  </si>
  <si>
    <t>Y</t>
  </si>
  <si>
    <t>OWENS</t>
  </si>
  <si>
    <t>TARA</t>
  </si>
  <si>
    <t>KIEFNER</t>
  </si>
  <si>
    <t>SCOTT</t>
  </si>
  <si>
    <t>IL</t>
  </si>
  <si>
    <t>Sherman</t>
  </si>
  <si>
    <t>Matthew</t>
  </si>
  <si>
    <t>WALKER</t>
  </si>
  <si>
    <t>CHARLES</t>
  </si>
  <si>
    <t>OR</t>
  </si>
  <si>
    <t>Ancillary</t>
  </si>
  <si>
    <t>Cancer and Heart/Stroke GI 20231</t>
  </si>
  <si>
    <t>DAUGHERTY</t>
  </si>
  <si>
    <t>MATTHEW</t>
  </si>
  <si>
    <t>LUNDGREN</t>
  </si>
  <si>
    <t>JORDIS</t>
  </si>
  <si>
    <t>MO</t>
  </si>
  <si>
    <t>Cancer and Heart/Stroke 20231</t>
  </si>
  <si>
    <t>TEIPEL</t>
  </si>
  <si>
    <t>GREGORY</t>
  </si>
  <si>
    <t>DAVIS</t>
  </si>
  <si>
    <t>JILL</t>
  </si>
  <si>
    <t>MT</t>
  </si>
  <si>
    <t>BEAVER</t>
  </si>
  <si>
    <t>BUFFY</t>
  </si>
  <si>
    <t>AK</t>
  </si>
  <si>
    <t>WAWAK</t>
  </si>
  <si>
    <t>SONNY</t>
  </si>
  <si>
    <t>TX</t>
  </si>
  <si>
    <t>STAHL</t>
  </si>
  <si>
    <t>TIMOTHY</t>
  </si>
  <si>
    <t>Critical Illness w/ Term Life 21677</t>
  </si>
  <si>
    <t>TURNER</t>
  </si>
  <si>
    <t>GARETT</t>
  </si>
  <si>
    <t>KS</t>
  </si>
  <si>
    <t>FLUHARTY</t>
  </si>
  <si>
    <t>LARA</t>
  </si>
  <si>
    <t>BRINK</t>
  </si>
  <si>
    <t>HAYLEY</t>
  </si>
  <si>
    <t>BOYD</t>
  </si>
  <si>
    <t>SHEILA</t>
  </si>
  <si>
    <t>STAPLETON</t>
  </si>
  <si>
    <t>TIFFANY</t>
  </si>
  <si>
    <t>TALLEY</t>
  </si>
  <si>
    <t>BREEN</t>
  </si>
  <si>
    <t>PAMELA</t>
  </si>
  <si>
    <t>Yale</t>
  </si>
  <si>
    <t>Chad</t>
  </si>
  <si>
    <t>THIGPEN</t>
  </si>
  <si>
    <t>CHRIS</t>
  </si>
  <si>
    <t>AL</t>
  </si>
  <si>
    <t>A1</t>
  </si>
  <si>
    <t>REED</t>
  </si>
  <si>
    <t>WENDY</t>
  </si>
  <si>
    <t>IN</t>
  </si>
  <si>
    <t>Green</t>
  </si>
  <si>
    <t>Danna</t>
  </si>
  <si>
    <t>PRUSHA</t>
  </si>
  <si>
    <t>CHRISTOPHER</t>
  </si>
  <si>
    <t>NE</t>
  </si>
  <si>
    <t>Berthelsen</t>
  </si>
  <si>
    <t>Heidi</t>
  </si>
  <si>
    <t>LEVASSEUR</t>
  </si>
  <si>
    <t>PAULA</t>
  </si>
  <si>
    <t>Shulman</t>
  </si>
  <si>
    <t>Jake</t>
  </si>
  <si>
    <t>ABDALLA</t>
  </si>
  <si>
    <t>ANESA</t>
  </si>
  <si>
    <t>Short Term Medical</t>
  </si>
  <si>
    <t>NHIC STM 2022 IN, UT Renewable</t>
  </si>
  <si>
    <t>Sanderock</t>
  </si>
  <si>
    <t>Marsha</t>
  </si>
  <si>
    <t>A10</t>
  </si>
  <si>
    <t>N</t>
  </si>
  <si>
    <t>CRIST</t>
  </si>
  <si>
    <t>FRANKLIN</t>
  </si>
  <si>
    <t>MULHOLLAND</t>
  </si>
  <si>
    <t>PATRICK</t>
  </si>
  <si>
    <t>OH</t>
  </si>
  <si>
    <t>NHIC STM 2022 OH Single Term</t>
  </si>
  <si>
    <t>Halsaver</t>
  </si>
  <si>
    <t>Jennifer</t>
  </si>
  <si>
    <t>Chargeback</t>
  </si>
  <si>
    <t>SMITH</t>
  </si>
  <si>
    <t>FELICIA</t>
  </si>
  <si>
    <t>LA</t>
  </si>
  <si>
    <t>NHIC STM PPO All Other States</t>
  </si>
  <si>
    <t>A6</t>
  </si>
  <si>
    <t>BELGER</t>
  </si>
  <si>
    <t>BERNICE</t>
  </si>
  <si>
    <t>Supplement</t>
  </si>
  <si>
    <t>NHIC Dental 2020 DVH 65+</t>
  </si>
  <si>
    <t>HOFFMANN</t>
  </si>
  <si>
    <t>JASON</t>
  </si>
  <si>
    <t>Converted</t>
  </si>
  <si>
    <t>RN</t>
  </si>
  <si>
    <t>LIEB</t>
  </si>
  <si>
    <t>NANCY</t>
  </si>
  <si>
    <t>ACKLEY</t>
  </si>
  <si>
    <t>SUZIE</t>
  </si>
  <si>
    <t>CALTAGIRONE</t>
  </si>
  <si>
    <t>KATELENN</t>
  </si>
  <si>
    <t>MARCUS</t>
  </si>
  <si>
    <t>JANET</t>
  </si>
  <si>
    <t>PARK</t>
  </si>
  <si>
    <t>LINUS</t>
  </si>
  <si>
    <t>STEPHENSON</t>
  </si>
  <si>
    <t>BONNI</t>
  </si>
  <si>
    <t>FL</t>
  </si>
  <si>
    <t>RICHTER</t>
  </si>
  <si>
    <t>ADAM</t>
  </si>
  <si>
    <t>ELLIS</t>
  </si>
  <si>
    <t>LARRY</t>
  </si>
  <si>
    <t>HUFF</t>
  </si>
  <si>
    <t>KIMBERLY</t>
  </si>
  <si>
    <t>KY</t>
  </si>
  <si>
    <t>WAGNER</t>
  </si>
  <si>
    <t>DWIGHT</t>
  </si>
  <si>
    <t>RYAN</t>
  </si>
  <si>
    <t>POPA</t>
  </si>
  <si>
    <t>KATHY</t>
  </si>
  <si>
    <t>CARRYER</t>
  </si>
  <si>
    <t>KELLY</t>
  </si>
  <si>
    <t>III</t>
  </si>
  <si>
    <t>LAWRENCE</t>
  </si>
  <si>
    <t>GEHRON</t>
  </si>
  <si>
    <t>MICHAEL</t>
  </si>
  <si>
    <t>RUEFENACHT</t>
  </si>
  <si>
    <t>HEIDI</t>
  </si>
  <si>
    <t>LAICHALK</t>
  </si>
  <si>
    <t>ROBIN</t>
  </si>
  <si>
    <t>MI</t>
  </si>
  <si>
    <t>BOTTOMS</t>
  </si>
  <si>
    <t>CAROL</t>
  </si>
  <si>
    <t>CHRISTIANSEN</t>
  </si>
  <si>
    <t>LISA</t>
  </si>
  <si>
    <t>LORRIE</t>
  </si>
  <si>
    <t>POWERS</t>
  </si>
  <si>
    <t>HOFFMAN</t>
  </si>
  <si>
    <t>SHARON</t>
  </si>
  <si>
    <t>GREENHOW</t>
  </si>
  <si>
    <t>EDWARD</t>
  </si>
  <si>
    <t>KOZACHECK</t>
  </si>
  <si>
    <t>ANNE MARIE</t>
  </si>
  <si>
    <t>GARDNER</t>
  </si>
  <si>
    <t>ROKES</t>
  </si>
  <si>
    <t>KATHLEEN</t>
  </si>
  <si>
    <t>SC</t>
  </si>
  <si>
    <t>SCAVICCHIO</t>
  </si>
  <si>
    <t>ANTHONY</t>
  </si>
  <si>
    <t>HADDAD</t>
  </si>
  <si>
    <t>ANNE</t>
  </si>
  <si>
    <t>YOCHUM</t>
  </si>
  <si>
    <t>INSKIPT</t>
  </si>
  <si>
    <t>DEBORAH</t>
  </si>
  <si>
    <t>VILLANO</t>
  </si>
  <si>
    <t>REGINA</t>
  </si>
  <si>
    <t>FOSTER</t>
  </si>
  <si>
    <t>PETER</t>
  </si>
  <si>
    <t>DIMIDIO</t>
  </si>
  <si>
    <t>LEONARD</t>
  </si>
  <si>
    <t>SUMMERS</t>
  </si>
  <si>
    <t>DEBRA</t>
  </si>
  <si>
    <t>KAUPINIS</t>
  </si>
  <si>
    <t>JOAN</t>
  </si>
  <si>
    <t>KENST</t>
  </si>
  <si>
    <t>CHERYL</t>
  </si>
  <si>
    <t>CHISMAR</t>
  </si>
  <si>
    <t>MICHELE</t>
  </si>
  <si>
    <t>COSTANZO</t>
  </si>
  <si>
    <t>JOYCE</t>
  </si>
  <si>
    <t>BRYANT</t>
  </si>
  <si>
    <t>DIANE</t>
  </si>
  <si>
    <t>RUBINFELD</t>
  </si>
  <si>
    <t>ANA</t>
  </si>
  <si>
    <t>GA</t>
  </si>
  <si>
    <t>NHIC LM 2021 SENIOR INDEMNITY 65+</t>
  </si>
  <si>
    <t>ROKEN</t>
  </si>
  <si>
    <t>JOHN</t>
  </si>
  <si>
    <t>Life Association Standalone Bundled wLM</t>
  </si>
  <si>
    <t>BERLACHER</t>
  </si>
  <si>
    <t>GREG</t>
  </si>
  <si>
    <t>AWAN</t>
  </si>
  <si>
    <t>RASHID</t>
  </si>
  <si>
    <t>FOLEY</t>
  </si>
  <si>
    <t>ALFORD</t>
  </si>
  <si>
    <t>TRINA</t>
  </si>
  <si>
    <t>HOLETS</t>
  </si>
  <si>
    <t>DAVID</t>
  </si>
  <si>
    <t>MCKEE</t>
  </si>
  <si>
    <t>COLLEEN</t>
  </si>
  <si>
    <t>DUBACH</t>
  </si>
  <si>
    <t>HELAINE</t>
  </si>
  <si>
    <t>MASSUCCI</t>
  </si>
  <si>
    <t>MOSAKOSKI</t>
  </si>
  <si>
    <t>JANEY</t>
  </si>
  <si>
    <t>CHURCHVILLE</t>
  </si>
  <si>
    <t>KAREN</t>
  </si>
  <si>
    <t>LYMAN</t>
  </si>
  <si>
    <t>LYNN</t>
  </si>
  <si>
    <t>HAYES</t>
  </si>
  <si>
    <t>MARK</t>
  </si>
  <si>
    <t>JAQUEZ</t>
  </si>
  <si>
    <t>PEDRO</t>
  </si>
  <si>
    <t>ZIMMERMAN</t>
  </si>
  <si>
    <t>DIANA</t>
  </si>
  <si>
    <t>FENTON</t>
  </si>
  <si>
    <t>EDITH</t>
  </si>
  <si>
    <t>ENDRES</t>
  </si>
  <si>
    <t>GAYLE</t>
  </si>
  <si>
    <t>DEAN</t>
  </si>
  <si>
    <t>CRAIG</t>
  </si>
  <si>
    <t>CO</t>
  </si>
  <si>
    <t>Geske</t>
  </si>
  <si>
    <t>Heather</t>
  </si>
  <si>
    <t>SKIDMORE</t>
  </si>
  <si>
    <t>BONITA</t>
  </si>
  <si>
    <t>LAUFF</t>
  </si>
  <si>
    <t>REESE</t>
  </si>
  <si>
    <t>ELIZABETH</t>
  </si>
  <si>
    <t>WELLS</t>
  </si>
  <si>
    <t>WILLIE</t>
  </si>
  <si>
    <t>LISKOVEC</t>
  </si>
  <si>
    <t>FRANK</t>
  </si>
  <si>
    <t>BENDER</t>
  </si>
  <si>
    <t>EVELYN</t>
  </si>
  <si>
    <t>MS</t>
  </si>
  <si>
    <t>HANSFORD</t>
  </si>
  <si>
    <t>VALE</t>
  </si>
  <si>
    <t>EMMA</t>
  </si>
  <si>
    <t>HERRERA-LARSEN</t>
  </si>
  <si>
    <t>ESTHER</t>
  </si>
  <si>
    <t>CAMPANELLA</t>
  </si>
  <si>
    <t>PETRUNGARO</t>
  </si>
  <si>
    <t>ANDREA</t>
  </si>
  <si>
    <t>SNIVELY</t>
  </si>
  <si>
    <t>JAMES</t>
  </si>
  <si>
    <t>PATRICIA</t>
  </si>
  <si>
    <t>CIPA</t>
  </si>
  <si>
    <t>GOTTUNG</t>
  </si>
  <si>
    <t>ERIC</t>
  </si>
  <si>
    <t>TAUGNER</t>
  </si>
  <si>
    <t>CHRISTIAN</t>
  </si>
  <si>
    <t>HARPER</t>
  </si>
  <si>
    <t>LYNNE</t>
  </si>
  <si>
    <t>WALLS</t>
  </si>
  <si>
    <t>LOWELL</t>
  </si>
  <si>
    <t>OK</t>
  </si>
  <si>
    <t>PARDUE</t>
  </si>
  <si>
    <t>THOMAS</t>
  </si>
  <si>
    <t>MCADOO</t>
  </si>
  <si>
    <t>MATHENY</t>
  </si>
  <si>
    <t>PEGGY</t>
  </si>
  <si>
    <t>Shepard</t>
  </si>
  <si>
    <t>Jill</t>
  </si>
  <si>
    <t>NELSON</t>
  </si>
  <si>
    <t>SHIRLEY</t>
  </si>
  <si>
    <t>Walenga</t>
  </si>
  <si>
    <t>Dale</t>
  </si>
  <si>
    <t>GOOTEE</t>
  </si>
  <si>
    <t>RITCHEY</t>
  </si>
  <si>
    <t>RENEE</t>
  </si>
  <si>
    <t>GARCIA</t>
  </si>
  <si>
    <t>YALE</t>
  </si>
  <si>
    <t>JACOB</t>
  </si>
  <si>
    <t>BROPHY</t>
  </si>
  <si>
    <t>MARTIN</t>
  </si>
  <si>
    <t>DAWSON</t>
  </si>
  <si>
    <t>Horn</t>
  </si>
  <si>
    <t>Jeffrey</t>
  </si>
  <si>
    <t>KORNOWSKI</t>
  </si>
  <si>
    <t>WI</t>
  </si>
  <si>
    <t>Serio</t>
  </si>
  <si>
    <t>Tom</t>
  </si>
  <si>
    <t>GILBERT</t>
  </si>
  <si>
    <t>JANICE</t>
  </si>
  <si>
    <t>DAVEY</t>
  </si>
  <si>
    <t>LAURA</t>
  </si>
  <si>
    <t>Abdul</t>
  </si>
  <si>
    <t>Saadia</t>
  </si>
  <si>
    <t>SAEED-VAFA</t>
  </si>
  <si>
    <t>MEHRNAZ</t>
  </si>
  <si>
    <t>BRENNER</t>
  </si>
  <si>
    <t>BARRY</t>
  </si>
  <si>
    <t>NGUYEN</t>
  </si>
  <si>
    <t>SINH</t>
  </si>
  <si>
    <t>SHIPP</t>
  </si>
  <si>
    <t>SHAWN</t>
  </si>
  <si>
    <t>Association</t>
  </si>
  <si>
    <t>Life Association C IN</t>
  </si>
  <si>
    <t>NAILL</t>
  </si>
  <si>
    <t>NC</t>
  </si>
  <si>
    <t>Life Association Access</t>
  </si>
  <si>
    <t>Max</t>
  </si>
  <si>
    <t>Ronald</t>
  </si>
  <si>
    <t>ALPIZAR</t>
  </si>
  <si>
    <t>DANIELA</t>
  </si>
  <si>
    <t>EVANGELISTA</t>
  </si>
  <si>
    <t>COLETTE</t>
  </si>
  <si>
    <t>Life Association Access (GI)</t>
  </si>
  <si>
    <t>STANTON</t>
  </si>
  <si>
    <t>Dental</t>
  </si>
  <si>
    <t>SELECT DENTAL 29304</t>
  </si>
  <si>
    <t>Allen</t>
  </si>
  <si>
    <t>James</t>
  </si>
  <si>
    <t>DARGAN</t>
  </si>
  <si>
    <t>TIA</t>
  </si>
  <si>
    <t>STEVENS</t>
  </si>
  <si>
    <t>JORDAN</t>
  </si>
  <si>
    <t>DELBOSQUE</t>
  </si>
  <si>
    <t>FUENTES</t>
  </si>
  <si>
    <t>VICTOR</t>
  </si>
  <si>
    <t>PORR</t>
  </si>
  <si>
    <t>SHELLEY</t>
  </si>
  <si>
    <t>LOPEZ</t>
  </si>
  <si>
    <t>JOSE</t>
  </si>
  <si>
    <t>Fixed Indemnity</t>
  </si>
  <si>
    <t>NHIC LM 2021 Hospital Expense Protection U65</t>
  </si>
  <si>
    <t>Allstate Health Access</t>
  </si>
  <si>
    <t>Allstate Recuro RX Discount Card</t>
  </si>
  <si>
    <t>Allstate Health Access (GI)</t>
  </si>
  <si>
    <t>Other</t>
  </si>
  <si>
    <t>Plan Enhancer 20214</t>
  </si>
  <si>
    <t>Term Life 21673</t>
  </si>
  <si>
    <t>YOUNG</t>
  </si>
  <si>
    <t>MARYANN</t>
  </si>
  <si>
    <t>FULLER</t>
  </si>
  <si>
    <t>SUSAN</t>
  </si>
  <si>
    <t>HERNANDEZ</t>
  </si>
  <si>
    <t>LUIS</t>
  </si>
  <si>
    <t>MD</t>
  </si>
  <si>
    <t>REEVES</t>
  </si>
  <si>
    <t>Richard</t>
  </si>
  <si>
    <t>SCARLETT</t>
  </si>
  <si>
    <t>TONYA</t>
  </si>
  <si>
    <t>AZ</t>
  </si>
  <si>
    <t>DEJARNETTE</t>
  </si>
  <si>
    <t>JACQUELINE</t>
  </si>
  <si>
    <t>Accident Fixed-Benefit 21044</t>
  </si>
  <si>
    <t>NYDAM</t>
  </si>
  <si>
    <t>MILLER</t>
  </si>
  <si>
    <t>BARBARA</t>
  </si>
  <si>
    <t>National General STM CO-CT-IA-KS-MD-MO-ND-OR-SD</t>
  </si>
  <si>
    <t>Oliver</t>
  </si>
  <si>
    <t>Brittany</t>
  </si>
  <si>
    <t>FOX</t>
  </si>
  <si>
    <t>TIANNA</t>
  </si>
  <si>
    <t>Recuro CO-CT-IA-KS-MD-MO-ND-OR-SD</t>
  </si>
  <si>
    <t>SIMMS</t>
  </si>
  <si>
    <t>SABRYNA</t>
  </si>
  <si>
    <t>DUNN</t>
  </si>
  <si>
    <t>TrioMED 30k 15307</t>
  </si>
  <si>
    <t>LIPPOLIS</t>
  </si>
  <si>
    <t>TrioMED 15k 15285</t>
  </si>
  <si>
    <t>MAYES</t>
  </si>
  <si>
    <t>SURRATT</t>
  </si>
  <si>
    <t>RHONDA</t>
  </si>
  <si>
    <t>HARVEY</t>
  </si>
  <si>
    <t>GLORIA</t>
  </si>
  <si>
    <t>OLIVER</t>
  </si>
  <si>
    <t>SHACKELFORD</t>
  </si>
  <si>
    <t>JACLYN</t>
  </si>
  <si>
    <t>WRIGHT</t>
  </si>
  <si>
    <t>BRIANA</t>
  </si>
  <si>
    <t>SYLLAH</t>
  </si>
  <si>
    <t>KADIATU</t>
  </si>
  <si>
    <t>MOORE</t>
  </si>
  <si>
    <t>WAYNE</t>
  </si>
  <si>
    <t>BRANSFORD</t>
  </si>
  <si>
    <t>KAWAND</t>
  </si>
  <si>
    <t>BRANNAN</t>
  </si>
  <si>
    <t>MOREN</t>
  </si>
  <si>
    <t>HOLLY</t>
  </si>
  <si>
    <t>Garnett</t>
  </si>
  <si>
    <t>Michael</t>
  </si>
  <si>
    <t>BERZONSKI</t>
  </si>
  <si>
    <t>MELINDA</t>
  </si>
  <si>
    <t>Powers</t>
  </si>
  <si>
    <t>CURRY</t>
  </si>
  <si>
    <t>TYRONE</t>
  </si>
  <si>
    <t>Brousseau</t>
  </si>
  <si>
    <t>Christopher</t>
  </si>
  <si>
    <t>BENNETT</t>
  </si>
  <si>
    <t>INGA</t>
  </si>
  <si>
    <t>DENNIS</t>
  </si>
  <si>
    <t>FILBY</t>
  </si>
  <si>
    <t>WHITNEY</t>
  </si>
  <si>
    <t>TERRY</t>
  </si>
  <si>
    <t>JAYLA</t>
  </si>
  <si>
    <t>HAMMONDS</t>
  </si>
  <si>
    <t>SANIYAH</t>
  </si>
  <si>
    <t>HARDING</t>
  </si>
  <si>
    <t>HOWARD</t>
  </si>
  <si>
    <t>Cancer and Heart/Stroke 20231 CO-FL-MN-MI</t>
  </si>
  <si>
    <t>BROTTEN</t>
  </si>
  <si>
    <t>MICHELLE</t>
  </si>
  <si>
    <t>ND</t>
  </si>
  <si>
    <t>WHITTAKER</t>
  </si>
  <si>
    <t>KENNETH</t>
  </si>
  <si>
    <t>LINSLEY</t>
  </si>
  <si>
    <t>TANYA</t>
  </si>
  <si>
    <t>DICKEY</t>
  </si>
  <si>
    <t>TAYLOR</t>
  </si>
  <si>
    <t>TREHERN</t>
  </si>
  <si>
    <t>BRYAN</t>
  </si>
  <si>
    <t>DEALESSANDRO</t>
  </si>
  <si>
    <t>AMBER</t>
  </si>
  <si>
    <t>PENA</t>
  </si>
  <si>
    <t>LUCINDA</t>
  </si>
  <si>
    <t>JACKSON</t>
  </si>
  <si>
    <t>ANGELIA</t>
  </si>
  <si>
    <t>MORRISON</t>
  </si>
  <si>
    <t>CAFFEY</t>
  </si>
  <si>
    <t>BONNIE</t>
  </si>
  <si>
    <t>KINKAID</t>
  </si>
  <si>
    <t>JULIE</t>
  </si>
  <si>
    <t>ARP</t>
  </si>
  <si>
    <t>BRENT</t>
  </si>
  <si>
    <t>BLACKLEDGE</t>
  </si>
  <si>
    <t>NATHAN</t>
  </si>
  <si>
    <t>TERI</t>
  </si>
  <si>
    <t>MOTYKA</t>
  </si>
  <si>
    <t>KIMBERLEIGH</t>
  </si>
  <si>
    <t>TOKAS</t>
  </si>
  <si>
    <t>ASHLEY</t>
  </si>
  <si>
    <t>DICKINSON</t>
  </si>
  <si>
    <t>KRISTIN</t>
  </si>
  <si>
    <t>KUHN</t>
  </si>
  <si>
    <t>DARCY</t>
  </si>
  <si>
    <t>GESKE</t>
  </si>
  <si>
    <t>WILLIAM</t>
  </si>
  <si>
    <t>JEFFRIES</t>
  </si>
  <si>
    <t>ZARIYAH</t>
  </si>
  <si>
    <t>LAROUX</t>
  </si>
  <si>
    <t>TAMMY</t>
  </si>
  <si>
    <t>REITER</t>
  </si>
  <si>
    <t>JUSTIN</t>
  </si>
  <si>
    <t>KONKOL</t>
  </si>
  <si>
    <t>SARAH</t>
  </si>
  <si>
    <t>LINDA</t>
  </si>
  <si>
    <t>HANNA</t>
  </si>
  <si>
    <t>REYNOLDS</t>
  </si>
  <si>
    <t>WEST</t>
  </si>
  <si>
    <t>CARLEE</t>
  </si>
  <si>
    <t>BANKS</t>
  </si>
  <si>
    <t>RICE</t>
  </si>
  <si>
    <t>JACKY</t>
  </si>
  <si>
    <t>WHITE</t>
  </si>
  <si>
    <t>ROBERT</t>
  </si>
  <si>
    <t>SABOT</t>
  </si>
  <si>
    <t>JOSEPH</t>
  </si>
  <si>
    <t>CASTRO</t>
  </si>
  <si>
    <t>GRIGSBY</t>
  </si>
  <si>
    <t>CREASBAUM</t>
  </si>
  <si>
    <t>FOWLER</t>
  </si>
  <si>
    <t>LEVY</t>
  </si>
  <si>
    <t>FUHRHOP</t>
  </si>
  <si>
    <t>SHANNON</t>
  </si>
  <si>
    <t>HEATHER</t>
  </si>
  <si>
    <t>HOCHERL</t>
  </si>
  <si>
    <t>BEILFUSS</t>
  </si>
  <si>
    <t>CLANCY</t>
  </si>
  <si>
    <t>STEPHANIE</t>
  </si>
  <si>
    <t>HENRY</t>
  </si>
  <si>
    <t>VIRGIL</t>
  </si>
  <si>
    <t>AR</t>
  </si>
  <si>
    <t>FREY</t>
  </si>
  <si>
    <t>STEPHEN</t>
  </si>
  <si>
    <t>SZAPIELAK</t>
  </si>
  <si>
    <t>PATEL</t>
  </si>
  <si>
    <t>NILAY</t>
  </si>
  <si>
    <t>CONKLIN</t>
  </si>
  <si>
    <t>ALBERT</t>
  </si>
  <si>
    <t>RUSS</t>
  </si>
  <si>
    <t>ANDRASEK</t>
  </si>
  <si>
    <t>BRIAN</t>
  </si>
  <si>
    <t>BECERRA</t>
  </si>
  <si>
    <t>YVETTE</t>
  </si>
  <si>
    <t>AMANDA</t>
  </si>
  <si>
    <t>VAUGHN</t>
  </si>
  <si>
    <t>VALENZUELA</t>
  </si>
  <si>
    <t>CARLOS</t>
  </si>
  <si>
    <t>HARRIS-HERNANDEZ</t>
  </si>
  <si>
    <t>MARY</t>
  </si>
  <si>
    <t>HERRICK</t>
  </si>
  <si>
    <t>JOHNSON</t>
  </si>
  <si>
    <t>MARIS</t>
  </si>
  <si>
    <t>JERRI</t>
  </si>
  <si>
    <t>MARKSBERRY</t>
  </si>
  <si>
    <t>ANGELA</t>
  </si>
  <si>
    <t>OTT</t>
  </si>
  <si>
    <t>LINDSAY</t>
  </si>
  <si>
    <t>JENKINS</t>
  </si>
  <si>
    <t>LEE</t>
  </si>
  <si>
    <t>TRACY</t>
  </si>
  <si>
    <t>SINKLIER</t>
  </si>
  <si>
    <t>SUSSMAN</t>
  </si>
  <si>
    <t>ANNA</t>
  </si>
  <si>
    <t>GOLAY</t>
  </si>
  <si>
    <t>KURT</t>
  </si>
  <si>
    <t>LAWVER</t>
  </si>
  <si>
    <t>Lee</t>
  </si>
  <si>
    <t>Joel</t>
  </si>
  <si>
    <t>HANSON</t>
  </si>
  <si>
    <t>Life Association C OH</t>
  </si>
  <si>
    <t>MOENKHAUS</t>
  </si>
  <si>
    <t>LOYD</t>
  </si>
  <si>
    <t>Choi</t>
  </si>
  <si>
    <t>Andrew</t>
  </si>
  <si>
    <t>PHILLIP</t>
  </si>
  <si>
    <t>JASO</t>
  </si>
  <si>
    <t>BARRETT</t>
  </si>
  <si>
    <t>LIFE Association Membership - C 14956 PPO</t>
  </si>
  <si>
    <t>MATUSIAK</t>
  </si>
  <si>
    <t>ALICJA</t>
  </si>
  <si>
    <t>GORSKI</t>
  </si>
  <si>
    <t>NATALIA</t>
  </si>
  <si>
    <t>My LIFE Wellness 21038</t>
  </si>
  <si>
    <t>WILLIAMS</t>
  </si>
  <si>
    <t>RENAE</t>
  </si>
  <si>
    <t>LIFE Association Membership - C 14956 LM</t>
  </si>
  <si>
    <t>DECKARD</t>
  </si>
  <si>
    <t>PAGET</t>
  </si>
  <si>
    <t>SETH</t>
  </si>
  <si>
    <t>Allan</t>
  </si>
  <si>
    <t>H</t>
  </si>
  <si>
    <t>DURAN</t>
  </si>
  <si>
    <t>RUSSELL</t>
  </si>
  <si>
    <t>DONALD</t>
  </si>
  <si>
    <t>LAROCCO-MCVAY</t>
  </si>
  <si>
    <t>MONICA</t>
  </si>
  <si>
    <t>JUSTUS</t>
  </si>
  <si>
    <t>BERARDI</t>
  </si>
  <si>
    <t>ZACHARY</t>
  </si>
  <si>
    <t>WELLER</t>
  </si>
  <si>
    <t>GJIDODA</t>
  </si>
  <si>
    <t>GJON</t>
  </si>
  <si>
    <t>Cheregi</t>
  </si>
  <si>
    <t>Raluca</t>
  </si>
  <si>
    <t>BYRD</t>
  </si>
  <si>
    <t>REBECCA</t>
  </si>
  <si>
    <t>COURTNEY</t>
  </si>
  <si>
    <t>PISCOTTI</t>
  </si>
  <si>
    <t>GEMMA</t>
  </si>
  <si>
    <t>NHIC Specified Care Association</t>
  </si>
  <si>
    <t>HARALAMBIDIS</t>
  </si>
  <si>
    <t>IRENE</t>
  </si>
  <si>
    <t>GIULIANI</t>
  </si>
  <si>
    <t>BRIDGET</t>
  </si>
  <si>
    <t>LIFE C TN-IN-NE-IA-ND-KS-MD-VA-ME-SD-MO-NC-OR</t>
  </si>
  <si>
    <t>A3</t>
  </si>
  <si>
    <t>GEORGE</t>
  </si>
  <si>
    <t>ABRAHAM</t>
  </si>
  <si>
    <t>LAIR</t>
  </si>
  <si>
    <t>STRICKLAND</t>
  </si>
  <si>
    <t>CHASE</t>
  </si>
  <si>
    <t>CONTRERAS</t>
  </si>
  <si>
    <t>JANELLE</t>
  </si>
  <si>
    <t>SEXTON</t>
  </si>
  <si>
    <t>ROGALSKY</t>
  </si>
  <si>
    <t>MELISSA</t>
  </si>
  <si>
    <t>FIGUEROA</t>
  </si>
  <si>
    <t>FRISHKORN</t>
  </si>
  <si>
    <t>BRITTANY</t>
  </si>
  <si>
    <t>PHILLIPS</t>
  </si>
  <si>
    <t>SPALARIS</t>
  </si>
  <si>
    <t>NIKKI</t>
  </si>
  <si>
    <t>SCHAAL</t>
  </si>
  <si>
    <t>AGUGLIA</t>
  </si>
  <si>
    <t>CHANTAL</t>
  </si>
  <si>
    <t>SOMOGIE</t>
  </si>
  <si>
    <t>SHILOH</t>
  </si>
  <si>
    <t>D'ORSANEO</t>
  </si>
  <si>
    <t>MASSIMINO</t>
  </si>
  <si>
    <t>ANTONIO</t>
  </si>
  <si>
    <t>DIDONATO</t>
  </si>
  <si>
    <t>HUGHES</t>
  </si>
  <si>
    <t>JARED</t>
  </si>
  <si>
    <t>RANDY</t>
  </si>
  <si>
    <t>GARNETT</t>
  </si>
  <si>
    <t>KEEVA</t>
  </si>
  <si>
    <t>ABBOTT</t>
  </si>
  <si>
    <t>BREE</t>
  </si>
  <si>
    <t>DUNAVANT</t>
  </si>
  <si>
    <t>KAPANGA</t>
  </si>
  <si>
    <t>SEAN</t>
  </si>
  <si>
    <t>SHEN</t>
  </si>
  <si>
    <t>LUCY</t>
  </si>
  <si>
    <t>DOBLE</t>
  </si>
  <si>
    <t>MARIANO</t>
  </si>
  <si>
    <t>COPPLE</t>
  </si>
  <si>
    <t>KATHRYN</t>
  </si>
  <si>
    <t>RUSH</t>
  </si>
  <si>
    <t>ROE</t>
  </si>
  <si>
    <t>MARTA</t>
  </si>
  <si>
    <t>BRANDI</t>
  </si>
  <si>
    <t>JAN</t>
  </si>
  <si>
    <t>REILLY</t>
  </si>
  <si>
    <t>ANGEL</t>
  </si>
  <si>
    <t>HURSEY</t>
  </si>
  <si>
    <t>VA</t>
  </si>
  <si>
    <t>KINYUA</t>
  </si>
  <si>
    <t>MOREAU</t>
  </si>
  <si>
    <t>MASON</t>
  </si>
  <si>
    <t>KIM</t>
  </si>
  <si>
    <t>SHIPWASH</t>
  </si>
  <si>
    <t>BLAKE</t>
  </si>
  <si>
    <t>ESCALANTE</t>
  </si>
  <si>
    <t>HUNT</t>
  </si>
  <si>
    <t>MACCARELLI</t>
  </si>
  <si>
    <t>VINCE</t>
  </si>
  <si>
    <t>VOELZKE</t>
  </si>
  <si>
    <t>ALICE</t>
  </si>
  <si>
    <t>SALAZAR</t>
  </si>
  <si>
    <t>JEFFREY</t>
  </si>
  <si>
    <t>FOGLE</t>
  </si>
  <si>
    <t>EUGENE</t>
  </si>
  <si>
    <t>SCIUPIDER</t>
  </si>
  <si>
    <t>MAGDALENA</t>
  </si>
  <si>
    <t>CRISSINGER</t>
  </si>
  <si>
    <t>RECTOR</t>
  </si>
  <si>
    <t>ANDREW</t>
  </si>
  <si>
    <t>HEGARTY</t>
  </si>
  <si>
    <t>AARON</t>
  </si>
  <si>
    <t>VAN</t>
  </si>
  <si>
    <t>AUSTIN</t>
  </si>
  <si>
    <t>ALDWIN</t>
  </si>
  <si>
    <t>CHAVIS</t>
  </si>
  <si>
    <t>CLEE</t>
  </si>
  <si>
    <t>Tigue</t>
  </si>
  <si>
    <t>Kirk</t>
  </si>
  <si>
    <t>GATZ</t>
  </si>
  <si>
    <t>FRANCHESCA</t>
  </si>
  <si>
    <t>WILLIS</t>
  </si>
  <si>
    <t>HUDZIK</t>
  </si>
  <si>
    <t>CASTELAN</t>
  </si>
  <si>
    <t>LARSEN</t>
  </si>
  <si>
    <t>ROMERO</t>
  </si>
  <si>
    <t>YASCARA</t>
  </si>
  <si>
    <t>TAMEKA</t>
  </si>
  <si>
    <t>KASDI</t>
  </si>
  <si>
    <t>MAHMOUD</t>
  </si>
  <si>
    <t>BOERSMA</t>
  </si>
  <si>
    <t>NICOLE</t>
  </si>
  <si>
    <t>BOWLES</t>
  </si>
  <si>
    <t>KOMEN</t>
  </si>
  <si>
    <t>BRECK</t>
  </si>
  <si>
    <t>ALEXIS</t>
  </si>
  <si>
    <t>SHOCKLEY</t>
  </si>
  <si>
    <t>CONNIE</t>
  </si>
  <si>
    <t>SEJAL</t>
  </si>
  <si>
    <t>MANSOUR</t>
  </si>
  <si>
    <t>RASMUSSEN</t>
  </si>
  <si>
    <t>KIRILOVA</t>
  </si>
  <si>
    <t>KALINA</t>
  </si>
  <si>
    <t>HAMILTON</t>
  </si>
  <si>
    <t>JONES</t>
  </si>
  <si>
    <t>ISAIAH</t>
  </si>
  <si>
    <t>FINNIGAN</t>
  </si>
  <si>
    <t>ESTES</t>
  </si>
  <si>
    <t>JEREMY</t>
  </si>
  <si>
    <t>VELMS</t>
  </si>
  <si>
    <t>COLEEN</t>
  </si>
  <si>
    <t>REYNA</t>
  </si>
  <si>
    <t>MARIA</t>
  </si>
  <si>
    <t>SCHOENDIENST</t>
  </si>
  <si>
    <t>LINDSEY</t>
  </si>
  <si>
    <t>MEDINA</t>
  </si>
  <si>
    <t>SANTOS</t>
  </si>
  <si>
    <t>RICARDO</t>
  </si>
  <si>
    <t>KRISTINA</t>
  </si>
  <si>
    <t>QUESINBERRY</t>
  </si>
  <si>
    <t>JENNIFER</t>
  </si>
  <si>
    <t>Schumann</t>
  </si>
  <si>
    <t>Barry</t>
  </si>
  <si>
    <t>THOMPSON</t>
  </si>
  <si>
    <t>CLIFTON</t>
  </si>
  <si>
    <t>VINITSKI</t>
  </si>
  <si>
    <t>PORTUGAL</t>
  </si>
  <si>
    <t>GARY</t>
  </si>
  <si>
    <t>MADISON</t>
  </si>
  <si>
    <t>MARTHA</t>
  </si>
  <si>
    <t>CHARLIE</t>
  </si>
  <si>
    <t>MORROW</t>
  </si>
  <si>
    <t>TN</t>
  </si>
  <si>
    <t>KANE</t>
  </si>
  <si>
    <t>DESARAE</t>
  </si>
  <si>
    <t>ROMYN</t>
  </si>
  <si>
    <t>UT</t>
  </si>
  <si>
    <t>JONAS</t>
  </si>
  <si>
    <t>SULLIVAN</t>
  </si>
  <si>
    <t>FLORDELIZA</t>
  </si>
  <si>
    <t>DEBELLIS</t>
  </si>
  <si>
    <t>AMIT</t>
  </si>
  <si>
    <t>BELANI</t>
  </si>
  <si>
    <t>ZABRINA</t>
  </si>
  <si>
    <t>LINN</t>
  </si>
  <si>
    <t>LOUIE</t>
  </si>
  <si>
    <t>JAYSON</t>
  </si>
  <si>
    <t>BEAKE</t>
  </si>
  <si>
    <t>KEVIN</t>
  </si>
  <si>
    <t>MADSEN</t>
  </si>
  <si>
    <t>VICKERS</t>
  </si>
  <si>
    <t>DE</t>
  </si>
  <si>
    <t>SIDNEY</t>
  </si>
  <si>
    <t>LUNDY</t>
  </si>
  <si>
    <t>KRISTYN</t>
  </si>
  <si>
    <t>FARRIS</t>
  </si>
  <si>
    <t>BARTOLOME</t>
  </si>
  <si>
    <t>MIRTA</t>
  </si>
  <si>
    <t>MANSFIELD</t>
  </si>
  <si>
    <t>SANDRA</t>
  </si>
  <si>
    <t>ANDERSON</t>
  </si>
  <si>
    <t>TROUT</t>
  </si>
  <si>
    <t>BLACKWELL</t>
  </si>
  <si>
    <t>CORTNEY</t>
  </si>
  <si>
    <t>MIELKE</t>
  </si>
  <si>
    <t>ALYSSA</t>
  </si>
  <si>
    <t>SD</t>
  </si>
  <si>
    <t>WEIS</t>
  </si>
  <si>
    <t>BURLEY</t>
  </si>
  <si>
    <t>ZAVERI</t>
  </si>
  <si>
    <t>RAJIV</t>
  </si>
  <si>
    <t>SEMPRINI</t>
  </si>
  <si>
    <t>CARIOTI</t>
  </si>
  <si>
    <t>MULLOY</t>
  </si>
  <si>
    <t>BRATTON</t>
  </si>
  <si>
    <t>COLTON</t>
  </si>
  <si>
    <t>GATES</t>
  </si>
  <si>
    <t>BOMMELMAN</t>
  </si>
  <si>
    <t>MARIANNE</t>
  </si>
  <si>
    <t>Rose</t>
  </si>
  <si>
    <t>Latesha</t>
  </si>
  <si>
    <t>RUSSOW</t>
  </si>
  <si>
    <t>FINLAY</t>
  </si>
  <si>
    <t>REGAN</t>
  </si>
  <si>
    <t>DIXON</t>
  </si>
  <si>
    <t>NINA</t>
  </si>
  <si>
    <t>ERDENE</t>
  </si>
  <si>
    <t>ZANA</t>
  </si>
  <si>
    <t>NASANDELGER</t>
  </si>
  <si>
    <t>LUBSANOV</t>
  </si>
  <si>
    <t>VALERII</t>
  </si>
  <si>
    <t>SEDBAZAR</t>
  </si>
  <si>
    <t>ENKHBOLORMAA</t>
  </si>
  <si>
    <t>DALY</t>
  </si>
  <si>
    <t>CHRISTY</t>
  </si>
  <si>
    <t>NURZED</t>
  </si>
  <si>
    <t>TSOGZOLMAA</t>
  </si>
  <si>
    <t>PATSY</t>
  </si>
  <si>
    <t>CELL</t>
  </si>
  <si>
    <t>PITZAFERRO</t>
  </si>
  <si>
    <t>HUMPHREY</t>
  </si>
  <si>
    <t>THOMPKINS</t>
  </si>
  <si>
    <t>JOHNNA</t>
  </si>
  <si>
    <t>Hess</t>
  </si>
  <si>
    <t>WILLSTEAD</t>
  </si>
  <si>
    <t>KRISTY</t>
  </si>
  <si>
    <t>SWANSON</t>
  </si>
  <si>
    <t>GINNEVER</t>
  </si>
  <si>
    <t>ANITA</t>
  </si>
  <si>
    <t>BUSCHELL</t>
  </si>
  <si>
    <t>GREGORIO</t>
  </si>
  <si>
    <t>BERTUCCI</t>
  </si>
  <si>
    <t>DOROTHY</t>
  </si>
  <si>
    <t>Jerger</t>
  </si>
  <si>
    <t>Colleen</t>
  </si>
  <si>
    <t>WITT</t>
  </si>
  <si>
    <t>TOSHNA</t>
  </si>
  <si>
    <t>BORDELON</t>
  </si>
  <si>
    <t>JON</t>
  </si>
  <si>
    <t>RIDGE</t>
  </si>
  <si>
    <t>PAGE</t>
  </si>
  <si>
    <t>MYERS</t>
  </si>
  <si>
    <t>SAMANTHA</t>
  </si>
  <si>
    <t>SIEBENALER</t>
  </si>
  <si>
    <t>MOLLEIGH</t>
  </si>
  <si>
    <t>GUTIERREZ</t>
  </si>
  <si>
    <t>ANNIE</t>
  </si>
  <si>
    <t>WOODS</t>
  </si>
  <si>
    <t>ALPERS</t>
  </si>
  <si>
    <t>Dental Indemnity 21618</t>
  </si>
  <si>
    <t>GBAZOU</t>
  </si>
  <si>
    <t>JOCELYNE</t>
  </si>
  <si>
    <t>DIONESOTES</t>
  </si>
  <si>
    <t>NOAH</t>
  </si>
  <si>
    <t>Dionesotes</t>
  </si>
  <si>
    <t>Noah</t>
  </si>
  <si>
    <t>NEILSON</t>
  </si>
  <si>
    <t>MICAELEE</t>
  </si>
  <si>
    <t>CARR</t>
  </si>
  <si>
    <t>JODI</t>
  </si>
  <si>
    <t>WASHINGTON</t>
  </si>
  <si>
    <t>BEVERLY</t>
  </si>
  <si>
    <t>REGGI</t>
  </si>
  <si>
    <t>DESIREE</t>
  </si>
  <si>
    <t>Patrick</t>
  </si>
  <si>
    <t>HILTON</t>
  </si>
  <si>
    <t>DENISE</t>
  </si>
  <si>
    <t>GORMAN</t>
  </si>
  <si>
    <t>VIOLETA</t>
  </si>
  <si>
    <t>WILSON</t>
  </si>
  <si>
    <t>LONNA</t>
  </si>
  <si>
    <t>CLARK</t>
  </si>
  <si>
    <t>LATOY</t>
  </si>
  <si>
    <t>DANIELS</t>
  </si>
  <si>
    <t>HERRERA</t>
  </si>
  <si>
    <t>NALLELY</t>
  </si>
  <si>
    <t>DESHIGJAV</t>
  </si>
  <si>
    <t>NASANTUMEN</t>
  </si>
  <si>
    <t>BURBATT</t>
  </si>
  <si>
    <t>BEMORAS</t>
  </si>
  <si>
    <t>HAWTHORNE</t>
  </si>
  <si>
    <t>MELANIE</t>
  </si>
  <si>
    <t>WALENGA</t>
  </si>
  <si>
    <t>DALE</t>
  </si>
  <si>
    <t>GALVEZ</t>
  </si>
  <si>
    <t>JORGE</t>
  </si>
  <si>
    <t>Weitzman</t>
  </si>
  <si>
    <t>Kenneth</t>
  </si>
  <si>
    <t>MCCORMACK</t>
  </si>
  <si>
    <t>DANIEL</t>
  </si>
  <si>
    <t>ROMICK</t>
  </si>
  <si>
    <t>STACEY</t>
  </si>
  <si>
    <t>WY</t>
  </si>
  <si>
    <t>MAX</t>
  </si>
  <si>
    <t>RONALD</t>
  </si>
  <si>
    <t>MASSENGILL</t>
  </si>
  <si>
    <t>MCGOVERN</t>
  </si>
  <si>
    <t>CHAD</t>
  </si>
  <si>
    <t>MAYBIN</t>
  </si>
  <si>
    <t>MENDEZ</t>
  </si>
  <si>
    <t>GUERRA</t>
  </si>
  <si>
    <t>MARICEL</t>
  </si>
  <si>
    <t>BAUNE</t>
  </si>
  <si>
    <t>WADE</t>
  </si>
  <si>
    <t>KUCHAR</t>
  </si>
  <si>
    <t>SALL</t>
  </si>
  <si>
    <t>AWA</t>
  </si>
  <si>
    <t>CASTILLO</t>
  </si>
  <si>
    <t>KOREY</t>
  </si>
  <si>
    <t>HALLER</t>
  </si>
  <si>
    <t>JANE</t>
  </si>
  <si>
    <t>MAKI</t>
  </si>
  <si>
    <t>Hodgman</t>
  </si>
  <si>
    <t>Timothy</t>
  </si>
  <si>
    <t>CLAYCAMP</t>
  </si>
  <si>
    <t>GROSS</t>
  </si>
  <si>
    <t>ODALYS</t>
  </si>
  <si>
    <t>CUPPLES</t>
  </si>
  <si>
    <t>ELIJAH</t>
  </si>
  <si>
    <t>GIBSON</t>
  </si>
  <si>
    <t>DOANE</t>
  </si>
  <si>
    <t>PARKER</t>
  </si>
  <si>
    <t>KING</t>
  </si>
  <si>
    <t>PICHETTE</t>
  </si>
  <si>
    <t>SRSTKA</t>
  </si>
  <si>
    <t>AGUINAGA</t>
  </si>
  <si>
    <t>JULIA</t>
  </si>
  <si>
    <t>TALBOTT</t>
  </si>
  <si>
    <t>COREY</t>
  </si>
  <si>
    <t>PEREZ</t>
  </si>
  <si>
    <t>SEBASTIAN</t>
  </si>
  <si>
    <t>DARRINGTON</t>
  </si>
  <si>
    <t>ALAN</t>
  </si>
  <si>
    <t>SERETE</t>
  </si>
  <si>
    <t>WARNER</t>
  </si>
  <si>
    <t>GUNN</t>
  </si>
  <si>
    <t>TASHA</t>
  </si>
  <si>
    <t>ZAMBOLE</t>
  </si>
  <si>
    <t>NICHOLAS</t>
  </si>
  <si>
    <t>FRISBEE</t>
  </si>
  <si>
    <t>SWINSON</t>
  </si>
  <si>
    <t>KORALIJA</t>
  </si>
  <si>
    <t>IVANA</t>
  </si>
  <si>
    <t>BECKER</t>
  </si>
  <si>
    <t>GANKHUYAG</t>
  </si>
  <si>
    <t>MUNKHJARGAL</t>
  </si>
  <si>
    <t>OSBORNE</t>
  </si>
  <si>
    <t>Yavuzkan Rasin</t>
  </si>
  <si>
    <t>Zulfunar</t>
  </si>
  <si>
    <t>DARBRA</t>
  </si>
  <si>
    <t>MIKALUNAS</t>
  </si>
  <si>
    <t>VIDA</t>
  </si>
  <si>
    <t>REINHART</t>
  </si>
  <si>
    <t>TAMMIE</t>
  </si>
  <si>
    <t>RODRIGUEZ</t>
  </si>
  <si>
    <t>Berg</t>
  </si>
  <si>
    <t>Ines</t>
  </si>
  <si>
    <t>HUST</t>
  </si>
  <si>
    <t>MCCONNELL</t>
  </si>
  <si>
    <t>PERLMAN</t>
  </si>
  <si>
    <t>MICHEL</t>
  </si>
  <si>
    <t>DASHNYAM</t>
  </si>
  <si>
    <t>MUNKHTUUL</t>
  </si>
  <si>
    <t>MOTZKIN</t>
  </si>
  <si>
    <t>STAVLAS</t>
  </si>
  <si>
    <t>DELABAR</t>
  </si>
  <si>
    <t>MEYER</t>
  </si>
  <si>
    <t>GRACE</t>
  </si>
  <si>
    <t>As Earned</t>
  </si>
  <si>
    <t>HARTIGAN</t>
  </si>
  <si>
    <t>BRAYDEN</t>
  </si>
  <si>
    <t>WIGGINS</t>
  </si>
  <si>
    <t>BALL</t>
  </si>
  <si>
    <t>CHRISTIE</t>
  </si>
  <si>
    <t>RODDAM</t>
  </si>
  <si>
    <t>MEGAN</t>
  </si>
  <si>
    <t>BIRDSELL</t>
  </si>
  <si>
    <t>IA</t>
  </si>
  <si>
    <t>FERNANDEZ</t>
  </si>
  <si>
    <t>FERNANDO</t>
  </si>
  <si>
    <t>BROMUND</t>
  </si>
  <si>
    <t>AMATA</t>
  </si>
  <si>
    <t>NHIC STM PPO All Other States Renewable</t>
  </si>
  <si>
    <t>NHIC STM 2022 IN Renewable</t>
  </si>
  <si>
    <t>Recuro PPO All Other States</t>
  </si>
  <si>
    <t>RAMBOLDT</t>
  </si>
  <si>
    <t>NHIC STM PPO MO-NC-OR-IN-TN</t>
  </si>
  <si>
    <t>Recuro  PPO MO-NC-OR-IN-TN</t>
  </si>
  <si>
    <t>NHIC STM 2022 IN, UT Single Term</t>
  </si>
  <si>
    <t>GOOD</t>
  </si>
  <si>
    <t>TROY</t>
  </si>
  <si>
    <t>OWEN</t>
  </si>
  <si>
    <t>TYSON</t>
  </si>
  <si>
    <t>BENSON</t>
  </si>
  <si>
    <t>LORI</t>
  </si>
  <si>
    <t>NARRELL</t>
  </si>
  <si>
    <t>ESCHEVERRIA</t>
  </si>
  <si>
    <t>HANSSI</t>
  </si>
  <si>
    <t>PERSON</t>
  </si>
  <si>
    <t>BARTRAM</t>
  </si>
  <si>
    <t>BRIDGER</t>
  </si>
  <si>
    <t>OBERG</t>
  </si>
  <si>
    <t>BLAIR</t>
  </si>
  <si>
    <t>CORY</t>
  </si>
  <si>
    <t>SUDTELGTE</t>
  </si>
  <si>
    <t>STEVEN</t>
  </si>
  <si>
    <t>STURGEON</t>
  </si>
  <si>
    <t>JUNGE</t>
  </si>
  <si>
    <t>FRAZIER</t>
  </si>
  <si>
    <t>PIAZZA</t>
  </si>
  <si>
    <t>COVERDELL</t>
  </si>
  <si>
    <t>LATONYA</t>
  </si>
  <si>
    <t>SINATRA</t>
  </si>
  <si>
    <t>RAGEN</t>
  </si>
  <si>
    <t>GOODWILLIE</t>
  </si>
  <si>
    <t>BLIZZARD</t>
  </si>
  <si>
    <t>BRETT</t>
  </si>
  <si>
    <t>MCPHEETERS</t>
  </si>
  <si>
    <t>CISSIE</t>
  </si>
  <si>
    <t>SCHUTJER</t>
  </si>
  <si>
    <t>TAMECIA</t>
  </si>
  <si>
    <t>JARVIS</t>
  </si>
  <si>
    <t>JOANNE</t>
  </si>
  <si>
    <t>WEBER</t>
  </si>
  <si>
    <t>ESTER</t>
  </si>
  <si>
    <t>PELEGCOHEN</t>
  </si>
  <si>
    <t>SHAW</t>
  </si>
  <si>
    <t>HATELY</t>
  </si>
  <si>
    <t>DOUGLAS</t>
  </si>
  <si>
    <t>SHIPLEY</t>
  </si>
  <si>
    <t>BECKY</t>
  </si>
  <si>
    <t>FLEMING-SIEBENALER</t>
  </si>
  <si>
    <t>NAMIO</t>
  </si>
  <si>
    <t>DOWDLE</t>
  </si>
  <si>
    <t>HEDGESPETH</t>
  </si>
  <si>
    <t>SLOSS</t>
  </si>
  <si>
    <t>LAUREN</t>
  </si>
  <si>
    <t>DOMAROTSKY</t>
  </si>
  <si>
    <t>DARIAN</t>
  </si>
  <si>
    <t>ENERGY</t>
  </si>
  <si>
    <t>LOVETT</t>
  </si>
  <si>
    <t>ANDRE</t>
  </si>
  <si>
    <t>BATTS</t>
  </si>
  <si>
    <t>BROWN</t>
  </si>
  <si>
    <t>DAKOTA</t>
  </si>
  <si>
    <t>JIMENEZ</t>
  </si>
  <si>
    <t>MUKHIN</t>
  </si>
  <si>
    <t>TATYANA</t>
  </si>
  <si>
    <t>RICHARDS</t>
  </si>
  <si>
    <t>JASMINE</t>
  </si>
  <si>
    <t>NOVAKOVSKA</t>
  </si>
  <si>
    <t>OLHA</t>
  </si>
  <si>
    <t>GABBARD</t>
  </si>
  <si>
    <t>KYLER</t>
  </si>
  <si>
    <t>BURKS</t>
  </si>
  <si>
    <t>TINA</t>
  </si>
  <si>
    <t>FULLERTON</t>
  </si>
  <si>
    <t>GLENN</t>
  </si>
  <si>
    <t>REUTER</t>
  </si>
  <si>
    <t>MORRIS</t>
  </si>
  <si>
    <t>RODGER</t>
  </si>
  <si>
    <t>SONTERRE</t>
  </si>
  <si>
    <t>CULBERTSON</t>
  </si>
  <si>
    <t>KAITLIN</t>
  </si>
  <si>
    <t>ARPS</t>
  </si>
  <si>
    <t>GERMAIN</t>
  </si>
  <si>
    <t>PICKENS</t>
  </si>
  <si>
    <t>NIKO</t>
  </si>
  <si>
    <t>RANDALL</t>
  </si>
  <si>
    <t>JA'NET</t>
  </si>
  <si>
    <t>HARRIS</t>
  </si>
  <si>
    <t>BAUM</t>
  </si>
  <si>
    <t>VICKI</t>
  </si>
  <si>
    <t>OLSZEWSKI</t>
  </si>
  <si>
    <t>KATHERINA</t>
  </si>
  <si>
    <t>BARTLETT</t>
  </si>
  <si>
    <t>KATHERINE</t>
  </si>
  <si>
    <t>LAFROMBOIS</t>
  </si>
  <si>
    <t>DEANNA</t>
  </si>
  <si>
    <t>WA</t>
  </si>
  <si>
    <t>PASHE</t>
  </si>
  <si>
    <t>FREDRIC</t>
  </si>
  <si>
    <t>KENDIG</t>
  </si>
  <si>
    <t>DEVON</t>
  </si>
  <si>
    <t>WOOD</t>
  </si>
  <si>
    <t>BACHVAROV</t>
  </si>
  <si>
    <t>VALENTIN</t>
  </si>
  <si>
    <t>COOPER</t>
  </si>
  <si>
    <t>CARLEY</t>
  </si>
  <si>
    <t>COOK</t>
  </si>
  <si>
    <t>CARL</t>
  </si>
  <si>
    <t>ADAMS</t>
  </si>
  <si>
    <t>JOSEPHINE</t>
  </si>
  <si>
    <t>EARNEST</t>
  </si>
  <si>
    <t>STANLEY</t>
  </si>
  <si>
    <t>GALLARELLO</t>
  </si>
  <si>
    <t>NV</t>
  </si>
  <si>
    <t>GALEAZ</t>
  </si>
  <si>
    <t>PATTI</t>
  </si>
  <si>
    <t>MININGER</t>
  </si>
  <si>
    <t>Solivan</t>
  </si>
  <si>
    <t>Erica</t>
  </si>
  <si>
    <t>BEN</t>
  </si>
  <si>
    <t>LUCAS</t>
  </si>
  <si>
    <t>CURLEY</t>
  </si>
  <si>
    <t>STROUP</t>
  </si>
  <si>
    <t>THEODORE</t>
  </si>
  <si>
    <t>ANDRES</t>
  </si>
  <si>
    <t>STAVIG</t>
  </si>
  <si>
    <t>SHERRY</t>
  </si>
  <si>
    <t>PEDEN</t>
  </si>
  <si>
    <t>ELIANNA</t>
  </si>
  <si>
    <t>SHUMINSKY</t>
  </si>
  <si>
    <t>TERRI</t>
  </si>
  <si>
    <t>MULLER</t>
  </si>
  <si>
    <t>JESSICA</t>
  </si>
  <si>
    <t>CONSTANTINO</t>
  </si>
  <si>
    <t>ROSEANN</t>
  </si>
  <si>
    <t>GIRGENTI</t>
  </si>
  <si>
    <t>MARONSKI</t>
  </si>
  <si>
    <t>MAGGIE</t>
  </si>
  <si>
    <t>ERIN</t>
  </si>
  <si>
    <t>KINNEY</t>
  </si>
  <si>
    <t>OKTAY</t>
  </si>
  <si>
    <t>DONNA</t>
  </si>
  <si>
    <t>FERGUSON</t>
  </si>
  <si>
    <t>KROBATH</t>
  </si>
  <si>
    <t>PHOOSRISOM</t>
  </si>
  <si>
    <t>KHANTHONG</t>
  </si>
  <si>
    <t>Life</t>
  </si>
  <si>
    <t>NHIC Life 2023 Graded - 5028 Final Expense</t>
  </si>
  <si>
    <t>THANADABOUTH</t>
  </si>
  <si>
    <t>PATSAMON</t>
  </si>
  <si>
    <t>SUSHILABEN</t>
  </si>
  <si>
    <t>NHIC Life 2023 Level - 5029 Final Expense</t>
  </si>
  <si>
    <t>RONNA</t>
  </si>
  <si>
    <t>CROWE</t>
  </si>
  <si>
    <t>CYNTHIA</t>
  </si>
  <si>
    <t>Medicare Supplement</t>
  </si>
  <si>
    <t>NHIC MedSupp 2022 Plan F, G Age 65-80</t>
  </si>
  <si>
    <t>AMRAVANESWAREN</t>
  </si>
  <si>
    <t>R</t>
  </si>
  <si>
    <t>LISIVICK</t>
  </si>
  <si>
    <t>STAMATAKIS</t>
  </si>
  <si>
    <t>PAUL</t>
  </si>
  <si>
    <t>SPROAT</t>
  </si>
  <si>
    <t>LILICK</t>
  </si>
  <si>
    <t>TUNSTALL</t>
  </si>
  <si>
    <t>POPE</t>
  </si>
  <si>
    <t>NHIC MedSupp 2022 Plan F, G U65</t>
  </si>
  <si>
    <t>AMBROSE</t>
  </si>
  <si>
    <t>LU</t>
  </si>
  <si>
    <t>NHIC MedSupp 2022 IL Plan F, G Age 65-80</t>
  </si>
  <si>
    <t>KAMINSKI</t>
  </si>
  <si>
    <t>AMY</t>
  </si>
  <si>
    <t>REEDER</t>
  </si>
  <si>
    <t>NHIC MedSupp 2022 Plan N Age 65-80</t>
  </si>
  <si>
    <t>OBRIEN</t>
  </si>
  <si>
    <t>MARINA</t>
  </si>
  <si>
    <t>RONNIE</t>
  </si>
  <si>
    <t>NHIC MedSupp 2022 Plan F, G 81+</t>
  </si>
  <si>
    <t>VERANO</t>
  </si>
  <si>
    <t>KAHLER</t>
  </si>
  <si>
    <t>NHIC MedSupp 2022 IN Plan F, G, N Age 65-80</t>
  </si>
  <si>
    <t>COMBS</t>
  </si>
  <si>
    <t>NHIC MedSupp 2022 CO Plan F, G, N Age 65-80</t>
  </si>
  <si>
    <t>LANZIDELLE</t>
  </si>
  <si>
    <t>NHIC MedSupp 2022 FL Plan F, G Age 65-80</t>
  </si>
  <si>
    <t>BOVA</t>
  </si>
  <si>
    <t>JUDITH</t>
  </si>
  <si>
    <t>DIVITO</t>
  </si>
  <si>
    <t>ALEX</t>
  </si>
  <si>
    <t>BOWIE</t>
  </si>
  <si>
    <t>NHIC MedSupp 2022 IL Plan N Age 65-80</t>
  </si>
  <si>
    <t>BAIN</t>
  </si>
  <si>
    <t>MICHELSEN</t>
  </si>
  <si>
    <t>SCHULZE</t>
  </si>
  <si>
    <t>GULICK</t>
  </si>
  <si>
    <t>Accident Fixed Benefit</t>
  </si>
  <si>
    <t>GLOVER</t>
  </si>
  <si>
    <t>JACKIE</t>
  </si>
  <si>
    <t>RICHARDSON</t>
  </si>
  <si>
    <t>BRENDA</t>
  </si>
  <si>
    <t>NEMETHY</t>
  </si>
  <si>
    <t>POWELL</t>
  </si>
  <si>
    <t>NAKKIARA</t>
  </si>
  <si>
    <t>HAZEN</t>
  </si>
  <si>
    <t>VULJANIC</t>
  </si>
  <si>
    <t>RICHARD</t>
  </si>
  <si>
    <t>OLSON</t>
  </si>
  <si>
    <t>ZURAITIS</t>
  </si>
  <si>
    <t>BAXTER</t>
  </si>
  <si>
    <t>CABAN</t>
  </si>
  <si>
    <t>RITA</t>
  </si>
  <si>
    <t>SHEFFIELD</t>
  </si>
  <si>
    <t>LOIS</t>
  </si>
  <si>
    <t>HAMM</t>
  </si>
  <si>
    <t>DEREK</t>
  </si>
  <si>
    <t>BADRAA</t>
  </si>
  <si>
    <t>BURMAN</t>
  </si>
  <si>
    <t>HANASH</t>
  </si>
  <si>
    <t>DAWOOD</t>
  </si>
  <si>
    <t>LYNNA</t>
  </si>
  <si>
    <t>BAKER</t>
  </si>
  <si>
    <t>MARCO</t>
  </si>
  <si>
    <t>BLUHM</t>
  </si>
  <si>
    <t>PANGAN</t>
  </si>
  <si>
    <t>PYLE</t>
  </si>
  <si>
    <t>DARREN</t>
  </si>
  <si>
    <t>MOSS</t>
  </si>
  <si>
    <t>LUGO</t>
  </si>
  <si>
    <t>JAVIER</t>
  </si>
  <si>
    <t>EAVES</t>
  </si>
  <si>
    <t>JIMMY</t>
  </si>
  <si>
    <t>LEAH</t>
  </si>
  <si>
    <t>DYLAN</t>
  </si>
  <si>
    <t>SKIBINSKI</t>
  </si>
  <si>
    <t>NUGENT</t>
  </si>
  <si>
    <t>KELLI</t>
  </si>
  <si>
    <t>GOODMAN</t>
  </si>
  <si>
    <t>HOWELL</t>
  </si>
  <si>
    <t>MANES</t>
  </si>
  <si>
    <t>SYLENA</t>
  </si>
  <si>
    <t>ESPINOZA</t>
  </si>
  <si>
    <t>JAZZMINE</t>
  </si>
  <si>
    <t>PANNA</t>
  </si>
  <si>
    <t>ADLER</t>
  </si>
  <si>
    <t>NOBILE</t>
  </si>
  <si>
    <t>GABRIELLA</t>
  </si>
  <si>
    <t>WERNER</t>
  </si>
  <si>
    <t>DILLON</t>
  </si>
  <si>
    <t>EZNACK</t>
  </si>
  <si>
    <t>DOMINIQUE</t>
  </si>
  <si>
    <t>ABNEY</t>
  </si>
  <si>
    <t>MATT</t>
  </si>
  <si>
    <t>PURCELL</t>
  </si>
  <si>
    <t>GARRETSON</t>
  </si>
  <si>
    <t>EVAN</t>
  </si>
  <si>
    <t>DEATON</t>
  </si>
  <si>
    <t>AYUSH</t>
  </si>
  <si>
    <t>TUNGALAG</t>
  </si>
  <si>
    <t>ENKHTUR</t>
  </si>
  <si>
    <t>ODMAA</t>
  </si>
  <si>
    <t>KAUR</t>
  </si>
  <si>
    <t>MANJIT</t>
  </si>
  <si>
    <t>MARRUFO</t>
  </si>
  <si>
    <t>KRUM</t>
  </si>
  <si>
    <t>KAYLA</t>
  </si>
  <si>
    <t>CASILHAS</t>
  </si>
  <si>
    <t>SHERYL</t>
  </si>
  <si>
    <t>METUIWE</t>
  </si>
  <si>
    <t>IFEANYICHUKWU</t>
  </si>
  <si>
    <t>BUYANTOGTOKH</t>
  </si>
  <si>
    <t>NARANZUL</t>
  </si>
  <si>
    <t>CASEY</t>
  </si>
  <si>
    <t>BRITT</t>
  </si>
  <si>
    <t>BATDELGER</t>
  </si>
  <si>
    <t>TSERENBAT</t>
  </si>
  <si>
    <t>BAASANJAV</t>
  </si>
  <si>
    <t>ERDENECHIMEG</t>
  </si>
  <si>
    <t>SILVETTI</t>
  </si>
  <si>
    <t>TAMARA</t>
  </si>
  <si>
    <t>BURGENER</t>
  </si>
  <si>
    <t>BALDAN</t>
  </si>
  <si>
    <t>OYUNCHIMEG</t>
  </si>
  <si>
    <t>PITTS</t>
  </si>
  <si>
    <t>LENA</t>
  </si>
  <si>
    <t>BOWSER</t>
  </si>
  <si>
    <t>FARIA</t>
  </si>
  <si>
    <t>MARIELLE</t>
  </si>
  <si>
    <t>DORJKHAND</t>
  </si>
  <si>
    <t>TSENGELMAA</t>
  </si>
  <si>
    <t>BALLARD</t>
  </si>
  <si>
    <t>FUSILERO</t>
  </si>
  <si>
    <t>JENSEN</t>
  </si>
  <si>
    <t>MARIE</t>
  </si>
  <si>
    <t>SCHAENZER</t>
  </si>
  <si>
    <t>ALTANSOR</t>
  </si>
  <si>
    <t>NYAMBAATAR</t>
  </si>
  <si>
    <t>CHOINDONJAMTS</t>
  </si>
  <si>
    <t>GERELTOGTOKH</t>
  </si>
  <si>
    <t>DONOVAN</t>
  </si>
  <si>
    <t>SKIPWORTH</t>
  </si>
  <si>
    <t>ANNON</t>
  </si>
  <si>
    <t>WYNNE</t>
  </si>
  <si>
    <t>CONLIN</t>
  </si>
  <si>
    <t>KEMPKER</t>
  </si>
  <si>
    <t>HENDRIX</t>
  </si>
  <si>
    <t>TERRICA</t>
  </si>
  <si>
    <t>ORTIZ</t>
  </si>
  <si>
    <t>VILHAUER</t>
  </si>
  <si>
    <t>TONY</t>
  </si>
  <si>
    <t>Ferguson</t>
  </si>
  <si>
    <t>Taliah</t>
  </si>
  <si>
    <t>DENOFRIO</t>
  </si>
  <si>
    <t>DOSSETT</t>
  </si>
  <si>
    <t>OTGON</t>
  </si>
  <si>
    <t>KHATANBAATAR</t>
  </si>
  <si>
    <t>LOIGEROT</t>
  </si>
  <si>
    <t>ETHAN</t>
  </si>
  <si>
    <t>BATTULGA</t>
  </si>
  <si>
    <t>NARMANDAKH</t>
  </si>
  <si>
    <t>WILLAMS</t>
  </si>
  <si>
    <t>DWAYNE</t>
  </si>
  <si>
    <t>MCFARLAND</t>
  </si>
  <si>
    <t>JESSIE</t>
  </si>
  <si>
    <t>PADILLA</t>
  </si>
  <si>
    <t>DESEREE</t>
  </si>
  <si>
    <t>CULVERHOUSE</t>
  </si>
  <si>
    <t>DANIELLE</t>
  </si>
  <si>
    <t>TRASK</t>
  </si>
  <si>
    <t>CBK</t>
  </si>
  <si>
    <t>COMSTOCK</t>
  </si>
  <si>
    <t>ALBIZUREZ</t>
  </si>
  <si>
    <t>YOSELYN</t>
  </si>
  <si>
    <t>CHESTER</t>
  </si>
  <si>
    <t>LESSIE</t>
  </si>
  <si>
    <t>DUKE</t>
  </si>
  <si>
    <t>KENZIE</t>
  </si>
  <si>
    <t>TOPORKIEWICZ</t>
  </si>
  <si>
    <t>GUILLERMINA</t>
  </si>
  <si>
    <t>LUJUANA</t>
  </si>
  <si>
    <t>PLAINFEATHER</t>
  </si>
  <si>
    <t>HOTT</t>
  </si>
  <si>
    <t>ISAKSON</t>
  </si>
  <si>
    <t>EILEEN</t>
  </si>
  <si>
    <t>YADAMSUREN</t>
  </si>
  <si>
    <t>GANSUKH</t>
  </si>
  <si>
    <t>LIGHTFOOT</t>
  </si>
  <si>
    <t>JONATHAN</t>
  </si>
  <si>
    <t>ROWLAND</t>
  </si>
  <si>
    <t>BRANDON</t>
  </si>
  <si>
    <t>BLASSINGALE</t>
  </si>
  <si>
    <t>HILL</t>
  </si>
  <si>
    <t>AUDRI</t>
  </si>
  <si>
    <t>Cancer and Heart-Stroke 20231</t>
  </si>
  <si>
    <t>Cancer and Heart-Stroke 20231 CO-FL-MN-MI</t>
  </si>
  <si>
    <t>NHIC STM PPO IA</t>
  </si>
  <si>
    <t>Critical Illness with Term Life 21677</t>
  </si>
  <si>
    <t>Life Association C</t>
  </si>
  <si>
    <t>Allstate OVR</t>
  </si>
  <si>
    <t>My Life Wellness 21038</t>
  </si>
  <si>
    <t>AS Plan Enhancer 20214</t>
  </si>
  <si>
    <t>NHIC STM 2022 IN Single Term</t>
  </si>
  <si>
    <t>AS SELECT DENTAL 29304</t>
  </si>
  <si>
    <t>NHIC LM 2021 Hos Exp U65</t>
  </si>
  <si>
    <t>National General GI Access Plan-All States</t>
  </si>
  <si>
    <t>Final Expense Life Insurance (Graded)</t>
  </si>
  <si>
    <t>Final Expense Life Insurance (Level)</t>
  </si>
  <si>
    <t>NHIC MedSupp 2022 Plan F G Age 65-80</t>
  </si>
  <si>
    <t>NHIC MedSupp 2022 IL Plan F G 81+</t>
  </si>
  <si>
    <t>NHIC MedSupp 2022 IN Plan F G N Age 65-80</t>
  </si>
  <si>
    <t>16912722AV6</t>
  </si>
  <si>
    <t>7470776AV6</t>
  </si>
  <si>
    <t>19278370old</t>
  </si>
  <si>
    <t>21348299old</t>
  </si>
  <si>
    <t>19586992AV6</t>
  </si>
  <si>
    <t>17554531AV6</t>
  </si>
  <si>
    <t>17425766OLD</t>
  </si>
  <si>
    <t>20003537old</t>
  </si>
  <si>
    <t>19681796AV6</t>
  </si>
  <si>
    <t>3333476AV6</t>
  </si>
  <si>
    <t>8325282AV6</t>
  </si>
  <si>
    <t>17528908N</t>
  </si>
  <si>
    <t>16865615AV6</t>
  </si>
  <si>
    <t>17117649AV6</t>
  </si>
  <si>
    <t>18201929AV6</t>
  </si>
  <si>
    <t>18201929AV6old</t>
  </si>
  <si>
    <t>18201929old</t>
  </si>
  <si>
    <t>17143996AV6</t>
  </si>
  <si>
    <t>19279958AV6</t>
  </si>
  <si>
    <t>19279958old</t>
  </si>
  <si>
    <t>2158366AV6</t>
  </si>
  <si>
    <t>21564088AV6</t>
  </si>
  <si>
    <t>17740520AV6</t>
  </si>
  <si>
    <t>6634327AV6</t>
  </si>
  <si>
    <t>18781057N</t>
  </si>
  <si>
    <t>21421111AV6</t>
  </si>
  <si>
    <t>21436172AV6</t>
  </si>
  <si>
    <t>20724564AV6</t>
  </si>
  <si>
    <t>8812322AV6</t>
  </si>
  <si>
    <t>18828278AV6</t>
  </si>
  <si>
    <t>20220688AV6</t>
  </si>
  <si>
    <t>21607778AV6</t>
  </si>
  <si>
    <t>21648482AV6</t>
  </si>
  <si>
    <t>19200754AV6</t>
  </si>
  <si>
    <t>16633294AV6</t>
  </si>
  <si>
    <t>8971826N</t>
  </si>
  <si>
    <t>21561165AV6</t>
  </si>
  <si>
    <t>371819AV6</t>
  </si>
  <si>
    <t>20490188AV6</t>
  </si>
  <si>
    <t>21283956AV6</t>
  </si>
  <si>
    <t>21283956old</t>
  </si>
  <si>
    <t>21313588AV6</t>
  </si>
  <si>
    <t>Main Line Benefits</t>
  </si>
  <si>
    <t>AV</t>
  </si>
  <si>
    <t>AV1</t>
  </si>
  <si>
    <t>AE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</si>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</sst>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164" fontId="14" fillId="33" borderId="0" xfId="0" applyNumberFormat="1" applyFont="1" applyFill="1"/>
    <xf numFmtId="0" fontId="14" fillId="0" borderId="0" xfId="0" applyFont="1"/>
    <xf numFmtId="0" fontId="0" fillId="34" borderId="0" xfId="0" applyFill="1"/>
    <xf numFmtId="9" fontId="0" fillId="33" borderId="0" xfId="0" applyNumberFormat="1" applyFill="1"/>
    <xf numFmtId="10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  <xf numFmtId="9" fontId="0" fillId="0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NumberFormat="1"/>
    <xf numFmtId="0" fontId="0" fillId="33" borderId="0" xfId="0" applyNumberFormat="1" applyFill="1"/>
    <xf numFmtId="0" fontId="0" fillId="0" borderId="0" xfId="0" applyNumberFormat="1" applyFill="1"/>
    <xf numFmtId="10" fontId="0" fillId="0" borderId="0" xfId="0" applyNumberFormat="1" applyFill="1"/>
    <xf numFmtId="0" fontId="0" fillId="35" borderId="0" xfId="0" applyFill="1"/>
    <xf numFmtId="0" fontId="0" fillId="35" borderId="0" xfId="0" applyFill="1" applyAlignment="1">
      <alignment horizontal="left"/>
    </xf>
    <xf numFmtId="14" fontId="0" fillId="35" borderId="0" xfId="0" applyNumberFormat="1" applyFill="1"/>
    <xf numFmtId="0" fontId="0" fillId="35" borderId="0" xfId="0" applyNumberFormat="1" applyFill="1"/>
    <xf numFmtId="164" fontId="0" fillId="35" borderId="0" xfId="0" applyNumberFormat="1" applyFill="1"/>
    <xf numFmtId="9" fontId="0" fillId="35" borderId="0" xfId="0" applyNumberFormat="1" applyFill="1"/>
    <xf numFmtId="10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4BD0-DC8D-4742-AB28-294ECEA490D3}">
  <dimension ref="A1:AV1307"/>
  <sheetViews>
    <sheetView workbookViewId="0">
      <selection activeCell="D2" sqref="D2:D1307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46062</v>
      </c>
      <c r="B2" t="s">
        <v>48</v>
      </c>
      <c r="C2">
        <v>649163</v>
      </c>
      <c r="D2">
        <v>2032987490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929503</v>
      </c>
      <c r="L2" t="s">
        <v>55</v>
      </c>
      <c r="M2" t="s">
        <v>56</v>
      </c>
      <c r="N2" t="s">
        <v>57</v>
      </c>
      <c r="O2" s="1">
        <v>46054</v>
      </c>
      <c r="Q2" s="1">
        <v>46082</v>
      </c>
      <c r="R2" s="2">
        <v>56.69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204.06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34.01</v>
      </c>
      <c r="AM2" s="2">
        <v>0</v>
      </c>
      <c r="AN2" s="2">
        <v>204.06</v>
      </c>
      <c r="AO2" s="2">
        <v>0</v>
      </c>
      <c r="AP2" s="2">
        <v>0</v>
      </c>
      <c r="AQ2" s="2">
        <v>0</v>
      </c>
    </row>
    <row r="3" spans="1:48" x14ac:dyDescent="0.25">
      <c r="A3" s="1">
        <v>46062</v>
      </c>
      <c r="B3" t="s">
        <v>48</v>
      </c>
      <c r="C3">
        <v>649163</v>
      </c>
      <c r="D3">
        <v>2033053091</v>
      </c>
      <c r="E3" t="s">
        <v>62</v>
      </c>
      <c r="F3" t="s">
        <v>63</v>
      </c>
      <c r="G3" t="s">
        <v>51</v>
      </c>
      <c r="H3" t="s">
        <v>52</v>
      </c>
      <c r="I3" t="s">
        <v>53</v>
      </c>
      <c r="J3" t="s">
        <v>54</v>
      </c>
      <c r="K3">
        <v>929503</v>
      </c>
      <c r="L3" t="s">
        <v>55</v>
      </c>
      <c r="M3" t="s">
        <v>56</v>
      </c>
      <c r="N3" t="s">
        <v>57</v>
      </c>
      <c r="O3" s="1">
        <v>46054</v>
      </c>
      <c r="Q3" s="1">
        <v>46082</v>
      </c>
      <c r="R3" s="2">
        <v>56.69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204.06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34.01</v>
      </c>
      <c r="AM3" s="2">
        <v>0</v>
      </c>
      <c r="AN3" s="2">
        <v>204.06</v>
      </c>
      <c r="AO3" s="2">
        <v>0</v>
      </c>
      <c r="AP3" s="2">
        <v>0</v>
      </c>
      <c r="AQ3" s="2">
        <v>0</v>
      </c>
    </row>
    <row r="4" spans="1:48" x14ac:dyDescent="0.25">
      <c r="A4" s="1">
        <v>46062</v>
      </c>
      <c r="B4" t="s">
        <v>48</v>
      </c>
      <c r="C4">
        <v>649163</v>
      </c>
      <c r="D4">
        <v>2033514195</v>
      </c>
      <c r="E4" t="s">
        <v>64</v>
      </c>
      <c r="F4" t="s">
        <v>65</v>
      </c>
      <c r="G4" t="s">
        <v>51</v>
      </c>
      <c r="H4" t="s">
        <v>66</v>
      </c>
      <c r="I4" t="s">
        <v>53</v>
      </c>
      <c r="J4" t="s">
        <v>54</v>
      </c>
      <c r="K4">
        <v>894525</v>
      </c>
      <c r="L4" t="s">
        <v>67</v>
      </c>
      <c r="M4" t="s">
        <v>68</v>
      </c>
      <c r="N4" t="s">
        <v>57</v>
      </c>
      <c r="O4" s="1">
        <v>46082</v>
      </c>
      <c r="Q4" s="1">
        <v>46113</v>
      </c>
      <c r="R4" s="2">
        <v>52.69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189.66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31.61</v>
      </c>
      <c r="AM4" s="2">
        <v>0</v>
      </c>
      <c r="AN4" s="2">
        <v>189.66</v>
      </c>
      <c r="AO4" s="2">
        <v>0</v>
      </c>
      <c r="AP4" s="2">
        <v>0</v>
      </c>
      <c r="AQ4" s="2">
        <v>0</v>
      </c>
    </row>
    <row r="5" spans="1:48" x14ac:dyDescent="0.25">
      <c r="A5" s="1">
        <v>46062</v>
      </c>
      <c r="B5" t="s">
        <v>48</v>
      </c>
      <c r="C5">
        <v>649163</v>
      </c>
      <c r="D5">
        <v>2033126232</v>
      </c>
      <c r="E5" t="s">
        <v>69</v>
      </c>
      <c r="F5" t="s">
        <v>70</v>
      </c>
      <c r="G5" t="s">
        <v>51</v>
      </c>
      <c r="H5" t="s">
        <v>71</v>
      </c>
      <c r="I5" t="s">
        <v>72</v>
      </c>
      <c r="J5" t="s">
        <v>73</v>
      </c>
      <c r="K5">
        <v>753748</v>
      </c>
      <c r="L5" t="s">
        <v>74</v>
      </c>
      <c r="M5" t="s">
        <v>75</v>
      </c>
      <c r="N5" t="s">
        <v>57</v>
      </c>
      <c r="O5" s="1">
        <v>46054</v>
      </c>
      <c r="Q5" s="1">
        <v>46082</v>
      </c>
      <c r="R5" s="2">
        <v>156.25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703.14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117.19</v>
      </c>
      <c r="AM5" s="2">
        <v>0</v>
      </c>
      <c r="AN5" s="2">
        <v>703.14</v>
      </c>
      <c r="AO5" s="2">
        <v>0</v>
      </c>
      <c r="AP5" s="2">
        <v>0</v>
      </c>
      <c r="AQ5" s="2">
        <v>0</v>
      </c>
    </row>
    <row r="6" spans="1:48" x14ac:dyDescent="0.25">
      <c r="A6" s="1">
        <v>46062</v>
      </c>
      <c r="B6" t="s">
        <v>48</v>
      </c>
      <c r="C6">
        <v>649163</v>
      </c>
      <c r="D6">
        <v>2033144397</v>
      </c>
      <c r="E6" t="s">
        <v>76</v>
      </c>
      <c r="F6" t="s">
        <v>77</v>
      </c>
      <c r="G6" t="s">
        <v>51</v>
      </c>
      <c r="H6" t="s">
        <v>78</v>
      </c>
      <c r="I6" t="s">
        <v>72</v>
      </c>
      <c r="J6" t="s">
        <v>79</v>
      </c>
      <c r="K6">
        <v>651818</v>
      </c>
      <c r="L6" t="s">
        <v>80</v>
      </c>
      <c r="M6" t="s">
        <v>81</v>
      </c>
      <c r="N6" t="s">
        <v>57</v>
      </c>
      <c r="O6" s="1">
        <v>46059</v>
      </c>
      <c r="Q6" s="1">
        <v>46087</v>
      </c>
      <c r="R6" s="2">
        <v>24.4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109.8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18.3</v>
      </c>
      <c r="AM6" s="2">
        <v>0</v>
      </c>
      <c r="AN6" s="2">
        <v>109.8</v>
      </c>
      <c r="AO6" s="2">
        <v>0</v>
      </c>
      <c r="AP6" s="2">
        <v>0</v>
      </c>
      <c r="AQ6" s="2">
        <v>0</v>
      </c>
    </row>
    <row r="7" spans="1:48" x14ac:dyDescent="0.25">
      <c r="A7" s="1">
        <v>46062</v>
      </c>
      <c r="B7" t="s">
        <v>48</v>
      </c>
      <c r="C7">
        <v>649163</v>
      </c>
      <c r="D7">
        <v>2033169682</v>
      </c>
      <c r="E7" t="s">
        <v>82</v>
      </c>
      <c r="F7" t="s">
        <v>83</v>
      </c>
      <c r="G7" t="s">
        <v>51</v>
      </c>
      <c r="H7" t="s">
        <v>84</v>
      </c>
      <c r="I7" t="s">
        <v>72</v>
      </c>
      <c r="J7" t="s">
        <v>73</v>
      </c>
      <c r="K7">
        <v>651818</v>
      </c>
      <c r="L7" t="s">
        <v>80</v>
      </c>
      <c r="M7" t="s">
        <v>81</v>
      </c>
      <c r="N7" t="s">
        <v>57</v>
      </c>
      <c r="O7" s="1">
        <v>46059</v>
      </c>
      <c r="Q7" s="1">
        <v>46087</v>
      </c>
      <c r="R7" s="2">
        <v>96.07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432.3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72.05</v>
      </c>
      <c r="AM7" s="2">
        <v>0</v>
      </c>
      <c r="AN7" s="2">
        <v>432.3</v>
      </c>
      <c r="AO7" s="2">
        <v>0</v>
      </c>
      <c r="AP7" s="2">
        <v>0</v>
      </c>
      <c r="AQ7" s="2">
        <v>0</v>
      </c>
    </row>
    <row r="8" spans="1:48" x14ac:dyDescent="0.25">
      <c r="A8" s="1">
        <v>46062</v>
      </c>
      <c r="B8" t="s">
        <v>48</v>
      </c>
      <c r="C8">
        <v>649163</v>
      </c>
      <c r="D8">
        <v>2033179605</v>
      </c>
      <c r="E8" t="s">
        <v>85</v>
      </c>
      <c r="F8" t="s">
        <v>86</v>
      </c>
      <c r="G8" t="s">
        <v>51</v>
      </c>
      <c r="H8" t="s">
        <v>87</v>
      </c>
      <c r="I8" t="s">
        <v>72</v>
      </c>
      <c r="J8" t="s">
        <v>79</v>
      </c>
      <c r="K8">
        <v>651818</v>
      </c>
      <c r="L8" t="s">
        <v>80</v>
      </c>
      <c r="M8" t="s">
        <v>81</v>
      </c>
      <c r="N8" t="s">
        <v>57</v>
      </c>
      <c r="O8" s="1">
        <v>46054</v>
      </c>
      <c r="Q8" s="1">
        <v>46082</v>
      </c>
      <c r="R8" s="2">
        <v>93.15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419.16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69.86</v>
      </c>
      <c r="AM8" s="2">
        <v>0</v>
      </c>
      <c r="AN8" s="2">
        <v>419.16</v>
      </c>
      <c r="AO8" s="2">
        <v>0</v>
      </c>
      <c r="AP8" s="2">
        <v>0</v>
      </c>
      <c r="AQ8" s="2">
        <v>0</v>
      </c>
    </row>
    <row r="9" spans="1:48" x14ac:dyDescent="0.25">
      <c r="A9" s="1">
        <v>46062</v>
      </c>
      <c r="B9" t="s">
        <v>48</v>
      </c>
      <c r="C9">
        <v>649163</v>
      </c>
      <c r="D9">
        <v>2033221108</v>
      </c>
      <c r="E9" t="s">
        <v>88</v>
      </c>
      <c r="F9" t="s">
        <v>89</v>
      </c>
      <c r="G9" t="s">
        <v>51</v>
      </c>
      <c r="H9" t="s">
        <v>90</v>
      </c>
      <c r="I9" t="s">
        <v>72</v>
      </c>
      <c r="J9" t="s">
        <v>73</v>
      </c>
      <c r="K9">
        <v>651818</v>
      </c>
      <c r="L9" t="s">
        <v>80</v>
      </c>
      <c r="M9" t="s">
        <v>81</v>
      </c>
      <c r="N9" t="s">
        <v>57</v>
      </c>
      <c r="O9" s="1">
        <v>46059</v>
      </c>
      <c r="Q9" s="1">
        <v>46087</v>
      </c>
      <c r="R9" s="2">
        <v>94.96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427.32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71.22</v>
      </c>
      <c r="AM9" s="2">
        <v>0</v>
      </c>
      <c r="AN9" s="2">
        <v>427.32</v>
      </c>
      <c r="AO9" s="2">
        <v>0</v>
      </c>
      <c r="AP9" s="2">
        <v>0</v>
      </c>
      <c r="AQ9" s="2">
        <v>0</v>
      </c>
    </row>
    <row r="10" spans="1:48" x14ac:dyDescent="0.25">
      <c r="A10" s="1">
        <v>46062</v>
      </c>
      <c r="B10" t="s">
        <v>48</v>
      </c>
      <c r="C10">
        <v>649163</v>
      </c>
      <c r="D10">
        <v>2033231467</v>
      </c>
      <c r="E10" t="s">
        <v>91</v>
      </c>
      <c r="F10" t="s">
        <v>92</v>
      </c>
      <c r="G10" t="s">
        <v>51</v>
      </c>
      <c r="H10" t="s">
        <v>84</v>
      </c>
      <c r="I10" t="s">
        <v>72</v>
      </c>
      <c r="J10" t="s">
        <v>93</v>
      </c>
      <c r="K10">
        <v>651818</v>
      </c>
      <c r="L10" t="s">
        <v>80</v>
      </c>
      <c r="M10" t="s">
        <v>81</v>
      </c>
      <c r="N10" t="s">
        <v>57</v>
      </c>
      <c r="O10" s="1">
        <v>46059</v>
      </c>
      <c r="Q10" s="1">
        <v>46087</v>
      </c>
      <c r="R10" s="2">
        <v>216.83</v>
      </c>
      <c r="S10">
        <v>1</v>
      </c>
      <c r="T10" t="s">
        <v>58</v>
      </c>
      <c r="U10" t="s">
        <v>59</v>
      </c>
      <c r="V10" s="3">
        <v>0.9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1170.9000000000001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195.15</v>
      </c>
      <c r="AM10" s="2">
        <v>0</v>
      </c>
      <c r="AN10" s="2">
        <v>1170.9000000000001</v>
      </c>
      <c r="AO10" s="2">
        <v>0</v>
      </c>
      <c r="AP10" s="2">
        <v>0</v>
      </c>
      <c r="AQ10" s="2">
        <v>0</v>
      </c>
    </row>
    <row r="11" spans="1:48" x14ac:dyDescent="0.25">
      <c r="A11" s="1">
        <v>46062</v>
      </c>
      <c r="B11" t="s">
        <v>48</v>
      </c>
      <c r="C11">
        <v>649163</v>
      </c>
      <c r="D11">
        <v>2033267342</v>
      </c>
      <c r="E11" t="s">
        <v>94</v>
      </c>
      <c r="F11" t="s">
        <v>95</v>
      </c>
      <c r="G11" t="s">
        <v>51</v>
      </c>
      <c r="H11" t="s">
        <v>96</v>
      </c>
      <c r="I11" t="s">
        <v>72</v>
      </c>
      <c r="J11" t="s">
        <v>79</v>
      </c>
      <c r="K11">
        <v>651818</v>
      </c>
      <c r="L11" t="s">
        <v>80</v>
      </c>
      <c r="M11" t="s">
        <v>81</v>
      </c>
      <c r="N11" t="s">
        <v>57</v>
      </c>
      <c r="O11" s="1">
        <v>46059</v>
      </c>
      <c r="Q11" s="1">
        <v>46087</v>
      </c>
      <c r="R11" s="2">
        <v>58.68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264.06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44.01</v>
      </c>
      <c r="AM11" s="2">
        <v>0</v>
      </c>
      <c r="AN11" s="2">
        <v>264.06</v>
      </c>
      <c r="AO11" s="2">
        <v>0</v>
      </c>
      <c r="AP11" s="2">
        <v>0</v>
      </c>
      <c r="AQ11" s="2">
        <v>0</v>
      </c>
    </row>
    <row r="12" spans="1:48" x14ac:dyDescent="0.25">
      <c r="A12" s="1">
        <v>46062</v>
      </c>
      <c r="B12" t="s">
        <v>48</v>
      </c>
      <c r="C12">
        <v>649163</v>
      </c>
      <c r="D12">
        <v>2033304010</v>
      </c>
      <c r="E12" t="s">
        <v>97</v>
      </c>
      <c r="F12" t="s">
        <v>98</v>
      </c>
      <c r="G12" t="s">
        <v>51</v>
      </c>
      <c r="H12" t="s">
        <v>87</v>
      </c>
      <c r="I12" t="s">
        <v>72</v>
      </c>
      <c r="J12" t="s">
        <v>93</v>
      </c>
      <c r="K12">
        <v>651818</v>
      </c>
      <c r="L12" t="s">
        <v>80</v>
      </c>
      <c r="M12" t="s">
        <v>81</v>
      </c>
      <c r="N12" t="s">
        <v>57</v>
      </c>
      <c r="O12" s="1">
        <v>46059</v>
      </c>
      <c r="Q12" s="1">
        <v>46087</v>
      </c>
      <c r="R12" s="2">
        <v>92.46</v>
      </c>
      <c r="S12">
        <v>1</v>
      </c>
      <c r="T12" t="s">
        <v>58</v>
      </c>
      <c r="U12" t="s">
        <v>59</v>
      </c>
      <c r="V12" s="3">
        <v>0.9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499.26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83.21</v>
      </c>
      <c r="AM12" s="2">
        <v>0</v>
      </c>
      <c r="AN12" s="2">
        <v>499.26</v>
      </c>
      <c r="AO12" s="2">
        <v>0</v>
      </c>
      <c r="AP12" s="2">
        <v>0</v>
      </c>
      <c r="AQ12" s="2">
        <v>0</v>
      </c>
    </row>
    <row r="13" spans="1:48" x14ac:dyDescent="0.25">
      <c r="A13" s="1">
        <v>46062</v>
      </c>
      <c r="B13" t="s">
        <v>48</v>
      </c>
      <c r="C13">
        <v>649163</v>
      </c>
      <c r="D13">
        <v>2033331040</v>
      </c>
      <c r="E13" t="s">
        <v>99</v>
      </c>
      <c r="F13" t="s">
        <v>100</v>
      </c>
      <c r="G13" t="s">
        <v>51</v>
      </c>
      <c r="H13" t="s">
        <v>87</v>
      </c>
      <c r="I13" t="s">
        <v>72</v>
      </c>
      <c r="J13" t="s">
        <v>93</v>
      </c>
      <c r="K13">
        <v>651818</v>
      </c>
      <c r="L13" t="s">
        <v>80</v>
      </c>
      <c r="M13" t="s">
        <v>81</v>
      </c>
      <c r="N13" t="s">
        <v>57</v>
      </c>
      <c r="O13" s="1">
        <v>46059</v>
      </c>
      <c r="Q13" s="1">
        <v>46087</v>
      </c>
      <c r="R13" s="2">
        <v>68.25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368.52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61.42</v>
      </c>
      <c r="AM13" s="2">
        <v>0</v>
      </c>
      <c r="AN13" s="2">
        <v>368.52</v>
      </c>
      <c r="AO13" s="2">
        <v>0</v>
      </c>
      <c r="AP13" s="2">
        <v>0</v>
      </c>
      <c r="AQ13" s="2">
        <v>0</v>
      </c>
    </row>
    <row r="14" spans="1:48" x14ac:dyDescent="0.25">
      <c r="A14" s="1">
        <v>46062</v>
      </c>
      <c r="B14" t="s">
        <v>48</v>
      </c>
      <c r="C14">
        <v>649163</v>
      </c>
      <c r="D14">
        <v>2033367161</v>
      </c>
      <c r="E14" t="s">
        <v>101</v>
      </c>
      <c r="F14" t="s">
        <v>102</v>
      </c>
      <c r="G14" t="s">
        <v>51</v>
      </c>
      <c r="H14" t="s">
        <v>90</v>
      </c>
      <c r="I14" t="s">
        <v>72</v>
      </c>
      <c r="J14" t="s">
        <v>93</v>
      </c>
      <c r="K14">
        <v>651818</v>
      </c>
      <c r="L14" t="s">
        <v>80</v>
      </c>
      <c r="M14" t="s">
        <v>81</v>
      </c>
      <c r="N14" t="s">
        <v>57</v>
      </c>
      <c r="O14" s="1">
        <v>46059</v>
      </c>
      <c r="Q14" s="1">
        <v>46087</v>
      </c>
      <c r="R14" s="2">
        <v>222.13</v>
      </c>
      <c r="S14">
        <v>1</v>
      </c>
      <c r="T14" t="s">
        <v>58</v>
      </c>
      <c r="U14" t="s">
        <v>59</v>
      </c>
      <c r="V14" s="3">
        <v>0.9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1199.52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199.92</v>
      </c>
      <c r="AM14" s="2">
        <v>0</v>
      </c>
      <c r="AN14" s="2">
        <v>1199.52</v>
      </c>
      <c r="AO14" s="2">
        <v>0</v>
      </c>
      <c r="AP14" s="2">
        <v>0</v>
      </c>
      <c r="AQ14" s="2">
        <v>0</v>
      </c>
    </row>
    <row r="15" spans="1:48" x14ac:dyDescent="0.25">
      <c r="A15" s="1">
        <v>46062</v>
      </c>
      <c r="B15" t="s">
        <v>48</v>
      </c>
      <c r="C15">
        <v>649163</v>
      </c>
      <c r="D15">
        <v>2033412631</v>
      </c>
      <c r="E15" t="s">
        <v>103</v>
      </c>
      <c r="F15" t="s">
        <v>104</v>
      </c>
      <c r="G15" t="s">
        <v>51</v>
      </c>
      <c r="H15" t="s">
        <v>78</v>
      </c>
      <c r="I15" t="s">
        <v>72</v>
      </c>
      <c r="J15" t="s">
        <v>93</v>
      </c>
      <c r="K15">
        <v>651818</v>
      </c>
      <c r="L15" t="s">
        <v>80</v>
      </c>
      <c r="M15" t="s">
        <v>81</v>
      </c>
      <c r="N15" t="s">
        <v>57</v>
      </c>
      <c r="O15" s="1">
        <v>46059</v>
      </c>
      <c r="Q15" s="1">
        <v>46087</v>
      </c>
      <c r="R15" s="2">
        <v>94.63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511.02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85.17</v>
      </c>
      <c r="AM15" s="2">
        <v>0</v>
      </c>
      <c r="AN15" s="2">
        <v>511.02</v>
      </c>
      <c r="AO15" s="2">
        <v>0</v>
      </c>
      <c r="AP15" s="2">
        <v>0</v>
      </c>
      <c r="AQ15" s="2">
        <v>0</v>
      </c>
    </row>
    <row r="16" spans="1:48" x14ac:dyDescent="0.25">
      <c r="A16" s="1">
        <v>46062</v>
      </c>
      <c r="B16" t="s">
        <v>48</v>
      </c>
      <c r="C16">
        <v>649163</v>
      </c>
      <c r="D16">
        <v>2033444616</v>
      </c>
      <c r="E16" t="s">
        <v>105</v>
      </c>
      <c r="F16" t="s">
        <v>92</v>
      </c>
      <c r="G16" t="s">
        <v>51</v>
      </c>
      <c r="H16" t="s">
        <v>90</v>
      </c>
      <c r="I16" t="s">
        <v>72</v>
      </c>
      <c r="J16" t="s">
        <v>79</v>
      </c>
      <c r="K16">
        <v>753748</v>
      </c>
      <c r="L16" t="s">
        <v>74</v>
      </c>
      <c r="M16" t="s">
        <v>75</v>
      </c>
      <c r="N16" t="s">
        <v>57</v>
      </c>
      <c r="O16" s="1">
        <v>46056</v>
      </c>
      <c r="Q16" s="1">
        <v>46084</v>
      </c>
      <c r="R16" s="2">
        <v>302.2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1359.9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226.65</v>
      </c>
      <c r="AM16" s="2">
        <v>0</v>
      </c>
      <c r="AN16" s="2">
        <v>1359.9</v>
      </c>
      <c r="AO16" s="2">
        <v>0</v>
      </c>
      <c r="AP16" s="2">
        <v>0</v>
      </c>
      <c r="AQ16" s="2">
        <v>0</v>
      </c>
    </row>
    <row r="17" spans="1:43" x14ac:dyDescent="0.25">
      <c r="A17" s="1">
        <v>46062</v>
      </c>
      <c r="B17" t="s">
        <v>48</v>
      </c>
      <c r="C17">
        <v>649163</v>
      </c>
      <c r="D17">
        <v>2033468529</v>
      </c>
      <c r="E17" t="s">
        <v>106</v>
      </c>
      <c r="F17" t="s">
        <v>107</v>
      </c>
      <c r="G17" t="s">
        <v>51</v>
      </c>
      <c r="H17" t="s">
        <v>66</v>
      </c>
      <c r="I17" t="s">
        <v>72</v>
      </c>
      <c r="J17" t="s">
        <v>73</v>
      </c>
      <c r="K17">
        <v>856163</v>
      </c>
      <c r="L17" t="s">
        <v>108</v>
      </c>
      <c r="M17" t="s">
        <v>109</v>
      </c>
      <c r="N17" t="s">
        <v>57</v>
      </c>
      <c r="O17" s="1">
        <v>46082</v>
      </c>
      <c r="Q17" s="1">
        <v>46113</v>
      </c>
      <c r="R17" s="2">
        <v>76.3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343.32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57.22</v>
      </c>
      <c r="AM17" s="2">
        <v>0</v>
      </c>
      <c r="AN17" s="2">
        <v>343.32</v>
      </c>
      <c r="AO17" s="2">
        <v>0</v>
      </c>
      <c r="AP17" s="2">
        <v>0</v>
      </c>
      <c r="AQ17" s="2">
        <v>0</v>
      </c>
    </row>
    <row r="18" spans="1:43" x14ac:dyDescent="0.25">
      <c r="A18" s="1">
        <v>46062</v>
      </c>
      <c r="B18" t="s">
        <v>48</v>
      </c>
      <c r="C18">
        <v>649163</v>
      </c>
      <c r="D18">
        <v>2033469199</v>
      </c>
      <c r="E18" t="s">
        <v>110</v>
      </c>
      <c r="F18" t="s">
        <v>111</v>
      </c>
      <c r="G18" t="s">
        <v>51</v>
      </c>
      <c r="H18" t="s">
        <v>112</v>
      </c>
      <c r="I18" t="s">
        <v>72</v>
      </c>
      <c r="J18" t="s">
        <v>79</v>
      </c>
      <c r="K18">
        <v>651818</v>
      </c>
      <c r="L18" t="s">
        <v>80</v>
      </c>
      <c r="M18" t="s">
        <v>81</v>
      </c>
      <c r="N18" t="s">
        <v>57</v>
      </c>
      <c r="O18" s="1">
        <v>45815</v>
      </c>
      <c r="Q18" s="1">
        <v>45845</v>
      </c>
      <c r="R18" s="2">
        <v>1233.9000000000001</v>
      </c>
      <c r="S18">
        <v>1</v>
      </c>
      <c r="T18" t="s">
        <v>58</v>
      </c>
      <c r="U18" t="s">
        <v>113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925.42</v>
      </c>
      <c r="AN18" s="2">
        <v>925.42</v>
      </c>
      <c r="AO18" s="2">
        <v>0</v>
      </c>
      <c r="AP18" s="2">
        <v>0</v>
      </c>
      <c r="AQ18" s="2">
        <v>0</v>
      </c>
    </row>
    <row r="19" spans="1:43" x14ac:dyDescent="0.25">
      <c r="A19" s="1">
        <v>46062</v>
      </c>
      <c r="B19" t="s">
        <v>48</v>
      </c>
      <c r="C19">
        <v>649163</v>
      </c>
      <c r="D19">
        <v>2033478391</v>
      </c>
      <c r="E19" t="s">
        <v>114</v>
      </c>
      <c r="F19" t="s">
        <v>115</v>
      </c>
      <c r="G19" t="s">
        <v>51</v>
      </c>
      <c r="H19" t="s">
        <v>116</v>
      </c>
      <c r="I19" t="s">
        <v>72</v>
      </c>
      <c r="J19" t="s">
        <v>79</v>
      </c>
      <c r="K19">
        <v>942810</v>
      </c>
      <c r="L19" t="s">
        <v>117</v>
      </c>
      <c r="M19" t="s">
        <v>118</v>
      </c>
      <c r="N19" t="s">
        <v>57</v>
      </c>
      <c r="O19" s="1">
        <v>46058</v>
      </c>
      <c r="Q19" s="1">
        <v>46086</v>
      </c>
      <c r="R19" s="2">
        <v>48.55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218.46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36.409999999999997</v>
      </c>
      <c r="AM19" s="2">
        <v>0</v>
      </c>
      <c r="AN19" s="2">
        <v>218.46</v>
      </c>
      <c r="AO19" s="2">
        <v>0</v>
      </c>
      <c r="AP19" s="2">
        <v>0</v>
      </c>
      <c r="AQ19" s="2">
        <v>0</v>
      </c>
    </row>
    <row r="20" spans="1:43" x14ac:dyDescent="0.25">
      <c r="A20" s="1">
        <v>46062</v>
      </c>
      <c r="B20" t="s">
        <v>48</v>
      </c>
      <c r="C20">
        <v>649163</v>
      </c>
      <c r="D20">
        <v>2033488883</v>
      </c>
      <c r="E20" t="s">
        <v>119</v>
      </c>
      <c r="F20" t="s">
        <v>120</v>
      </c>
      <c r="G20" t="s">
        <v>51</v>
      </c>
      <c r="H20" t="s">
        <v>121</v>
      </c>
      <c r="I20" t="s">
        <v>72</v>
      </c>
      <c r="J20" t="s">
        <v>79</v>
      </c>
      <c r="K20">
        <v>862109</v>
      </c>
      <c r="L20" t="s">
        <v>122</v>
      </c>
      <c r="M20" t="s">
        <v>123</v>
      </c>
      <c r="N20" t="s">
        <v>57</v>
      </c>
      <c r="O20" s="1">
        <v>46058</v>
      </c>
      <c r="Q20" s="1">
        <v>46086</v>
      </c>
      <c r="R20" s="2">
        <v>93.55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420.96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70.16</v>
      </c>
      <c r="AM20" s="2">
        <v>0</v>
      </c>
      <c r="AN20" s="2">
        <v>420.96</v>
      </c>
      <c r="AO20" s="2">
        <v>0</v>
      </c>
      <c r="AP20" s="2">
        <v>0</v>
      </c>
      <c r="AQ20" s="2">
        <v>0</v>
      </c>
    </row>
    <row r="21" spans="1:43" x14ac:dyDescent="0.25">
      <c r="A21" s="1">
        <v>46062</v>
      </c>
      <c r="B21" t="s">
        <v>48</v>
      </c>
      <c r="C21">
        <v>649163</v>
      </c>
      <c r="D21">
        <v>2033499221</v>
      </c>
      <c r="E21" t="s">
        <v>124</v>
      </c>
      <c r="F21" t="s">
        <v>125</v>
      </c>
      <c r="G21" t="s">
        <v>51</v>
      </c>
      <c r="H21" t="s">
        <v>71</v>
      </c>
      <c r="I21" t="s">
        <v>72</v>
      </c>
      <c r="J21" t="s">
        <v>73</v>
      </c>
      <c r="K21">
        <v>856824</v>
      </c>
      <c r="L21" t="s">
        <v>126</v>
      </c>
      <c r="M21" t="s">
        <v>127</v>
      </c>
      <c r="N21" t="s">
        <v>57</v>
      </c>
      <c r="O21" s="1">
        <v>46082</v>
      </c>
      <c r="Q21" s="1">
        <v>46113</v>
      </c>
      <c r="R21" s="2">
        <v>89.35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402.06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67.010000000000005</v>
      </c>
      <c r="AM21" s="2">
        <v>0</v>
      </c>
      <c r="AN21" s="2">
        <v>402.06</v>
      </c>
      <c r="AO21" s="2">
        <v>0</v>
      </c>
      <c r="AP21" s="2">
        <v>0</v>
      </c>
      <c r="AQ21" s="2">
        <v>0</v>
      </c>
    </row>
    <row r="22" spans="1:43" x14ac:dyDescent="0.25">
      <c r="A22" s="1">
        <v>46062</v>
      </c>
      <c r="B22" t="s">
        <v>48</v>
      </c>
      <c r="C22">
        <v>649163</v>
      </c>
      <c r="D22">
        <v>2033055172</v>
      </c>
      <c r="E22" t="s">
        <v>128</v>
      </c>
      <c r="F22" t="s">
        <v>129</v>
      </c>
      <c r="G22" t="s">
        <v>51</v>
      </c>
      <c r="H22" t="s">
        <v>116</v>
      </c>
      <c r="I22" t="s">
        <v>130</v>
      </c>
      <c r="J22" t="s">
        <v>131</v>
      </c>
      <c r="K22">
        <v>877790</v>
      </c>
      <c r="L22" t="s">
        <v>132</v>
      </c>
      <c r="M22" t="s">
        <v>133</v>
      </c>
      <c r="N22" t="s">
        <v>57</v>
      </c>
      <c r="O22" s="1">
        <v>46031</v>
      </c>
      <c r="Q22" s="1">
        <v>46090</v>
      </c>
      <c r="R22" s="2">
        <v>289.45999999999998</v>
      </c>
      <c r="S22">
        <v>1</v>
      </c>
      <c r="T22" t="s">
        <v>58</v>
      </c>
      <c r="U22" t="s">
        <v>134</v>
      </c>
      <c r="V22" s="3">
        <v>0.19</v>
      </c>
      <c r="W22" s="2">
        <v>0</v>
      </c>
      <c r="X22">
        <v>0</v>
      </c>
      <c r="Y22" t="s">
        <v>60</v>
      </c>
      <c r="Z22" t="s">
        <v>135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55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1">
        <v>46062</v>
      </c>
      <c r="B23" t="s">
        <v>48</v>
      </c>
      <c r="C23">
        <v>649163</v>
      </c>
      <c r="D23">
        <v>2033064524</v>
      </c>
      <c r="E23" t="s">
        <v>136</v>
      </c>
      <c r="F23" t="s">
        <v>137</v>
      </c>
      <c r="G23" t="s">
        <v>51</v>
      </c>
      <c r="H23" t="s">
        <v>116</v>
      </c>
      <c r="I23" t="s">
        <v>130</v>
      </c>
      <c r="J23" t="s">
        <v>131</v>
      </c>
      <c r="K23">
        <v>877790</v>
      </c>
      <c r="L23" t="s">
        <v>132</v>
      </c>
      <c r="M23" t="s">
        <v>133</v>
      </c>
      <c r="N23" t="s">
        <v>57</v>
      </c>
      <c r="O23" s="1">
        <v>46032</v>
      </c>
      <c r="Q23" s="1">
        <v>46091</v>
      </c>
      <c r="R23" s="2">
        <v>210.54</v>
      </c>
      <c r="S23">
        <v>1</v>
      </c>
      <c r="T23" t="s">
        <v>58</v>
      </c>
      <c r="U23" t="s">
        <v>134</v>
      </c>
      <c r="V23" s="3">
        <v>0.19</v>
      </c>
      <c r="W23" s="2">
        <v>0</v>
      </c>
      <c r="X23">
        <v>0</v>
      </c>
      <c r="Y23" t="s">
        <v>60</v>
      </c>
      <c r="Z23" t="s">
        <v>135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40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1">
        <v>46062</v>
      </c>
      <c r="B24" t="s">
        <v>48</v>
      </c>
      <c r="C24">
        <v>649163</v>
      </c>
      <c r="D24">
        <v>2033104452</v>
      </c>
      <c r="E24" t="s">
        <v>138</v>
      </c>
      <c r="F24" t="s">
        <v>139</v>
      </c>
      <c r="G24" t="s">
        <v>51</v>
      </c>
      <c r="H24" t="s">
        <v>140</v>
      </c>
      <c r="I24" t="s">
        <v>130</v>
      </c>
      <c r="J24" t="s">
        <v>141</v>
      </c>
      <c r="K24">
        <v>874230</v>
      </c>
      <c r="L24" t="s">
        <v>142</v>
      </c>
      <c r="M24" t="s">
        <v>143</v>
      </c>
      <c r="N24" t="s">
        <v>144</v>
      </c>
      <c r="O24" s="1">
        <v>46035</v>
      </c>
      <c r="P24" s="1">
        <v>46062</v>
      </c>
      <c r="Q24" s="1">
        <v>46066</v>
      </c>
      <c r="R24" s="2">
        <v>-103.08</v>
      </c>
      <c r="S24">
        <v>1</v>
      </c>
      <c r="T24" t="s">
        <v>58</v>
      </c>
      <c r="U24" t="s">
        <v>134</v>
      </c>
      <c r="V24" s="3">
        <v>0.19</v>
      </c>
      <c r="W24" s="2">
        <v>0</v>
      </c>
      <c r="X24">
        <v>-1</v>
      </c>
      <c r="Y24" t="s">
        <v>60</v>
      </c>
      <c r="Z24" t="s">
        <v>135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-19.59</v>
      </c>
      <c r="AN24" s="2">
        <v>-19.59</v>
      </c>
      <c r="AO24" s="2">
        <v>0</v>
      </c>
      <c r="AP24" s="2">
        <v>0</v>
      </c>
      <c r="AQ24" s="2">
        <v>0</v>
      </c>
    </row>
    <row r="25" spans="1:43" x14ac:dyDescent="0.25">
      <c r="A25" s="1">
        <v>46062</v>
      </c>
      <c r="B25" t="s">
        <v>48</v>
      </c>
      <c r="C25">
        <v>649163</v>
      </c>
      <c r="D25">
        <v>2033115852</v>
      </c>
      <c r="E25" t="s">
        <v>145</v>
      </c>
      <c r="F25" t="s">
        <v>146</v>
      </c>
      <c r="G25" t="s">
        <v>51</v>
      </c>
      <c r="H25" t="s">
        <v>147</v>
      </c>
      <c r="I25" t="s">
        <v>130</v>
      </c>
      <c r="J25" t="s">
        <v>148</v>
      </c>
      <c r="K25">
        <v>753748</v>
      </c>
      <c r="L25" t="s">
        <v>74</v>
      </c>
      <c r="M25" t="s">
        <v>75</v>
      </c>
      <c r="N25" t="s">
        <v>57</v>
      </c>
      <c r="O25" s="1">
        <v>46035</v>
      </c>
      <c r="Q25" s="1">
        <v>46094</v>
      </c>
      <c r="R25" s="2">
        <v>422.96</v>
      </c>
      <c r="S25">
        <v>1</v>
      </c>
      <c r="T25" t="s">
        <v>58</v>
      </c>
      <c r="U25" t="s">
        <v>149</v>
      </c>
      <c r="V25" s="3">
        <v>0.28999999999999998</v>
      </c>
      <c r="W25" s="2">
        <v>0</v>
      </c>
      <c r="X25">
        <v>0</v>
      </c>
      <c r="Y25" t="s">
        <v>60</v>
      </c>
      <c r="Z25" t="s">
        <v>135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122.66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1">
        <v>46062</v>
      </c>
      <c r="B26" t="s">
        <v>48</v>
      </c>
      <c r="C26">
        <v>649163</v>
      </c>
      <c r="D26">
        <v>2016468518</v>
      </c>
      <c r="E26" t="s">
        <v>150</v>
      </c>
      <c r="F26" t="s">
        <v>151</v>
      </c>
      <c r="G26" t="s">
        <v>51</v>
      </c>
      <c r="H26" t="s">
        <v>52</v>
      </c>
      <c r="I26" t="s">
        <v>152</v>
      </c>
      <c r="J26" t="s">
        <v>153</v>
      </c>
      <c r="K26">
        <v>649164</v>
      </c>
      <c r="L26" t="s">
        <v>154</v>
      </c>
      <c r="M26" t="s">
        <v>155</v>
      </c>
      <c r="N26" t="s">
        <v>57</v>
      </c>
      <c r="O26" s="1">
        <v>44866</v>
      </c>
      <c r="Q26" s="1">
        <v>46082</v>
      </c>
      <c r="R26" s="2">
        <v>61.19</v>
      </c>
      <c r="S26">
        <v>1</v>
      </c>
      <c r="T26" t="s">
        <v>58</v>
      </c>
      <c r="U26" t="s">
        <v>156</v>
      </c>
      <c r="V26" s="4">
        <v>5.2499999999999998E-2</v>
      </c>
      <c r="W26" s="2">
        <v>0</v>
      </c>
      <c r="X26">
        <v>0</v>
      </c>
      <c r="Y26" t="s">
        <v>157</v>
      </c>
      <c r="Z26" t="s">
        <v>135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3.21</v>
      </c>
      <c r="AN26" s="2">
        <v>3.21</v>
      </c>
      <c r="AO26" s="2">
        <v>0</v>
      </c>
      <c r="AP26" s="2">
        <v>0</v>
      </c>
      <c r="AQ26" s="2">
        <v>0</v>
      </c>
    </row>
    <row r="27" spans="1:43" x14ac:dyDescent="0.25">
      <c r="A27" s="1">
        <v>46062</v>
      </c>
      <c r="B27" t="s">
        <v>48</v>
      </c>
      <c r="C27">
        <v>649163</v>
      </c>
      <c r="D27">
        <v>2016627945</v>
      </c>
      <c r="E27" t="s">
        <v>158</v>
      </c>
      <c r="F27" t="s">
        <v>159</v>
      </c>
      <c r="G27" t="s">
        <v>51</v>
      </c>
      <c r="H27" t="s">
        <v>52</v>
      </c>
      <c r="I27" t="s">
        <v>152</v>
      </c>
      <c r="J27" t="s">
        <v>153</v>
      </c>
      <c r="K27">
        <v>649164</v>
      </c>
      <c r="L27" t="s">
        <v>154</v>
      </c>
      <c r="M27" t="s">
        <v>155</v>
      </c>
      <c r="N27" t="s">
        <v>57</v>
      </c>
      <c r="O27" s="1">
        <v>44927</v>
      </c>
      <c r="Q27" s="1">
        <v>46082</v>
      </c>
      <c r="R27" s="2">
        <v>55.54</v>
      </c>
      <c r="S27">
        <v>1</v>
      </c>
      <c r="T27" t="s">
        <v>58</v>
      </c>
      <c r="U27" t="s">
        <v>156</v>
      </c>
      <c r="V27" s="4">
        <v>5.2499999999999998E-2</v>
      </c>
      <c r="W27" s="2">
        <v>0</v>
      </c>
      <c r="X27">
        <v>0</v>
      </c>
      <c r="Y27" t="s">
        <v>157</v>
      </c>
      <c r="Z27" t="s">
        <v>135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2.92</v>
      </c>
      <c r="AN27" s="2">
        <v>2.92</v>
      </c>
      <c r="AO27" s="2">
        <v>0</v>
      </c>
      <c r="AP27" s="2">
        <v>0</v>
      </c>
      <c r="AQ27" s="2">
        <v>0</v>
      </c>
    </row>
    <row r="28" spans="1:43" x14ac:dyDescent="0.25">
      <c r="A28" s="1">
        <v>46062</v>
      </c>
      <c r="B28" t="s">
        <v>48</v>
      </c>
      <c r="C28">
        <v>649163</v>
      </c>
      <c r="D28">
        <v>2016794185</v>
      </c>
      <c r="E28" t="s">
        <v>160</v>
      </c>
      <c r="F28" t="s">
        <v>161</v>
      </c>
      <c r="G28" t="s">
        <v>51</v>
      </c>
      <c r="H28" t="s">
        <v>140</v>
      </c>
      <c r="I28" t="s">
        <v>152</v>
      </c>
      <c r="J28" t="s">
        <v>153</v>
      </c>
      <c r="K28">
        <v>649793</v>
      </c>
      <c r="L28" t="s">
        <v>162</v>
      </c>
      <c r="M28" t="s">
        <v>163</v>
      </c>
      <c r="N28" t="s">
        <v>57</v>
      </c>
      <c r="O28" s="1">
        <v>44927</v>
      </c>
      <c r="Q28" s="1">
        <v>46082</v>
      </c>
      <c r="R28" s="2">
        <v>57.2</v>
      </c>
      <c r="S28">
        <v>1</v>
      </c>
      <c r="T28" t="s">
        <v>58</v>
      </c>
      <c r="U28" t="s">
        <v>156</v>
      </c>
      <c r="V28" s="4">
        <v>5.2499999999999998E-2</v>
      </c>
      <c r="W28" s="2">
        <v>0</v>
      </c>
      <c r="X28">
        <v>0</v>
      </c>
      <c r="Y28" t="s">
        <v>157</v>
      </c>
      <c r="Z28" t="s">
        <v>135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3</v>
      </c>
      <c r="AN28" s="2">
        <v>3</v>
      </c>
      <c r="AO28" s="2">
        <v>0</v>
      </c>
      <c r="AP28" s="2">
        <v>0</v>
      </c>
      <c r="AQ28" s="2">
        <v>0</v>
      </c>
    </row>
    <row r="29" spans="1:43" x14ac:dyDescent="0.25">
      <c r="A29" s="1">
        <v>46062</v>
      </c>
      <c r="B29" t="s">
        <v>48</v>
      </c>
      <c r="C29">
        <v>649163</v>
      </c>
      <c r="D29">
        <v>2017029017</v>
      </c>
      <c r="E29" t="s">
        <v>164</v>
      </c>
      <c r="F29" t="s">
        <v>165</v>
      </c>
      <c r="G29" t="s">
        <v>51</v>
      </c>
      <c r="H29" t="s">
        <v>52</v>
      </c>
      <c r="I29" t="s">
        <v>152</v>
      </c>
      <c r="J29" t="s">
        <v>153</v>
      </c>
      <c r="K29">
        <v>649164</v>
      </c>
      <c r="L29" t="s">
        <v>154</v>
      </c>
      <c r="M29" t="s">
        <v>155</v>
      </c>
      <c r="N29" t="s">
        <v>57</v>
      </c>
      <c r="O29" s="1">
        <v>44927</v>
      </c>
      <c r="Q29" s="1">
        <v>46082</v>
      </c>
      <c r="R29" s="2">
        <v>38.22</v>
      </c>
      <c r="S29">
        <v>1</v>
      </c>
      <c r="T29" t="s">
        <v>58</v>
      </c>
      <c r="U29" t="s">
        <v>156</v>
      </c>
      <c r="V29" s="4">
        <v>5.2499999999999998E-2</v>
      </c>
      <c r="W29" s="2">
        <v>0</v>
      </c>
      <c r="X29">
        <v>0</v>
      </c>
      <c r="Y29" t="s">
        <v>157</v>
      </c>
      <c r="Z29" t="s">
        <v>135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2.0099999999999998</v>
      </c>
      <c r="AN29" s="2">
        <v>2.0099999999999998</v>
      </c>
      <c r="AO29" s="2">
        <v>0</v>
      </c>
      <c r="AP29" s="2">
        <v>0</v>
      </c>
      <c r="AQ29" s="2">
        <v>0</v>
      </c>
    </row>
    <row r="30" spans="1:43" x14ac:dyDescent="0.25">
      <c r="A30" s="1">
        <v>46062</v>
      </c>
      <c r="B30" t="s">
        <v>48</v>
      </c>
      <c r="C30">
        <v>649163</v>
      </c>
      <c r="D30">
        <v>2017064782</v>
      </c>
      <c r="E30" t="s">
        <v>166</v>
      </c>
      <c r="F30" t="s">
        <v>167</v>
      </c>
      <c r="G30" t="s">
        <v>51</v>
      </c>
      <c r="H30" t="s">
        <v>52</v>
      </c>
      <c r="I30" t="s">
        <v>152</v>
      </c>
      <c r="J30" t="s">
        <v>153</v>
      </c>
      <c r="K30">
        <v>649164</v>
      </c>
      <c r="L30" t="s">
        <v>154</v>
      </c>
      <c r="M30" t="s">
        <v>155</v>
      </c>
      <c r="N30" t="s">
        <v>57</v>
      </c>
      <c r="O30" s="1">
        <v>44927</v>
      </c>
      <c r="Q30" s="1">
        <v>46082</v>
      </c>
      <c r="R30" s="2">
        <v>117.8</v>
      </c>
      <c r="S30">
        <v>1</v>
      </c>
      <c r="T30" t="s">
        <v>58</v>
      </c>
      <c r="U30" t="s">
        <v>156</v>
      </c>
      <c r="V30" s="4">
        <v>5.2499999999999998E-2</v>
      </c>
      <c r="W30" s="2">
        <v>0</v>
      </c>
      <c r="X30">
        <v>0</v>
      </c>
      <c r="Y30" t="s">
        <v>157</v>
      </c>
      <c r="Z30" t="s">
        <v>135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6.18</v>
      </c>
      <c r="AN30" s="2">
        <v>6.18</v>
      </c>
      <c r="AO30" s="2">
        <v>0</v>
      </c>
      <c r="AP30" s="2">
        <v>0</v>
      </c>
      <c r="AQ30" s="2">
        <v>0</v>
      </c>
    </row>
    <row r="31" spans="1:43" x14ac:dyDescent="0.25">
      <c r="A31" s="1">
        <v>46062</v>
      </c>
      <c r="B31" t="s">
        <v>48</v>
      </c>
      <c r="C31">
        <v>649163</v>
      </c>
      <c r="D31">
        <v>2017242798</v>
      </c>
      <c r="E31" t="s">
        <v>168</v>
      </c>
      <c r="F31" t="s">
        <v>169</v>
      </c>
      <c r="G31" t="s">
        <v>51</v>
      </c>
      <c r="H31" t="s">
        <v>170</v>
      </c>
      <c r="I31" t="s">
        <v>152</v>
      </c>
      <c r="J31" t="s">
        <v>153</v>
      </c>
      <c r="K31">
        <v>652037</v>
      </c>
      <c r="L31" t="s">
        <v>171</v>
      </c>
      <c r="M31" t="s">
        <v>172</v>
      </c>
      <c r="N31" t="s">
        <v>57</v>
      </c>
      <c r="O31" s="1">
        <v>44930</v>
      </c>
      <c r="Q31" s="1">
        <v>46085</v>
      </c>
      <c r="R31" s="2">
        <v>57.84</v>
      </c>
      <c r="S31">
        <v>1</v>
      </c>
      <c r="T31" t="s">
        <v>58</v>
      </c>
      <c r="U31" t="s">
        <v>156</v>
      </c>
      <c r="V31" s="4">
        <v>5.2499999999999998E-2</v>
      </c>
      <c r="W31" s="2">
        <v>0</v>
      </c>
      <c r="X31">
        <v>0</v>
      </c>
      <c r="Y31" t="s">
        <v>157</v>
      </c>
      <c r="Z31" t="s">
        <v>135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3.04</v>
      </c>
      <c r="AN31" s="2">
        <v>3.04</v>
      </c>
      <c r="AO31" s="2">
        <v>0</v>
      </c>
      <c r="AP31" s="2">
        <v>0</v>
      </c>
      <c r="AQ31" s="2">
        <v>0</v>
      </c>
    </row>
    <row r="32" spans="1:43" x14ac:dyDescent="0.25">
      <c r="A32" s="1">
        <v>46062</v>
      </c>
      <c r="B32" t="s">
        <v>48</v>
      </c>
      <c r="C32">
        <v>649163</v>
      </c>
      <c r="D32">
        <v>2017278501</v>
      </c>
      <c r="E32" t="s">
        <v>173</v>
      </c>
      <c r="F32" t="s">
        <v>174</v>
      </c>
      <c r="G32" t="s">
        <v>51</v>
      </c>
      <c r="H32" t="s">
        <v>52</v>
      </c>
      <c r="I32" t="s">
        <v>152</v>
      </c>
      <c r="J32" t="s">
        <v>153</v>
      </c>
      <c r="K32">
        <v>649164</v>
      </c>
      <c r="L32" t="s">
        <v>154</v>
      </c>
      <c r="M32" t="s">
        <v>155</v>
      </c>
      <c r="N32" t="s">
        <v>57</v>
      </c>
      <c r="O32" s="1">
        <v>44932</v>
      </c>
      <c r="Q32" s="1">
        <v>46087</v>
      </c>
      <c r="R32" s="2">
        <v>48.22</v>
      </c>
      <c r="S32">
        <v>1</v>
      </c>
      <c r="T32" t="s">
        <v>58</v>
      </c>
      <c r="U32" t="s">
        <v>156</v>
      </c>
      <c r="V32" s="4">
        <v>5.2499999999999998E-2</v>
      </c>
      <c r="W32" s="2">
        <v>0</v>
      </c>
      <c r="X32">
        <v>0</v>
      </c>
      <c r="Y32" t="s">
        <v>157</v>
      </c>
      <c r="Z32" t="s">
        <v>135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2.5299999999999998</v>
      </c>
      <c r="AN32" s="2">
        <v>2.5299999999999998</v>
      </c>
      <c r="AO32" s="2">
        <v>0</v>
      </c>
      <c r="AP32" s="2">
        <v>0</v>
      </c>
      <c r="AQ32" s="2">
        <v>0</v>
      </c>
    </row>
    <row r="33" spans="1:43" x14ac:dyDescent="0.25">
      <c r="A33" s="1">
        <v>46062</v>
      </c>
      <c r="B33" t="s">
        <v>48</v>
      </c>
      <c r="C33">
        <v>649163</v>
      </c>
      <c r="D33">
        <v>2017539416</v>
      </c>
      <c r="E33" t="s">
        <v>175</v>
      </c>
      <c r="F33" t="s">
        <v>176</v>
      </c>
      <c r="G33" t="s">
        <v>51</v>
      </c>
      <c r="H33" t="s">
        <v>177</v>
      </c>
      <c r="I33" t="s">
        <v>152</v>
      </c>
      <c r="J33" t="s">
        <v>153</v>
      </c>
      <c r="K33">
        <v>649793</v>
      </c>
      <c r="L33" t="s">
        <v>162</v>
      </c>
      <c r="M33" t="s">
        <v>163</v>
      </c>
      <c r="N33" t="s">
        <v>57</v>
      </c>
      <c r="O33" s="1">
        <v>44986</v>
      </c>
      <c r="Q33" s="1">
        <v>46082</v>
      </c>
      <c r="R33" s="2">
        <v>41.11</v>
      </c>
      <c r="S33">
        <v>1</v>
      </c>
      <c r="T33" t="s">
        <v>58</v>
      </c>
      <c r="U33" t="s">
        <v>156</v>
      </c>
      <c r="V33" s="4">
        <v>5.2499999999999998E-2</v>
      </c>
      <c r="W33" s="2">
        <v>0</v>
      </c>
      <c r="X33">
        <v>0</v>
      </c>
      <c r="Y33" t="s">
        <v>157</v>
      </c>
      <c r="Z33" t="s">
        <v>135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2.16</v>
      </c>
      <c r="AN33" s="2">
        <v>2.16</v>
      </c>
      <c r="AO33" s="2">
        <v>0</v>
      </c>
      <c r="AP33" s="2">
        <v>0</v>
      </c>
      <c r="AQ33" s="2">
        <v>0</v>
      </c>
    </row>
    <row r="34" spans="1:43" x14ac:dyDescent="0.25">
      <c r="A34" s="1">
        <v>46062</v>
      </c>
      <c r="B34" t="s">
        <v>48</v>
      </c>
      <c r="C34">
        <v>649163</v>
      </c>
      <c r="D34">
        <v>2018434791</v>
      </c>
      <c r="E34" t="s">
        <v>178</v>
      </c>
      <c r="F34" t="s">
        <v>179</v>
      </c>
      <c r="G34" t="s">
        <v>51</v>
      </c>
      <c r="H34" t="s">
        <v>170</v>
      </c>
      <c r="I34" t="s">
        <v>152</v>
      </c>
      <c r="J34" t="s">
        <v>153</v>
      </c>
      <c r="K34">
        <v>673059</v>
      </c>
      <c r="L34" t="s">
        <v>162</v>
      </c>
      <c r="M34" t="s">
        <v>180</v>
      </c>
      <c r="N34" t="s">
        <v>57</v>
      </c>
      <c r="O34" s="1">
        <v>45047</v>
      </c>
      <c r="Q34" s="1">
        <v>46082</v>
      </c>
      <c r="R34" s="2">
        <v>46.65</v>
      </c>
      <c r="S34">
        <v>1</v>
      </c>
      <c r="T34" t="s">
        <v>58</v>
      </c>
      <c r="U34" t="s">
        <v>156</v>
      </c>
      <c r="V34" s="4">
        <v>5.2499999999999998E-2</v>
      </c>
      <c r="W34" s="2">
        <v>0</v>
      </c>
      <c r="X34">
        <v>0</v>
      </c>
      <c r="Y34" t="s">
        <v>157</v>
      </c>
      <c r="Z34" t="s">
        <v>135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2.4500000000000002</v>
      </c>
      <c r="AN34" s="2">
        <v>2.4500000000000002</v>
      </c>
      <c r="AO34" s="2">
        <v>0</v>
      </c>
      <c r="AP34" s="2">
        <v>0</v>
      </c>
      <c r="AQ34" s="2">
        <v>0</v>
      </c>
    </row>
    <row r="35" spans="1:43" x14ac:dyDescent="0.25">
      <c r="A35" s="1">
        <v>46062</v>
      </c>
      <c r="B35" t="s">
        <v>48</v>
      </c>
      <c r="C35">
        <v>649163</v>
      </c>
      <c r="D35">
        <v>2018472291</v>
      </c>
      <c r="E35" t="s">
        <v>181</v>
      </c>
      <c r="F35" t="s">
        <v>182</v>
      </c>
      <c r="G35" t="s">
        <v>51</v>
      </c>
      <c r="H35" t="s">
        <v>52</v>
      </c>
      <c r="I35" t="s">
        <v>152</v>
      </c>
      <c r="J35" t="s">
        <v>153</v>
      </c>
      <c r="K35">
        <v>678320</v>
      </c>
      <c r="L35" t="s">
        <v>183</v>
      </c>
      <c r="M35" t="s">
        <v>184</v>
      </c>
      <c r="N35" t="s">
        <v>57</v>
      </c>
      <c r="O35" s="1">
        <v>45047</v>
      </c>
      <c r="Q35" s="1">
        <v>46082</v>
      </c>
      <c r="R35" s="2">
        <v>87.31</v>
      </c>
      <c r="S35">
        <v>1</v>
      </c>
      <c r="T35" t="s">
        <v>58</v>
      </c>
      <c r="U35" t="s">
        <v>156</v>
      </c>
      <c r="V35" s="4">
        <v>5.2499999999999998E-2</v>
      </c>
      <c r="W35" s="2">
        <v>0</v>
      </c>
      <c r="X35">
        <v>0</v>
      </c>
      <c r="Y35" t="s">
        <v>157</v>
      </c>
      <c r="Z35" t="s">
        <v>135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4.58</v>
      </c>
      <c r="AN35" s="2">
        <v>4.58</v>
      </c>
      <c r="AO35" s="2">
        <v>0</v>
      </c>
      <c r="AP35" s="2">
        <v>0</v>
      </c>
      <c r="AQ35" s="2">
        <v>0</v>
      </c>
    </row>
    <row r="36" spans="1:43" x14ac:dyDescent="0.25">
      <c r="A36" s="1">
        <v>46062</v>
      </c>
      <c r="B36" t="s">
        <v>48</v>
      </c>
      <c r="C36">
        <v>649163</v>
      </c>
      <c r="D36">
        <v>2018522516</v>
      </c>
      <c r="E36" t="s">
        <v>185</v>
      </c>
      <c r="F36" t="s">
        <v>186</v>
      </c>
      <c r="G36" t="s">
        <v>51</v>
      </c>
      <c r="H36" t="s">
        <v>52</v>
      </c>
      <c r="I36" t="s">
        <v>152</v>
      </c>
      <c r="J36" t="s">
        <v>153</v>
      </c>
      <c r="K36">
        <v>678320</v>
      </c>
      <c r="L36" t="s">
        <v>183</v>
      </c>
      <c r="M36" t="s">
        <v>184</v>
      </c>
      <c r="N36" t="s">
        <v>57</v>
      </c>
      <c r="O36" s="1">
        <v>45048</v>
      </c>
      <c r="Q36" s="1">
        <v>46083</v>
      </c>
      <c r="R36" s="2">
        <v>50.6</v>
      </c>
      <c r="S36">
        <v>1</v>
      </c>
      <c r="T36" t="s">
        <v>58</v>
      </c>
      <c r="U36" t="s">
        <v>156</v>
      </c>
      <c r="V36" s="4">
        <v>5.2499999999999998E-2</v>
      </c>
      <c r="W36" s="2">
        <v>0</v>
      </c>
      <c r="X36">
        <v>0</v>
      </c>
      <c r="Y36" t="s">
        <v>157</v>
      </c>
      <c r="Z36" t="s">
        <v>135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2.66</v>
      </c>
      <c r="AN36" s="2">
        <v>2.66</v>
      </c>
      <c r="AO36" s="2">
        <v>0</v>
      </c>
      <c r="AP36" s="2">
        <v>0</v>
      </c>
      <c r="AQ36" s="2">
        <v>0</v>
      </c>
    </row>
    <row r="37" spans="1:43" x14ac:dyDescent="0.25">
      <c r="A37" s="1">
        <v>46062</v>
      </c>
      <c r="B37" t="s">
        <v>48</v>
      </c>
      <c r="C37">
        <v>649163</v>
      </c>
      <c r="D37">
        <v>2018753089</v>
      </c>
      <c r="E37" t="s">
        <v>187</v>
      </c>
      <c r="F37" t="s">
        <v>188</v>
      </c>
      <c r="G37" t="s">
        <v>51</v>
      </c>
      <c r="H37" t="s">
        <v>52</v>
      </c>
      <c r="I37" t="s">
        <v>152</v>
      </c>
      <c r="J37" t="s">
        <v>153</v>
      </c>
      <c r="K37">
        <v>649164</v>
      </c>
      <c r="L37" t="s">
        <v>154</v>
      </c>
      <c r="M37" t="s">
        <v>155</v>
      </c>
      <c r="N37" t="s">
        <v>57</v>
      </c>
      <c r="O37" s="1">
        <v>45078</v>
      </c>
      <c r="Q37" s="1">
        <v>46082</v>
      </c>
      <c r="R37" s="2">
        <v>51.19</v>
      </c>
      <c r="S37">
        <v>1</v>
      </c>
      <c r="T37" t="s">
        <v>58</v>
      </c>
      <c r="U37" t="s">
        <v>156</v>
      </c>
      <c r="V37" s="4">
        <v>5.2499999999999998E-2</v>
      </c>
      <c r="W37" s="2">
        <v>0</v>
      </c>
      <c r="X37">
        <v>0</v>
      </c>
      <c r="Y37" t="s">
        <v>157</v>
      </c>
      <c r="Z37" t="s">
        <v>135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2.69</v>
      </c>
      <c r="AN37" s="2">
        <v>2.69</v>
      </c>
      <c r="AO37" s="2">
        <v>0</v>
      </c>
      <c r="AP37" s="2">
        <v>0</v>
      </c>
      <c r="AQ37" s="2">
        <v>0</v>
      </c>
    </row>
    <row r="38" spans="1:43" x14ac:dyDescent="0.25">
      <c r="A38" s="1">
        <v>46062</v>
      </c>
      <c r="B38" t="s">
        <v>48</v>
      </c>
      <c r="C38">
        <v>649163</v>
      </c>
      <c r="D38">
        <v>2018908125</v>
      </c>
      <c r="E38" t="s">
        <v>189</v>
      </c>
      <c r="F38" t="s">
        <v>190</v>
      </c>
      <c r="G38" t="s">
        <v>51</v>
      </c>
      <c r="H38" t="s">
        <v>52</v>
      </c>
      <c r="I38" t="s">
        <v>152</v>
      </c>
      <c r="J38" t="s">
        <v>153</v>
      </c>
      <c r="K38">
        <v>678320</v>
      </c>
      <c r="L38" t="s">
        <v>183</v>
      </c>
      <c r="M38" t="s">
        <v>184</v>
      </c>
      <c r="N38" t="s">
        <v>57</v>
      </c>
      <c r="O38" s="1">
        <v>45108</v>
      </c>
      <c r="Q38" s="1">
        <v>46082</v>
      </c>
      <c r="R38" s="2">
        <v>48.22</v>
      </c>
      <c r="S38">
        <v>1</v>
      </c>
      <c r="T38" t="s">
        <v>58</v>
      </c>
      <c r="U38" t="s">
        <v>156</v>
      </c>
      <c r="V38" s="4">
        <v>5.2499999999999998E-2</v>
      </c>
      <c r="W38" s="2">
        <v>0</v>
      </c>
      <c r="X38">
        <v>0</v>
      </c>
      <c r="Y38" t="s">
        <v>157</v>
      </c>
      <c r="Z38" t="s">
        <v>135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2.5299999999999998</v>
      </c>
      <c r="AN38" s="2">
        <v>2.5299999999999998</v>
      </c>
      <c r="AO38" s="2">
        <v>0</v>
      </c>
      <c r="AP38" s="2">
        <v>0</v>
      </c>
      <c r="AQ38" s="2">
        <v>0</v>
      </c>
    </row>
    <row r="39" spans="1:43" x14ac:dyDescent="0.25">
      <c r="A39" s="1">
        <v>46062</v>
      </c>
      <c r="B39" t="s">
        <v>48</v>
      </c>
      <c r="C39">
        <v>649163</v>
      </c>
      <c r="D39">
        <v>2019170689</v>
      </c>
      <c r="E39" t="s">
        <v>191</v>
      </c>
      <c r="F39" t="s">
        <v>192</v>
      </c>
      <c r="G39" t="s">
        <v>51</v>
      </c>
      <c r="H39" t="s">
        <v>193</v>
      </c>
      <c r="I39" t="s">
        <v>152</v>
      </c>
      <c r="J39" t="s">
        <v>153</v>
      </c>
      <c r="K39">
        <v>673059</v>
      </c>
      <c r="L39" t="s">
        <v>162</v>
      </c>
      <c r="M39" t="s">
        <v>180</v>
      </c>
      <c r="N39" t="s">
        <v>57</v>
      </c>
      <c r="O39" s="1">
        <v>45108</v>
      </c>
      <c r="Q39" s="1">
        <v>46082</v>
      </c>
      <c r="R39" s="2">
        <v>32.770000000000003</v>
      </c>
      <c r="S39">
        <v>1</v>
      </c>
      <c r="T39" t="s">
        <v>58</v>
      </c>
      <c r="U39" t="s">
        <v>156</v>
      </c>
      <c r="V39" s="4">
        <v>5.2499999999999998E-2</v>
      </c>
      <c r="W39" s="2">
        <v>0</v>
      </c>
      <c r="X39">
        <v>0</v>
      </c>
      <c r="Y39" t="s">
        <v>157</v>
      </c>
      <c r="Z39" t="s">
        <v>135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1.72</v>
      </c>
      <c r="AN39" s="2">
        <v>1.72</v>
      </c>
      <c r="AO39" s="2">
        <v>0</v>
      </c>
      <c r="AP39" s="2">
        <v>0</v>
      </c>
      <c r="AQ39" s="2">
        <v>0</v>
      </c>
    </row>
    <row r="40" spans="1:43" x14ac:dyDescent="0.25">
      <c r="A40" s="1">
        <v>46062</v>
      </c>
      <c r="B40" t="s">
        <v>48</v>
      </c>
      <c r="C40">
        <v>649163</v>
      </c>
      <c r="D40">
        <v>2019202915</v>
      </c>
      <c r="E40" t="s">
        <v>194</v>
      </c>
      <c r="F40" t="s">
        <v>195</v>
      </c>
      <c r="G40" t="s">
        <v>51</v>
      </c>
      <c r="H40" t="s">
        <v>140</v>
      </c>
      <c r="I40" t="s">
        <v>152</v>
      </c>
      <c r="J40" t="s">
        <v>153</v>
      </c>
      <c r="K40">
        <v>673059</v>
      </c>
      <c r="L40" t="s">
        <v>162</v>
      </c>
      <c r="M40" t="s">
        <v>180</v>
      </c>
      <c r="N40" t="s">
        <v>57</v>
      </c>
      <c r="O40" s="1">
        <v>45108</v>
      </c>
      <c r="Q40" s="1">
        <v>46082</v>
      </c>
      <c r="R40" s="2">
        <v>47.55</v>
      </c>
      <c r="S40">
        <v>1</v>
      </c>
      <c r="T40" t="s">
        <v>58</v>
      </c>
      <c r="U40" t="s">
        <v>156</v>
      </c>
      <c r="V40" s="4">
        <v>5.2499999999999998E-2</v>
      </c>
      <c r="W40" s="2">
        <v>0</v>
      </c>
      <c r="X40">
        <v>0</v>
      </c>
      <c r="Y40" t="s">
        <v>157</v>
      </c>
      <c r="Z40" t="s">
        <v>135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2.5</v>
      </c>
      <c r="AN40" s="2">
        <v>2.5</v>
      </c>
      <c r="AO40" s="2">
        <v>0</v>
      </c>
      <c r="AP40" s="2">
        <v>0</v>
      </c>
      <c r="AQ40" s="2">
        <v>0</v>
      </c>
    </row>
    <row r="41" spans="1:43" x14ac:dyDescent="0.25">
      <c r="A41" s="1">
        <v>46062</v>
      </c>
      <c r="B41" t="s">
        <v>48</v>
      </c>
      <c r="C41">
        <v>649163</v>
      </c>
      <c r="D41">
        <v>2019422323</v>
      </c>
      <c r="E41" t="s">
        <v>196</v>
      </c>
      <c r="F41" t="s">
        <v>197</v>
      </c>
      <c r="G41" t="s">
        <v>51</v>
      </c>
      <c r="H41" t="s">
        <v>177</v>
      </c>
      <c r="I41" t="s">
        <v>152</v>
      </c>
      <c r="J41" t="s">
        <v>153</v>
      </c>
      <c r="K41">
        <v>673059</v>
      </c>
      <c r="L41" t="s">
        <v>162</v>
      </c>
      <c r="M41" t="s">
        <v>180</v>
      </c>
      <c r="N41" t="s">
        <v>57</v>
      </c>
      <c r="O41" s="1">
        <v>45139</v>
      </c>
      <c r="Q41" s="1">
        <v>46082</v>
      </c>
      <c r="R41" s="2">
        <v>42.84</v>
      </c>
      <c r="S41">
        <v>1</v>
      </c>
      <c r="T41" t="s">
        <v>58</v>
      </c>
      <c r="U41" t="s">
        <v>156</v>
      </c>
      <c r="V41" s="4">
        <v>5.2499999999999998E-2</v>
      </c>
      <c r="W41" s="2">
        <v>0</v>
      </c>
      <c r="X41">
        <v>0</v>
      </c>
      <c r="Y41" t="s">
        <v>157</v>
      </c>
      <c r="Z41" t="s">
        <v>135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2.25</v>
      </c>
      <c r="AN41" s="2">
        <v>2.25</v>
      </c>
      <c r="AO41" s="2">
        <v>0</v>
      </c>
      <c r="AP41" s="2">
        <v>0</v>
      </c>
      <c r="AQ41" s="2">
        <v>0</v>
      </c>
    </row>
    <row r="42" spans="1:43" x14ac:dyDescent="0.25">
      <c r="A42" s="1">
        <v>46062</v>
      </c>
      <c r="B42" t="s">
        <v>48</v>
      </c>
      <c r="C42">
        <v>649163</v>
      </c>
      <c r="D42">
        <v>2019602458</v>
      </c>
      <c r="E42" t="s">
        <v>94</v>
      </c>
      <c r="F42" t="s">
        <v>198</v>
      </c>
      <c r="G42" t="s">
        <v>51</v>
      </c>
      <c r="H42" t="s">
        <v>52</v>
      </c>
      <c r="I42" t="s">
        <v>152</v>
      </c>
      <c r="J42" t="s">
        <v>153</v>
      </c>
      <c r="K42">
        <v>677095</v>
      </c>
      <c r="L42" t="s">
        <v>199</v>
      </c>
      <c r="M42" t="s">
        <v>92</v>
      </c>
      <c r="N42" t="s">
        <v>57</v>
      </c>
      <c r="O42" s="1">
        <v>45170</v>
      </c>
      <c r="Q42" s="1">
        <v>46082</v>
      </c>
      <c r="R42" s="2">
        <v>51.19</v>
      </c>
      <c r="S42">
        <v>1</v>
      </c>
      <c r="T42" t="s">
        <v>58</v>
      </c>
      <c r="U42" t="s">
        <v>156</v>
      </c>
      <c r="V42" s="3">
        <v>0</v>
      </c>
      <c r="W42" s="2">
        <v>0</v>
      </c>
      <c r="X42">
        <v>0</v>
      </c>
      <c r="Y42" t="s">
        <v>157</v>
      </c>
      <c r="Z42" t="s">
        <v>135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0.38</v>
      </c>
      <c r="AN42" s="2">
        <v>0.38</v>
      </c>
      <c r="AO42" s="2">
        <v>0</v>
      </c>
      <c r="AP42" s="2">
        <v>0</v>
      </c>
      <c r="AQ42" s="2">
        <v>0</v>
      </c>
    </row>
    <row r="43" spans="1:43" x14ac:dyDescent="0.25">
      <c r="A43" s="1">
        <v>46062</v>
      </c>
      <c r="B43" t="s">
        <v>48</v>
      </c>
      <c r="C43">
        <v>649163</v>
      </c>
      <c r="D43">
        <v>2019741130</v>
      </c>
      <c r="E43" t="s">
        <v>200</v>
      </c>
      <c r="F43" t="s">
        <v>201</v>
      </c>
      <c r="G43" t="s">
        <v>51</v>
      </c>
      <c r="H43" t="s">
        <v>52</v>
      </c>
      <c r="I43" t="s">
        <v>152</v>
      </c>
      <c r="J43" t="s">
        <v>153</v>
      </c>
      <c r="K43">
        <v>649164</v>
      </c>
      <c r="L43" t="s">
        <v>154</v>
      </c>
      <c r="M43" t="s">
        <v>155</v>
      </c>
      <c r="N43" t="s">
        <v>57</v>
      </c>
      <c r="O43" s="1">
        <v>45170</v>
      </c>
      <c r="Q43" s="1">
        <v>46082</v>
      </c>
      <c r="R43" s="2">
        <v>64.540000000000006</v>
      </c>
      <c r="S43">
        <v>1</v>
      </c>
      <c r="T43" t="s">
        <v>58</v>
      </c>
      <c r="U43" t="s">
        <v>156</v>
      </c>
      <c r="V43" s="4">
        <v>5.2499999999999998E-2</v>
      </c>
      <c r="W43" s="2">
        <v>0</v>
      </c>
      <c r="X43">
        <v>0</v>
      </c>
      <c r="Y43" t="s">
        <v>157</v>
      </c>
      <c r="Z43" t="s">
        <v>135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3.39</v>
      </c>
      <c r="AN43" s="2">
        <v>3.39</v>
      </c>
      <c r="AO43" s="2">
        <v>0</v>
      </c>
      <c r="AP43" s="2">
        <v>0</v>
      </c>
      <c r="AQ43" s="2">
        <v>0</v>
      </c>
    </row>
    <row r="44" spans="1:43" x14ac:dyDescent="0.25">
      <c r="A44" s="1">
        <v>46062</v>
      </c>
      <c r="B44" t="s">
        <v>48</v>
      </c>
      <c r="C44">
        <v>649163</v>
      </c>
      <c r="D44">
        <v>2020450119</v>
      </c>
      <c r="E44" t="s">
        <v>202</v>
      </c>
      <c r="F44" t="s">
        <v>203</v>
      </c>
      <c r="G44" t="s">
        <v>51</v>
      </c>
      <c r="H44" t="s">
        <v>52</v>
      </c>
      <c r="I44" t="s">
        <v>152</v>
      </c>
      <c r="J44" t="s">
        <v>153</v>
      </c>
      <c r="K44">
        <v>649247</v>
      </c>
      <c r="L44" t="s">
        <v>204</v>
      </c>
      <c r="M44" t="s">
        <v>205</v>
      </c>
      <c r="N44" t="s">
        <v>57</v>
      </c>
      <c r="O44" s="1">
        <v>45231</v>
      </c>
      <c r="Q44" s="1">
        <v>46082</v>
      </c>
      <c r="R44" s="2">
        <v>115.64</v>
      </c>
      <c r="S44">
        <v>1</v>
      </c>
      <c r="T44" t="s">
        <v>58</v>
      </c>
      <c r="U44" t="s">
        <v>156</v>
      </c>
      <c r="V44" s="4">
        <v>5.2499999999999998E-2</v>
      </c>
      <c r="W44" s="2">
        <v>0</v>
      </c>
      <c r="X44">
        <v>0</v>
      </c>
      <c r="Y44" t="s">
        <v>157</v>
      </c>
      <c r="Z44" t="s">
        <v>135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6.07</v>
      </c>
      <c r="AN44" s="2">
        <v>6.07</v>
      </c>
      <c r="AO44" s="2">
        <v>0</v>
      </c>
      <c r="AP44" s="2">
        <v>0</v>
      </c>
      <c r="AQ44" s="2">
        <v>0</v>
      </c>
    </row>
    <row r="45" spans="1:43" x14ac:dyDescent="0.25">
      <c r="A45" s="1">
        <v>46062</v>
      </c>
      <c r="B45" t="s">
        <v>48</v>
      </c>
      <c r="C45">
        <v>649163</v>
      </c>
      <c r="D45">
        <v>2020623869</v>
      </c>
      <c r="E45" t="s">
        <v>206</v>
      </c>
      <c r="F45" t="s">
        <v>159</v>
      </c>
      <c r="G45" t="s">
        <v>51</v>
      </c>
      <c r="H45" t="s">
        <v>52</v>
      </c>
      <c r="I45" t="s">
        <v>152</v>
      </c>
      <c r="J45" t="s">
        <v>153</v>
      </c>
      <c r="K45">
        <v>649164</v>
      </c>
      <c r="L45" t="s">
        <v>154</v>
      </c>
      <c r="M45" t="s">
        <v>155</v>
      </c>
      <c r="N45" t="s">
        <v>57</v>
      </c>
      <c r="O45" s="1">
        <v>45232</v>
      </c>
      <c r="Q45" s="1">
        <v>46083</v>
      </c>
      <c r="R45" s="2">
        <v>51.19</v>
      </c>
      <c r="S45">
        <v>1</v>
      </c>
      <c r="T45" t="s">
        <v>58</v>
      </c>
      <c r="U45" t="s">
        <v>156</v>
      </c>
      <c r="V45" s="4">
        <v>5.2499999999999998E-2</v>
      </c>
      <c r="W45" s="2">
        <v>0</v>
      </c>
      <c r="X45">
        <v>0</v>
      </c>
      <c r="Y45" t="s">
        <v>157</v>
      </c>
      <c r="Z45" t="s">
        <v>135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2.69</v>
      </c>
      <c r="AN45" s="2">
        <v>2.69</v>
      </c>
      <c r="AO45" s="2">
        <v>0</v>
      </c>
      <c r="AP45" s="2">
        <v>0</v>
      </c>
      <c r="AQ45" s="2">
        <v>0</v>
      </c>
    </row>
    <row r="46" spans="1:43" x14ac:dyDescent="0.25">
      <c r="A46" s="1">
        <v>46062</v>
      </c>
      <c r="B46" t="s">
        <v>48</v>
      </c>
      <c r="C46">
        <v>649163</v>
      </c>
      <c r="D46">
        <v>2020639704</v>
      </c>
      <c r="E46" t="s">
        <v>207</v>
      </c>
      <c r="F46" t="s">
        <v>208</v>
      </c>
      <c r="G46" t="s">
        <v>51</v>
      </c>
      <c r="H46" t="s">
        <v>209</v>
      </c>
      <c r="I46" t="s">
        <v>152</v>
      </c>
      <c r="J46" t="s">
        <v>153</v>
      </c>
      <c r="K46">
        <v>673059</v>
      </c>
      <c r="L46" t="s">
        <v>162</v>
      </c>
      <c r="M46" t="s">
        <v>180</v>
      </c>
      <c r="N46" t="s">
        <v>57</v>
      </c>
      <c r="O46" s="1">
        <v>45261</v>
      </c>
      <c r="Q46" s="1">
        <v>46082</v>
      </c>
      <c r="R46" s="2">
        <v>30.04</v>
      </c>
      <c r="S46">
        <v>1</v>
      </c>
      <c r="T46" t="s">
        <v>58</v>
      </c>
      <c r="U46" t="s">
        <v>156</v>
      </c>
      <c r="V46" s="4">
        <v>5.2499999999999998E-2</v>
      </c>
      <c r="W46" s="2">
        <v>0</v>
      </c>
      <c r="X46">
        <v>0</v>
      </c>
      <c r="Y46" t="s">
        <v>157</v>
      </c>
      <c r="Z46" t="s">
        <v>135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1.58</v>
      </c>
      <c r="AN46" s="2">
        <v>1.58</v>
      </c>
      <c r="AO46" s="2">
        <v>0</v>
      </c>
      <c r="AP46" s="2">
        <v>0</v>
      </c>
      <c r="AQ46" s="2">
        <v>0</v>
      </c>
    </row>
    <row r="47" spans="1:43" x14ac:dyDescent="0.25">
      <c r="A47" s="1">
        <v>46062</v>
      </c>
      <c r="B47" t="s">
        <v>48</v>
      </c>
      <c r="C47">
        <v>649163</v>
      </c>
      <c r="D47">
        <v>2020720597</v>
      </c>
      <c r="E47" t="s">
        <v>210</v>
      </c>
      <c r="F47" t="s">
        <v>211</v>
      </c>
      <c r="G47" t="s">
        <v>51</v>
      </c>
      <c r="H47" t="s">
        <v>52</v>
      </c>
      <c r="I47" t="s">
        <v>152</v>
      </c>
      <c r="J47" t="s">
        <v>153</v>
      </c>
      <c r="K47">
        <v>649164</v>
      </c>
      <c r="L47" t="s">
        <v>154</v>
      </c>
      <c r="M47" t="s">
        <v>155</v>
      </c>
      <c r="N47" t="s">
        <v>57</v>
      </c>
      <c r="O47" s="1">
        <v>45261</v>
      </c>
      <c r="Q47" s="1">
        <v>46082</v>
      </c>
      <c r="R47" s="2">
        <v>117.55</v>
      </c>
      <c r="S47">
        <v>1</v>
      </c>
      <c r="T47" t="s">
        <v>58</v>
      </c>
      <c r="U47" t="s">
        <v>156</v>
      </c>
      <c r="V47" s="4">
        <v>5.2499999999999998E-2</v>
      </c>
      <c r="W47" s="2">
        <v>0</v>
      </c>
      <c r="X47">
        <v>0</v>
      </c>
      <c r="Y47" t="s">
        <v>157</v>
      </c>
      <c r="Z47" t="s">
        <v>135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6.17</v>
      </c>
      <c r="AN47" s="2">
        <v>6.17</v>
      </c>
      <c r="AO47" s="2">
        <v>0</v>
      </c>
      <c r="AP47" s="2">
        <v>0</v>
      </c>
      <c r="AQ47" s="2">
        <v>0</v>
      </c>
    </row>
    <row r="48" spans="1:43" x14ac:dyDescent="0.25">
      <c r="A48" s="1">
        <v>46062</v>
      </c>
      <c r="B48" t="s">
        <v>48</v>
      </c>
      <c r="C48">
        <v>649163</v>
      </c>
      <c r="D48">
        <v>2020902469</v>
      </c>
      <c r="E48" t="s">
        <v>212</v>
      </c>
      <c r="F48" t="s">
        <v>213</v>
      </c>
      <c r="G48" t="s">
        <v>51</v>
      </c>
      <c r="H48" t="s">
        <v>52</v>
      </c>
      <c r="I48" t="s">
        <v>152</v>
      </c>
      <c r="J48" t="s">
        <v>153</v>
      </c>
      <c r="K48">
        <v>649164</v>
      </c>
      <c r="L48" t="s">
        <v>154</v>
      </c>
      <c r="M48" t="s">
        <v>155</v>
      </c>
      <c r="N48" t="s">
        <v>57</v>
      </c>
      <c r="O48" s="1">
        <v>45261</v>
      </c>
      <c r="Q48" s="1">
        <v>46082</v>
      </c>
      <c r="R48" s="2">
        <v>61.19</v>
      </c>
      <c r="S48">
        <v>1</v>
      </c>
      <c r="T48" t="s">
        <v>58</v>
      </c>
      <c r="U48" t="s">
        <v>156</v>
      </c>
      <c r="V48" s="4">
        <v>5.2499999999999998E-2</v>
      </c>
      <c r="W48" s="2">
        <v>0</v>
      </c>
      <c r="X48">
        <v>0</v>
      </c>
      <c r="Y48" t="s">
        <v>157</v>
      </c>
      <c r="Z48" t="s">
        <v>135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3.21</v>
      </c>
      <c r="AN48" s="2">
        <v>3.21</v>
      </c>
      <c r="AO48" s="2">
        <v>0</v>
      </c>
      <c r="AP48" s="2">
        <v>0</v>
      </c>
      <c r="AQ48" s="2">
        <v>0</v>
      </c>
    </row>
    <row r="49" spans="1:43" x14ac:dyDescent="0.25">
      <c r="A49" s="1">
        <v>46062</v>
      </c>
      <c r="B49" t="s">
        <v>48</v>
      </c>
      <c r="C49">
        <v>649163</v>
      </c>
      <c r="D49">
        <v>2020966338</v>
      </c>
      <c r="E49" t="s">
        <v>214</v>
      </c>
      <c r="F49" t="s">
        <v>188</v>
      </c>
      <c r="G49" t="s">
        <v>51</v>
      </c>
      <c r="H49" t="s">
        <v>52</v>
      </c>
      <c r="I49" t="s">
        <v>152</v>
      </c>
      <c r="J49" t="s">
        <v>153</v>
      </c>
      <c r="K49">
        <v>728134</v>
      </c>
      <c r="L49" t="s">
        <v>215</v>
      </c>
      <c r="M49" t="s">
        <v>216</v>
      </c>
      <c r="N49" t="s">
        <v>57</v>
      </c>
      <c r="O49" s="1">
        <v>45292</v>
      </c>
      <c r="Q49" s="1">
        <v>46082</v>
      </c>
      <c r="R49" s="2">
        <v>48.22</v>
      </c>
      <c r="S49">
        <v>1</v>
      </c>
      <c r="T49" t="s">
        <v>58</v>
      </c>
      <c r="U49" t="s">
        <v>156</v>
      </c>
      <c r="V49" s="4">
        <v>5.2499999999999998E-2</v>
      </c>
      <c r="W49" s="2">
        <v>0</v>
      </c>
      <c r="X49">
        <v>0</v>
      </c>
      <c r="Y49" t="s">
        <v>157</v>
      </c>
      <c r="Z49" t="s">
        <v>135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2.5299999999999998</v>
      </c>
      <c r="AN49" s="2">
        <v>2.5299999999999998</v>
      </c>
      <c r="AO49" s="2">
        <v>0</v>
      </c>
      <c r="AP49" s="2">
        <v>0</v>
      </c>
      <c r="AQ49" s="2">
        <v>0</v>
      </c>
    </row>
    <row r="50" spans="1:43" x14ac:dyDescent="0.25">
      <c r="A50" s="1">
        <v>46062</v>
      </c>
      <c r="B50" t="s">
        <v>48</v>
      </c>
      <c r="C50">
        <v>649163</v>
      </c>
      <c r="D50">
        <v>2020974703</v>
      </c>
      <c r="E50" t="s">
        <v>217</v>
      </c>
      <c r="F50" t="s">
        <v>218</v>
      </c>
      <c r="G50" t="s">
        <v>51</v>
      </c>
      <c r="H50" t="s">
        <v>52</v>
      </c>
      <c r="I50" t="s">
        <v>152</v>
      </c>
      <c r="J50" t="s">
        <v>153</v>
      </c>
      <c r="K50">
        <v>649164</v>
      </c>
      <c r="L50" t="s">
        <v>154</v>
      </c>
      <c r="M50" t="s">
        <v>155</v>
      </c>
      <c r="N50" t="s">
        <v>57</v>
      </c>
      <c r="O50" s="1">
        <v>45292</v>
      </c>
      <c r="Q50" s="1">
        <v>46082</v>
      </c>
      <c r="R50" s="2">
        <v>40.99</v>
      </c>
      <c r="S50">
        <v>1</v>
      </c>
      <c r="T50" t="s">
        <v>58</v>
      </c>
      <c r="U50" t="s">
        <v>156</v>
      </c>
      <c r="V50" s="4">
        <v>5.2499999999999998E-2</v>
      </c>
      <c r="W50" s="2">
        <v>0</v>
      </c>
      <c r="X50">
        <v>0</v>
      </c>
      <c r="Y50" t="s">
        <v>157</v>
      </c>
      <c r="Z50" t="s">
        <v>135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2.15</v>
      </c>
      <c r="AN50" s="2">
        <v>2.15</v>
      </c>
      <c r="AO50" s="2">
        <v>0</v>
      </c>
      <c r="AP50" s="2">
        <v>0</v>
      </c>
      <c r="AQ50" s="2">
        <v>0</v>
      </c>
    </row>
    <row r="51" spans="1:43" x14ac:dyDescent="0.25">
      <c r="A51" s="1">
        <v>46062</v>
      </c>
      <c r="B51" t="s">
        <v>48</v>
      </c>
      <c r="C51">
        <v>649163</v>
      </c>
      <c r="D51">
        <v>2020977489</v>
      </c>
      <c r="E51" t="s">
        <v>219</v>
      </c>
      <c r="F51" t="s">
        <v>220</v>
      </c>
      <c r="G51" t="s">
        <v>51</v>
      </c>
      <c r="H51" t="s">
        <v>52</v>
      </c>
      <c r="I51" t="s">
        <v>152</v>
      </c>
      <c r="J51" t="s">
        <v>153</v>
      </c>
      <c r="K51">
        <v>649247</v>
      </c>
      <c r="L51" t="s">
        <v>204</v>
      </c>
      <c r="M51" t="s">
        <v>205</v>
      </c>
      <c r="N51" t="s">
        <v>57</v>
      </c>
      <c r="O51" s="1">
        <v>45262</v>
      </c>
      <c r="Q51" s="1">
        <v>46083</v>
      </c>
      <c r="R51" s="2">
        <v>115.64</v>
      </c>
      <c r="S51">
        <v>1</v>
      </c>
      <c r="T51" t="s">
        <v>58</v>
      </c>
      <c r="U51" t="s">
        <v>156</v>
      </c>
      <c r="V51" s="4">
        <v>5.2499999999999998E-2</v>
      </c>
      <c r="W51" s="2">
        <v>0</v>
      </c>
      <c r="X51">
        <v>0</v>
      </c>
      <c r="Y51" t="s">
        <v>157</v>
      </c>
      <c r="Z51" t="s">
        <v>135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6.07</v>
      </c>
      <c r="AN51" s="2">
        <v>6.07</v>
      </c>
      <c r="AO51" s="2">
        <v>0</v>
      </c>
      <c r="AP51" s="2">
        <v>0</v>
      </c>
      <c r="AQ51" s="2">
        <v>0</v>
      </c>
    </row>
    <row r="52" spans="1:43" x14ac:dyDescent="0.25">
      <c r="A52" s="1">
        <v>46062</v>
      </c>
      <c r="B52" t="s">
        <v>48</v>
      </c>
      <c r="C52">
        <v>649163</v>
      </c>
      <c r="D52">
        <v>2021180346</v>
      </c>
      <c r="E52" t="s">
        <v>221</v>
      </c>
      <c r="F52" t="s">
        <v>222</v>
      </c>
      <c r="G52" t="s">
        <v>51</v>
      </c>
      <c r="H52" t="s">
        <v>52</v>
      </c>
      <c r="I52" t="s">
        <v>152</v>
      </c>
      <c r="J52" t="s">
        <v>153</v>
      </c>
      <c r="K52">
        <v>649247</v>
      </c>
      <c r="L52" t="s">
        <v>204</v>
      </c>
      <c r="M52" t="s">
        <v>205</v>
      </c>
      <c r="N52" t="s">
        <v>57</v>
      </c>
      <c r="O52" s="1">
        <v>45292</v>
      </c>
      <c r="Q52" s="1">
        <v>46082</v>
      </c>
      <c r="R52" s="2">
        <v>104.08</v>
      </c>
      <c r="S52">
        <v>1</v>
      </c>
      <c r="T52" t="s">
        <v>58</v>
      </c>
      <c r="U52" t="s">
        <v>156</v>
      </c>
      <c r="V52" s="4">
        <v>5.2499999999999998E-2</v>
      </c>
      <c r="W52" s="2">
        <v>0</v>
      </c>
      <c r="X52">
        <v>0</v>
      </c>
      <c r="Y52" t="s">
        <v>157</v>
      </c>
      <c r="Z52" t="s">
        <v>135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5.46</v>
      </c>
      <c r="AN52" s="2">
        <v>5.46</v>
      </c>
      <c r="AO52" s="2">
        <v>0</v>
      </c>
      <c r="AP52" s="2">
        <v>0</v>
      </c>
      <c r="AQ52" s="2">
        <v>0</v>
      </c>
    </row>
    <row r="53" spans="1:43" x14ac:dyDescent="0.25">
      <c r="A53" s="1">
        <v>46062</v>
      </c>
      <c r="B53" t="s">
        <v>48</v>
      </c>
      <c r="C53">
        <v>649163</v>
      </c>
      <c r="D53">
        <v>2021206448</v>
      </c>
      <c r="E53" t="s">
        <v>223</v>
      </c>
      <c r="F53" t="s">
        <v>224</v>
      </c>
      <c r="G53" t="s">
        <v>51</v>
      </c>
      <c r="H53" t="s">
        <v>52</v>
      </c>
      <c r="I53" t="s">
        <v>152</v>
      </c>
      <c r="J53" t="s">
        <v>153</v>
      </c>
      <c r="K53">
        <v>649164</v>
      </c>
      <c r="L53" t="s">
        <v>154</v>
      </c>
      <c r="M53" t="s">
        <v>155</v>
      </c>
      <c r="N53" t="s">
        <v>57</v>
      </c>
      <c r="O53" s="1">
        <v>45292</v>
      </c>
      <c r="Q53" s="1">
        <v>46082</v>
      </c>
      <c r="R53" s="2">
        <v>104.08</v>
      </c>
      <c r="S53">
        <v>1</v>
      </c>
      <c r="T53" t="s">
        <v>58</v>
      </c>
      <c r="U53" t="s">
        <v>156</v>
      </c>
      <c r="V53" s="4">
        <v>5.2499999999999998E-2</v>
      </c>
      <c r="W53" s="2">
        <v>0</v>
      </c>
      <c r="X53">
        <v>0</v>
      </c>
      <c r="Y53" t="s">
        <v>157</v>
      </c>
      <c r="Z53" t="s">
        <v>135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5.46</v>
      </c>
      <c r="AN53" s="2">
        <v>5.46</v>
      </c>
      <c r="AO53" s="2">
        <v>0</v>
      </c>
      <c r="AP53" s="2">
        <v>0</v>
      </c>
      <c r="AQ53" s="2">
        <v>0</v>
      </c>
    </row>
    <row r="54" spans="1:43" x14ac:dyDescent="0.25">
      <c r="A54" s="1">
        <v>46062</v>
      </c>
      <c r="B54" t="s">
        <v>48</v>
      </c>
      <c r="C54">
        <v>649163</v>
      </c>
      <c r="D54">
        <v>2021588618</v>
      </c>
      <c r="E54" t="s">
        <v>225</v>
      </c>
      <c r="F54" t="s">
        <v>226</v>
      </c>
      <c r="G54" t="s">
        <v>51</v>
      </c>
      <c r="H54" t="s">
        <v>52</v>
      </c>
      <c r="I54" t="s">
        <v>152</v>
      </c>
      <c r="J54" t="s">
        <v>153</v>
      </c>
      <c r="K54">
        <v>728134</v>
      </c>
      <c r="L54" t="s">
        <v>215</v>
      </c>
      <c r="M54" t="s">
        <v>216</v>
      </c>
      <c r="N54" t="s">
        <v>57</v>
      </c>
      <c r="O54" s="1">
        <v>45323</v>
      </c>
      <c r="Q54" s="1">
        <v>46082</v>
      </c>
      <c r="R54" s="2">
        <v>45.54</v>
      </c>
      <c r="S54">
        <v>1</v>
      </c>
      <c r="T54" t="s">
        <v>58</v>
      </c>
      <c r="U54" t="s">
        <v>156</v>
      </c>
      <c r="V54" s="4">
        <v>5.2499999999999998E-2</v>
      </c>
      <c r="W54" s="2">
        <v>0</v>
      </c>
      <c r="X54">
        <v>0</v>
      </c>
      <c r="Y54" t="s">
        <v>157</v>
      </c>
      <c r="Z54" t="s">
        <v>135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2.39</v>
      </c>
      <c r="AN54" s="2">
        <v>2.39</v>
      </c>
      <c r="AO54" s="2">
        <v>0</v>
      </c>
      <c r="AP54" s="2">
        <v>0</v>
      </c>
      <c r="AQ54" s="2">
        <v>0</v>
      </c>
    </row>
    <row r="55" spans="1:43" x14ac:dyDescent="0.25">
      <c r="A55" s="1">
        <v>46062</v>
      </c>
      <c r="B55" t="s">
        <v>48</v>
      </c>
      <c r="C55">
        <v>649163</v>
      </c>
      <c r="D55">
        <v>2022253036</v>
      </c>
      <c r="E55" t="s">
        <v>227</v>
      </c>
      <c r="F55" t="s">
        <v>228</v>
      </c>
      <c r="G55" t="s">
        <v>51</v>
      </c>
      <c r="H55" t="s">
        <v>52</v>
      </c>
      <c r="I55" t="s">
        <v>152</v>
      </c>
      <c r="J55" t="s">
        <v>153</v>
      </c>
      <c r="K55">
        <v>728134</v>
      </c>
      <c r="L55" t="s">
        <v>215</v>
      </c>
      <c r="M55" t="s">
        <v>216</v>
      </c>
      <c r="N55" t="s">
        <v>57</v>
      </c>
      <c r="O55" s="1">
        <v>45383</v>
      </c>
      <c r="Q55" s="1">
        <v>46082</v>
      </c>
      <c r="R55" s="2">
        <v>43.59</v>
      </c>
      <c r="S55">
        <v>1</v>
      </c>
      <c r="T55" t="s">
        <v>58</v>
      </c>
      <c r="U55" t="s">
        <v>156</v>
      </c>
      <c r="V55" s="4">
        <v>5.2499999999999998E-2</v>
      </c>
      <c r="W55" s="2">
        <v>0</v>
      </c>
      <c r="X55">
        <v>0</v>
      </c>
      <c r="Y55" t="s">
        <v>157</v>
      </c>
      <c r="Z55" t="s">
        <v>135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2.29</v>
      </c>
      <c r="AN55" s="2">
        <v>2.29</v>
      </c>
      <c r="AO55" s="2">
        <v>0</v>
      </c>
      <c r="AP55" s="2">
        <v>0</v>
      </c>
      <c r="AQ55" s="2">
        <v>0</v>
      </c>
    </row>
    <row r="56" spans="1:43" x14ac:dyDescent="0.25">
      <c r="A56" s="1">
        <v>46062</v>
      </c>
      <c r="B56" t="s">
        <v>48</v>
      </c>
      <c r="C56">
        <v>649163</v>
      </c>
      <c r="D56">
        <v>2022532902</v>
      </c>
      <c r="E56" t="s">
        <v>229</v>
      </c>
      <c r="F56" t="s">
        <v>203</v>
      </c>
      <c r="G56" t="s">
        <v>51</v>
      </c>
      <c r="H56" t="s">
        <v>52</v>
      </c>
      <c r="I56" t="s">
        <v>152</v>
      </c>
      <c r="J56" t="s">
        <v>153</v>
      </c>
      <c r="K56">
        <v>728134</v>
      </c>
      <c r="L56" t="s">
        <v>215</v>
      </c>
      <c r="M56" t="s">
        <v>216</v>
      </c>
      <c r="N56" t="s">
        <v>57</v>
      </c>
      <c r="O56" s="1">
        <v>45384</v>
      </c>
      <c r="Q56" s="1">
        <v>46083</v>
      </c>
      <c r="R56" s="2">
        <v>50.6</v>
      </c>
      <c r="S56">
        <v>1</v>
      </c>
      <c r="T56" t="s">
        <v>58</v>
      </c>
      <c r="U56" t="s">
        <v>156</v>
      </c>
      <c r="V56" s="4">
        <v>5.2499999999999998E-2</v>
      </c>
      <c r="W56" s="2">
        <v>0</v>
      </c>
      <c r="X56">
        <v>0</v>
      </c>
      <c r="Y56" t="s">
        <v>157</v>
      </c>
      <c r="Z56" t="s">
        <v>135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2.66</v>
      </c>
      <c r="AN56" s="2">
        <v>2.66</v>
      </c>
      <c r="AO56" s="2">
        <v>0</v>
      </c>
      <c r="AP56" s="2">
        <v>0</v>
      </c>
      <c r="AQ56" s="2">
        <v>0</v>
      </c>
    </row>
    <row r="57" spans="1:43" x14ac:dyDescent="0.25">
      <c r="A57" s="1">
        <v>46062</v>
      </c>
      <c r="B57" t="s">
        <v>48</v>
      </c>
      <c r="C57">
        <v>649163</v>
      </c>
      <c r="D57">
        <v>2022548915</v>
      </c>
      <c r="E57" t="s">
        <v>219</v>
      </c>
      <c r="F57" t="s">
        <v>230</v>
      </c>
      <c r="G57" t="s">
        <v>51</v>
      </c>
      <c r="H57" t="s">
        <v>52</v>
      </c>
      <c r="I57" t="s">
        <v>152</v>
      </c>
      <c r="J57" t="s">
        <v>153</v>
      </c>
      <c r="K57">
        <v>728134</v>
      </c>
      <c r="L57" t="s">
        <v>215</v>
      </c>
      <c r="M57" t="s">
        <v>216</v>
      </c>
      <c r="N57" t="s">
        <v>57</v>
      </c>
      <c r="O57" s="1">
        <v>45385</v>
      </c>
      <c r="Q57" s="1">
        <v>46084</v>
      </c>
      <c r="R57" s="2">
        <v>56.88</v>
      </c>
      <c r="S57">
        <v>1</v>
      </c>
      <c r="T57" t="s">
        <v>58</v>
      </c>
      <c r="U57" t="s">
        <v>156</v>
      </c>
      <c r="V57" s="4">
        <v>5.2499999999999998E-2</v>
      </c>
      <c r="W57" s="2">
        <v>0</v>
      </c>
      <c r="X57">
        <v>0</v>
      </c>
      <c r="Y57" t="s">
        <v>157</v>
      </c>
      <c r="Z57" t="s">
        <v>135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2.99</v>
      </c>
      <c r="AN57" s="2">
        <v>2.99</v>
      </c>
      <c r="AO57" s="2">
        <v>0</v>
      </c>
      <c r="AP57" s="2">
        <v>0</v>
      </c>
      <c r="AQ57" s="2">
        <v>0</v>
      </c>
    </row>
    <row r="58" spans="1:43" x14ac:dyDescent="0.25">
      <c r="A58" s="1">
        <v>46062</v>
      </c>
      <c r="B58" t="s">
        <v>48</v>
      </c>
      <c r="C58">
        <v>649163</v>
      </c>
      <c r="D58">
        <v>2022583396</v>
      </c>
      <c r="E58" t="s">
        <v>231</v>
      </c>
      <c r="F58" t="s">
        <v>232</v>
      </c>
      <c r="G58" t="s">
        <v>51</v>
      </c>
      <c r="H58" t="s">
        <v>52</v>
      </c>
      <c r="I58" t="s">
        <v>152</v>
      </c>
      <c r="J58" t="s">
        <v>153</v>
      </c>
      <c r="K58">
        <v>728134</v>
      </c>
      <c r="L58" t="s">
        <v>215</v>
      </c>
      <c r="M58" t="s">
        <v>216</v>
      </c>
      <c r="N58" t="s">
        <v>57</v>
      </c>
      <c r="O58" s="1">
        <v>45387</v>
      </c>
      <c r="Q58" s="1">
        <v>46086</v>
      </c>
      <c r="R58" s="2">
        <v>43.59</v>
      </c>
      <c r="S58">
        <v>1</v>
      </c>
      <c r="T58" t="s">
        <v>58</v>
      </c>
      <c r="U58" t="s">
        <v>156</v>
      </c>
      <c r="V58" s="4">
        <v>5.2499999999999998E-2</v>
      </c>
      <c r="W58" s="2">
        <v>0</v>
      </c>
      <c r="X58">
        <v>0</v>
      </c>
      <c r="Y58" t="s">
        <v>157</v>
      </c>
      <c r="Z58" t="s">
        <v>135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2.29</v>
      </c>
      <c r="AN58" s="2">
        <v>2.29</v>
      </c>
      <c r="AO58" s="2">
        <v>0</v>
      </c>
      <c r="AP58" s="2">
        <v>0</v>
      </c>
      <c r="AQ58" s="2">
        <v>0</v>
      </c>
    </row>
    <row r="59" spans="1:43" x14ac:dyDescent="0.25">
      <c r="A59" s="1">
        <v>46062</v>
      </c>
      <c r="B59" t="s">
        <v>48</v>
      </c>
      <c r="C59">
        <v>649163</v>
      </c>
      <c r="D59">
        <v>2022736430</v>
      </c>
      <c r="E59" t="s">
        <v>233</v>
      </c>
      <c r="F59" t="s">
        <v>234</v>
      </c>
      <c r="G59" t="s">
        <v>51</v>
      </c>
      <c r="H59" t="s">
        <v>52</v>
      </c>
      <c r="I59" t="s">
        <v>152</v>
      </c>
      <c r="J59" t="s">
        <v>153</v>
      </c>
      <c r="K59">
        <v>649164</v>
      </c>
      <c r="L59" t="s">
        <v>154</v>
      </c>
      <c r="M59" t="s">
        <v>155</v>
      </c>
      <c r="N59" t="s">
        <v>57</v>
      </c>
      <c r="O59" s="1">
        <v>45413</v>
      </c>
      <c r="Q59" s="1">
        <v>46082</v>
      </c>
      <c r="R59" s="2">
        <v>45.54</v>
      </c>
      <c r="S59">
        <v>1</v>
      </c>
      <c r="T59" t="s">
        <v>58</v>
      </c>
      <c r="U59" t="s">
        <v>156</v>
      </c>
      <c r="V59" s="4">
        <v>5.2499999999999998E-2</v>
      </c>
      <c r="W59" s="2">
        <v>0</v>
      </c>
      <c r="X59">
        <v>0</v>
      </c>
      <c r="Y59" t="s">
        <v>157</v>
      </c>
      <c r="Z59" t="s">
        <v>135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2.39</v>
      </c>
      <c r="AN59" s="2">
        <v>2.39</v>
      </c>
      <c r="AO59" s="2">
        <v>0</v>
      </c>
      <c r="AP59" s="2">
        <v>0</v>
      </c>
      <c r="AQ59" s="2">
        <v>0</v>
      </c>
    </row>
    <row r="60" spans="1:43" x14ac:dyDescent="0.25">
      <c r="A60" s="1">
        <v>46062</v>
      </c>
      <c r="B60" t="s">
        <v>48</v>
      </c>
      <c r="C60">
        <v>649163</v>
      </c>
      <c r="D60">
        <v>2022802828</v>
      </c>
      <c r="E60" t="s">
        <v>235</v>
      </c>
      <c r="F60" t="s">
        <v>236</v>
      </c>
      <c r="G60" t="s">
        <v>51</v>
      </c>
      <c r="H60" t="s">
        <v>237</v>
      </c>
      <c r="I60" t="s">
        <v>152</v>
      </c>
      <c r="J60" t="s">
        <v>238</v>
      </c>
      <c r="K60">
        <v>751867</v>
      </c>
      <c r="L60" t="s">
        <v>239</v>
      </c>
      <c r="M60" t="s">
        <v>240</v>
      </c>
      <c r="N60" t="s">
        <v>57</v>
      </c>
      <c r="O60" s="1">
        <v>45413</v>
      </c>
      <c r="Q60" s="1">
        <v>46082</v>
      </c>
      <c r="R60" s="2">
        <v>35.270000000000003</v>
      </c>
      <c r="S60">
        <v>1</v>
      </c>
      <c r="T60" t="s">
        <v>58</v>
      </c>
      <c r="U60" t="s">
        <v>156</v>
      </c>
      <c r="V60" s="3">
        <v>0.08</v>
      </c>
      <c r="W60" s="2">
        <v>0</v>
      </c>
      <c r="X60">
        <v>0</v>
      </c>
      <c r="Y60" t="s">
        <v>157</v>
      </c>
      <c r="Z60" t="s">
        <v>135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2.82</v>
      </c>
      <c r="AN60" s="2">
        <v>2.82</v>
      </c>
      <c r="AO60" s="2">
        <v>0</v>
      </c>
      <c r="AP60" s="2">
        <v>0</v>
      </c>
      <c r="AQ60" s="2">
        <v>0</v>
      </c>
    </row>
    <row r="61" spans="1:43" x14ac:dyDescent="0.25">
      <c r="A61" s="1">
        <v>46062</v>
      </c>
      <c r="B61" t="s">
        <v>48</v>
      </c>
      <c r="C61">
        <v>649163</v>
      </c>
      <c r="D61">
        <v>2022802829</v>
      </c>
      <c r="E61" t="s">
        <v>235</v>
      </c>
      <c r="F61" t="s">
        <v>236</v>
      </c>
      <c r="G61" t="s">
        <v>51</v>
      </c>
      <c r="H61" t="s">
        <v>237</v>
      </c>
      <c r="I61" t="s">
        <v>152</v>
      </c>
      <c r="J61" t="s">
        <v>241</v>
      </c>
      <c r="K61">
        <v>751867</v>
      </c>
      <c r="L61" t="s">
        <v>239</v>
      </c>
      <c r="M61" t="s">
        <v>240</v>
      </c>
      <c r="N61" t="s">
        <v>57</v>
      </c>
      <c r="O61" s="1">
        <v>45413</v>
      </c>
      <c r="Q61" s="1">
        <v>46082</v>
      </c>
      <c r="R61" s="2">
        <v>14.95</v>
      </c>
      <c r="S61">
        <v>1</v>
      </c>
      <c r="T61" t="s">
        <v>58</v>
      </c>
      <c r="U61" t="s">
        <v>156</v>
      </c>
      <c r="V61" s="3">
        <v>0.08</v>
      </c>
      <c r="W61" s="2">
        <v>0</v>
      </c>
      <c r="X61">
        <v>0</v>
      </c>
      <c r="Y61" t="s">
        <v>157</v>
      </c>
      <c r="Z61" t="s">
        <v>135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1.2</v>
      </c>
      <c r="AN61" s="2">
        <v>1.2</v>
      </c>
      <c r="AO61" s="2">
        <v>0</v>
      </c>
      <c r="AP61" s="2">
        <v>0</v>
      </c>
      <c r="AQ61" s="2">
        <v>0</v>
      </c>
    </row>
    <row r="62" spans="1:43" x14ac:dyDescent="0.25">
      <c r="A62" s="1">
        <v>46062</v>
      </c>
      <c r="B62" t="s">
        <v>48</v>
      </c>
      <c r="C62">
        <v>649163</v>
      </c>
      <c r="D62">
        <v>2022853291</v>
      </c>
      <c r="E62" t="s">
        <v>242</v>
      </c>
      <c r="F62" t="s">
        <v>243</v>
      </c>
      <c r="G62" t="s">
        <v>51</v>
      </c>
      <c r="H62" t="s">
        <v>52</v>
      </c>
      <c r="I62" t="s">
        <v>152</v>
      </c>
      <c r="J62" t="s">
        <v>153</v>
      </c>
      <c r="K62">
        <v>751867</v>
      </c>
      <c r="L62" t="s">
        <v>239</v>
      </c>
      <c r="M62" t="s">
        <v>240</v>
      </c>
      <c r="N62" t="s">
        <v>57</v>
      </c>
      <c r="O62" s="1">
        <v>45413</v>
      </c>
      <c r="Q62" s="1">
        <v>46082</v>
      </c>
      <c r="R62" s="2">
        <v>46.01</v>
      </c>
      <c r="S62">
        <v>1</v>
      </c>
      <c r="T62" t="s">
        <v>58</v>
      </c>
      <c r="U62" t="s">
        <v>156</v>
      </c>
      <c r="V62" s="4">
        <v>5.2499999999999998E-2</v>
      </c>
      <c r="W62" s="2">
        <v>0</v>
      </c>
      <c r="X62">
        <v>0</v>
      </c>
      <c r="Y62" t="s">
        <v>157</v>
      </c>
      <c r="Z62" t="s">
        <v>135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2.42</v>
      </c>
      <c r="AN62" s="2">
        <v>2.42</v>
      </c>
      <c r="AO62" s="2">
        <v>0</v>
      </c>
      <c r="AP62" s="2">
        <v>0</v>
      </c>
      <c r="AQ62" s="2">
        <v>0</v>
      </c>
    </row>
    <row r="63" spans="1:43" x14ac:dyDescent="0.25">
      <c r="A63" s="1">
        <v>46062</v>
      </c>
      <c r="B63" t="s">
        <v>48</v>
      </c>
      <c r="C63">
        <v>649163</v>
      </c>
      <c r="D63">
        <v>2023183893</v>
      </c>
      <c r="E63" t="s">
        <v>244</v>
      </c>
      <c r="F63" t="s">
        <v>245</v>
      </c>
      <c r="G63" t="s">
        <v>51</v>
      </c>
      <c r="H63" t="s">
        <v>52</v>
      </c>
      <c r="I63" t="s">
        <v>152</v>
      </c>
      <c r="J63" t="s">
        <v>153</v>
      </c>
      <c r="K63">
        <v>650218</v>
      </c>
      <c r="L63" t="s">
        <v>246</v>
      </c>
      <c r="M63" t="s">
        <v>195</v>
      </c>
      <c r="N63" t="s">
        <v>57</v>
      </c>
      <c r="O63" s="1">
        <v>45474</v>
      </c>
      <c r="Q63" s="1">
        <v>46082</v>
      </c>
      <c r="R63" s="2">
        <v>142.08000000000001</v>
      </c>
      <c r="S63">
        <v>1</v>
      </c>
      <c r="T63" t="s">
        <v>58</v>
      </c>
      <c r="U63" t="s">
        <v>156</v>
      </c>
      <c r="V63" s="4">
        <v>5.2499999999999998E-2</v>
      </c>
      <c r="W63" s="2">
        <v>0</v>
      </c>
      <c r="X63">
        <v>0</v>
      </c>
      <c r="Y63" t="s">
        <v>157</v>
      </c>
      <c r="Z63" t="s">
        <v>135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7.46</v>
      </c>
      <c r="AN63" s="2">
        <v>7.46</v>
      </c>
      <c r="AO63" s="2">
        <v>0</v>
      </c>
      <c r="AP63" s="2">
        <v>0</v>
      </c>
      <c r="AQ63" s="2">
        <v>0</v>
      </c>
    </row>
    <row r="64" spans="1:43" x14ac:dyDescent="0.25">
      <c r="A64" s="1">
        <v>46062</v>
      </c>
      <c r="B64" t="s">
        <v>48</v>
      </c>
      <c r="C64">
        <v>649163</v>
      </c>
      <c r="D64">
        <v>2023280128</v>
      </c>
      <c r="E64" t="s">
        <v>247</v>
      </c>
      <c r="F64" t="s">
        <v>248</v>
      </c>
      <c r="G64" t="s">
        <v>51</v>
      </c>
      <c r="H64" t="s">
        <v>52</v>
      </c>
      <c r="I64" t="s">
        <v>152</v>
      </c>
      <c r="J64" t="s">
        <v>153</v>
      </c>
      <c r="K64">
        <v>728134</v>
      </c>
      <c r="L64" t="s">
        <v>215</v>
      </c>
      <c r="M64" t="s">
        <v>216</v>
      </c>
      <c r="N64" t="s">
        <v>57</v>
      </c>
      <c r="O64" s="1">
        <v>45444</v>
      </c>
      <c r="Q64" s="1">
        <v>46082</v>
      </c>
      <c r="R64" s="2">
        <v>33.590000000000003</v>
      </c>
      <c r="S64">
        <v>1</v>
      </c>
      <c r="T64" t="s">
        <v>58</v>
      </c>
      <c r="U64" t="s">
        <v>156</v>
      </c>
      <c r="V64" s="4">
        <v>5.2499999999999998E-2</v>
      </c>
      <c r="W64" s="2">
        <v>0</v>
      </c>
      <c r="X64">
        <v>0</v>
      </c>
      <c r="Y64" t="s">
        <v>157</v>
      </c>
      <c r="Z64" t="s">
        <v>135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1.76</v>
      </c>
      <c r="AN64" s="2">
        <v>1.76</v>
      </c>
      <c r="AO64" s="2">
        <v>0</v>
      </c>
      <c r="AP64" s="2">
        <v>0</v>
      </c>
      <c r="AQ64" s="2">
        <v>0</v>
      </c>
    </row>
    <row r="65" spans="1:43" x14ac:dyDescent="0.25">
      <c r="A65" s="1">
        <v>46062</v>
      </c>
      <c r="B65" t="s">
        <v>48</v>
      </c>
      <c r="C65">
        <v>649163</v>
      </c>
      <c r="D65">
        <v>2023644771</v>
      </c>
      <c r="E65" t="s">
        <v>249</v>
      </c>
      <c r="F65" t="s">
        <v>250</v>
      </c>
      <c r="G65" t="s">
        <v>51</v>
      </c>
      <c r="H65" t="s">
        <v>52</v>
      </c>
      <c r="I65" t="s">
        <v>152</v>
      </c>
      <c r="J65" t="s">
        <v>153</v>
      </c>
      <c r="K65">
        <v>728134</v>
      </c>
      <c r="L65" t="s">
        <v>215</v>
      </c>
      <c r="M65" t="s">
        <v>216</v>
      </c>
      <c r="N65" t="s">
        <v>57</v>
      </c>
      <c r="O65" s="1">
        <v>45474</v>
      </c>
      <c r="Q65" s="1">
        <v>46082</v>
      </c>
      <c r="R65" s="2">
        <v>57.22</v>
      </c>
      <c r="S65">
        <v>1</v>
      </c>
      <c r="T65" t="s">
        <v>58</v>
      </c>
      <c r="U65" t="s">
        <v>156</v>
      </c>
      <c r="V65" s="4">
        <v>5.2499999999999998E-2</v>
      </c>
      <c r="W65" s="2">
        <v>0</v>
      </c>
      <c r="X65">
        <v>0</v>
      </c>
      <c r="Y65" t="s">
        <v>157</v>
      </c>
      <c r="Z65" t="s">
        <v>135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3</v>
      </c>
      <c r="AN65" s="2">
        <v>3</v>
      </c>
      <c r="AO65" s="2">
        <v>0</v>
      </c>
      <c r="AP65" s="2">
        <v>0</v>
      </c>
      <c r="AQ65" s="2">
        <v>0</v>
      </c>
    </row>
    <row r="66" spans="1:43" x14ac:dyDescent="0.25">
      <c r="A66" s="1">
        <v>46062</v>
      </c>
      <c r="B66" t="s">
        <v>48</v>
      </c>
      <c r="C66">
        <v>649163</v>
      </c>
      <c r="D66">
        <v>2023679652</v>
      </c>
      <c r="E66" t="s">
        <v>251</v>
      </c>
      <c r="F66" t="s">
        <v>252</v>
      </c>
      <c r="G66" t="s">
        <v>51</v>
      </c>
      <c r="H66" t="s">
        <v>52</v>
      </c>
      <c r="I66" t="s">
        <v>152</v>
      </c>
      <c r="J66" t="s">
        <v>153</v>
      </c>
      <c r="K66">
        <v>728134</v>
      </c>
      <c r="L66" t="s">
        <v>215</v>
      </c>
      <c r="M66" t="s">
        <v>216</v>
      </c>
      <c r="N66" t="s">
        <v>57</v>
      </c>
      <c r="O66" s="1">
        <v>45474</v>
      </c>
      <c r="Q66" s="1">
        <v>46082</v>
      </c>
      <c r="R66" s="2">
        <v>47.32</v>
      </c>
      <c r="S66">
        <v>1</v>
      </c>
      <c r="T66" t="s">
        <v>58</v>
      </c>
      <c r="U66" t="s">
        <v>156</v>
      </c>
      <c r="V66" s="4">
        <v>5.2499999999999998E-2</v>
      </c>
      <c r="W66" s="2">
        <v>0</v>
      </c>
      <c r="X66">
        <v>0</v>
      </c>
      <c r="Y66" t="s">
        <v>157</v>
      </c>
      <c r="Z66" t="s">
        <v>135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2.48</v>
      </c>
      <c r="AN66" s="2">
        <v>2.48</v>
      </c>
      <c r="AO66" s="2">
        <v>0</v>
      </c>
      <c r="AP66" s="2">
        <v>0</v>
      </c>
      <c r="AQ66" s="2">
        <v>0</v>
      </c>
    </row>
    <row r="67" spans="1:43" x14ac:dyDescent="0.25">
      <c r="A67" s="1">
        <v>46062</v>
      </c>
      <c r="B67" t="s">
        <v>48</v>
      </c>
      <c r="C67">
        <v>649163</v>
      </c>
      <c r="D67">
        <v>2024254141</v>
      </c>
      <c r="E67" t="s">
        <v>253</v>
      </c>
      <c r="F67" t="s">
        <v>254</v>
      </c>
      <c r="G67" t="s">
        <v>51</v>
      </c>
      <c r="H67" t="s">
        <v>52</v>
      </c>
      <c r="I67" t="s">
        <v>152</v>
      </c>
      <c r="J67" t="s">
        <v>153</v>
      </c>
      <c r="K67">
        <v>649247</v>
      </c>
      <c r="L67" t="s">
        <v>204</v>
      </c>
      <c r="M67" t="s">
        <v>205</v>
      </c>
      <c r="N67" t="s">
        <v>57</v>
      </c>
      <c r="O67" s="1">
        <v>45510</v>
      </c>
      <c r="Q67" s="1">
        <v>46087</v>
      </c>
      <c r="R67" s="2">
        <v>45.54</v>
      </c>
      <c r="S67">
        <v>1</v>
      </c>
      <c r="T67" t="s">
        <v>58</v>
      </c>
      <c r="U67" t="s">
        <v>156</v>
      </c>
      <c r="V67" s="4">
        <v>5.2499999999999998E-2</v>
      </c>
      <c r="W67" s="2">
        <v>0</v>
      </c>
      <c r="X67">
        <v>0</v>
      </c>
      <c r="Y67" t="s">
        <v>157</v>
      </c>
      <c r="Z67" t="s">
        <v>135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2.39</v>
      </c>
      <c r="AN67" s="2">
        <v>2.39</v>
      </c>
      <c r="AO67" s="2">
        <v>0</v>
      </c>
      <c r="AP67" s="2">
        <v>0</v>
      </c>
      <c r="AQ67" s="2">
        <v>0</v>
      </c>
    </row>
    <row r="68" spans="1:43" x14ac:dyDescent="0.25">
      <c r="A68" s="1">
        <v>46062</v>
      </c>
      <c r="B68" t="s">
        <v>48</v>
      </c>
      <c r="C68">
        <v>649163</v>
      </c>
      <c r="D68">
        <v>2024984249</v>
      </c>
      <c r="E68" t="s">
        <v>255</v>
      </c>
      <c r="F68" t="s">
        <v>188</v>
      </c>
      <c r="G68" t="s">
        <v>51</v>
      </c>
      <c r="H68" t="s">
        <v>52</v>
      </c>
      <c r="I68" t="s">
        <v>152</v>
      </c>
      <c r="J68" t="s">
        <v>153</v>
      </c>
      <c r="K68">
        <v>728134</v>
      </c>
      <c r="L68" t="s">
        <v>215</v>
      </c>
      <c r="M68" t="s">
        <v>216</v>
      </c>
      <c r="N68" t="s">
        <v>57</v>
      </c>
      <c r="O68" s="1">
        <v>45597</v>
      </c>
      <c r="Q68" s="1">
        <v>46082</v>
      </c>
      <c r="R68" s="2">
        <v>78.83</v>
      </c>
      <c r="S68">
        <v>1</v>
      </c>
      <c r="T68" t="s">
        <v>58</v>
      </c>
      <c r="U68" t="s">
        <v>156</v>
      </c>
      <c r="V68" s="4">
        <v>5.2499999999999998E-2</v>
      </c>
      <c r="W68" s="2">
        <v>0</v>
      </c>
      <c r="X68">
        <v>0</v>
      </c>
      <c r="Y68" t="s">
        <v>157</v>
      </c>
      <c r="Z68" t="s">
        <v>135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4.1399999999999997</v>
      </c>
      <c r="AN68" s="2">
        <v>4.1399999999999997</v>
      </c>
      <c r="AO68" s="2">
        <v>0</v>
      </c>
      <c r="AP68" s="2">
        <v>0</v>
      </c>
      <c r="AQ68" s="2">
        <v>0</v>
      </c>
    </row>
    <row r="69" spans="1:43" x14ac:dyDescent="0.25">
      <c r="A69" s="1">
        <v>46062</v>
      </c>
      <c r="B69" t="s">
        <v>48</v>
      </c>
      <c r="C69">
        <v>649163</v>
      </c>
      <c r="D69">
        <v>2025510689</v>
      </c>
      <c r="E69" t="s">
        <v>256</v>
      </c>
      <c r="F69" t="s">
        <v>257</v>
      </c>
      <c r="G69" t="s">
        <v>51</v>
      </c>
      <c r="H69" t="s">
        <v>193</v>
      </c>
      <c r="I69" t="s">
        <v>152</v>
      </c>
      <c r="J69" t="s">
        <v>153</v>
      </c>
      <c r="K69">
        <v>673059</v>
      </c>
      <c r="L69" t="s">
        <v>162</v>
      </c>
      <c r="M69" t="s">
        <v>180</v>
      </c>
      <c r="N69" t="s">
        <v>57</v>
      </c>
      <c r="O69" s="1">
        <v>45627</v>
      </c>
      <c r="Q69" s="1">
        <v>46082</v>
      </c>
      <c r="R69" s="2">
        <v>57.84</v>
      </c>
      <c r="S69">
        <v>1</v>
      </c>
      <c r="T69" t="s">
        <v>58</v>
      </c>
      <c r="U69" t="s">
        <v>156</v>
      </c>
      <c r="V69" s="4">
        <v>5.2499999999999998E-2</v>
      </c>
      <c r="W69" s="2">
        <v>0</v>
      </c>
      <c r="X69">
        <v>0</v>
      </c>
      <c r="Y69" t="s">
        <v>157</v>
      </c>
      <c r="Z69" t="s">
        <v>135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3.04</v>
      </c>
      <c r="AN69" s="2">
        <v>3.04</v>
      </c>
      <c r="AO69" s="2">
        <v>0</v>
      </c>
      <c r="AP69" s="2">
        <v>0</v>
      </c>
      <c r="AQ69" s="2">
        <v>0</v>
      </c>
    </row>
    <row r="70" spans="1:43" x14ac:dyDescent="0.25">
      <c r="A70" s="1">
        <v>46062</v>
      </c>
      <c r="B70" t="s">
        <v>48</v>
      </c>
      <c r="C70">
        <v>649163</v>
      </c>
      <c r="D70">
        <v>2025670861</v>
      </c>
      <c r="E70" t="s">
        <v>258</v>
      </c>
      <c r="F70" t="s">
        <v>259</v>
      </c>
      <c r="G70" t="s">
        <v>51</v>
      </c>
      <c r="H70" t="s">
        <v>52</v>
      </c>
      <c r="I70" t="s">
        <v>152</v>
      </c>
      <c r="J70" t="s">
        <v>153</v>
      </c>
      <c r="K70">
        <v>649247</v>
      </c>
      <c r="L70" t="s">
        <v>204</v>
      </c>
      <c r="M70" t="s">
        <v>205</v>
      </c>
      <c r="N70" t="s">
        <v>57</v>
      </c>
      <c r="O70" s="1">
        <v>45658</v>
      </c>
      <c r="Q70" s="1">
        <v>46082</v>
      </c>
      <c r="R70" s="2">
        <v>56.88</v>
      </c>
      <c r="S70">
        <v>1</v>
      </c>
      <c r="T70" t="s">
        <v>58</v>
      </c>
      <c r="U70" t="s">
        <v>156</v>
      </c>
      <c r="V70" s="4">
        <v>5.2499999999999998E-2</v>
      </c>
      <c r="W70" s="2">
        <v>0</v>
      </c>
      <c r="X70">
        <v>0</v>
      </c>
      <c r="Y70" t="s">
        <v>157</v>
      </c>
      <c r="Z70" t="s">
        <v>135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2.99</v>
      </c>
      <c r="AN70" s="2">
        <v>2.99</v>
      </c>
      <c r="AO70" s="2">
        <v>0</v>
      </c>
      <c r="AP70" s="2">
        <v>0</v>
      </c>
      <c r="AQ70" s="2">
        <v>0</v>
      </c>
    </row>
    <row r="71" spans="1:43" x14ac:dyDescent="0.25">
      <c r="A71" s="1">
        <v>46062</v>
      </c>
      <c r="B71" t="s">
        <v>48</v>
      </c>
      <c r="C71">
        <v>649163</v>
      </c>
      <c r="D71">
        <v>2025937347</v>
      </c>
      <c r="E71" t="s">
        <v>260</v>
      </c>
      <c r="F71" t="s">
        <v>261</v>
      </c>
      <c r="G71" t="s">
        <v>51</v>
      </c>
      <c r="H71" t="s">
        <v>52</v>
      </c>
      <c r="I71" t="s">
        <v>152</v>
      </c>
      <c r="J71" t="s">
        <v>153</v>
      </c>
      <c r="K71">
        <v>649247</v>
      </c>
      <c r="L71" t="s">
        <v>204</v>
      </c>
      <c r="M71" t="s">
        <v>205</v>
      </c>
      <c r="N71" t="s">
        <v>57</v>
      </c>
      <c r="O71" s="1">
        <v>45658</v>
      </c>
      <c r="Q71" s="1">
        <v>46082</v>
      </c>
      <c r="R71" s="2">
        <v>56.88</v>
      </c>
      <c r="S71">
        <v>1</v>
      </c>
      <c r="T71" t="s">
        <v>58</v>
      </c>
      <c r="U71" t="s">
        <v>156</v>
      </c>
      <c r="V71" s="4">
        <v>5.2499999999999998E-2</v>
      </c>
      <c r="W71" s="2">
        <v>0</v>
      </c>
      <c r="X71">
        <v>0</v>
      </c>
      <c r="Y71" t="s">
        <v>157</v>
      </c>
      <c r="Z71" t="s">
        <v>135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2.99</v>
      </c>
      <c r="AN71" s="2">
        <v>2.99</v>
      </c>
      <c r="AO71" s="2">
        <v>0</v>
      </c>
      <c r="AP71" s="2">
        <v>0</v>
      </c>
      <c r="AQ71" s="2">
        <v>0</v>
      </c>
    </row>
    <row r="72" spans="1:43" x14ac:dyDescent="0.25">
      <c r="A72" s="1">
        <v>46062</v>
      </c>
      <c r="B72" t="s">
        <v>48</v>
      </c>
      <c r="C72">
        <v>649163</v>
      </c>
      <c r="D72">
        <v>2026002594</v>
      </c>
      <c r="E72" t="s">
        <v>262</v>
      </c>
      <c r="F72" t="s">
        <v>263</v>
      </c>
      <c r="G72" t="s">
        <v>51</v>
      </c>
      <c r="H72" t="s">
        <v>52</v>
      </c>
      <c r="I72" t="s">
        <v>152</v>
      </c>
      <c r="J72" t="s">
        <v>238</v>
      </c>
      <c r="K72">
        <v>751867</v>
      </c>
      <c r="L72" t="s">
        <v>239</v>
      </c>
      <c r="M72" t="s">
        <v>240</v>
      </c>
      <c r="N72" t="s">
        <v>57</v>
      </c>
      <c r="O72" s="1">
        <v>45629</v>
      </c>
      <c r="Q72" s="1">
        <v>46084</v>
      </c>
      <c r="R72" s="2">
        <v>55.2</v>
      </c>
      <c r="S72">
        <v>1</v>
      </c>
      <c r="T72" t="s">
        <v>58</v>
      </c>
      <c r="U72" t="s">
        <v>156</v>
      </c>
      <c r="V72" s="3">
        <v>0.08</v>
      </c>
      <c r="W72" s="2">
        <v>0</v>
      </c>
      <c r="X72">
        <v>0</v>
      </c>
      <c r="Y72" t="s">
        <v>157</v>
      </c>
      <c r="Z72" t="s">
        <v>135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4.42</v>
      </c>
      <c r="AN72" s="2">
        <v>4.42</v>
      </c>
      <c r="AO72" s="2">
        <v>0</v>
      </c>
      <c r="AP72" s="2">
        <v>0</v>
      </c>
      <c r="AQ72" s="2">
        <v>0</v>
      </c>
    </row>
    <row r="73" spans="1:43" x14ac:dyDescent="0.25">
      <c r="A73" s="1">
        <v>46062</v>
      </c>
      <c r="B73" t="s">
        <v>48</v>
      </c>
      <c r="C73">
        <v>649163</v>
      </c>
      <c r="D73">
        <v>2026002595</v>
      </c>
      <c r="E73" t="s">
        <v>262</v>
      </c>
      <c r="F73" t="s">
        <v>263</v>
      </c>
      <c r="G73" t="s">
        <v>51</v>
      </c>
      <c r="H73" t="s">
        <v>52</v>
      </c>
      <c r="I73" t="s">
        <v>152</v>
      </c>
      <c r="J73" t="s">
        <v>153</v>
      </c>
      <c r="K73">
        <v>751867</v>
      </c>
      <c r="L73" t="s">
        <v>239</v>
      </c>
      <c r="M73" t="s">
        <v>240</v>
      </c>
      <c r="N73" t="s">
        <v>57</v>
      </c>
      <c r="O73" s="1">
        <v>45629</v>
      </c>
      <c r="Q73" s="1">
        <v>46084</v>
      </c>
      <c r="R73" s="2">
        <v>25.27</v>
      </c>
      <c r="S73">
        <v>1</v>
      </c>
      <c r="T73" t="s">
        <v>58</v>
      </c>
      <c r="U73" t="s">
        <v>156</v>
      </c>
      <c r="V73" s="4">
        <v>5.2499999999999998E-2</v>
      </c>
      <c r="W73" s="2">
        <v>0</v>
      </c>
      <c r="X73">
        <v>0</v>
      </c>
      <c r="Y73" t="s">
        <v>157</v>
      </c>
      <c r="Z73" t="s">
        <v>135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1.33</v>
      </c>
      <c r="AN73" s="2">
        <v>1.33</v>
      </c>
      <c r="AO73" s="2">
        <v>0</v>
      </c>
      <c r="AP73" s="2">
        <v>0</v>
      </c>
      <c r="AQ73" s="2">
        <v>0</v>
      </c>
    </row>
    <row r="74" spans="1:43" x14ac:dyDescent="0.25">
      <c r="A74" s="1">
        <v>46062</v>
      </c>
      <c r="B74" t="s">
        <v>48</v>
      </c>
      <c r="C74">
        <v>649163</v>
      </c>
      <c r="D74">
        <v>2026023535</v>
      </c>
      <c r="E74" t="s">
        <v>264</v>
      </c>
      <c r="F74" t="s">
        <v>265</v>
      </c>
      <c r="G74" t="s">
        <v>51</v>
      </c>
      <c r="H74" t="s">
        <v>52</v>
      </c>
      <c r="I74" t="s">
        <v>152</v>
      </c>
      <c r="J74" t="s">
        <v>153</v>
      </c>
      <c r="K74">
        <v>810052</v>
      </c>
      <c r="L74" t="s">
        <v>266</v>
      </c>
      <c r="M74" t="s">
        <v>267</v>
      </c>
      <c r="N74" t="s">
        <v>57</v>
      </c>
      <c r="O74" s="1">
        <v>45630</v>
      </c>
      <c r="Q74" s="1">
        <v>46085</v>
      </c>
      <c r="R74" s="2">
        <v>51.19</v>
      </c>
      <c r="S74">
        <v>1</v>
      </c>
      <c r="T74" t="s">
        <v>58</v>
      </c>
      <c r="U74" t="s">
        <v>156</v>
      </c>
      <c r="V74" s="3">
        <v>0</v>
      </c>
      <c r="W74" s="2">
        <v>0</v>
      </c>
      <c r="X74">
        <v>0</v>
      </c>
      <c r="Y74" t="s">
        <v>157</v>
      </c>
      <c r="Z74" t="s">
        <v>135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0.38</v>
      </c>
      <c r="AN74" s="2">
        <v>0.38</v>
      </c>
      <c r="AO74" s="2">
        <v>0</v>
      </c>
      <c r="AP74" s="2">
        <v>0</v>
      </c>
      <c r="AQ74" s="2">
        <v>0</v>
      </c>
    </row>
    <row r="75" spans="1:43" x14ac:dyDescent="0.25">
      <c r="A75" s="1">
        <v>46062</v>
      </c>
      <c r="B75" t="s">
        <v>48</v>
      </c>
      <c r="C75">
        <v>649163</v>
      </c>
      <c r="D75">
        <v>2026147450</v>
      </c>
      <c r="E75" t="s">
        <v>268</v>
      </c>
      <c r="F75" t="s">
        <v>269</v>
      </c>
      <c r="G75" t="s">
        <v>51</v>
      </c>
      <c r="H75" t="s">
        <v>52</v>
      </c>
      <c r="I75" t="s">
        <v>152</v>
      </c>
      <c r="J75" t="s">
        <v>153</v>
      </c>
      <c r="K75">
        <v>728134</v>
      </c>
      <c r="L75" t="s">
        <v>215</v>
      </c>
      <c r="M75" t="s">
        <v>216</v>
      </c>
      <c r="N75" t="s">
        <v>57</v>
      </c>
      <c r="O75" s="1">
        <v>45658</v>
      </c>
      <c r="Q75" s="1">
        <v>46082</v>
      </c>
      <c r="R75" s="2">
        <v>33.590000000000003</v>
      </c>
      <c r="S75">
        <v>1</v>
      </c>
      <c r="T75" t="s">
        <v>58</v>
      </c>
      <c r="U75" t="s">
        <v>156</v>
      </c>
      <c r="V75" s="4">
        <v>5.2499999999999998E-2</v>
      </c>
      <c r="W75" s="2">
        <v>0</v>
      </c>
      <c r="X75">
        <v>0</v>
      </c>
      <c r="Y75" t="s">
        <v>157</v>
      </c>
      <c r="Z75" t="s">
        <v>135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1.76</v>
      </c>
      <c r="AN75" s="2">
        <v>1.76</v>
      </c>
      <c r="AO75" s="2">
        <v>0</v>
      </c>
      <c r="AP75" s="2">
        <v>0</v>
      </c>
      <c r="AQ75" s="2">
        <v>0</v>
      </c>
    </row>
    <row r="76" spans="1:43" x14ac:dyDescent="0.25">
      <c r="A76" s="1">
        <v>46062</v>
      </c>
      <c r="B76" t="s">
        <v>48</v>
      </c>
      <c r="C76">
        <v>649163</v>
      </c>
      <c r="D76">
        <v>2026694436</v>
      </c>
      <c r="E76" t="s">
        <v>270</v>
      </c>
      <c r="F76" t="s">
        <v>271</v>
      </c>
      <c r="G76" t="s">
        <v>51</v>
      </c>
      <c r="H76" t="s">
        <v>66</v>
      </c>
      <c r="I76" t="s">
        <v>152</v>
      </c>
      <c r="J76" t="s">
        <v>238</v>
      </c>
      <c r="K76">
        <v>651818</v>
      </c>
      <c r="L76" t="s">
        <v>80</v>
      </c>
      <c r="M76" t="s">
        <v>81</v>
      </c>
      <c r="N76" t="s">
        <v>57</v>
      </c>
      <c r="O76" s="1">
        <v>45695</v>
      </c>
      <c r="Q76" s="1">
        <v>46088</v>
      </c>
      <c r="R76" s="2">
        <v>172.98</v>
      </c>
      <c r="S76">
        <v>1</v>
      </c>
      <c r="T76" t="s">
        <v>58</v>
      </c>
      <c r="U76" t="s">
        <v>156</v>
      </c>
      <c r="V76" s="3">
        <v>0.08</v>
      </c>
      <c r="W76" s="2">
        <v>0</v>
      </c>
      <c r="X76">
        <v>0</v>
      </c>
      <c r="Y76" t="s">
        <v>157</v>
      </c>
      <c r="Z76" t="s">
        <v>135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13.84</v>
      </c>
      <c r="AN76" s="2">
        <v>13.84</v>
      </c>
      <c r="AO76" s="2">
        <v>0</v>
      </c>
      <c r="AP76" s="2">
        <v>0</v>
      </c>
      <c r="AQ76" s="2">
        <v>0</v>
      </c>
    </row>
    <row r="77" spans="1:43" x14ac:dyDescent="0.25">
      <c r="A77" s="1">
        <v>46062</v>
      </c>
      <c r="B77" t="s">
        <v>48</v>
      </c>
      <c r="C77">
        <v>649163</v>
      </c>
      <c r="D77">
        <v>2026694437</v>
      </c>
      <c r="E77" t="s">
        <v>270</v>
      </c>
      <c r="F77" t="s">
        <v>271</v>
      </c>
      <c r="G77" t="s">
        <v>51</v>
      </c>
      <c r="H77" t="s">
        <v>66</v>
      </c>
      <c r="I77" t="s">
        <v>152</v>
      </c>
      <c r="J77" t="s">
        <v>241</v>
      </c>
      <c r="K77">
        <v>651818</v>
      </c>
      <c r="L77" t="s">
        <v>80</v>
      </c>
      <c r="M77" t="s">
        <v>81</v>
      </c>
      <c r="N77" t="s">
        <v>57</v>
      </c>
      <c r="O77" s="1">
        <v>45695</v>
      </c>
      <c r="Q77" s="1">
        <v>46088</v>
      </c>
      <c r="R77" s="2">
        <v>14.95</v>
      </c>
      <c r="S77">
        <v>1</v>
      </c>
      <c r="T77" t="s">
        <v>58</v>
      </c>
      <c r="U77" t="s">
        <v>156</v>
      </c>
      <c r="V77" s="3">
        <v>0.08</v>
      </c>
      <c r="W77" s="2">
        <v>0</v>
      </c>
      <c r="X77">
        <v>0</v>
      </c>
      <c r="Y77" t="s">
        <v>157</v>
      </c>
      <c r="Z77" t="s">
        <v>135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1.2</v>
      </c>
      <c r="AN77" s="2">
        <v>1.2</v>
      </c>
      <c r="AO77" s="2">
        <v>0</v>
      </c>
      <c r="AP77" s="2">
        <v>0</v>
      </c>
      <c r="AQ77" s="2">
        <v>0</v>
      </c>
    </row>
    <row r="78" spans="1:43" x14ac:dyDescent="0.25">
      <c r="A78" s="1">
        <v>46062</v>
      </c>
      <c r="B78" t="s">
        <v>48</v>
      </c>
      <c r="C78">
        <v>649163</v>
      </c>
      <c r="D78">
        <v>2026760350</v>
      </c>
      <c r="E78" t="s">
        <v>272</v>
      </c>
      <c r="F78" t="s">
        <v>273</v>
      </c>
      <c r="G78" t="s">
        <v>51</v>
      </c>
      <c r="H78" t="s">
        <v>274</v>
      </c>
      <c r="I78" t="s">
        <v>152</v>
      </c>
      <c r="J78" t="s">
        <v>153</v>
      </c>
      <c r="K78">
        <v>816021</v>
      </c>
      <c r="L78" t="s">
        <v>275</v>
      </c>
      <c r="M78" t="s">
        <v>276</v>
      </c>
      <c r="N78" t="s">
        <v>57</v>
      </c>
      <c r="O78" s="1">
        <v>45689</v>
      </c>
      <c r="Q78" s="1">
        <v>46082</v>
      </c>
      <c r="R78" s="2">
        <v>76.209999999999994</v>
      </c>
      <c r="S78">
        <v>1</v>
      </c>
      <c r="T78" t="s">
        <v>58</v>
      </c>
      <c r="U78" t="s">
        <v>156</v>
      </c>
      <c r="V78" s="4">
        <v>5.2499999999999998E-2</v>
      </c>
      <c r="W78" s="2">
        <v>0</v>
      </c>
      <c r="X78">
        <v>0</v>
      </c>
      <c r="Y78" t="s">
        <v>157</v>
      </c>
      <c r="Z78" t="s">
        <v>135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4</v>
      </c>
      <c r="AN78" s="2">
        <v>4</v>
      </c>
      <c r="AO78" s="2">
        <v>0</v>
      </c>
      <c r="AP78" s="2">
        <v>0</v>
      </c>
      <c r="AQ78" s="2">
        <v>0</v>
      </c>
    </row>
    <row r="79" spans="1:43" x14ac:dyDescent="0.25">
      <c r="A79" s="1">
        <v>46062</v>
      </c>
      <c r="B79" t="s">
        <v>48</v>
      </c>
      <c r="C79">
        <v>649163</v>
      </c>
      <c r="D79">
        <v>2027050882</v>
      </c>
      <c r="E79" t="s">
        <v>277</v>
      </c>
      <c r="F79" t="s">
        <v>278</v>
      </c>
      <c r="G79" t="s">
        <v>51</v>
      </c>
      <c r="H79" t="s">
        <v>52</v>
      </c>
      <c r="I79" t="s">
        <v>152</v>
      </c>
      <c r="J79" t="s">
        <v>153</v>
      </c>
      <c r="K79">
        <v>728134</v>
      </c>
      <c r="L79" t="s">
        <v>215</v>
      </c>
      <c r="M79" t="s">
        <v>216</v>
      </c>
      <c r="N79" t="s">
        <v>57</v>
      </c>
      <c r="O79" s="1">
        <v>45748</v>
      </c>
      <c r="Q79" s="1">
        <v>46082</v>
      </c>
      <c r="R79" s="2">
        <v>87.59</v>
      </c>
      <c r="S79">
        <v>1</v>
      </c>
      <c r="T79" t="s">
        <v>58</v>
      </c>
      <c r="U79" t="s">
        <v>156</v>
      </c>
      <c r="V79" s="3">
        <v>0.47</v>
      </c>
      <c r="W79" s="2">
        <v>0</v>
      </c>
      <c r="X79">
        <v>0</v>
      </c>
      <c r="Y79" t="s">
        <v>60</v>
      </c>
      <c r="Z79" t="s">
        <v>135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41.17</v>
      </c>
      <c r="AN79" s="2">
        <v>41.17</v>
      </c>
      <c r="AO79" s="2">
        <v>0</v>
      </c>
      <c r="AP79" s="2">
        <v>0</v>
      </c>
      <c r="AQ79" s="2">
        <v>0</v>
      </c>
    </row>
    <row r="80" spans="1:43" x14ac:dyDescent="0.25">
      <c r="A80" s="1">
        <v>46062</v>
      </c>
      <c r="B80" t="s">
        <v>48</v>
      </c>
      <c r="C80">
        <v>649163</v>
      </c>
      <c r="D80">
        <v>2027175182</v>
      </c>
      <c r="E80" t="s">
        <v>279</v>
      </c>
      <c r="F80" t="s">
        <v>176</v>
      </c>
      <c r="G80" t="s">
        <v>51</v>
      </c>
      <c r="H80" t="s">
        <v>52</v>
      </c>
      <c r="I80" t="s">
        <v>152</v>
      </c>
      <c r="J80" t="s">
        <v>153</v>
      </c>
      <c r="K80">
        <v>728134</v>
      </c>
      <c r="L80" t="s">
        <v>215</v>
      </c>
      <c r="M80" t="s">
        <v>216</v>
      </c>
      <c r="N80" t="s">
        <v>57</v>
      </c>
      <c r="O80" s="1">
        <v>45717</v>
      </c>
      <c r="Q80" s="1">
        <v>46082</v>
      </c>
      <c r="R80" s="2">
        <v>43.59</v>
      </c>
      <c r="S80">
        <v>1</v>
      </c>
      <c r="T80" t="s">
        <v>58</v>
      </c>
      <c r="U80" t="s">
        <v>156</v>
      </c>
      <c r="V80" s="3">
        <v>0.47</v>
      </c>
      <c r="W80" s="2">
        <v>0</v>
      </c>
      <c r="X80">
        <v>0</v>
      </c>
      <c r="Y80" t="s">
        <v>60</v>
      </c>
      <c r="Z80" t="s">
        <v>135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20.49</v>
      </c>
      <c r="AN80" s="2">
        <v>20.49</v>
      </c>
      <c r="AO80" s="2">
        <v>0</v>
      </c>
      <c r="AP80" s="2">
        <v>0</v>
      </c>
      <c r="AQ80" s="2">
        <v>0</v>
      </c>
    </row>
    <row r="81" spans="1:43" x14ac:dyDescent="0.25">
      <c r="A81" s="1">
        <v>46062</v>
      </c>
      <c r="B81" t="s">
        <v>48</v>
      </c>
      <c r="C81">
        <v>649163</v>
      </c>
      <c r="D81">
        <v>2027202668</v>
      </c>
      <c r="E81" t="s">
        <v>280</v>
      </c>
      <c r="F81" t="s">
        <v>281</v>
      </c>
      <c r="G81" t="s">
        <v>51</v>
      </c>
      <c r="H81" t="s">
        <v>52</v>
      </c>
      <c r="I81" t="s">
        <v>152</v>
      </c>
      <c r="J81" t="s">
        <v>153</v>
      </c>
      <c r="K81">
        <v>728134</v>
      </c>
      <c r="L81" t="s">
        <v>215</v>
      </c>
      <c r="M81" t="s">
        <v>216</v>
      </c>
      <c r="N81" t="s">
        <v>57</v>
      </c>
      <c r="O81" s="1">
        <v>45778</v>
      </c>
      <c r="Q81" s="1">
        <v>46082</v>
      </c>
      <c r="R81" s="2">
        <v>56.88</v>
      </c>
      <c r="S81">
        <v>1</v>
      </c>
      <c r="T81" t="s">
        <v>58</v>
      </c>
      <c r="U81" t="s">
        <v>156</v>
      </c>
      <c r="V81" s="3">
        <v>0.47</v>
      </c>
      <c r="W81" s="2">
        <v>0</v>
      </c>
      <c r="X81">
        <v>0</v>
      </c>
      <c r="Y81" t="s">
        <v>60</v>
      </c>
      <c r="Z81" t="s">
        <v>135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26.73</v>
      </c>
      <c r="AN81" s="2">
        <v>26.73</v>
      </c>
      <c r="AO81" s="2">
        <v>0</v>
      </c>
      <c r="AP81" s="2">
        <v>0</v>
      </c>
      <c r="AQ81" s="2">
        <v>0</v>
      </c>
    </row>
    <row r="82" spans="1:43" x14ac:dyDescent="0.25">
      <c r="A82" s="1">
        <v>46062</v>
      </c>
      <c r="B82" t="s">
        <v>48</v>
      </c>
      <c r="C82">
        <v>649163</v>
      </c>
      <c r="D82">
        <v>2027492023</v>
      </c>
      <c r="E82" t="s">
        <v>282</v>
      </c>
      <c r="F82" t="s">
        <v>283</v>
      </c>
      <c r="G82" t="s">
        <v>51</v>
      </c>
      <c r="H82" t="s">
        <v>66</v>
      </c>
      <c r="I82" t="s">
        <v>152</v>
      </c>
      <c r="J82" t="s">
        <v>238</v>
      </c>
      <c r="K82">
        <v>814033</v>
      </c>
      <c r="L82" t="s">
        <v>284</v>
      </c>
      <c r="M82" t="s">
        <v>285</v>
      </c>
      <c r="N82" t="s">
        <v>57</v>
      </c>
      <c r="O82" s="1">
        <v>45717</v>
      </c>
      <c r="Q82" s="1">
        <v>46082</v>
      </c>
      <c r="R82" s="2">
        <v>52.26</v>
      </c>
      <c r="S82">
        <v>1</v>
      </c>
      <c r="T82" t="s">
        <v>58</v>
      </c>
      <c r="U82" t="s">
        <v>156</v>
      </c>
      <c r="V82" s="3">
        <v>0.51</v>
      </c>
      <c r="W82" s="2">
        <v>0</v>
      </c>
      <c r="X82">
        <v>0</v>
      </c>
      <c r="Y82" t="s">
        <v>60</v>
      </c>
      <c r="Z82" t="s">
        <v>135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26.65</v>
      </c>
      <c r="AN82" s="2">
        <v>26.65</v>
      </c>
      <c r="AO82" s="2">
        <v>0</v>
      </c>
      <c r="AP82" s="2">
        <v>0</v>
      </c>
      <c r="AQ82" s="2">
        <v>0</v>
      </c>
    </row>
    <row r="83" spans="1:43" x14ac:dyDescent="0.25">
      <c r="A83" s="1">
        <v>46062</v>
      </c>
      <c r="B83" t="s">
        <v>48</v>
      </c>
      <c r="C83">
        <v>649163</v>
      </c>
      <c r="D83">
        <v>2027492024</v>
      </c>
      <c r="E83" t="s">
        <v>282</v>
      </c>
      <c r="F83" t="s">
        <v>283</v>
      </c>
      <c r="G83" t="s">
        <v>51</v>
      </c>
      <c r="H83" t="s">
        <v>66</v>
      </c>
      <c r="I83" t="s">
        <v>152</v>
      </c>
      <c r="J83" t="s">
        <v>241</v>
      </c>
      <c r="K83">
        <v>814033</v>
      </c>
      <c r="L83" t="s">
        <v>284</v>
      </c>
      <c r="M83" t="s">
        <v>285</v>
      </c>
      <c r="N83" t="s">
        <v>57</v>
      </c>
      <c r="O83" s="1">
        <v>45717</v>
      </c>
      <c r="Q83" s="1">
        <v>46082</v>
      </c>
      <c r="R83" s="2">
        <v>14.95</v>
      </c>
      <c r="S83">
        <v>1</v>
      </c>
      <c r="T83" t="s">
        <v>58</v>
      </c>
      <c r="U83" t="s">
        <v>156</v>
      </c>
      <c r="V83" s="3">
        <v>0.51</v>
      </c>
      <c r="W83" s="2">
        <v>0</v>
      </c>
      <c r="X83">
        <v>0</v>
      </c>
      <c r="Y83" t="s">
        <v>60</v>
      </c>
      <c r="Z83" t="s">
        <v>135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7.62</v>
      </c>
      <c r="AN83" s="2">
        <v>7.62</v>
      </c>
      <c r="AO83" s="2">
        <v>0</v>
      </c>
      <c r="AP83" s="2">
        <v>0</v>
      </c>
      <c r="AQ83" s="2">
        <v>0</v>
      </c>
    </row>
    <row r="84" spans="1:43" x14ac:dyDescent="0.25">
      <c r="A84" s="1">
        <v>46062</v>
      </c>
      <c r="B84" t="s">
        <v>48</v>
      </c>
      <c r="C84">
        <v>649163</v>
      </c>
      <c r="D84">
        <v>2027604739</v>
      </c>
      <c r="E84" t="s">
        <v>286</v>
      </c>
      <c r="F84" t="s">
        <v>287</v>
      </c>
      <c r="G84" t="s">
        <v>51</v>
      </c>
      <c r="H84" t="s">
        <v>288</v>
      </c>
      <c r="I84" t="s">
        <v>152</v>
      </c>
      <c r="J84" t="s">
        <v>153</v>
      </c>
      <c r="K84">
        <v>766422</v>
      </c>
      <c r="L84" t="s">
        <v>289</v>
      </c>
      <c r="M84" t="s">
        <v>81</v>
      </c>
      <c r="N84" t="s">
        <v>57</v>
      </c>
      <c r="O84" s="1">
        <v>45723</v>
      </c>
      <c r="Q84" s="1">
        <v>46088</v>
      </c>
      <c r="R84" s="2">
        <v>51.04</v>
      </c>
      <c r="S84">
        <v>1</v>
      </c>
      <c r="T84" t="s">
        <v>58</v>
      </c>
      <c r="U84" t="s">
        <v>156</v>
      </c>
      <c r="V84" s="3">
        <v>0.47</v>
      </c>
      <c r="W84" s="2">
        <v>0</v>
      </c>
      <c r="X84">
        <v>0</v>
      </c>
      <c r="Y84" t="s">
        <v>60</v>
      </c>
      <c r="Z84" t="s">
        <v>135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23.99</v>
      </c>
      <c r="AN84" s="2">
        <v>23.99</v>
      </c>
      <c r="AO84" s="2">
        <v>0</v>
      </c>
      <c r="AP84" s="2">
        <v>0</v>
      </c>
      <c r="AQ84" s="2">
        <v>0</v>
      </c>
    </row>
    <row r="85" spans="1:43" x14ac:dyDescent="0.25">
      <c r="A85" s="1">
        <v>46062</v>
      </c>
      <c r="B85" t="s">
        <v>48</v>
      </c>
      <c r="C85">
        <v>649163</v>
      </c>
      <c r="D85">
        <v>2027605652</v>
      </c>
      <c r="E85" t="s">
        <v>290</v>
      </c>
      <c r="F85" t="s">
        <v>291</v>
      </c>
      <c r="G85" t="s">
        <v>51</v>
      </c>
      <c r="H85" t="s">
        <v>66</v>
      </c>
      <c r="I85" t="s">
        <v>152</v>
      </c>
      <c r="J85" t="s">
        <v>153</v>
      </c>
      <c r="K85">
        <v>764123</v>
      </c>
      <c r="L85" t="s">
        <v>292</v>
      </c>
      <c r="M85" t="s">
        <v>293</v>
      </c>
      <c r="N85" t="s">
        <v>57</v>
      </c>
      <c r="O85" s="1">
        <v>45722</v>
      </c>
      <c r="Q85" s="1">
        <v>46087</v>
      </c>
      <c r="R85" s="2">
        <v>83.39</v>
      </c>
      <c r="S85">
        <v>1</v>
      </c>
      <c r="T85" t="s">
        <v>58</v>
      </c>
      <c r="U85" t="s">
        <v>156</v>
      </c>
      <c r="V85" s="3">
        <v>0.47</v>
      </c>
      <c r="W85" s="2">
        <v>0</v>
      </c>
      <c r="X85">
        <v>0</v>
      </c>
      <c r="Y85" t="s">
        <v>60</v>
      </c>
      <c r="Z85" t="s">
        <v>135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39.19</v>
      </c>
      <c r="AN85" s="2">
        <v>39.19</v>
      </c>
      <c r="AO85" s="2">
        <v>0</v>
      </c>
      <c r="AP85" s="2">
        <v>0</v>
      </c>
      <c r="AQ85" s="2">
        <v>0</v>
      </c>
    </row>
    <row r="86" spans="1:43" x14ac:dyDescent="0.25">
      <c r="A86" s="1">
        <v>46062</v>
      </c>
      <c r="B86" t="s">
        <v>48</v>
      </c>
      <c r="C86">
        <v>649163</v>
      </c>
      <c r="D86">
        <v>2027712448</v>
      </c>
      <c r="E86" t="s">
        <v>294</v>
      </c>
      <c r="F86" t="s">
        <v>188</v>
      </c>
      <c r="G86" t="s">
        <v>51</v>
      </c>
      <c r="H86" t="s">
        <v>66</v>
      </c>
      <c r="I86" t="s">
        <v>152</v>
      </c>
      <c r="J86" t="s">
        <v>153</v>
      </c>
      <c r="K86">
        <v>768887</v>
      </c>
      <c r="L86" t="s">
        <v>295</v>
      </c>
      <c r="M86" t="s">
        <v>296</v>
      </c>
      <c r="N86" t="s">
        <v>57</v>
      </c>
      <c r="O86" s="1">
        <v>45748</v>
      </c>
      <c r="Q86" s="1">
        <v>46082</v>
      </c>
      <c r="R86" s="2">
        <v>126.91</v>
      </c>
      <c r="S86">
        <v>1</v>
      </c>
      <c r="T86" t="s">
        <v>58</v>
      </c>
      <c r="U86" t="s">
        <v>156</v>
      </c>
      <c r="V86" s="3">
        <v>0.47</v>
      </c>
      <c r="W86" s="2">
        <v>0</v>
      </c>
      <c r="X86">
        <v>0</v>
      </c>
      <c r="Y86" t="s">
        <v>60</v>
      </c>
      <c r="Z86" t="s">
        <v>135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59.65</v>
      </c>
      <c r="AN86" s="2">
        <v>59.65</v>
      </c>
      <c r="AO86" s="2">
        <v>0</v>
      </c>
      <c r="AP86" s="2">
        <v>0</v>
      </c>
      <c r="AQ86" s="2">
        <v>0</v>
      </c>
    </row>
    <row r="87" spans="1:43" x14ac:dyDescent="0.25">
      <c r="A87" s="1">
        <v>46062</v>
      </c>
      <c r="B87" t="s">
        <v>48</v>
      </c>
      <c r="C87">
        <v>649163</v>
      </c>
      <c r="D87">
        <v>2028038680</v>
      </c>
      <c r="E87" t="s">
        <v>297</v>
      </c>
      <c r="F87" t="s">
        <v>298</v>
      </c>
      <c r="G87" t="s">
        <v>51</v>
      </c>
      <c r="H87" t="s">
        <v>52</v>
      </c>
      <c r="I87" t="s">
        <v>152</v>
      </c>
      <c r="J87" t="s">
        <v>153</v>
      </c>
      <c r="K87">
        <v>728134</v>
      </c>
      <c r="L87" t="s">
        <v>215</v>
      </c>
      <c r="M87" t="s">
        <v>216</v>
      </c>
      <c r="N87" t="s">
        <v>57</v>
      </c>
      <c r="O87" s="1">
        <v>45748</v>
      </c>
      <c r="Q87" s="1">
        <v>46082</v>
      </c>
      <c r="R87" s="2">
        <v>69.31</v>
      </c>
      <c r="S87">
        <v>1</v>
      </c>
      <c r="T87" t="s">
        <v>58</v>
      </c>
      <c r="U87" t="s">
        <v>156</v>
      </c>
      <c r="V87" s="3">
        <v>0.47</v>
      </c>
      <c r="W87" s="2">
        <v>0</v>
      </c>
      <c r="X87">
        <v>0</v>
      </c>
      <c r="Y87" t="s">
        <v>60</v>
      </c>
      <c r="Z87" t="s">
        <v>135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32.58</v>
      </c>
      <c r="AN87" s="2">
        <v>32.58</v>
      </c>
      <c r="AO87" s="2">
        <v>0</v>
      </c>
      <c r="AP87" s="2">
        <v>0</v>
      </c>
      <c r="AQ87" s="2">
        <v>0</v>
      </c>
    </row>
    <row r="88" spans="1:43" x14ac:dyDescent="0.25">
      <c r="A88" s="1">
        <v>46062</v>
      </c>
      <c r="B88" t="s">
        <v>48</v>
      </c>
      <c r="C88">
        <v>649163</v>
      </c>
      <c r="D88">
        <v>2028067361</v>
      </c>
      <c r="E88" t="s">
        <v>82</v>
      </c>
      <c r="F88" t="s">
        <v>224</v>
      </c>
      <c r="G88" t="s">
        <v>51</v>
      </c>
      <c r="H88" t="s">
        <v>52</v>
      </c>
      <c r="I88" t="s">
        <v>152</v>
      </c>
      <c r="J88" t="s">
        <v>153</v>
      </c>
      <c r="K88">
        <v>728134</v>
      </c>
      <c r="L88" t="s">
        <v>215</v>
      </c>
      <c r="M88" t="s">
        <v>216</v>
      </c>
      <c r="N88" t="s">
        <v>57</v>
      </c>
      <c r="O88" s="1">
        <v>45748</v>
      </c>
      <c r="Q88" s="1">
        <v>46082</v>
      </c>
      <c r="R88" s="2">
        <v>87.59</v>
      </c>
      <c r="S88">
        <v>1</v>
      </c>
      <c r="T88" t="s">
        <v>58</v>
      </c>
      <c r="U88" t="s">
        <v>156</v>
      </c>
      <c r="V88" s="3">
        <v>0.47</v>
      </c>
      <c r="W88" s="2">
        <v>0</v>
      </c>
      <c r="X88">
        <v>0</v>
      </c>
      <c r="Y88" t="s">
        <v>60</v>
      </c>
      <c r="Z88" t="s">
        <v>135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41.17</v>
      </c>
      <c r="AN88" s="2">
        <v>41.17</v>
      </c>
      <c r="AO88" s="2">
        <v>0</v>
      </c>
      <c r="AP88" s="2">
        <v>0</v>
      </c>
      <c r="AQ88" s="2">
        <v>0</v>
      </c>
    </row>
    <row r="89" spans="1:43" x14ac:dyDescent="0.25">
      <c r="A89" s="1">
        <v>46062</v>
      </c>
      <c r="B89" t="s">
        <v>48</v>
      </c>
      <c r="C89">
        <v>649163</v>
      </c>
      <c r="D89">
        <v>2028915803</v>
      </c>
      <c r="E89" t="s">
        <v>299</v>
      </c>
      <c r="F89" t="s">
        <v>300</v>
      </c>
      <c r="G89" t="s">
        <v>51</v>
      </c>
      <c r="H89" t="s">
        <v>52</v>
      </c>
      <c r="I89" t="s">
        <v>152</v>
      </c>
      <c r="J89" t="s">
        <v>153</v>
      </c>
      <c r="K89">
        <v>728134</v>
      </c>
      <c r="L89" t="s">
        <v>215</v>
      </c>
      <c r="M89" t="s">
        <v>216</v>
      </c>
      <c r="N89" t="s">
        <v>57</v>
      </c>
      <c r="O89" s="1">
        <v>45839</v>
      </c>
      <c r="Q89" s="1">
        <v>46082</v>
      </c>
      <c r="R89" s="2">
        <v>77.010000000000005</v>
      </c>
      <c r="S89">
        <v>1</v>
      </c>
      <c r="T89" t="s">
        <v>58</v>
      </c>
      <c r="U89" t="s">
        <v>156</v>
      </c>
      <c r="V89" s="3">
        <v>0.47</v>
      </c>
      <c r="W89" s="2">
        <v>0</v>
      </c>
      <c r="X89">
        <v>0</v>
      </c>
      <c r="Y89" t="s">
        <v>60</v>
      </c>
      <c r="Z89" t="s">
        <v>135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36.19</v>
      </c>
      <c r="AN89" s="2">
        <v>36.19</v>
      </c>
      <c r="AO89" s="2">
        <v>0</v>
      </c>
      <c r="AP89" s="2">
        <v>0</v>
      </c>
      <c r="AQ89" s="2">
        <v>0</v>
      </c>
    </row>
    <row r="90" spans="1:43" x14ac:dyDescent="0.25">
      <c r="A90" s="1">
        <v>46062</v>
      </c>
      <c r="B90" t="s">
        <v>48</v>
      </c>
      <c r="C90">
        <v>649163</v>
      </c>
      <c r="D90">
        <v>2029103669</v>
      </c>
      <c r="E90" t="s">
        <v>301</v>
      </c>
      <c r="F90" t="s">
        <v>302</v>
      </c>
      <c r="G90" t="s">
        <v>51</v>
      </c>
      <c r="H90" t="s">
        <v>66</v>
      </c>
      <c r="I90" t="s">
        <v>152</v>
      </c>
      <c r="J90" t="s">
        <v>153</v>
      </c>
      <c r="K90">
        <v>813184</v>
      </c>
      <c r="L90" t="s">
        <v>303</v>
      </c>
      <c r="M90" t="s">
        <v>304</v>
      </c>
      <c r="N90" t="s">
        <v>57</v>
      </c>
      <c r="O90" s="1">
        <v>45809</v>
      </c>
      <c r="Q90" s="1">
        <v>46082</v>
      </c>
      <c r="R90" s="2">
        <v>92.39</v>
      </c>
      <c r="S90">
        <v>1</v>
      </c>
      <c r="T90" t="s">
        <v>58</v>
      </c>
      <c r="U90" t="s">
        <v>156</v>
      </c>
      <c r="V90" s="3">
        <v>0.47</v>
      </c>
      <c r="W90" s="2">
        <v>0</v>
      </c>
      <c r="X90">
        <v>0</v>
      </c>
      <c r="Y90" t="s">
        <v>60</v>
      </c>
      <c r="Z90" t="s">
        <v>135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43.42</v>
      </c>
      <c r="AN90" s="2">
        <v>43.42</v>
      </c>
      <c r="AO90" s="2">
        <v>0</v>
      </c>
      <c r="AP90" s="2">
        <v>0</v>
      </c>
      <c r="AQ90" s="2">
        <v>0</v>
      </c>
    </row>
    <row r="91" spans="1:43" x14ac:dyDescent="0.25">
      <c r="A91" s="1">
        <v>46062</v>
      </c>
      <c r="B91" t="s">
        <v>48</v>
      </c>
      <c r="C91">
        <v>649163</v>
      </c>
      <c r="D91">
        <v>2029284253</v>
      </c>
      <c r="E91" t="s">
        <v>305</v>
      </c>
      <c r="F91" t="s">
        <v>306</v>
      </c>
      <c r="G91" t="s">
        <v>51</v>
      </c>
      <c r="H91" t="s">
        <v>52</v>
      </c>
      <c r="I91" t="s">
        <v>152</v>
      </c>
      <c r="J91" t="s">
        <v>153</v>
      </c>
      <c r="K91">
        <v>728134</v>
      </c>
      <c r="L91" t="s">
        <v>215</v>
      </c>
      <c r="M91" t="s">
        <v>216</v>
      </c>
      <c r="N91" t="s">
        <v>57</v>
      </c>
      <c r="O91" s="1">
        <v>45813</v>
      </c>
      <c r="Q91" s="1">
        <v>46086</v>
      </c>
      <c r="R91" s="2">
        <v>75.88</v>
      </c>
      <c r="S91">
        <v>1</v>
      </c>
      <c r="T91" t="s">
        <v>58</v>
      </c>
      <c r="U91" t="s">
        <v>156</v>
      </c>
      <c r="V91" s="3">
        <v>0.47</v>
      </c>
      <c r="W91" s="2">
        <v>0</v>
      </c>
      <c r="X91">
        <v>0</v>
      </c>
      <c r="Y91" t="s">
        <v>60</v>
      </c>
      <c r="Z91" t="s">
        <v>135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35.659999999999997</v>
      </c>
      <c r="AN91" s="2">
        <v>35.659999999999997</v>
      </c>
      <c r="AO91" s="2">
        <v>0</v>
      </c>
      <c r="AP91" s="2">
        <v>0</v>
      </c>
      <c r="AQ91" s="2">
        <v>0</v>
      </c>
    </row>
    <row r="92" spans="1:43" x14ac:dyDescent="0.25">
      <c r="A92" s="1">
        <v>46062</v>
      </c>
      <c r="B92" t="s">
        <v>48</v>
      </c>
      <c r="C92">
        <v>649163</v>
      </c>
      <c r="D92">
        <v>2030107691</v>
      </c>
      <c r="E92" t="s">
        <v>176</v>
      </c>
      <c r="F92" t="s">
        <v>307</v>
      </c>
      <c r="G92" t="s">
        <v>51</v>
      </c>
      <c r="H92" t="s">
        <v>116</v>
      </c>
      <c r="I92" t="s">
        <v>152</v>
      </c>
      <c r="J92" t="s">
        <v>153</v>
      </c>
      <c r="K92">
        <v>877790</v>
      </c>
      <c r="L92" t="s">
        <v>132</v>
      </c>
      <c r="M92" t="s">
        <v>133</v>
      </c>
      <c r="N92" t="s">
        <v>57</v>
      </c>
      <c r="O92" s="1">
        <v>45870</v>
      </c>
      <c r="Q92" s="1">
        <v>46082</v>
      </c>
      <c r="R92" s="2">
        <v>133.13</v>
      </c>
      <c r="S92">
        <v>1</v>
      </c>
      <c r="T92" t="s">
        <v>58</v>
      </c>
      <c r="U92" t="s">
        <v>156</v>
      </c>
      <c r="V92" s="3">
        <v>0.47</v>
      </c>
      <c r="W92" s="2">
        <v>0</v>
      </c>
      <c r="X92">
        <v>0</v>
      </c>
      <c r="Y92" t="s">
        <v>60</v>
      </c>
      <c r="Z92" t="s">
        <v>135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62.57</v>
      </c>
      <c r="AN92" s="2">
        <v>62.57</v>
      </c>
      <c r="AO92" s="2">
        <v>0</v>
      </c>
      <c r="AP92" s="2">
        <v>0</v>
      </c>
      <c r="AQ92" s="2">
        <v>0</v>
      </c>
    </row>
    <row r="93" spans="1:43" x14ac:dyDescent="0.25">
      <c r="A93" s="1">
        <v>46062</v>
      </c>
      <c r="B93" t="s">
        <v>48</v>
      </c>
      <c r="C93">
        <v>649163</v>
      </c>
      <c r="D93">
        <v>2030312965</v>
      </c>
      <c r="E93" t="s">
        <v>308</v>
      </c>
      <c r="F93" t="s">
        <v>82</v>
      </c>
      <c r="G93" t="s">
        <v>51</v>
      </c>
      <c r="H93" t="s">
        <v>309</v>
      </c>
      <c r="I93" t="s">
        <v>152</v>
      </c>
      <c r="J93" t="s">
        <v>153</v>
      </c>
      <c r="K93">
        <v>767312</v>
      </c>
      <c r="L93" t="s">
        <v>310</v>
      </c>
      <c r="M93" t="s">
        <v>311</v>
      </c>
      <c r="N93" t="s">
        <v>57</v>
      </c>
      <c r="O93" s="1">
        <v>45874</v>
      </c>
      <c r="Q93" s="1">
        <v>46086</v>
      </c>
      <c r="R93" s="2">
        <v>29.97</v>
      </c>
      <c r="S93">
        <v>1</v>
      </c>
      <c r="T93" t="s">
        <v>58</v>
      </c>
      <c r="U93" t="s">
        <v>156</v>
      </c>
      <c r="V93" s="3">
        <v>0.47</v>
      </c>
      <c r="W93" s="2">
        <v>0</v>
      </c>
      <c r="X93">
        <v>0</v>
      </c>
      <c r="Y93" t="s">
        <v>60</v>
      </c>
      <c r="Z93" t="s">
        <v>135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14.09</v>
      </c>
      <c r="AN93" s="2">
        <v>14.09</v>
      </c>
      <c r="AO93" s="2">
        <v>0</v>
      </c>
      <c r="AP93" s="2">
        <v>0</v>
      </c>
      <c r="AQ93" s="2">
        <v>0</v>
      </c>
    </row>
    <row r="94" spans="1:43" x14ac:dyDescent="0.25">
      <c r="A94" s="1">
        <v>46062</v>
      </c>
      <c r="B94" t="s">
        <v>48</v>
      </c>
      <c r="C94">
        <v>649163</v>
      </c>
      <c r="D94">
        <v>2030739940</v>
      </c>
      <c r="E94" t="s">
        <v>311</v>
      </c>
      <c r="F94" t="s">
        <v>283</v>
      </c>
      <c r="G94" t="s">
        <v>51</v>
      </c>
      <c r="H94" t="s">
        <v>90</v>
      </c>
      <c r="I94" t="s">
        <v>152</v>
      </c>
      <c r="J94" t="s">
        <v>238</v>
      </c>
      <c r="K94">
        <v>651818</v>
      </c>
      <c r="L94" t="s">
        <v>80</v>
      </c>
      <c r="M94" t="s">
        <v>81</v>
      </c>
      <c r="N94" t="s">
        <v>57</v>
      </c>
      <c r="O94" s="1">
        <v>45906</v>
      </c>
      <c r="Q94" s="1">
        <v>46087</v>
      </c>
      <c r="R94" s="2">
        <v>176.78</v>
      </c>
      <c r="S94">
        <v>1</v>
      </c>
      <c r="T94" t="s">
        <v>58</v>
      </c>
      <c r="U94" t="s">
        <v>156</v>
      </c>
      <c r="V94" s="3">
        <v>0.51</v>
      </c>
      <c r="W94" s="2">
        <v>0</v>
      </c>
      <c r="X94">
        <v>0</v>
      </c>
      <c r="Y94" t="s">
        <v>60</v>
      </c>
      <c r="Z94" t="s">
        <v>135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90.16</v>
      </c>
      <c r="AN94" s="2">
        <v>90.16</v>
      </c>
      <c r="AO94" s="2">
        <v>0</v>
      </c>
      <c r="AP94" s="2">
        <v>0</v>
      </c>
      <c r="AQ94" s="2">
        <v>0</v>
      </c>
    </row>
    <row r="95" spans="1:43" x14ac:dyDescent="0.25">
      <c r="A95" s="1">
        <v>46062</v>
      </c>
      <c r="B95" t="s">
        <v>48</v>
      </c>
      <c r="C95">
        <v>649163</v>
      </c>
      <c r="D95">
        <v>2030739941</v>
      </c>
      <c r="E95" t="s">
        <v>311</v>
      </c>
      <c r="F95" t="s">
        <v>283</v>
      </c>
      <c r="G95" t="s">
        <v>51</v>
      </c>
      <c r="H95" t="s">
        <v>90</v>
      </c>
      <c r="I95" t="s">
        <v>152</v>
      </c>
      <c r="J95" t="s">
        <v>241</v>
      </c>
      <c r="K95">
        <v>651818</v>
      </c>
      <c r="L95" t="s">
        <v>80</v>
      </c>
      <c r="M95" t="s">
        <v>81</v>
      </c>
      <c r="N95" t="s">
        <v>57</v>
      </c>
      <c r="O95" s="1">
        <v>45906</v>
      </c>
      <c r="Q95" s="1">
        <v>46087</v>
      </c>
      <c r="R95" s="2">
        <v>14.95</v>
      </c>
      <c r="S95">
        <v>1</v>
      </c>
      <c r="T95" t="s">
        <v>58</v>
      </c>
      <c r="U95" t="s">
        <v>156</v>
      </c>
      <c r="V95" s="3">
        <v>0.51</v>
      </c>
      <c r="W95" s="2">
        <v>0</v>
      </c>
      <c r="X95">
        <v>0</v>
      </c>
      <c r="Y95" t="s">
        <v>60</v>
      </c>
      <c r="Z95" t="s">
        <v>135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7.62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1">
        <v>46062</v>
      </c>
      <c r="B96" t="s">
        <v>48</v>
      </c>
      <c r="C96">
        <v>649163</v>
      </c>
      <c r="D96">
        <v>2030820657</v>
      </c>
      <c r="E96" t="s">
        <v>312</v>
      </c>
      <c r="F96" t="s">
        <v>240</v>
      </c>
      <c r="G96" t="s">
        <v>51</v>
      </c>
      <c r="H96" t="s">
        <v>52</v>
      </c>
      <c r="I96" t="s">
        <v>152</v>
      </c>
      <c r="J96" t="s">
        <v>153</v>
      </c>
      <c r="K96">
        <v>728134</v>
      </c>
      <c r="L96" t="s">
        <v>215</v>
      </c>
      <c r="M96" t="s">
        <v>216</v>
      </c>
      <c r="N96" t="s">
        <v>57</v>
      </c>
      <c r="O96" s="1">
        <v>45931</v>
      </c>
      <c r="Q96" s="1">
        <v>46082</v>
      </c>
      <c r="R96" s="2">
        <v>33.590000000000003</v>
      </c>
      <c r="S96">
        <v>1</v>
      </c>
      <c r="T96" t="s">
        <v>58</v>
      </c>
      <c r="U96" t="s">
        <v>59</v>
      </c>
      <c r="V96" s="3">
        <v>0.47</v>
      </c>
      <c r="W96" s="2">
        <v>0</v>
      </c>
      <c r="X96">
        <v>0</v>
      </c>
      <c r="Y96" t="s">
        <v>60</v>
      </c>
      <c r="Z96" t="s">
        <v>135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15.79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s="1">
        <v>46062</v>
      </c>
      <c r="B97" t="s">
        <v>48</v>
      </c>
      <c r="C97">
        <v>649163</v>
      </c>
      <c r="D97">
        <v>2030983565</v>
      </c>
      <c r="E97" t="s">
        <v>313</v>
      </c>
      <c r="F97" t="s">
        <v>314</v>
      </c>
      <c r="G97" t="s">
        <v>51</v>
      </c>
      <c r="H97" t="s">
        <v>140</v>
      </c>
      <c r="I97" t="s">
        <v>152</v>
      </c>
      <c r="J97" t="s">
        <v>153</v>
      </c>
      <c r="K97">
        <v>888536</v>
      </c>
      <c r="L97" t="s">
        <v>315</v>
      </c>
      <c r="M97" t="s">
        <v>316</v>
      </c>
      <c r="N97" t="s">
        <v>57</v>
      </c>
      <c r="O97" s="1">
        <v>45931</v>
      </c>
      <c r="Q97" s="1">
        <v>46082</v>
      </c>
      <c r="R97" s="2">
        <v>65.680000000000007</v>
      </c>
      <c r="S97">
        <v>1</v>
      </c>
      <c r="T97" t="s">
        <v>58</v>
      </c>
      <c r="U97" t="s">
        <v>59</v>
      </c>
      <c r="V97" s="3">
        <v>0.47</v>
      </c>
      <c r="W97" s="2">
        <v>0</v>
      </c>
      <c r="X97">
        <v>0</v>
      </c>
      <c r="Y97" t="s">
        <v>60</v>
      </c>
      <c r="Z97" t="s">
        <v>135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30.87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1">
        <v>46062</v>
      </c>
      <c r="B98" t="s">
        <v>48</v>
      </c>
      <c r="C98">
        <v>649163</v>
      </c>
      <c r="D98">
        <v>2031379409</v>
      </c>
      <c r="E98" t="s">
        <v>317</v>
      </c>
      <c r="F98" t="s">
        <v>318</v>
      </c>
      <c r="G98" t="s">
        <v>51</v>
      </c>
      <c r="H98" t="s">
        <v>66</v>
      </c>
      <c r="I98" t="s">
        <v>152</v>
      </c>
      <c r="J98" t="s">
        <v>238</v>
      </c>
      <c r="K98">
        <v>820873</v>
      </c>
      <c r="L98" t="s">
        <v>319</v>
      </c>
      <c r="M98" t="s">
        <v>320</v>
      </c>
      <c r="N98" t="s">
        <v>57</v>
      </c>
      <c r="O98" s="1">
        <v>45962</v>
      </c>
      <c r="Q98" s="1">
        <v>46082</v>
      </c>
      <c r="R98" s="2">
        <v>35.270000000000003</v>
      </c>
      <c r="S98">
        <v>1</v>
      </c>
      <c r="T98" t="s">
        <v>58</v>
      </c>
      <c r="U98" t="s">
        <v>59</v>
      </c>
      <c r="V98" s="3">
        <v>0.51</v>
      </c>
      <c r="W98" s="2">
        <v>0</v>
      </c>
      <c r="X98">
        <v>0</v>
      </c>
      <c r="Y98" t="s">
        <v>60</v>
      </c>
      <c r="Z98" t="s">
        <v>135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17.989999999999998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1">
        <v>46062</v>
      </c>
      <c r="B99" t="s">
        <v>48</v>
      </c>
      <c r="C99">
        <v>649163</v>
      </c>
      <c r="D99">
        <v>2031379410</v>
      </c>
      <c r="E99" t="s">
        <v>317</v>
      </c>
      <c r="F99" t="s">
        <v>318</v>
      </c>
      <c r="G99" t="s">
        <v>51</v>
      </c>
      <c r="H99" t="s">
        <v>66</v>
      </c>
      <c r="I99" t="s">
        <v>152</v>
      </c>
      <c r="J99" t="s">
        <v>241</v>
      </c>
      <c r="K99">
        <v>820873</v>
      </c>
      <c r="L99" t="s">
        <v>319</v>
      </c>
      <c r="M99" t="s">
        <v>320</v>
      </c>
      <c r="N99" t="s">
        <v>57</v>
      </c>
      <c r="O99" s="1">
        <v>45962</v>
      </c>
      <c r="Q99" s="1">
        <v>46082</v>
      </c>
      <c r="R99" s="2">
        <v>5.95</v>
      </c>
      <c r="S99">
        <v>1</v>
      </c>
      <c r="T99" t="s">
        <v>58</v>
      </c>
      <c r="U99" t="s">
        <v>59</v>
      </c>
      <c r="V99" s="3">
        <v>0.51</v>
      </c>
      <c r="W99" s="2">
        <v>0</v>
      </c>
      <c r="X99">
        <v>0</v>
      </c>
      <c r="Y99" t="s">
        <v>60</v>
      </c>
      <c r="Z99" t="s">
        <v>135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3.03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1">
        <v>46062</v>
      </c>
      <c r="B100" t="s">
        <v>48</v>
      </c>
      <c r="C100">
        <v>649163</v>
      </c>
      <c r="D100">
        <v>2031410719</v>
      </c>
      <c r="E100" t="s">
        <v>321</v>
      </c>
      <c r="F100" t="s">
        <v>75</v>
      </c>
      <c r="G100" t="s">
        <v>51</v>
      </c>
      <c r="H100" t="s">
        <v>116</v>
      </c>
      <c r="I100" t="s">
        <v>152</v>
      </c>
      <c r="J100" t="s">
        <v>153</v>
      </c>
      <c r="K100">
        <v>877790</v>
      </c>
      <c r="L100" t="s">
        <v>132</v>
      </c>
      <c r="M100" t="s">
        <v>133</v>
      </c>
      <c r="N100" t="s">
        <v>57</v>
      </c>
      <c r="O100" s="1">
        <v>45933</v>
      </c>
      <c r="Q100" s="1">
        <v>46084</v>
      </c>
      <c r="R100" s="2">
        <v>59.02</v>
      </c>
      <c r="S100">
        <v>1</v>
      </c>
      <c r="T100" t="s">
        <v>58</v>
      </c>
      <c r="U100" t="s">
        <v>59</v>
      </c>
      <c r="V100" s="3">
        <v>0.47</v>
      </c>
      <c r="W100" s="2">
        <v>0</v>
      </c>
      <c r="X100">
        <v>0</v>
      </c>
      <c r="Y100" t="s">
        <v>60</v>
      </c>
      <c r="Z100" t="s">
        <v>135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27.74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46062</v>
      </c>
      <c r="B101" t="s">
        <v>48</v>
      </c>
      <c r="C101">
        <v>649163</v>
      </c>
      <c r="D101">
        <v>2031848856</v>
      </c>
      <c r="E101" t="s">
        <v>322</v>
      </c>
      <c r="F101" t="s">
        <v>323</v>
      </c>
      <c r="G101" t="s">
        <v>51</v>
      </c>
      <c r="H101" t="s">
        <v>90</v>
      </c>
      <c r="I101" t="s">
        <v>152</v>
      </c>
      <c r="J101" t="s">
        <v>238</v>
      </c>
      <c r="K101">
        <v>651818</v>
      </c>
      <c r="L101" t="s">
        <v>80</v>
      </c>
      <c r="M101" t="s">
        <v>81</v>
      </c>
      <c r="N101" t="s">
        <v>57</v>
      </c>
      <c r="O101" s="1">
        <v>45967</v>
      </c>
      <c r="Q101" s="1">
        <v>46087</v>
      </c>
      <c r="R101" s="2">
        <v>132.28</v>
      </c>
      <c r="S101">
        <v>1</v>
      </c>
      <c r="T101" t="s">
        <v>58</v>
      </c>
      <c r="U101" t="s">
        <v>59</v>
      </c>
      <c r="V101" s="3">
        <v>0.51</v>
      </c>
      <c r="W101" s="2">
        <v>0</v>
      </c>
      <c r="X101">
        <v>0</v>
      </c>
      <c r="Y101" t="s">
        <v>60</v>
      </c>
      <c r="Z101" t="s">
        <v>135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67.459999999999994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46062</v>
      </c>
      <c r="B102" t="s">
        <v>48</v>
      </c>
      <c r="C102">
        <v>649163</v>
      </c>
      <c r="D102">
        <v>2031848857</v>
      </c>
      <c r="E102" t="s">
        <v>322</v>
      </c>
      <c r="F102" t="s">
        <v>323</v>
      </c>
      <c r="G102" t="s">
        <v>51</v>
      </c>
      <c r="H102" t="s">
        <v>90</v>
      </c>
      <c r="I102" t="s">
        <v>152</v>
      </c>
      <c r="J102" t="s">
        <v>241</v>
      </c>
      <c r="K102">
        <v>651818</v>
      </c>
      <c r="L102" t="s">
        <v>80</v>
      </c>
      <c r="M102" t="s">
        <v>81</v>
      </c>
      <c r="N102" t="s">
        <v>57</v>
      </c>
      <c r="O102" s="1">
        <v>45967</v>
      </c>
      <c r="Q102" s="1">
        <v>46087</v>
      </c>
      <c r="R102" s="2">
        <v>5.95</v>
      </c>
      <c r="S102">
        <v>1</v>
      </c>
      <c r="T102" t="s">
        <v>58</v>
      </c>
      <c r="U102" t="s">
        <v>59</v>
      </c>
      <c r="V102" s="3">
        <v>0.51</v>
      </c>
      <c r="W102" s="2">
        <v>0</v>
      </c>
      <c r="X102">
        <v>0</v>
      </c>
      <c r="Y102" t="s">
        <v>60</v>
      </c>
      <c r="Z102" t="s">
        <v>135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3.03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46062</v>
      </c>
      <c r="B103" t="s">
        <v>48</v>
      </c>
      <c r="C103">
        <v>649163</v>
      </c>
      <c r="D103">
        <v>2031934790</v>
      </c>
      <c r="E103" t="s">
        <v>324</v>
      </c>
      <c r="F103" t="s">
        <v>203</v>
      </c>
      <c r="G103" t="s">
        <v>51</v>
      </c>
      <c r="H103" t="s">
        <v>66</v>
      </c>
      <c r="I103" t="s">
        <v>152</v>
      </c>
      <c r="J103" t="s">
        <v>153</v>
      </c>
      <c r="K103">
        <v>812782</v>
      </c>
      <c r="L103" t="s">
        <v>325</v>
      </c>
      <c r="M103" t="s">
        <v>326</v>
      </c>
      <c r="N103" t="s">
        <v>57</v>
      </c>
      <c r="O103" s="1">
        <v>45962</v>
      </c>
      <c r="Q103" s="1">
        <v>46082</v>
      </c>
      <c r="R103" s="2">
        <v>66.28</v>
      </c>
      <c r="S103">
        <v>1</v>
      </c>
      <c r="T103" t="s">
        <v>58</v>
      </c>
      <c r="U103" t="s">
        <v>59</v>
      </c>
      <c r="V103" s="3">
        <v>0.47</v>
      </c>
      <c r="W103" s="2">
        <v>0</v>
      </c>
      <c r="X103">
        <v>0</v>
      </c>
      <c r="Y103" t="s">
        <v>60</v>
      </c>
      <c r="Z103" t="s">
        <v>135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31.15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46062</v>
      </c>
      <c r="B104" t="s">
        <v>48</v>
      </c>
      <c r="C104">
        <v>649163</v>
      </c>
      <c r="D104">
        <v>2032446960</v>
      </c>
      <c r="E104" t="s">
        <v>327</v>
      </c>
      <c r="F104" t="s">
        <v>328</v>
      </c>
      <c r="G104" t="s">
        <v>51</v>
      </c>
      <c r="H104" t="s">
        <v>274</v>
      </c>
      <c r="I104" t="s">
        <v>152</v>
      </c>
      <c r="J104" t="s">
        <v>153</v>
      </c>
      <c r="K104">
        <v>816021</v>
      </c>
      <c r="L104" t="s">
        <v>275</v>
      </c>
      <c r="M104" t="s">
        <v>276</v>
      </c>
      <c r="N104" t="s">
        <v>57</v>
      </c>
      <c r="O104" s="1">
        <v>46023</v>
      </c>
      <c r="Q104" s="1">
        <v>46082</v>
      </c>
      <c r="R104" s="2">
        <v>50.58</v>
      </c>
      <c r="S104">
        <v>1</v>
      </c>
      <c r="T104" t="s">
        <v>58</v>
      </c>
      <c r="U104" t="s">
        <v>59</v>
      </c>
      <c r="V104" s="3">
        <v>0.47</v>
      </c>
      <c r="W104" s="2">
        <v>0</v>
      </c>
      <c r="X104">
        <v>0</v>
      </c>
      <c r="Y104" t="s">
        <v>60</v>
      </c>
      <c r="Z104" t="s">
        <v>135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23.77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46062</v>
      </c>
      <c r="B105" t="s">
        <v>48</v>
      </c>
      <c r="C105">
        <v>649163</v>
      </c>
      <c r="D105">
        <v>2032529695</v>
      </c>
      <c r="E105" t="s">
        <v>82</v>
      </c>
      <c r="F105" t="s">
        <v>329</v>
      </c>
      <c r="G105" t="s">
        <v>51</v>
      </c>
      <c r="H105" t="s">
        <v>66</v>
      </c>
      <c r="I105" t="s">
        <v>152</v>
      </c>
      <c r="J105" t="s">
        <v>153</v>
      </c>
      <c r="K105">
        <v>822381</v>
      </c>
      <c r="L105" t="s">
        <v>330</v>
      </c>
      <c r="M105" t="s">
        <v>331</v>
      </c>
      <c r="N105" t="s">
        <v>57</v>
      </c>
      <c r="O105" s="1">
        <v>46023</v>
      </c>
      <c r="Q105" s="1">
        <v>46082</v>
      </c>
      <c r="R105" s="2">
        <v>85.58</v>
      </c>
      <c r="S105">
        <v>1</v>
      </c>
      <c r="T105" t="s">
        <v>58</v>
      </c>
      <c r="U105" t="s">
        <v>59</v>
      </c>
      <c r="V105" s="3">
        <v>0.47</v>
      </c>
      <c r="W105" s="2">
        <v>0</v>
      </c>
      <c r="X105">
        <v>0</v>
      </c>
      <c r="Y105" t="s">
        <v>60</v>
      </c>
      <c r="Z105" t="s">
        <v>135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40.22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46062</v>
      </c>
      <c r="B106" t="s">
        <v>48</v>
      </c>
      <c r="C106">
        <v>649163</v>
      </c>
      <c r="D106">
        <v>2032557033</v>
      </c>
      <c r="E106" t="s">
        <v>332</v>
      </c>
      <c r="F106" t="s">
        <v>281</v>
      </c>
      <c r="G106" t="s">
        <v>51</v>
      </c>
      <c r="H106" t="s">
        <v>333</v>
      </c>
      <c r="I106" t="s">
        <v>152</v>
      </c>
      <c r="J106" t="s">
        <v>153</v>
      </c>
      <c r="K106">
        <v>839474</v>
      </c>
      <c r="L106" t="s">
        <v>334</v>
      </c>
      <c r="M106" t="s">
        <v>335</v>
      </c>
      <c r="N106" t="s">
        <v>57</v>
      </c>
      <c r="O106" s="1">
        <v>46023</v>
      </c>
      <c r="Q106" s="1">
        <v>46082</v>
      </c>
      <c r="R106" s="2">
        <v>70.930000000000007</v>
      </c>
      <c r="S106">
        <v>1</v>
      </c>
      <c r="T106" t="s">
        <v>58</v>
      </c>
      <c r="U106" t="s">
        <v>59</v>
      </c>
      <c r="V106" s="3">
        <v>0.47</v>
      </c>
      <c r="W106" s="2">
        <v>0</v>
      </c>
      <c r="X106">
        <v>0</v>
      </c>
      <c r="Y106" t="s">
        <v>60</v>
      </c>
      <c r="Z106" t="s">
        <v>135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33.340000000000003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46062</v>
      </c>
      <c r="B107" t="s">
        <v>48</v>
      </c>
      <c r="C107">
        <v>649163</v>
      </c>
      <c r="D107">
        <v>2032717785</v>
      </c>
      <c r="E107" t="s">
        <v>336</v>
      </c>
      <c r="F107" t="s">
        <v>337</v>
      </c>
      <c r="G107" t="s">
        <v>51</v>
      </c>
      <c r="H107" t="s">
        <v>52</v>
      </c>
      <c r="I107" t="s">
        <v>152</v>
      </c>
      <c r="J107" t="s">
        <v>153</v>
      </c>
      <c r="K107">
        <v>649164</v>
      </c>
      <c r="L107" t="s">
        <v>154</v>
      </c>
      <c r="M107" t="s">
        <v>155</v>
      </c>
      <c r="N107" t="s">
        <v>144</v>
      </c>
      <c r="O107" s="1">
        <v>46023</v>
      </c>
      <c r="P107" s="1">
        <v>46062</v>
      </c>
      <c r="Q107" s="1">
        <v>46082</v>
      </c>
      <c r="R107" s="2">
        <v>-61.99</v>
      </c>
      <c r="S107">
        <v>1</v>
      </c>
      <c r="T107" t="s">
        <v>58</v>
      </c>
      <c r="U107" t="s">
        <v>59</v>
      </c>
      <c r="V107" s="3">
        <v>0.47</v>
      </c>
      <c r="W107" s="2">
        <v>0</v>
      </c>
      <c r="X107">
        <v>-1</v>
      </c>
      <c r="Y107" t="s">
        <v>60</v>
      </c>
      <c r="Z107" t="s">
        <v>135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-29.14</v>
      </c>
      <c r="AN107" s="2">
        <v>-29.14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46062</v>
      </c>
      <c r="B108" t="s">
        <v>48</v>
      </c>
      <c r="C108">
        <v>649163</v>
      </c>
      <c r="D108">
        <v>2032825259</v>
      </c>
      <c r="E108" t="s">
        <v>338</v>
      </c>
      <c r="F108" t="s">
        <v>339</v>
      </c>
      <c r="G108" t="s">
        <v>51</v>
      </c>
      <c r="H108" t="s">
        <v>66</v>
      </c>
      <c r="I108" t="s">
        <v>152</v>
      </c>
      <c r="J108" t="s">
        <v>153</v>
      </c>
      <c r="K108">
        <v>824076</v>
      </c>
      <c r="L108" t="s">
        <v>340</v>
      </c>
      <c r="M108" t="s">
        <v>341</v>
      </c>
      <c r="N108" t="s">
        <v>57</v>
      </c>
      <c r="O108" s="1">
        <v>46023</v>
      </c>
      <c r="Q108" s="1">
        <v>46082</v>
      </c>
      <c r="R108" s="2">
        <v>85.58</v>
      </c>
      <c r="S108">
        <v>1</v>
      </c>
      <c r="T108" t="s">
        <v>58</v>
      </c>
      <c r="U108" t="s">
        <v>59</v>
      </c>
      <c r="V108" s="3">
        <v>0.47</v>
      </c>
      <c r="W108" s="2">
        <v>0</v>
      </c>
      <c r="X108">
        <v>0</v>
      </c>
      <c r="Y108" t="s">
        <v>60</v>
      </c>
      <c r="Z108" t="s">
        <v>135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40.22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46062</v>
      </c>
      <c r="B109" t="s">
        <v>48</v>
      </c>
      <c r="C109">
        <v>649163</v>
      </c>
      <c r="D109">
        <v>2033374018</v>
      </c>
      <c r="E109" t="s">
        <v>342</v>
      </c>
      <c r="F109" t="s">
        <v>343</v>
      </c>
      <c r="G109" t="s">
        <v>51</v>
      </c>
      <c r="H109" t="s">
        <v>66</v>
      </c>
      <c r="I109" t="s">
        <v>152</v>
      </c>
      <c r="J109" t="s">
        <v>153</v>
      </c>
      <c r="K109">
        <v>806645</v>
      </c>
      <c r="L109" t="s">
        <v>344</v>
      </c>
      <c r="M109" t="s">
        <v>345</v>
      </c>
      <c r="N109" t="s">
        <v>144</v>
      </c>
      <c r="O109" s="1">
        <v>46054</v>
      </c>
      <c r="P109" s="1">
        <v>46062</v>
      </c>
      <c r="Q109" s="1">
        <v>46082</v>
      </c>
      <c r="R109" s="2">
        <v>-85.58</v>
      </c>
      <c r="S109">
        <v>1</v>
      </c>
      <c r="T109" t="s">
        <v>58</v>
      </c>
      <c r="U109" t="s">
        <v>59</v>
      </c>
      <c r="V109" s="3">
        <v>0.47</v>
      </c>
      <c r="W109" s="2">
        <v>0</v>
      </c>
      <c r="X109">
        <v>-1</v>
      </c>
      <c r="Y109" t="s">
        <v>60</v>
      </c>
      <c r="Z109" t="s">
        <v>135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-40.22</v>
      </c>
      <c r="AN109" s="2">
        <v>-40.22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46062</v>
      </c>
      <c r="B110" t="s">
        <v>48</v>
      </c>
      <c r="C110">
        <v>649163</v>
      </c>
      <c r="D110">
        <v>2033515354</v>
      </c>
      <c r="E110" t="s">
        <v>346</v>
      </c>
      <c r="F110" t="s">
        <v>347</v>
      </c>
      <c r="G110" t="s">
        <v>51</v>
      </c>
      <c r="H110" t="s">
        <v>96</v>
      </c>
      <c r="I110" t="s">
        <v>72</v>
      </c>
      <c r="J110" t="s">
        <v>79</v>
      </c>
      <c r="K110">
        <v>767312</v>
      </c>
      <c r="L110" t="s">
        <v>310</v>
      </c>
      <c r="M110" t="s">
        <v>311</v>
      </c>
      <c r="N110" t="s">
        <v>57</v>
      </c>
      <c r="O110" s="1">
        <v>46059</v>
      </c>
      <c r="Q110" s="1">
        <v>46087</v>
      </c>
      <c r="R110" s="2">
        <v>177.15</v>
      </c>
      <c r="S110">
        <v>1</v>
      </c>
      <c r="T110" t="s">
        <v>58</v>
      </c>
      <c r="U110" t="s">
        <v>59</v>
      </c>
      <c r="V110" s="3">
        <v>0.75</v>
      </c>
      <c r="W110" s="2">
        <v>0</v>
      </c>
      <c r="X110">
        <v>0</v>
      </c>
      <c r="Y110" t="s">
        <v>60</v>
      </c>
      <c r="Z110" t="s">
        <v>61</v>
      </c>
      <c r="AA110">
        <v>6</v>
      </c>
      <c r="AB110" s="2">
        <v>797.16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132.86000000000001</v>
      </c>
      <c r="AM110" s="2">
        <v>0</v>
      </c>
      <c r="AN110" s="2">
        <v>797.16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46062</v>
      </c>
      <c r="B111" t="s">
        <v>48</v>
      </c>
      <c r="C111">
        <v>649163</v>
      </c>
      <c r="D111">
        <v>2033474599</v>
      </c>
      <c r="E111" t="s">
        <v>348</v>
      </c>
      <c r="F111" t="s">
        <v>349</v>
      </c>
      <c r="G111" t="s">
        <v>51</v>
      </c>
      <c r="H111" t="s">
        <v>116</v>
      </c>
      <c r="I111" t="s">
        <v>350</v>
      </c>
      <c r="J111" t="s">
        <v>351</v>
      </c>
      <c r="K111">
        <v>877790</v>
      </c>
      <c r="L111" t="s">
        <v>132</v>
      </c>
      <c r="M111" t="s">
        <v>133</v>
      </c>
      <c r="N111" t="s">
        <v>57</v>
      </c>
      <c r="O111" s="1">
        <v>46057</v>
      </c>
      <c r="Q111" s="1">
        <v>46085</v>
      </c>
      <c r="R111" s="2">
        <v>15</v>
      </c>
      <c r="S111">
        <v>1</v>
      </c>
      <c r="T111" t="s">
        <v>58</v>
      </c>
      <c r="U111" t="s">
        <v>134</v>
      </c>
      <c r="V111" s="3">
        <v>0.19</v>
      </c>
      <c r="W111" s="2">
        <v>0</v>
      </c>
      <c r="X111">
        <v>0</v>
      </c>
      <c r="Y111" t="s">
        <v>60</v>
      </c>
      <c r="Z111" t="s">
        <v>61</v>
      </c>
      <c r="AA111">
        <v>6</v>
      </c>
      <c r="AB111" s="2">
        <v>17.100000000000001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2.85</v>
      </c>
      <c r="AM111" s="2">
        <v>0</v>
      </c>
      <c r="AN111" s="2">
        <v>17.100000000000001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46062</v>
      </c>
      <c r="B112" t="s">
        <v>48</v>
      </c>
      <c r="C112">
        <v>649163</v>
      </c>
      <c r="D112">
        <v>2033491562</v>
      </c>
      <c r="E112" t="s">
        <v>352</v>
      </c>
      <c r="F112" t="s">
        <v>326</v>
      </c>
      <c r="G112" t="s">
        <v>51</v>
      </c>
      <c r="H112" t="s">
        <v>353</v>
      </c>
      <c r="I112" t="s">
        <v>350</v>
      </c>
      <c r="J112" t="s">
        <v>354</v>
      </c>
      <c r="K112">
        <v>823068</v>
      </c>
      <c r="L112" t="s">
        <v>355</v>
      </c>
      <c r="M112" t="s">
        <v>356</v>
      </c>
      <c r="N112" t="s">
        <v>57</v>
      </c>
      <c r="O112" s="1">
        <v>46058</v>
      </c>
      <c r="Q112" s="1">
        <v>46086</v>
      </c>
      <c r="R112" s="2">
        <v>15</v>
      </c>
      <c r="S112">
        <v>1</v>
      </c>
      <c r="T112" t="s">
        <v>58</v>
      </c>
      <c r="U112" t="s">
        <v>149</v>
      </c>
      <c r="V112" s="3">
        <v>0.38</v>
      </c>
      <c r="W112" s="2">
        <v>0</v>
      </c>
      <c r="X112">
        <v>0</v>
      </c>
      <c r="Y112" t="s">
        <v>60</v>
      </c>
      <c r="Z112" t="s">
        <v>61</v>
      </c>
      <c r="AA112">
        <v>6</v>
      </c>
      <c r="AB112" s="2">
        <v>34.200000000000003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5.7</v>
      </c>
      <c r="AM112" s="2">
        <v>0</v>
      </c>
      <c r="AN112" s="2">
        <v>34.200000000000003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46062</v>
      </c>
      <c r="B113" t="s">
        <v>48</v>
      </c>
      <c r="C113">
        <v>649163</v>
      </c>
      <c r="D113">
        <v>2033514022</v>
      </c>
      <c r="E113" t="s">
        <v>357</v>
      </c>
      <c r="F113" t="s">
        <v>358</v>
      </c>
      <c r="G113" t="s">
        <v>51</v>
      </c>
      <c r="H113" t="s">
        <v>66</v>
      </c>
      <c r="I113" t="s">
        <v>350</v>
      </c>
      <c r="J113" t="s">
        <v>354</v>
      </c>
      <c r="K113">
        <v>820873</v>
      </c>
      <c r="L113" t="s">
        <v>319</v>
      </c>
      <c r="M113" t="s">
        <v>320</v>
      </c>
      <c r="N113" t="s">
        <v>57</v>
      </c>
      <c r="O113" s="1">
        <v>46059</v>
      </c>
      <c r="Q113" s="1">
        <v>46087</v>
      </c>
      <c r="R113" s="2">
        <v>15</v>
      </c>
      <c r="S113">
        <v>1</v>
      </c>
      <c r="T113" t="s">
        <v>58</v>
      </c>
      <c r="U113" t="s">
        <v>149</v>
      </c>
      <c r="V113" s="3">
        <v>0.38</v>
      </c>
      <c r="W113" s="2">
        <v>0</v>
      </c>
      <c r="X113">
        <v>0</v>
      </c>
      <c r="Y113" t="s">
        <v>60</v>
      </c>
      <c r="Z113" t="s">
        <v>61</v>
      </c>
      <c r="AA113">
        <v>6</v>
      </c>
      <c r="AB113" s="2">
        <v>34.200000000000003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5.7</v>
      </c>
      <c r="AM113" s="2">
        <v>0</v>
      </c>
      <c r="AN113" s="2">
        <v>34.200000000000003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46062</v>
      </c>
      <c r="B114" t="s">
        <v>48</v>
      </c>
      <c r="C114">
        <v>649163</v>
      </c>
      <c r="D114">
        <v>2033521992</v>
      </c>
      <c r="E114" t="s">
        <v>359</v>
      </c>
      <c r="F114" t="s">
        <v>360</v>
      </c>
      <c r="G114" t="s">
        <v>51</v>
      </c>
      <c r="H114" t="s">
        <v>193</v>
      </c>
      <c r="I114" t="s">
        <v>350</v>
      </c>
      <c r="J114" t="s">
        <v>361</v>
      </c>
      <c r="K114">
        <v>856163</v>
      </c>
      <c r="L114" t="s">
        <v>108</v>
      </c>
      <c r="M114" t="s">
        <v>109</v>
      </c>
      <c r="N114" t="s">
        <v>57</v>
      </c>
      <c r="O114" s="1">
        <v>46060</v>
      </c>
      <c r="Q114" s="1">
        <v>46088</v>
      </c>
      <c r="R114" s="2">
        <v>15</v>
      </c>
      <c r="S114">
        <v>1</v>
      </c>
      <c r="T114" t="s">
        <v>58</v>
      </c>
      <c r="U114" t="s">
        <v>149</v>
      </c>
      <c r="V114" s="3">
        <v>0.19</v>
      </c>
      <c r="W114" s="2">
        <v>0</v>
      </c>
      <c r="X114">
        <v>0</v>
      </c>
      <c r="Y114" t="s">
        <v>60</v>
      </c>
      <c r="Z114" t="s">
        <v>61</v>
      </c>
      <c r="AA114">
        <v>6</v>
      </c>
      <c r="AB114" s="2">
        <v>17.100000000000001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2.85</v>
      </c>
      <c r="AM114" s="2">
        <v>0</v>
      </c>
      <c r="AN114" s="2">
        <v>17.100000000000001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46062</v>
      </c>
      <c r="B115" t="s">
        <v>48</v>
      </c>
      <c r="C115">
        <v>649163</v>
      </c>
      <c r="D115">
        <v>2033120889</v>
      </c>
      <c r="E115" t="s">
        <v>362</v>
      </c>
      <c r="F115" t="s">
        <v>240</v>
      </c>
      <c r="G115" t="s">
        <v>51</v>
      </c>
      <c r="H115" t="s">
        <v>66</v>
      </c>
      <c r="I115" t="s">
        <v>363</v>
      </c>
      <c r="J115" t="s">
        <v>364</v>
      </c>
      <c r="K115">
        <v>843573</v>
      </c>
      <c r="L115" t="s">
        <v>365</v>
      </c>
      <c r="M115" t="s">
        <v>366</v>
      </c>
      <c r="N115" t="s">
        <v>57</v>
      </c>
      <c r="O115" s="1">
        <v>46056</v>
      </c>
      <c r="Q115" s="1">
        <v>46084</v>
      </c>
      <c r="R115" s="2">
        <v>64.349999999999994</v>
      </c>
      <c r="S115">
        <v>1</v>
      </c>
      <c r="T115" t="s">
        <v>58</v>
      </c>
      <c r="U115" t="s">
        <v>59</v>
      </c>
      <c r="V115" s="4">
        <v>0.375</v>
      </c>
      <c r="W115" s="2">
        <v>0</v>
      </c>
      <c r="X115">
        <v>0</v>
      </c>
      <c r="Y115" t="s">
        <v>60</v>
      </c>
      <c r="Z115" t="s">
        <v>61</v>
      </c>
      <c r="AA115">
        <v>6</v>
      </c>
      <c r="AB115" s="2">
        <v>144.78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24.13</v>
      </c>
      <c r="AM115" s="2">
        <v>0</v>
      </c>
      <c r="AN115" s="2">
        <v>144.78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46062</v>
      </c>
      <c r="B116" t="s">
        <v>48</v>
      </c>
      <c r="C116">
        <v>649163</v>
      </c>
      <c r="D116">
        <v>2033144398</v>
      </c>
      <c r="E116" t="s">
        <v>76</v>
      </c>
      <c r="F116" t="s">
        <v>77</v>
      </c>
      <c r="G116" t="s">
        <v>51</v>
      </c>
      <c r="H116" t="s">
        <v>78</v>
      </c>
      <c r="I116" t="s">
        <v>363</v>
      </c>
      <c r="J116" t="s">
        <v>364</v>
      </c>
      <c r="K116">
        <v>651818</v>
      </c>
      <c r="L116" t="s">
        <v>80</v>
      </c>
      <c r="M116" t="s">
        <v>81</v>
      </c>
      <c r="N116" t="s">
        <v>57</v>
      </c>
      <c r="O116" s="1">
        <v>46059</v>
      </c>
      <c r="Q116" s="1">
        <v>46087</v>
      </c>
      <c r="R116" s="2">
        <v>45.42</v>
      </c>
      <c r="S116">
        <v>1</v>
      </c>
      <c r="T116" t="s">
        <v>58</v>
      </c>
      <c r="U116" t="s">
        <v>59</v>
      </c>
      <c r="V116" s="4">
        <v>0.375</v>
      </c>
      <c r="W116" s="2">
        <v>0</v>
      </c>
      <c r="X116">
        <v>0</v>
      </c>
      <c r="Y116" t="s">
        <v>60</v>
      </c>
      <c r="Z116" t="s">
        <v>61</v>
      </c>
      <c r="AA116">
        <v>6</v>
      </c>
      <c r="AB116" s="2">
        <v>102.18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17.03</v>
      </c>
      <c r="AM116" s="2">
        <v>0</v>
      </c>
      <c r="AN116" s="2">
        <v>102.18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46062</v>
      </c>
      <c r="B117" t="s">
        <v>48</v>
      </c>
      <c r="C117">
        <v>649163</v>
      </c>
      <c r="D117">
        <v>2033179604</v>
      </c>
      <c r="E117" t="s">
        <v>85</v>
      </c>
      <c r="F117" t="s">
        <v>86</v>
      </c>
      <c r="G117" t="s">
        <v>51</v>
      </c>
      <c r="H117" t="s">
        <v>87</v>
      </c>
      <c r="I117" t="s">
        <v>363</v>
      </c>
      <c r="J117" t="s">
        <v>364</v>
      </c>
      <c r="K117">
        <v>651818</v>
      </c>
      <c r="L117" t="s">
        <v>80</v>
      </c>
      <c r="M117" t="s">
        <v>81</v>
      </c>
      <c r="N117" t="s">
        <v>57</v>
      </c>
      <c r="O117" s="1">
        <v>46054</v>
      </c>
      <c r="Q117" s="1">
        <v>46082</v>
      </c>
      <c r="R117" s="2">
        <v>84.72</v>
      </c>
      <c r="S117">
        <v>1</v>
      </c>
      <c r="T117" t="s">
        <v>58</v>
      </c>
      <c r="U117" t="s">
        <v>59</v>
      </c>
      <c r="V117" s="4">
        <v>0.375</v>
      </c>
      <c r="W117" s="2">
        <v>0</v>
      </c>
      <c r="X117">
        <v>0</v>
      </c>
      <c r="Y117" t="s">
        <v>60</v>
      </c>
      <c r="Z117" t="s">
        <v>61</v>
      </c>
      <c r="AA117">
        <v>6</v>
      </c>
      <c r="AB117" s="2">
        <v>190.62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31.77</v>
      </c>
      <c r="AM117" s="2">
        <v>0</v>
      </c>
      <c r="AN117" s="2">
        <v>190.62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46062</v>
      </c>
      <c r="B118" t="s">
        <v>48</v>
      </c>
      <c r="C118">
        <v>649163</v>
      </c>
      <c r="D118">
        <v>2033267344</v>
      </c>
      <c r="E118" t="s">
        <v>94</v>
      </c>
      <c r="F118" t="s">
        <v>95</v>
      </c>
      <c r="G118" t="s">
        <v>51</v>
      </c>
      <c r="H118" t="s">
        <v>96</v>
      </c>
      <c r="I118" t="s">
        <v>363</v>
      </c>
      <c r="J118" t="s">
        <v>364</v>
      </c>
      <c r="K118">
        <v>651818</v>
      </c>
      <c r="L118" t="s">
        <v>80</v>
      </c>
      <c r="M118" t="s">
        <v>81</v>
      </c>
      <c r="N118" t="s">
        <v>57</v>
      </c>
      <c r="O118" s="1">
        <v>46059</v>
      </c>
      <c r="Q118" s="1">
        <v>46087</v>
      </c>
      <c r="R118" s="2">
        <v>100.9</v>
      </c>
      <c r="S118">
        <v>1</v>
      </c>
      <c r="T118" t="s">
        <v>58</v>
      </c>
      <c r="U118" t="s">
        <v>59</v>
      </c>
      <c r="V118" s="4">
        <v>0.375</v>
      </c>
      <c r="W118" s="2">
        <v>0</v>
      </c>
      <c r="X118">
        <v>0</v>
      </c>
      <c r="Y118" t="s">
        <v>60</v>
      </c>
      <c r="Z118" t="s">
        <v>61</v>
      </c>
      <c r="AA118">
        <v>6</v>
      </c>
      <c r="AB118" s="2">
        <v>227.04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37.840000000000003</v>
      </c>
      <c r="AM118" s="2">
        <v>0</v>
      </c>
      <c r="AN118" s="2">
        <v>227.04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46062</v>
      </c>
      <c r="B119" t="s">
        <v>48</v>
      </c>
      <c r="C119">
        <v>649163</v>
      </c>
      <c r="D119">
        <v>2033346373</v>
      </c>
      <c r="E119" t="s">
        <v>367</v>
      </c>
      <c r="F119" t="s">
        <v>368</v>
      </c>
      <c r="G119" t="s">
        <v>51</v>
      </c>
      <c r="H119" t="s">
        <v>90</v>
      </c>
      <c r="I119" t="s">
        <v>363</v>
      </c>
      <c r="J119" t="s">
        <v>364</v>
      </c>
      <c r="K119">
        <v>673059</v>
      </c>
      <c r="L119" t="s">
        <v>162</v>
      </c>
      <c r="M119" t="s">
        <v>180</v>
      </c>
      <c r="N119" t="s">
        <v>57</v>
      </c>
      <c r="O119" s="1">
        <v>46059</v>
      </c>
      <c r="Q119" s="1">
        <v>46087</v>
      </c>
      <c r="R119" s="2">
        <v>65.56</v>
      </c>
      <c r="S119">
        <v>1</v>
      </c>
      <c r="T119" t="s">
        <v>58</v>
      </c>
      <c r="U119" t="s">
        <v>59</v>
      </c>
      <c r="V119" s="4">
        <v>0.375</v>
      </c>
      <c r="W119" s="2">
        <v>0</v>
      </c>
      <c r="X119">
        <v>0</v>
      </c>
      <c r="Y119" t="s">
        <v>60</v>
      </c>
      <c r="Z119" t="s">
        <v>61</v>
      </c>
      <c r="AA119">
        <v>6</v>
      </c>
      <c r="AB119" s="2">
        <v>147.47999999999999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24.58</v>
      </c>
      <c r="AM119" s="2">
        <v>0</v>
      </c>
      <c r="AN119" s="2">
        <v>147.47999999999999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46062</v>
      </c>
      <c r="B120" t="s">
        <v>48</v>
      </c>
      <c r="C120">
        <v>649163</v>
      </c>
      <c r="D120">
        <v>2033473025</v>
      </c>
      <c r="E120" t="s">
        <v>369</v>
      </c>
      <c r="F120" t="s">
        <v>370</v>
      </c>
      <c r="G120" t="s">
        <v>51</v>
      </c>
      <c r="H120" t="s">
        <v>309</v>
      </c>
      <c r="I120" t="s">
        <v>363</v>
      </c>
      <c r="J120" t="s">
        <v>364</v>
      </c>
      <c r="K120">
        <v>767312</v>
      </c>
      <c r="L120" t="s">
        <v>310</v>
      </c>
      <c r="M120" t="s">
        <v>311</v>
      </c>
      <c r="N120" t="s">
        <v>57</v>
      </c>
      <c r="O120" s="1">
        <v>46062</v>
      </c>
      <c r="Q120" s="1">
        <v>46090</v>
      </c>
      <c r="R120" s="2">
        <v>29.93</v>
      </c>
      <c r="S120">
        <v>1</v>
      </c>
      <c r="T120" t="s">
        <v>58</v>
      </c>
      <c r="U120" t="s">
        <v>59</v>
      </c>
      <c r="V120" s="4">
        <v>0.375</v>
      </c>
      <c r="W120" s="2">
        <v>0</v>
      </c>
      <c r="X120">
        <v>0</v>
      </c>
      <c r="Y120" t="s">
        <v>60</v>
      </c>
      <c r="Z120" t="s">
        <v>61</v>
      </c>
      <c r="AA120">
        <v>6</v>
      </c>
      <c r="AB120" s="2">
        <v>67.319999999999993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11.22</v>
      </c>
      <c r="AM120" s="2">
        <v>0</v>
      </c>
      <c r="AN120" s="2">
        <v>67.319999999999993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46062</v>
      </c>
      <c r="B121" t="s">
        <v>48</v>
      </c>
      <c r="C121">
        <v>649163</v>
      </c>
      <c r="D121">
        <v>2033489593</v>
      </c>
      <c r="E121" t="s">
        <v>371</v>
      </c>
      <c r="F121" t="s">
        <v>188</v>
      </c>
      <c r="G121" t="s">
        <v>51</v>
      </c>
      <c r="H121" t="s">
        <v>90</v>
      </c>
      <c r="I121" t="s">
        <v>363</v>
      </c>
      <c r="J121" t="s">
        <v>364</v>
      </c>
      <c r="K121">
        <v>792847</v>
      </c>
      <c r="L121" t="s">
        <v>372</v>
      </c>
      <c r="M121" t="s">
        <v>373</v>
      </c>
      <c r="N121" t="s">
        <v>57</v>
      </c>
      <c r="O121" s="1">
        <v>46058</v>
      </c>
      <c r="Q121" s="1">
        <v>46086</v>
      </c>
      <c r="R121" s="2">
        <v>51.4</v>
      </c>
      <c r="S121">
        <v>1</v>
      </c>
      <c r="T121" t="s">
        <v>58</v>
      </c>
      <c r="U121" t="s">
        <v>59</v>
      </c>
      <c r="V121" s="4">
        <v>0.375</v>
      </c>
      <c r="W121" s="2">
        <v>0</v>
      </c>
      <c r="X121">
        <v>0</v>
      </c>
      <c r="Y121" t="s">
        <v>60</v>
      </c>
      <c r="Z121" t="s">
        <v>61</v>
      </c>
      <c r="AA121">
        <v>6</v>
      </c>
      <c r="AB121" s="2">
        <v>115.68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19.28</v>
      </c>
      <c r="AM121" s="2">
        <v>0</v>
      </c>
      <c r="AN121" s="2">
        <v>115.68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46062</v>
      </c>
      <c r="B122" t="s">
        <v>48</v>
      </c>
      <c r="C122">
        <v>649163</v>
      </c>
      <c r="D122">
        <v>2033515351</v>
      </c>
      <c r="E122" t="s">
        <v>346</v>
      </c>
      <c r="F122" t="s">
        <v>347</v>
      </c>
      <c r="G122" t="s">
        <v>51</v>
      </c>
      <c r="H122" t="s">
        <v>96</v>
      </c>
      <c r="I122" t="s">
        <v>363</v>
      </c>
      <c r="J122" t="s">
        <v>364</v>
      </c>
      <c r="K122">
        <v>767312</v>
      </c>
      <c r="L122" t="s">
        <v>310</v>
      </c>
      <c r="M122" t="s">
        <v>311</v>
      </c>
      <c r="N122" t="s">
        <v>57</v>
      </c>
      <c r="O122" s="1">
        <v>46059</v>
      </c>
      <c r="Q122" s="1">
        <v>46087</v>
      </c>
      <c r="R122" s="2">
        <v>105.92</v>
      </c>
      <c r="S122">
        <v>1</v>
      </c>
      <c r="T122" t="s">
        <v>58</v>
      </c>
      <c r="U122" t="s">
        <v>59</v>
      </c>
      <c r="V122" s="4">
        <v>0.375</v>
      </c>
      <c r="W122" s="2">
        <v>0</v>
      </c>
      <c r="X122">
        <v>0</v>
      </c>
      <c r="Y122" t="s">
        <v>60</v>
      </c>
      <c r="Z122" t="s">
        <v>61</v>
      </c>
      <c r="AA122">
        <v>6</v>
      </c>
      <c r="AB122" s="2">
        <v>238.32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39.72</v>
      </c>
      <c r="AM122" s="2">
        <v>0</v>
      </c>
      <c r="AN122" s="2">
        <v>238.32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46062</v>
      </c>
      <c r="B123" t="s">
        <v>48</v>
      </c>
      <c r="C123">
        <v>649163</v>
      </c>
      <c r="D123">
        <v>2033529276</v>
      </c>
      <c r="E123" t="s">
        <v>374</v>
      </c>
      <c r="F123" t="s">
        <v>375</v>
      </c>
      <c r="G123" t="s">
        <v>51</v>
      </c>
      <c r="H123" t="s">
        <v>170</v>
      </c>
      <c r="I123" t="s">
        <v>363</v>
      </c>
      <c r="J123" t="s">
        <v>364</v>
      </c>
      <c r="K123">
        <v>673059</v>
      </c>
      <c r="L123" t="s">
        <v>162</v>
      </c>
      <c r="M123" t="s">
        <v>180</v>
      </c>
      <c r="N123" t="s">
        <v>57</v>
      </c>
      <c r="O123" s="1">
        <v>46060</v>
      </c>
      <c r="Q123" s="1">
        <v>46088</v>
      </c>
      <c r="R123" s="2">
        <v>54.95</v>
      </c>
      <c r="S123">
        <v>1</v>
      </c>
      <c r="T123" t="s">
        <v>58</v>
      </c>
      <c r="U123" t="s">
        <v>59</v>
      </c>
      <c r="V123" s="4">
        <v>0.375</v>
      </c>
      <c r="W123" s="2">
        <v>0</v>
      </c>
      <c r="X123">
        <v>0</v>
      </c>
      <c r="Y123" t="s">
        <v>60</v>
      </c>
      <c r="Z123" t="s">
        <v>61</v>
      </c>
      <c r="AA123">
        <v>6</v>
      </c>
      <c r="AB123" s="2">
        <v>123.66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20.61</v>
      </c>
      <c r="AM123" s="2">
        <v>0</v>
      </c>
      <c r="AN123" s="2">
        <v>123.66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46062</v>
      </c>
      <c r="B124" t="s">
        <v>48</v>
      </c>
      <c r="C124">
        <v>649163</v>
      </c>
      <c r="D124">
        <v>2033555264</v>
      </c>
      <c r="E124" t="s">
        <v>376</v>
      </c>
      <c r="F124" t="s">
        <v>377</v>
      </c>
      <c r="G124" t="s">
        <v>51</v>
      </c>
      <c r="H124" t="s">
        <v>66</v>
      </c>
      <c r="I124" t="s">
        <v>363</v>
      </c>
      <c r="J124" t="s">
        <v>364</v>
      </c>
      <c r="K124">
        <v>764123</v>
      </c>
      <c r="L124" t="s">
        <v>292</v>
      </c>
      <c r="M124" t="s">
        <v>293</v>
      </c>
      <c r="N124" t="s">
        <v>57</v>
      </c>
      <c r="O124" s="1">
        <v>46062</v>
      </c>
      <c r="Q124" s="1">
        <v>46090</v>
      </c>
      <c r="R124" s="2">
        <v>78.760000000000005</v>
      </c>
      <c r="S124">
        <v>1</v>
      </c>
      <c r="T124" t="s">
        <v>58</v>
      </c>
      <c r="U124" t="s">
        <v>59</v>
      </c>
      <c r="V124" s="4">
        <v>0.375</v>
      </c>
      <c r="W124" s="2">
        <v>0</v>
      </c>
      <c r="X124">
        <v>0</v>
      </c>
      <c r="Y124" t="s">
        <v>60</v>
      </c>
      <c r="Z124" t="s">
        <v>61</v>
      </c>
      <c r="AA124">
        <v>6</v>
      </c>
      <c r="AB124" s="2">
        <v>177.24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29.54</v>
      </c>
      <c r="AM124" s="2">
        <v>0</v>
      </c>
      <c r="AN124" s="2">
        <v>177.24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46062</v>
      </c>
      <c r="B125" t="s">
        <v>48</v>
      </c>
      <c r="C125">
        <v>649163</v>
      </c>
      <c r="D125">
        <v>2032987489</v>
      </c>
      <c r="E125" t="s">
        <v>49</v>
      </c>
      <c r="F125" t="s">
        <v>50</v>
      </c>
      <c r="G125" t="s">
        <v>51</v>
      </c>
      <c r="H125" t="s">
        <v>52</v>
      </c>
      <c r="I125" t="s">
        <v>378</v>
      </c>
      <c r="J125" t="s">
        <v>379</v>
      </c>
      <c r="K125">
        <v>929503</v>
      </c>
      <c r="L125" t="s">
        <v>55</v>
      </c>
      <c r="M125" t="s">
        <v>56</v>
      </c>
      <c r="N125" t="s">
        <v>57</v>
      </c>
      <c r="O125" s="1">
        <v>46054</v>
      </c>
      <c r="Q125" s="1">
        <v>46082</v>
      </c>
      <c r="R125" s="2">
        <v>61.39</v>
      </c>
      <c r="S125">
        <v>1</v>
      </c>
      <c r="T125" t="s">
        <v>58</v>
      </c>
      <c r="U125" t="s">
        <v>59</v>
      </c>
      <c r="V125" s="3">
        <v>0.38</v>
      </c>
      <c r="W125" s="2">
        <v>0</v>
      </c>
      <c r="X125">
        <v>0</v>
      </c>
      <c r="Y125" t="s">
        <v>60</v>
      </c>
      <c r="Z125" t="s">
        <v>61</v>
      </c>
      <c r="AA125">
        <v>6</v>
      </c>
      <c r="AB125" s="2">
        <v>139.97999999999999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23.33</v>
      </c>
      <c r="AM125" s="2">
        <v>0</v>
      </c>
      <c r="AN125" s="2">
        <v>139.97999999999999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46062</v>
      </c>
      <c r="B126" t="s">
        <v>48</v>
      </c>
      <c r="C126">
        <v>649163</v>
      </c>
      <c r="D126">
        <v>2033053092</v>
      </c>
      <c r="E126" t="s">
        <v>62</v>
      </c>
      <c r="F126" t="s">
        <v>63</v>
      </c>
      <c r="G126" t="s">
        <v>51</v>
      </c>
      <c r="H126" t="s">
        <v>52</v>
      </c>
      <c r="I126" t="s">
        <v>378</v>
      </c>
      <c r="J126" t="s">
        <v>379</v>
      </c>
      <c r="K126">
        <v>929503</v>
      </c>
      <c r="L126" t="s">
        <v>55</v>
      </c>
      <c r="M126" t="s">
        <v>56</v>
      </c>
      <c r="N126" t="s">
        <v>57</v>
      </c>
      <c r="O126" s="1">
        <v>46054</v>
      </c>
      <c r="Q126" s="1">
        <v>46082</v>
      </c>
      <c r="R126" s="2">
        <v>21.97</v>
      </c>
      <c r="S126">
        <v>1</v>
      </c>
      <c r="T126" t="s">
        <v>58</v>
      </c>
      <c r="U126" t="s">
        <v>59</v>
      </c>
      <c r="V126" s="3">
        <v>0.38</v>
      </c>
      <c r="W126" s="2">
        <v>0</v>
      </c>
      <c r="X126">
        <v>0</v>
      </c>
      <c r="Y126" t="s">
        <v>60</v>
      </c>
      <c r="Z126" t="s">
        <v>61</v>
      </c>
      <c r="AA126">
        <v>6</v>
      </c>
      <c r="AB126" s="2">
        <v>50.1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8.35</v>
      </c>
      <c r="AM126" s="2">
        <v>0</v>
      </c>
      <c r="AN126" s="2">
        <v>50.1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46062</v>
      </c>
      <c r="B127" t="s">
        <v>48</v>
      </c>
      <c r="C127">
        <v>649163</v>
      </c>
      <c r="D127">
        <v>2033491560</v>
      </c>
      <c r="E127" t="s">
        <v>352</v>
      </c>
      <c r="F127" t="s">
        <v>326</v>
      </c>
      <c r="G127" t="s">
        <v>51</v>
      </c>
      <c r="H127" t="s">
        <v>353</v>
      </c>
      <c r="I127" t="s">
        <v>378</v>
      </c>
      <c r="J127" t="s">
        <v>380</v>
      </c>
      <c r="K127">
        <v>823068</v>
      </c>
      <c r="L127" t="s">
        <v>355</v>
      </c>
      <c r="M127" t="s">
        <v>356</v>
      </c>
      <c r="N127" t="s">
        <v>57</v>
      </c>
      <c r="O127" s="1">
        <v>46058</v>
      </c>
      <c r="Q127" s="1">
        <v>46086</v>
      </c>
      <c r="R127" s="2">
        <v>164.14</v>
      </c>
      <c r="S127">
        <v>1</v>
      </c>
      <c r="T127" t="s">
        <v>58</v>
      </c>
      <c r="U127" t="s">
        <v>59</v>
      </c>
      <c r="V127" s="3">
        <v>0.38</v>
      </c>
      <c r="W127" s="2">
        <v>0</v>
      </c>
      <c r="X127">
        <v>0</v>
      </c>
      <c r="Y127" t="s">
        <v>60</v>
      </c>
      <c r="Z127" t="s">
        <v>61</v>
      </c>
      <c r="AA127">
        <v>6</v>
      </c>
      <c r="AB127" s="2">
        <v>374.22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62.37</v>
      </c>
      <c r="AM127" s="2">
        <v>0</v>
      </c>
      <c r="AN127" s="2">
        <v>374.22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46062</v>
      </c>
      <c r="B128" t="s">
        <v>48</v>
      </c>
      <c r="C128">
        <v>649163</v>
      </c>
      <c r="D128">
        <v>2033491561</v>
      </c>
      <c r="E128" t="s">
        <v>352</v>
      </c>
      <c r="F128" t="s">
        <v>326</v>
      </c>
      <c r="G128" t="s">
        <v>51</v>
      </c>
      <c r="H128" t="s">
        <v>353</v>
      </c>
      <c r="I128" t="s">
        <v>378</v>
      </c>
      <c r="J128" t="s">
        <v>381</v>
      </c>
      <c r="K128">
        <v>823068</v>
      </c>
      <c r="L128" t="s">
        <v>355</v>
      </c>
      <c r="M128" t="s">
        <v>356</v>
      </c>
      <c r="N128" t="s">
        <v>57</v>
      </c>
      <c r="O128" s="1">
        <v>46058</v>
      </c>
      <c r="Q128" s="1">
        <v>46086</v>
      </c>
      <c r="R128" s="2">
        <v>7.09</v>
      </c>
      <c r="S128">
        <v>1</v>
      </c>
      <c r="T128" t="s">
        <v>58</v>
      </c>
      <c r="U128" t="s">
        <v>59</v>
      </c>
      <c r="V128" s="3">
        <v>0.38</v>
      </c>
      <c r="W128" s="2">
        <v>0</v>
      </c>
      <c r="X128">
        <v>0</v>
      </c>
      <c r="Y128" t="s">
        <v>60</v>
      </c>
      <c r="Z128" t="s">
        <v>61</v>
      </c>
      <c r="AA128">
        <v>6</v>
      </c>
      <c r="AB128" s="2">
        <v>16.14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2.69</v>
      </c>
      <c r="AM128" s="2">
        <v>0</v>
      </c>
      <c r="AN128" s="2">
        <v>16.14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46062</v>
      </c>
      <c r="B129" t="s">
        <v>48</v>
      </c>
      <c r="C129">
        <v>649163</v>
      </c>
      <c r="D129">
        <v>2033514020</v>
      </c>
      <c r="E129" t="s">
        <v>357</v>
      </c>
      <c r="F129" t="s">
        <v>358</v>
      </c>
      <c r="G129" t="s">
        <v>51</v>
      </c>
      <c r="H129" t="s">
        <v>66</v>
      </c>
      <c r="I129" t="s">
        <v>378</v>
      </c>
      <c r="J129" t="s">
        <v>380</v>
      </c>
      <c r="K129">
        <v>820873</v>
      </c>
      <c r="L129" t="s">
        <v>319</v>
      </c>
      <c r="M129" t="s">
        <v>320</v>
      </c>
      <c r="N129" t="s">
        <v>57</v>
      </c>
      <c r="O129" s="1">
        <v>46059</v>
      </c>
      <c r="Q129" s="1">
        <v>46087</v>
      </c>
      <c r="R129" s="2">
        <v>131.32</v>
      </c>
      <c r="S129">
        <v>1</v>
      </c>
      <c r="T129" t="s">
        <v>58</v>
      </c>
      <c r="U129" t="s">
        <v>59</v>
      </c>
      <c r="V129" s="3">
        <v>0.38</v>
      </c>
      <c r="W129" s="2">
        <v>0</v>
      </c>
      <c r="X129">
        <v>0</v>
      </c>
      <c r="Y129" t="s">
        <v>60</v>
      </c>
      <c r="Z129" t="s">
        <v>61</v>
      </c>
      <c r="AA129">
        <v>6</v>
      </c>
      <c r="AB129" s="2">
        <v>299.39999999999998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49.9</v>
      </c>
      <c r="AM129" s="2">
        <v>0</v>
      </c>
      <c r="AN129" s="2">
        <v>299.39999999999998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46062</v>
      </c>
      <c r="B130" t="s">
        <v>48</v>
      </c>
      <c r="C130">
        <v>649163</v>
      </c>
      <c r="D130">
        <v>2033514021</v>
      </c>
      <c r="E130" t="s">
        <v>357</v>
      </c>
      <c r="F130" t="s">
        <v>358</v>
      </c>
      <c r="G130" t="s">
        <v>51</v>
      </c>
      <c r="H130" t="s">
        <v>66</v>
      </c>
      <c r="I130" t="s">
        <v>378</v>
      </c>
      <c r="J130" t="s">
        <v>381</v>
      </c>
      <c r="K130">
        <v>820873</v>
      </c>
      <c r="L130" t="s">
        <v>319</v>
      </c>
      <c r="M130" t="s">
        <v>320</v>
      </c>
      <c r="N130" t="s">
        <v>57</v>
      </c>
      <c r="O130" s="1">
        <v>46059</v>
      </c>
      <c r="Q130" s="1">
        <v>46087</v>
      </c>
      <c r="R130" s="2">
        <v>7.09</v>
      </c>
      <c r="S130">
        <v>1</v>
      </c>
      <c r="T130" t="s">
        <v>58</v>
      </c>
      <c r="U130" t="s">
        <v>59</v>
      </c>
      <c r="V130" s="3">
        <v>0.38</v>
      </c>
      <c r="W130" s="2">
        <v>0</v>
      </c>
      <c r="X130">
        <v>0</v>
      </c>
      <c r="Y130" t="s">
        <v>60</v>
      </c>
      <c r="Z130" t="s">
        <v>61</v>
      </c>
      <c r="AA130">
        <v>6</v>
      </c>
      <c r="AB130" s="2">
        <v>16.14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2.69</v>
      </c>
      <c r="AM130" s="2">
        <v>0</v>
      </c>
      <c r="AN130" s="2">
        <v>16.14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46062</v>
      </c>
      <c r="B131" t="s">
        <v>48</v>
      </c>
      <c r="C131">
        <v>649163</v>
      </c>
      <c r="D131">
        <v>2033521991</v>
      </c>
      <c r="E131" t="s">
        <v>359</v>
      </c>
      <c r="F131" t="s">
        <v>360</v>
      </c>
      <c r="G131" t="s">
        <v>51</v>
      </c>
      <c r="H131" t="s">
        <v>193</v>
      </c>
      <c r="I131" t="s">
        <v>378</v>
      </c>
      <c r="J131" t="s">
        <v>382</v>
      </c>
      <c r="K131">
        <v>856163</v>
      </c>
      <c r="L131" t="s">
        <v>108</v>
      </c>
      <c r="M131" t="s">
        <v>109</v>
      </c>
      <c r="N131" t="s">
        <v>57</v>
      </c>
      <c r="O131" s="1">
        <v>46060</v>
      </c>
      <c r="Q131" s="1">
        <v>46088</v>
      </c>
      <c r="R131" s="2">
        <v>171.8</v>
      </c>
      <c r="S131">
        <v>1</v>
      </c>
      <c r="T131" t="s">
        <v>58</v>
      </c>
      <c r="U131" t="s">
        <v>59</v>
      </c>
      <c r="V131" s="3">
        <v>0.19</v>
      </c>
      <c r="W131" s="2">
        <v>0</v>
      </c>
      <c r="X131">
        <v>0</v>
      </c>
      <c r="Y131" t="s">
        <v>60</v>
      </c>
      <c r="Z131" t="s">
        <v>61</v>
      </c>
      <c r="AA131">
        <v>6</v>
      </c>
      <c r="AB131" s="2">
        <v>195.84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32.64</v>
      </c>
      <c r="AM131" s="2">
        <v>0</v>
      </c>
      <c r="AN131" s="2">
        <v>195.84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46062</v>
      </c>
      <c r="B132" t="s">
        <v>48</v>
      </c>
      <c r="C132">
        <v>649163</v>
      </c>
      <c r="D132">
        <v>2033126233</v>
      </c>
      <c r="E132" t="s">
        <v>69</v>
      </c>
      <c r="F132" t="s">
        <v>70</v>
      </c>
      <c r="G132" t="s">
        <v>51</v>
      </c>
      <c r="H132" t="s">
        <v>71</v>
      </c>
      <c r="I132" t="s">
        <v>383</v>
      </c>
      <c r="J132" t="s">
        <v>384</v>
      </c>
      <c r="K132">
        <v>753748</v>
      </c>
      <c r="L132" t="s">
        <v>74</v>
      </c>
      <c r="M132" t="s">
        <v>75</v>
      </c>
      <c r="N132" t="s">
        <v>57</v>
      </c>
      <c r="O132" s="1">
        <v>46054</v>
      </c>
      <c r="Q132" s="1">
        <v>46082</v>
      </c>
      <c r="R132" s="2">
        <v>121.92</v>
      </c>
      <c r="S132">
        <v>1</v>
      </c>
      <c r="T132" t="s">
        <v>58</v>
      </c>
      <c r="U132" t="s">
        <v>59</v>
      </c>
      <c r="V132" s="3">
        <v>0.7</v>
      </c>
      <c r="W132" s="2">
        <v>0</v>
      </c>
      <c r="X132">
        <v>0</v>
      </c>
      <c r="Y132" t="s">
        <v>60</v>
      </c>
      <c r="Z132" t="s">
        <v>61</v>
      </c>
      <c r="AA132">
        <v>6</v>
      </c>
      <c r="AB132" s="2">
        <v>512.04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85.34</v>
      </c>
      <c r="AM132" s="2">
        <v>0</v>
      </c>
      <c r="AN132" s="2">
        <v>512.04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46062</v>
      </c>
      <c r="B133" t="s">
        <v>48</v>
      </c>
      <c r="C133">
        <v>649163</v>
      </c>
      <c r="D133">
        <v>2033144396</v>
      </c>
      <c r="E133" t="s">
        <v>76</v>
      </c>
      <c r="F133" t="s">
        <v>77</v>
      </c>
      <c r="G133" t="s">
        <v>51</v>
      </c>
      <c r="H133" t="s">
        <v>78</v>
      </c>
      <c r="I133" t="s">
        <v>383</v>
      </c>
      <c r="J133" t="s">
        <v>384</v>
      </c>
      <c r="K133">
        <v>651818</v>
      </c>
      <c r="L133" t="s">
        <v>80</v>
      </c>
      <c r="M133" t="s">
        <v>81</v>
      </c>
      <c r="N133" t="s">
        <v>57</v>
      </c>
      <c r="O133" s="1">
        <v>46059</v>
      </c>
      <c r="Q133" s="1">
        <v>46087</v>
      </c>
      <c r="R133" s="2">
        <v>31.28</v>
      </c>
      <c r="S133">
        <v>1</v>
      </c>
      <c r="T133" t="s">
        <v>58</v>
      </c>
      <c r="U133" t="s">
        <v>59</v>
      </c>
      <c r="V133" s="3">
        <v>0.7</v>
      </c>
      <c r="W133" s="2">
        <v>0</v>
      </c>
      <c r="X133">
        <v>0</v>
      </c>
      <c r="Y133" t="s">
        <v>60</v>
      </c>
      <c r="Z133" t="s">
        <v>61</v>
      </c>
      <c r="AA133">
        <v>6</v>
      </c>
      <c r="AB133" s="2">
        <v>131.4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21.9</v>
      </c>
      <c r="AM133" s="2">
        <v>0</v>
      </c>
      <c r="AN133" s="2">
        <v>131.4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46062</v>
      </c>
      <c r="B134" t="s">
        <v>48</v>
      </c>
      <c r="C134">
        <v>649163</v>
      </c>
      <c r="D134">
        <v>2033169681</v>
      </c>
      <c r="E134" t="s">
        <v>82</v>
      </c>
      <c r="F134" t="s">
        <v>83</v>
      </c>
      <c r="G134" t="s">
        <v>51</v>
      </c>
      <c r="H134" t="s">
        <v>84</v>
      </c>
      <c r="I134" t="s">
        <v>383</v>
      </c>
      <c r="J134" t="s">
        <v>384</v>
      </c>
      <c r="K134">
        <v>651818</v>
      </c>
      <c r="L134" t="s">
        <v>80</v>
      </c>
      <c r="M134" t="s">
        <v>81</v>
      </c>
      <c r="N134" t="s">
        <v>57</v>
      </c>
      <c r="O134" s="1">
        <v>46059</v>
      </c>
      <c r="Q134" s="1">
        <v>46087</v>
      </c>
      <c r="R134" s="2">
        <v>34</v>
      </c>
      <c r="S134">
        <v>1</v>
      </c>
      <c r="T134" t="s">
        <v>58</v>
      </c>
      <c r="U134" t="s">
        <v>59</v>
      </c>
      <c r="V134" s="3">
        <v>0.7</v>
      </c>
      <c r="W134" s="2">
        <v>0</v>
      </c>
      <c r="X134">
        <v>0</v>
      </c>
      <c r="Y134" t="s">
        <v>60</v>
      </c>
      <c r="Z134" t="s">
        <v>61</v>
      </c>
      <c r="AA134">
        <v>6</v>
      </c>
      <c r="AB134" s="2">
        <v>142.80000000000001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23.8</v>
      </c>
      <c r="AM134" s="2">
        <v>0</v>
      </c>
      <c r="AN134" s="2">
        <v>142.80000000000001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46062</v>
      </c>
      <c r="B135" t="s">
        <v>48</v>
      </c>
      <c r="C135">
        <v>649163</v>
      </c>
      <c r="D135">
        <v>2033179603</v>
      </c>
      <c r="E135" t="s">
        <v>85</v>
      </c>
      <c r="F135" t="s">
        <v>86</v>
      </c>
      <c r="G135" t="s">
        <v>51</v>
      </c>
      <c r="H135" t="s">
        <v>87</v>
      </c>
      <c r="I135" t="s">
        <v>383</v>
      </c>
      <c r="J135" t="s">
        <v>384</v>
      </c>
      <c r="K135">
        <v>651818</v>
      </c>
      <c r="L135" t="s">
        <v>80</v>
      </c>
      <c r="M135" t="s">
        <v>81</v>
      </c>
      <c r="N135" t="s">
        <v>57</v>
      </c>
      <c r="O135" s="1">
        <v>46054</v>
      </c>
      <c r="Q135" s="1">
        <v>46082</v>
      </c>
      <c r="R135" s="2">
        <v>94.38</v>
      </c>
      <c r="S135">
        <v>1</v>
      </c>
      <c r="T135" t="s">
        <v>58</v>
      </c>
      <c r="U135" t="s">
        <v>59</v>
      </c>
      <c r="V135" s="3">
        <v>0.7</v>
      </c>
      <c r="W135" s="2">
        <v>0</v>
      </c>
      <c r="X135">
        <v>0</v>
      </c>
      <c r="Y135" t="s">
        <v>60</v>
      </c>
      <c r="Z135" t="s">
        <v>61</v>
      </c>
      <c r="AA135">
        <v>6</v>
      </c>
      <c r="AB135" s="2">
        <v>396.42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66.069999999999993</v>
      </c>
      <c r="AM135" s="2">
        <v>0</v>
      </c>
      <c r="AN135" s="2">
        <v>396.42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46062</v>
      </c>
      <c r="B136" t="s">
        <v>48</v>
      </c>
      <c r="C136">
        <v>649163</v>
      </c>
      <c r="D136">
        <v>2033221107</v>
      </c>
      <c r="E136" t="s">
        <v>88</v>
      </c>
      <c r="F136" t="s">
        <v>89</v>
      </c>
      <c r="G136" t="s">
        <v>51</v>
      </c>
      <c r="H136" t="s">
        <v>90</v>
      </c>
      <c r="I136" t="s">
        <v>383</v>
      </c>
      <c r="J136" t="s">
        <v>384</v>
      </c>
      <c r="K136">
        <v>651818</v>
      </c>
      <c r="L136" t="s">
        <v>80</v>
      </c>
      <c r="M136" t="s">
        <v>81</v>
      </c>
      <c r="N136" t="s">
        <v>57</v>
      </c>
      <c r="O136" s="1">
        <v>46059</v>
      </c>
      <c r="Q136" s="1">
        <v>46087</v>
      </c>
      <c r="R136" s="2">
        <v>89.52</v>
      </c>
      <c r="S136">
        <v>1</v>
      </c>
      <c r="T136" t="s">
        <v>58</v>
      </c>
      <c r="U136" t="s">
        <v>59</v>
      </c>
      <c r="V136" s="3">
        <v>0.7</v>
      </c>
      <c r="W136" s="2">
        <v>0</v>
      </c>
      <c r="X136">
        <v>0</v>
      </c>
      <c r="Y136" t="s">
        <v>60</v>
      </c>
      <c r="Z136" t="s">
        <v>61</v>
      </c>
      <c r="AA136">
        <v>6</v>
      </c>
      <c r="AB136" s="2">
        <v>375.96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62.66</v>
      </c>
      <c r="AM136" s="2">
        <v>0</v>
      </c>
      <c r="AN136" s="2">
        <v>375.96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46062</v>
      </c>
      <c r="B137" t="s">
        <v>48</v>
      </c>
      <c r="C137">
        <v>649163</v>
      </c>
      <c r="D137">
        <v>2033231466</v>
      </c>
      <c r="E137" t="s">
        <v>91</v>
      </c>
      <c r="F137" t="s">
        <v>92</v>
      </c>
      <c r="G137" t="s">
        <v>51</v>
      </c>
      <c r="H137" t="s">
        <v>84</v>
      </c>
      <c r="I137" t="s">
        <v>383</v>
      </c>
      <c r="J137" t="s">
        <v>384</v>
      </c>
      <c r="K137">
        <v>651818</v>
      </c>
      <c r="L137" t="s">
        <v>80</v>
      </c>
      <c r="M137" t="s">
        <v>81</v>
      </c>
      <c r="N137" t="s">
        <v>57</v>
      </c>
      <c r="O137" s="1">
        <v>46059</v>
      </c>
      <c r="Q137" s="1">
        <v>46087</v>
      </c>
      <c r="R137" s="2">
        <v>35.799999999999997</v>
      </c>
      <c r="S137">
        <v>1</v>
      </c>
      <c r="T137" t="s">
        <v>58</v>
      </c>
      <c r="U137" t="s">
        <v>59</v>
      </c>
      <c r="V137" s="3">
        <v>0.7</v>
      </c>
      <c r="W137" s="2">
        <v>0</v>
      </c>
      <c r="X137">
        <v>0</v>
      </c>
      <c r="Y137" t="s">
        <v>60</v>
      </c>
      <c r="Z137" t="s">
        <v>61</v>
      </c>
      <c r="AA137">
        <v>6</v>
      </c>
      <c r="AB137" s="2">
        <v>150.36000000000001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25.06</v>
      </c>
      <c r="AM137" s="2">
        <v>0</v>
      </c>
      <c r="AN137" s="2">
        <v>150.36000000000001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46062</v>
      </c>
      <c r="B138" t="s">
        <v>48</v>
      </c>
      <c r="C138">
        <v>649163</v>
      </c>
      <c r="D138">
        <v>2033267341</v>
      </c>
      <c r="E138" t="s">
        <v>94</v>
      </c>
      <c r="F138" t="s">
        <v>95</v>
      </c>
      <c r="G138" t="s">
        <v>51</v>
      </c>
      <c r="H138" t="s">
        <v>96</v>
      </c>
      <c r="I138" t="s">
        <v>383</v>
      </c>
      <c r="J138" t="s">
        <v>384</v>
      </c>
      <c r="K138">
        <v>651818</v>
      </c>
      <c r="L138" t="s">
        <v>80</v>
      </c>
      <c r="M138" t="s">
        <v>81</v>
      </c>
      <c r="N138" t="s">
        <v>57</v>
      </c>
      <c r="O138" s="1">
        <v>46059</v>
      </c>
      <c r="Q138" s="1">
        <v>46087</v>
      </c>
      <c r="R138" s="2">
        <v>48.47</v>
      </c>
      <c r="S138">
        <v>1</v>
      </c>
      <c r="T138" t="s">
        <v>58</v>
      </c>
      <c r="U138" t="s">
        <v>59</v>
      </c>
      <c r="V138" s="3">
        <v>0.7</v>
      </c>
      <c r="W138" s="2">
        <v>0</v>
      </c>
      <c r="X138">
        <v>0</v>
      </c>
      <c r="Y138" t="s">
        <v>60</v>
      </c>
      <c r="Z138" t="s">
        <v>61</v>
      </c>
      <c r="AA138">
        <v>6</v>
      </c>
      <c r="AB138" s="2">
        <v>203.58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33.93</v>
      </c>
      <c r="AM138" s="2">
        <v>0</v>
      </c>
      <c r="AN138" s="2">
        <v>203.58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46062</v>
      </c>
      <c r="B139" t="s">
        <v>48</v>
      </c>
      <c r="C139">
        <v>649163</v>
      </c>
      <c r="D139">
        <v>2033267343</v>
      </c>
      <c r="E139" t="s">
        <v>94</v>
      </c>
      <c r="F139" t="s">
        <v>95</v>
      </c>
      <c r="G139" t="s">
        <v>51</v>
      </c>
      <c r="H139" t="s">
        <v>96</v>
      </c>
      <c r="I139" t="s">
        <v>383</v>
      </c>
      <c r="J139" t="s">
        <v>385</v>
      </c>
      <c r="K139">
        <v>651818</v>
      </c>
      <c r="L139" t="s">
        <v>80</v>
      </c>
      <c r="M139" t="s">
        <v>81</v>
      </c>
      <c r="N139" t="s">
        <v>57</v>
      </c>
      <c r="O139" s="1">
        <v>46059</v>
      </c>
      <c r="Q139" s="1">
        <v>46087</v>
      </c>
      <c r="R139" s="2">
        <v>48.88</v>
      </c>
      <c r="S139">
        <v>1</v>
      </c>
      <c r="T139" t="s">
        <v>58</v>
      </c>
      <c r="U139" t="s">
        <v>59</v>
      </c>
      <c r="V139" s="3">
        <v>0.9</v>
      </c>
      <c r="W139" s="2">
        <v>0</v>
      </c>
      <c r="X139">
        <v>0</v>
      </c>
      <c r="Y139" t="s">
        <v>60</v>
      </c>
      <c r="Z139" t="s">
        <v>61</v>
      </c>
      <c r="AA139">
        <v>6</v>
      </c>
      <c r="AB139" s="2">
        <v>263.94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43.99</v>
      </c>
      <c r="AM139" s="2">
        <v>0</v>
      </c>
      <c r="AN139" s="2">
        <v>263.94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46062</v>
      </c>
      <c r="B140" t="s">
        <v>48</v>
      </c>
      <c r="C140">
        <v>649163</v>
      </c>
      <c r="D140">
        <v>2033293237</v>
      </c>
      <c r="E140" t="s">
        <v>386</v>
      </c>
      <c r="F140" t="s">
        <v>387</v>
      </c>
      <c r="G140" t="s">
        <v>51</v>
      </c>
      <c r="H140" t="s">
        <v>66</v>
      </c>
      <c r="I140" t="s">
        <v>383</v>
      </c>
      <c r="J140" t="s">
        <v>385</v>
      </c>
      <c r="K140">
        <v>820873</v>
      </c>
      <c r="L140" t="s">
        <v>319</v>
      </c>
      <c r="M140" t="s">
        <v>320</v>
      </c>
      <c r="N140" t="s">
        <v>57</v>
      </c>
      <c r="O140" s="1">
        <v>46065</v>
      </c>
      <c r="Q140" s="1">
        <v>46093</v>
      </c>
      <c r="R140" s="2">
        <v>99.25</v>
      </c>
      <c r="S140">
        <v>1</v>
      </c>
      <c r="T140" t="s">
        <v>58</v>
      </c>
      <c r="U140" t="s">
        <v>59</v>
      </c>
      <c r="V140" s="3">
        <v>0.9</v>
      </c>
      <c r="W140" s="2">
        <v>0</v>
      </c>
      <c r="X140">
        <v>0</v>
      </c>
      <c r="Y140" t="s">
        <v>60</v>
      </c>
      <c r="Z140" t="s">
        <v>61</v>
      </c>
      <c r="AA140">
        <v>6</v>
      </c>
      <c r="AB140" s="2">
        <v>535.91999999999996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89.32</v>
      </c>
      <c r="AM140" s="2">
        <v>0</v>
      </c>
      <c r="AN140" s="2">
        <v>535.91999999999996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46062</v>
      </c>
      <c r="B141" t="s">
        <v>48</v>
      </c>
      <c r="C141">
        <v>649163</v>
      </c>
      <c r="D141">
        <v>2033304009</v>
      </c>
      <c r="E141" t="s">
        <v>97</v>
      </c>
      <c r="F141" t="s">
        <v>98</v>
      </c>
      <c r="G141" t="s">
        <v>51</v>
      </c>
      <c r="H141" t="s">
        <v>87</v>
      </c>
      <c r="I141" t="s">
        <v>383</v>
      </c>
      <c r="J141" t="s">
        <v>384</v>
      </c>
      <c r="K141">
        <v>651818</v>
      </c>
      <c r="L141" t="s">
        <v>80</v>
      </c>
      <c r="M141" t="s">
        <v>81</v>
      </c>
      <c r="N141" t="s">
        <v>57</v>
      </c>
      <c r="O141" s="1">
        <v>46059</v>
      </c>
      <c r="Q141" s="1">
        <v>46087</v>
      </c>
      <c r="R141" s="2">
        <v>94.38</v>
      </c>
      <c r="S141">
        <v>1</v>
      </c>
      <c r="T141" t="s">
        <v>58</v>
      </c>
      <c r="U141" t="s">
        <v>59</v>
      </c>
      <c r="V141" s="3">
        <v>0.7</v>
      </c>
      <c r="W141" s="2">
        <v>0</v>
      </c>
      <c r="X141">
        <v>0</v>
      </c>
      <c r="Y141" t="s">
        <v>60</v>
      </c>
      <c r="Z141" t="s">
        <v>61</v>
      </c>
      <c r="AA141">
        <v>6</v>
      </c>
      <c r="AB141" s="2">
        <v>396.42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66.069999999999993</v>
      </c>
      <c r="AM141" s="2">
        <v>0</v>
      </c>
      <c r="AN141" s="2">
        <v>396.42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46062</v>
      </c>
      <c r="B142" t="s">
        <v>48</v>
      </c>
      <c r="C142">
        <v>649163</v>
      </c>
      <c r="D142">
        <v>2033331039</v>
      </c>
      <c r="E142" t="s">
        <v>99</v>
      </c>
      <c r="F142" t="s">
        <v>100</v>
      </c>
      <c r="G142" t="s">
        <v>51</v>
      </c>
      <c r="H142" t="s">
        <v>87</v>
      </c>
      <c r="I142" t="s">
        <v>383</v>
      </c>
      <c r="J142" t="s">
        <v>384</v>
      </c>
      <c r="K142">
        <v>651818</v>
      </c>
      <c r="L142" t="s">
        <v>80</v>
      </c>
      <c r="M142" t="s">
        <v>81</v>
      </c>
      <c r="N142" t="s">
        <v>57</v>
      </c>
      <c r="O142" s="1">
        <v>46059</v>
      </c>
      <c r="Q142" s="1">
        <v>46087</v>
      </c>
      <c r="R142" s="2">
        <v>49.46</v>
      </c>
      <c r="S142">
        <v>1</v>
      </c>
      <c r="T142" t="s">
        <v>58</v>
      </c>
      <c r="U142" t="s">
        <v>59</v>
      </c>
      <c r="V142" s="3">
        <v>0.7</v>
      </c>
      <c r="W142" s="2">
        <v>0</v>
      </c>
      <c r="X142">
        <v>0</v>
      </c>
      <c r="Y142" t="s">
        <v>60</v>
      </c>
      <c r="Z142" t="s">
        <v>61</v>
      </c>
      <c r="AA142">
        <v>6</v>
      </c>
      <c r="AB142" s="2">
        <v>207.72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34.619999999999997</v>
      </c>
      <c r="AM142" s="2">
        <v>0</v>
      </c>
      <c r="AN142" s="2">
        <v>207.72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46062</v>
      </c>
      <c r="B143" t="s">
        <v>48</v>
      </c>
      <c r="C143">
        <v>649163</v>
      </c>
      <c r="D143">
        <v>2033360697</v>
      </c>
      <c r="E143" t="s">
        <v>388</v>
      </c>
      <c r="F143" t="s">
        <v>389</v>
      </c>
      <c r="G143" t="s">
        <v>51</v>
      </c>
      <c r="H143" t="s">
        <v>170</v>
      </c>
      <c r="I143" t="s">
        <v>383</v>
      </c>
      <c r="J143" t="s">
        <v>384</v>
      </c>
      <c r="K143">
        <v>673059</v>
      </c>
      <c r="L143" t="s">
        <v>162</v>
      </c>
      <c r="M143" t="s">
        <v>180</v>
      </c>
      <c r="N143" t="s">
        <v>57</v>
      </c>
      <c r="O143" s="1">
        <v>46082</v>
      </c>
      <c r="Q143" s="1">
        <v>46113</v>
      </c>
      <c r="R143" s="2">
        <v>26.23</v>
      </c>
      <c r="S143">
        <v>1</v>
      </c>
      <c r="T143" t="s">
        <v>58</v>
      </c>
      <c r="U143" t="s">
        <v>59</v>
      </c>
      <c r="V143" s="3">
        <v>0.7</v>
      </c>
      <c r="W143" s="2">
        <v>0</v>
      </c>
      <c r="X143">
        <v>0</v>
      </c>
      <c r="Y143" t="s">
        <v>60</v>
      </c>
      <c r="Z143" t="s">
        <v>61</v>
      </c>
      <c r="AA143">
        <v>6</v>
      </c>
      <c r="AB143" s="2">
        <v>110.16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18.36</v>
      </c>
      <c r="AM143" s="2">
        <v>0</v>
      </c>
      <c r="AN143" s="2">
        <v>110.16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46062</v>
      </c>
      <c r="B144" t="s">
        <v>48</v>
      </c>
      <c r="C144">
        <v>649163</v>
      </c>
      <c r="D144">
        <v>2033412630</v>
      </c>
      <c r="E144" t="s">
        <v>103</v>
      </c>
      <c r="F144" t="s">
        <v>104</v>
      </c>
      <c r="G144" t="s">
        <v>51</v>
      </c>
      <c r="H144" t="s">
        <v>78</v>
      </c>
      <c r="I144" t="s">
        <v>383</v>
      </c>
      <c r="J144" t="s">
        <v>384</v>
      </c>
      <c r="K144">
        <v>651818</v>
      </c>
      <c r="L144" t="s">
        <v>80</v>
      </c>
      <c r="M144" t="s">
        <v>81</v>
      </c>
      <c r="N144" t="s">
        <v>57</v>
      </c>
      <c r="O144" s="1">
        <v>46059</v>
      </c>
      <c r="Q144" s="1">
        <v>46087</v>
      </c>
      <c r="R144" s="2">
        <v>78.760000000000005</v>
      </c>
      <c r="S144">
        <v>1</v>
      </c>
      <c r="T144" t="s">
        <v>58</v>
      </c>
      <c r="U144" t="s">
        <v>59</v>
      </c>
      <c r="V144" s="3">
        <v>0.7</v>
      </c>
      <c r="W144" s="2">
        <v>0</v>
      </c>
      <c r="X144">
        <v>0</v>
      </c>
      <c r="Y144" t="s">
        <v>60</v>
      </c>
      <c r="Z144" t="s">
        <v>61</v>
      </c>
      <c r="AA144">
        <v>6</v>
      </c>
      <c r="AB144" s="2">
        <v>330.78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55.13</v>
      </c>
      <c r="AM144" s="2">
        <v>0</v>
      </c>
      <c r="AN144" s="2">
        <v>330.78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46062</v>
      </c>
      <c r="B145" t="s">
        <v>48</v>
      </c>
      <c r="C145">
        <v>649163</v>
      </c>
      <c r="D145">
        <v>2033454263</v>
      </c>
      <c r="E145" t="s">
        <v>390</v>
      </c>
      <c r="F145" t="s">
        <v>391</v>
      </c>
      <c r="G145" t="s">
        <v>51</v>
      </c>
      <c r="H145" t="s">
        <v>392</v>
      </c>
      <c r="I145" t="s">
        <v>383</v>
      </c>
      <c r="J145" t="s">
        <v>385</v>
      </c>
      <c r="K145">
        <v>652037</v>
      </c>
      <c r="L145" t="s">
        <v>171</v>
      </c>
      <c r="M145" t="s">
        <v>172</v>
      </c>
      <c r="N145" t="s">
        <v>57</v>
      </c>
      <c r="O145" s="1">
        <v>46056</v>
      </c>
      <c r="Q145" s="1">
        <v>46084</v>
      </c>
      <c r="R145" s="2">
        <v>35.369999999999997</v>
      </c>
      <c r="S145">
        <v>1</v>
      </c>
      <c r="T145" t="s">
        <v>58</v>
      </c>
      <c r="U145" t="s">
        <v>59</v>
      </c>
      <c r="V145" s="3">
        <v>0.9</v>
      </c>
      <c r="W145" s="2">
        <v>0</v>
      </c>
      <c r="X145">
        <v>0</v>
      </c>
      <c r="Y145" t="s">
        <v>60</v>
      </c>
      <c r="Z145" t="s">
        <v>61</v>
      </c>
      <c r="AA145">
        <v>6</v>
      </c>
      <c r="AB145" s="2">
        <v>190.98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31.83</v>
      </c>
      <c r="AM145" s="2">
        <v>0</v>
      </c>
      <c r="AN145" s="2">
        <v>190.98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46062</v>
      </c>
      <c r="B146" t="s">
        <v>48</v>
      </c>
      <c r="C146">
        <v>649163</v>
      </c>
      <c r="D146">
        <v>2033468528</v>
      </c>
      <c r="E146" t="s">
        <v>106</v>
      </c>
      <c r="F146" t="s">
        <v>107</v>
      </c>
      <c r="G146" t="s">
        <v>51</v>
      </c>
      <c r="H146" t="s">
        <v>66</v>
      </c>
      <c r="I146" t="s">
        <v>383</v>
      </c>
      <c r="J146" t="s">
        <v>384</v>
      </c>
      <c r="K146">
        <v>856163</v>
      </c>
      <c r="L146" t="s">
        <v>108</v>
      </c>
      <c r="M146" t="s">
        <v>109</v>
      </c>
      <c r="N146" t="s">
        <v>57</v>
      </c>
      <c r="O146" s="1">
        <v>46082</v>
      </c>
      <c r="Q146" s="1">
        <v>46113</v>
      </c>
      <c r="R146" s="2">
        <v>66.36</v>
      </c>
      <c r="S146">
        <v>1</v>
      </c>
      <c r="T146" t="s">
        <v>58</v>
      </c>
      <c r="U146" t="s">
        <v>59</v>
      </c>
      <c r="V146" s="3">
        <v>0.7</v>
      </c>
      <c r="W146" s="2">
        <v>0</v>
      </c>
      <c r="X146">
        <v>0</v>
      </c>
      <c r="Y146" t="s">
        <v>60</v>
      </c>
      <c r="Z146" t="s">
        <v>61</v>
      </c>
      <c r="AA146">
        <v>6</v>
      </c>
      <c r="AB146" s="2">
        <v>278.7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46.45</v>
      </c>
      <c r="AM146" s="2">
        <v>0</v>
      </c>
      <c r="AN146" s="2">
        <v>278.7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46062</v>
      </c>
      <c r="B147" t="s">
        <v>48</v>
      </c>
      <c r="C147">
        <v>649163</v>
      </c>
      <c r="D147">
        <v>2033468919</v>
      </c>
      <c r="E147" t="s">
        <v>393</v>
      </c>
      <c r="F147" t="s">
        <v>188</v>
      </c>
      <c r="G147" t="s">
        <v>51</v>
      </c>
      <c r="H147" t="s">
        <v>66</v>
      </c>
      <c r="I147" t="s">
        <v>383</v>
      </c>
      <c r="J147" t="s">
        <v>384</v>
      </c>
      <c r="K147">
        <v>823350</v>
      </c>
      <c r="L147" t="s">
        <v>108</v>
      </c>
      <c r="M147" t="s">
        <v>394</v>
      </c>
      <c r="N147" t="s">
        <v>57</v>
      </c>
      <c r="O147" s="1">
        <v>46060</v>
      </c>
      <c r="Q147" s="1">
        <v>46088</v>
      </c>
      <c r="R147" s="2">
        <v>131.72</v>
      </c>
      <c r="S147">
        <v>1</v>
      </c>
      <c r="T147" t="s">
        <v>58</v>
      </c>
      <c r="U147" t="s">
        <v>59</v>
      </c>
      <c r="V147" s="3">
        <v>0.7</v>
      </c>
      <c r="W147" s="2">
        <v>0</v>
      </c>
      <c r="X147">
        <v>0</v>
      </c>
      <c r="Y147" t="s">
        <v>60</v>
      </c>
      <c r="Z147" t="s">
        <v>61</v>
      </c>
      <c r="AA147">
        <v>6</v>
      </c>
      <c r="AB147" s="2">
        <v>553.20000000000005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92.2</v>
      </c>
      <c r="AM147" s="2">
        <v>0</v>
      </c>
      <c r="AN147" s="2">
        <v>553.20000000000005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46062</v>
      </c>
      <c r="B148" t="s">
        <v>48</v>
      </c>
      <c r="C148">
        <v>649163</v>
      </c>
      <c r="D148">
        <v>2033478392</v>
      </c>
      <c r="E148" t="s">
        <v>114</v>
      </c>
      <c r="F148" t="s">
        <v>115</v>
      </c>
      <c r="G148" t="s">
        <v>51</v>
      </c>
      <c r="H148" t="s">
        <v>116</v>
      </c>
      <c r="I148" t="s">
        <v>383</v>
      </c>
      <c r="J148" t="s">
        <v>384</v>
      </c>
      <c r="K148">
        <v>942810</v>
      </c>
      <c r="L148" t="s">
        <v>117</v>
      </c>
      <c r="M148" t="s">
        <v>118</v>
      </c>
      <c r="N148" t="s">
        <v>57</v>
      </c>
      <c r="O148" s="1">
        <v>46058</v>
      </c>
      <c r="Q148" s="1">
        <v>46086</v>
      </c>
      <c r="R148" s="2">
        <v>36.76</v>
      </c>
      <c r="S148">
        <v>1</v>
      </c>
      <c r="T148" t="s">
        <v>58</v>
      </c>
      <c r="U148" t="s">
        <v>59</v>
      </c>
      <c r="V148" s="3">
        <v>0.7</v>
      </c>
      <c r="W148" s="2">
        <v>0</v>
      </c>
      <c r="X148">
        <v>0</v>
      </c>
      <c r="Y148" t="s">
        <v>60</v>
      </c>
      <c r="Z148" t="s">
        <v>61</v>
      </c>
      <c r="AA148">
        <v>6</v>
      </c>
      <c r="AB148" s="2">
        <v>154.38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25.73</v>
      </c>
      <c r="AM148" s="2">
        <v>0</v>
      </c>
      <c r="AN148" s="2">
        <v>154.38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46062</v>
      </c>
      <c r="B149" t="s">
        <v>48</v>
      </c>
      <c r="C149">
        <v>649163</v>
      </c>
      <c r="D149">
        <v>2033488882</v>
      </c>
      <c r="E149" t="s">
        <v>119</v>
      </c>
      <c r="F149" t="s">
        <v>120</v>
      </c>
      <c r="G149" t="s">
        <v>51</v>
      </c>
      <c r="H149" t="s">
        <v>121</v>
      </c>
      <c r="I149" t="s">
        <v>383</v>
      </c>
      <c r="J149" t="s">
        <v>384</v>
      </c>
      <c r="K149">
        <v>862109</v>
      </c>
      <c r="L149" t="s">
        <v>122</v>
      </c>
      <c r="M149" t="s">
        <v>123</v>
      </c>
      <c r="N149" t="s">
        <v>57</v>
      </c>
      <c r="O149" s="1">
        <v>46058</v>
      </c>
      <c r="Q149" s="1">
        <v>46086</v>
      </c>
      <c r="R149" s="2">
        <v>219.4</v>
      </c>
      <c r="S149">
        <v>1</v>
      </c>
      <c r="T149" t="s">
        <v>58</v>
      </c>
      <c r="U149" t="s">
        <v>59</v>
      </c>
      <c r="V149" s="3">
        <v>0.7</v>
      </c>
      <c r="W149" s="2">
        <v>0</v>
      </c>
      <c r="X149">
        <v>0</v>
      </c>
      <c r="Y149" t="s">
        <v>60</v>
      </c>
      <c r="Z149" t="s">
        <v>61</v>
      </c>
      <c r="AA149">
        <v>6</v>
      </c>
      <c r="AB149" s="2">
        <v>921.48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153.58000000000001</v>
      </c>
      <c r="AM149" s="2">
        <v>0</v>
      </c>
      <c r="AN149" s="2">
        <v>921.48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46062</v>
      </c>
      <c r="B150" t="s">
        <v>48</v>
      </c>
      <c r="C150">
        <v>649163</v>
      </c>
      <c r="D150">
        <v>2033489592</v>
      </c>
      <c r="E150" t="s">
        <v>371</v>
      </c>
      <c r="F150" t="s">
        <v>188</v>
      </c>
      <c r="G150" t="s">
        <v>51</v>
      </c>
      <c r="H150" t="s">
        <v>90</v>
      </c>
      <c r="I150" t="s">
        <v>383</v>
      </c>
      <c r="J150" t="s">
        <v>384</v>
      </c>
      <c r="K150">
        <v>792847</v>
      </c>
      <c r="L150" t="s">
        <v>372</v>
      </c>
      <c r="M150" t="s">
        <v>373</v>
      </c>
      <c r="N150" t="s">
        <v>57</v>
      </c>
      <c r="O150" s="1">
        <v>46058</v>
      </c>
      <c r="Q150" s="1">
        <v>46086</v>
      </c>
      <c r="R150" s="2">
        <v>13</v>
      </c>
      <c r="S150">
        <v>1</v>
      </c>
      <c r="T150" t="s">
        <v>58</v>
      </c>
      <c r="U150" t="s">
        <v>59</v>
      </c>
      <c r="V150" s="3">
        <v>0.7</v>
      </c>
      <c r="W150" s="2">
        <v>0</v>
      </c>
      <c r="X150">
        <v>0</v>
      </c>
      <c r="Y150" t="s">
        <v>60</v>
      </c>
      <c r="Z150" t="s">
        <v>61</v>
      </c>
      <c r="AA150">
        <v>6</v>
      </c>
      <c r="AB150" s="2">
        <v>54.6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9.1</v>
      </c>
      <c r="AM150" s="2">
        <v>0</v>
      </c>
      <c r="AN150" s="2">
        <v>54.6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46062</v>
      </c>
      <c r="B151" t="s">
        <v>48</v>
      </c>
      <c r="C151">
        <v>649163</v>
      </c>
      <c r="D151">
        <v>2033499220</v>
      </c>
      <c r="E151" t="s">
        <v>124</v>
      </c>
      <c r="F151" t="s">
        <v>125</v>
      </c>
      <c r="G151" t="s">
        <v>51</v>
      </c>
      <c r="H151" t="s">
        <v>71</v>
      </c>
      <c r="I151" t="s">
        <v>383</v>
      </c>
      <c r="J151" t="s">
        <v>384</v>
      </c>
      <c r="K151">
        <v>856824</v>
      </c>
      <c r="L151" t="s">
        <v>126</v>
      </c>
      <c r="M151" t="s">
        <v>127</v>
      </c>
      <c r="N151" t="s">
        <v>57</v>
      </c>
      <c r="O151" s="1">
        <v>46082</v>
      </c>
      <c r="Q151" s="1">
        <v>46113</v>
      </c>
      <c r="R151" s="2">
        <v>101.99</v>
      </c>
      <c r="S151">
        <v>1</v>
      </c>
      <c r="T151" t="s">
        <v>58</v>
      </c>
      <c r="U151" t="s">
        <v>59</v>
      </c>
      <c r="V151" s="3">
        <v>0.7</v>
      </c>
      <c r="W151" s="2">
        <v>0</v>
      </c>
      <c r="X151">
        <v>0</v>
      </c>
      <c r="Y151" t="s">
        <v>60</v>
      </c>
      <c r="Z151" t="s">
        <v>61</v>
      </c>
      <c r="AA151">
        <v>6</v>
      </c>
      <c r="AB151" s="2">
        <v>428.34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71.39</v>
      </c>
      <c r="AM151" s="2">
        <v>0</v>
      </c>
      <c r="AN151" s="2">
        <v>428.34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46062</v>
      </c>
      <c r="B152" t="s">
        <v>48</v>
      </c>
      <c r="C152">
        <v>649163</v>
      </c>
      <c r="D152">
        <v>2033514791</v>
      </c>
      <c r="E152" t="s">
        <v>395</v>
      </c>
      <c r="F152" t="s">
        <v>396</v>
      </c>
      <c r="G152" t="s">
        <v>51</v>
      </c>
      <c r="H152" t="s">
        <v>397</v>
      </c>
      <c r="I152" t="s">
        <v>383</v>
      </c>
      <c r="J152" t="s">
        <v>384</v>
      </c>
      <c r="K152">
        <v>673059</v>
      </c>
      <c r="L152" t="s">
        <v>162</v>
      </c>
      <c r="M152" t="s">
        <v>180</v>
      </c>
      <c r="N152" t="s">
        <v>57</v>
      </c>
      <c r="O152" s="1">
        <v>46059</v>
      </c>
      <c r="Q152" s="1">
        <v>46087</v>
      </c>
      <c r="R152" s="2">
        <v>135.69999999999999</v>
      </c>
      <c r="S152">
        <v>1</v>
      </c>
      <c r="T152" t="s">
        <v>58</v>
      </c>
      <c r="U152" t="s">
        <v>59</v>
      </c>
      <c r="V152" s="3">
        <v>0.7</v>
      </c>
      <c r="W152" s="2">
        <v>0</v>
      </c>
      <c r="X152">
        <v>0</v>
      </c>
      <c r="Y152" t="s">
        <v>60</v>
      </c>
      <c r="Z152" t="s">
        <v>61</v>
      </c>
      <c r="AA152">
        <v>6</v>
      </c>
      <c r="AB152" s="2">
        <v>569.94000000000005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94.99</v>
      </c>
      <c r="AM152" s="2">
        <v>0</v>
      </c>
      <c r="AN152" s="2">
        <v>569.94000000000005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46062</v>
      </c>
      <c r="B153" t="s">
        <v>48</v>
      </c>
      <c r="C153">
        <v>649163</v>
      </c>
      <c r="D153">
        <v>2033515352</v>
      </c>
      <c r="E153" t="s">
        <v>346</v>
      </c>
      <c r="F153" t="s">
        <v>347</v>
      </c>
      <c r="G153" t="s">
        <v>51</v>
      </c>
      <c r="H153" t="s">
        <v>96</v>
      </c>
      <c r="I153" t="s">
        <v>383</v>
      </c>
      <c r="J153" t="s">
        <v>384</v>
      </c>
      <c r="K153">
        <v>767312</v>
      </c>
      <c r="L153" t="s">
        <v>310</v>
      </c>
      <c r="M153" t="s">
        <v>311</v>
      </c>
      <c r="N153" t="s">
        <v>57</v>
      </c>
      <c r="O153" s="1">
        <v>46059</v>
      </c>
      <c r="Q153" s="1">
        <v>46087</v>
      </c>
      <c r="R153" s="2">
        <v>99.24</v>
      </c>
      <c r="S153">
        <v>1</v>
      </c>
      <c r="T153" t="s">
        <v>58</v>
      </c>
      <c r="U153" t="s">
        <v>59</v>
      </c>
      <c r="V153" s="3">
        <v>0.7</v>
      </c>
      <c r="W153" s="2">
        <v>0</v>
      </c>
      <c r="X153">
        <v>0</v>
      </c>
      <c r="Y153" t="s">
        <v>60</v>
      </c>
      <c r="Z153" t="s">
        <v>61</v>
      </c>
      <c r="AA153">
        <v>6</v>
      </c>
      <c r="AB153" s="2">
        <v>416.82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69.47</v>
      </c>
      <c r="AM153" s="2">
        <v>0</v>
      </c>
      <c r="AN153" s="2">
        <v>416.82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46062</v>
      </c>
      <c r="B154" t="s">
        <v>48</v>
      </c>
      <c r="C154">
        <v>649163</v>
      </c>
      <c r="D154">
        <v>2033515353</v>
      </c>
      <c r="E154" t="s">
        <v>346</v>
      </c>
      <c r="F154" t="s">
        <v>347</v>
      </c>
      <c r="G154" t="s">
        <v>51</v>
      </c>
      <c r="H154" t="s">
        <v>96</v>
      </c>
      <c r="I154" t="s">
        <v>383</v>
      </c>
      <c r="J154" t="s">
        <v>385</v>
      </c>
      <c r="K154">
        <v>767312</v>
      </c>
      <c r="L154" t="s">
        <v>310</v>
      </c>
      <c r="M154" t="s">
        <v>311</v>
      </c>
      <c r="N154" t="s">
        <v>57</v>
      </c>
      <c r="O154" s="1">
        <v>46059</v>
      </c>
      <c r="Q154" s="1">
        <v>46087</v>
      </c>
      <c r="R154" s="2">
        <v>128.08000000000001</v>
      </c>
      <c r="S154">
        <v>1</v>
      </c>
      <c r="T154" t="s">
        <v>58</v>
      </c>
      <c r="U154" t="s">
        <v>59</v>
      </c>
      <c r="V154" s="3">
        <v>0.9</v>
      </c>
      <c r="W154" s="2">
        <v>0</v>
      </c>
      <c r="X154">
        <v>0</v>
      </c>
      <c r="Y154" t="s">
        <v>60</v>
      </c>
      <c r="Z154" t="s">
        <v>61</v>
      </c>
      <c r="AA154">
        <v>6</v>
      </c>
      <c r="AB154" s="2">
        <v>691.62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115.27</v>
      </c>
      <c r="AM154" s="2">
        <v>0</v>
      </c>
      <c r="AN154" s="2">
        <v>691.62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46062</v>
      </c>
      <c r="B155" t="s">
        <v>48</v>
      </c>
      <c r="C155">
        <v>649163</v>
      </c>
      <c r="D155">
        <v>2033521990</v>
      </c>
      <c r="E155" t="s">
        <v>359</v>
      </c>
      <c r="F155" t="s">
        <v>360</v>
      </c>
      <c r="G155" t="s">
        <v>51</v>
      </c>
      <c r="H155" t="s">
        <v>193</v>
      </c>
      <c r="I155" t="s">
        <v>383</v>
      </c>
      <c r="J155" t="s">
        <v>384</v>
      </c>
      <c r="K155">
        <v>856163</v>
      </c>
      <c r="L155" t="s">
        <v>108</v>
      </c>
      <c r="M155" t="s">
        <v>109</v>
      </c>
      <c r="N155" t="s">
        <v>57</v>
      </c>
      <c r="O155" s="1">
        <v>46060</v>
      </c>
      <c r="Q155" s="1">
        <v>46088</v>
      </c>
      <c r="R155" s="2">
        <v>35.04</v>
      </c>
      <c r="S155">
        <v>1</v>
      </c>
      <c r="T155" t="s">
        <v>58</v>
      </c>
      <c r="U155" t="s">
        <v>59</v>
      </c>
      <c r="V155" s="3">
        <v>0.7</v>
      </c>
      <c r="W155" s="2">
        <v>0</v>
      </c>
      <c r="X155">
        <v>0</v>
      </c>
      <c r="Y155" t="s">
        <v>60</v>
      </c>
      <c r="Z155" t="s">
        <v>61</v>
      </c>
      <c r="AA155">
        <v>6</v>
      </c>
      <c r="AB155" s="2">
        <v>147.18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24.53</v>
      </c>
      <c r="AM155" s="2">
        <v>0</v>
      </c>
      <c r="AN155" s="2">
        <v>147.18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46062</v>
      </c>
      <c r="B156" t="s">
        <v>48</v>
      </c>
      <c r="C156">
        <v>649163</v>
      </c>
      <c r="D156">
        <v>2033527014</v>
      </c>
      <c r="E156" t="s">
        <v>398</v>
      </c>
      <c r="F156" t="s">
        <v>399</v>
      </c>
      <c r="G156" t="s">
        <v>51</v>
      </c>
      <c r="H156" t="s">
        <v>392</v>
      </c>
      <c r="I156" t="s">
        <v>383</v>
      </c>
      <c r="J156" t="s">
        <v>385</v>
      </c>
      <c r="K156">
        <v>823068</v>
      </c>
      <c r="L156" t="s">
        <v>355</v>
      </c>
      <c r="M156" t="s">
        <v>356</v>
      </c>
      <c r="N156" t="s">
        <v>57</v>
      </c>
      <c r="O156" s="1">
        <v>46082</v>
      </c>
      <c r="Q156" s="1">
        <v>46113</v>
      </c>
      <c r="R156" s="2">
        <v>184.5</v>
      </c>
      <c r="S156">
        <v>1</v>
      </c>
      <c r="T156" t="s">
        <v>58</v>
      </c>
      <c r="U156" t="s">
        <v>59</v>
      </c>
      <c r="V156" s="3">
        <v>0.9</v>
      </c>
      <c r="W156" s="2">
        <v>0</v>
      </c>
      <c r="X156">
        <v>0</v>
      </c>
      <c r="Y156" t="s">
        <v>60</v>
      </c>
      <c r="Z156" t="s">
        <v>61</v>
      </c>
      <c r="AA156">
        <v>6</v>
      </c>
      <c r="AB156" s="2">
        <v>996.3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166.05</v>
      </c>
      <c r="AM156" s="2">
        <v>0</v>
      </c>
      <c r="AN156" s="2">
        <v>996.3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46062</v>
      </c>
      <c r="B157" t="s">
        <v>48</v>
      </c>
      <c r="C157">
        <v>649163</v>
      </c>
      <c r="D157">
        <v>2033527015</v>
      </c>
      <c r="E157" t="s">
        <v>398</v>
      </c>
      <c r="F157" t="s">
        <v>399</v>
      </c>
      <c r="G157" t="s">
        <v>51</v>
      </c>
      <c r="H157" t="s">
        <v>392</v>
      </c>
      <c r="I157" t="s">
        <v>383</v>
      </c>
      <c r="J157" t="s">
        <v>400</v>
      </c>
      <c r="K157">
        <v>823068</v>
      </c>
      <c r="L157" t="s">
        <v>355</v>
      </c>
      <c r="M157" t="s">
        <v>356</v>
      </c>
      <c r="N157" t="s">
        <v>57</v>
      </c>
      <c r="O157" s="1">
        <v>46082</v>
      </c>
      <c r="Q157" s="1">
        <v>46113</v>
      </c>
      <c r="R157" s="2">
        <v>48</v>
      </c>
      <c r="S157">
        <v>1</v>
      </c>
      <c r="T157" t="s">
        <v>58</v>
      </c>
      <c r="U157" t="s">
        <v>59</v>
      </c>
      <c r="V157" s="3">
        <v>0.7</v>
      </c>
      <c r="W157" s="2">
        <v>0</v>
      </c>
      <c r="X157">
        <v>0</v>
      </c>
      <c r="Y157" t="s">
        <v>60</v>
      </c>
      <c r="Z157" t="s">
        <v>61</v>
      </c>
      <c r="AA157">
        <v>6</v>
      </c>
      <c r="AB157" s="2">
        <v>201.6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33.6</v>
      </c>
      <c r="AM157" s="2">
        <v>0</v>
      </c>
      <c r="AN157" s="2">
        <v>201.6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46062</v>
      </c>
      <c r="B158" t="s">
        <v>48</v>
      </c>
      <c r="C158">
        <v>649163</v>
      </c>
      <c r="D158">
        <v>2033529277</v>
      </c>
      <c r="E158" t="s">
        <v>374</v>
      </c>
      <c r="F158" t="s">
        <v>375</v>
      </c>
      <c r="G158" t="s">
        <v>51</v>
      </c>
      <c r="H158" t="s">
        <v>170</v>
      </c>
      <c r="I158" t="s">
        <v>383</v>
      </c>
      <c r="J158" t="s">
        <v>384</v>
      </c>
      <c r="K158">
        <v>673059</v>
      </c>
      <c r="L158" t="s">
        <v>162</v>
      </c>
      <c r="M158" t="s">
        <v>180</v>
      </c>
      <c r="N158" t="s">
        <v>57</v>
      </c>
      <c r="O158" s="1">
        <v>46060</v>
      </c>
      <c r="Q158" s="1">
        <v>46088</v>
      </c>
      <c r="R158" s="2">
        <v>10.53</v>
      </c>
      <c r="S158">
        <v>1</v>
      </c>
      <c r="T158" t="s">
        <v>58</v>
      </c>
      <c r="U158" t="s">
        <v>59</v>
      </c>
      <c r="V158" s="3">
        <v>0.7</v>
      </c>
      <c r="W158" s="2">
        <v>0</v>
      </c>
      <c r="X158">
        <v>0</v>
      </c>
      <c r="Y158" t="s">
        <v>60</v>
      </c>
      <c r="Z158" t="s">
        <v>61</v>
      </c>
      <c r="AA158">
        <v>6</v>
      </c>
      <c r="AB158" s="2">
        <v>44.22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7.37</v>
      </c>
      <c r="AM158" s="2">
        <v>0</v>
      </c>
      <c r="AN158" s="2">
        <v>44.22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46062</v>
      </c>
      <c r="B159" t="s">
        <v>48</v>
      </c>
      <c r="C159">
        <v>649163</v>
      </c>
      <c r="D159">
        <v>2033533797</v>
      </c>
      <c r="E159" t="s">
        <v>401</v>
      </c>
      <c r="F159" t="s">
        <v>197</v>
      </c>
      <c r="G159" t="s">
        <v>51</v>
      </c>
      <c r="H159" t="s">
        <v>66</v>
      </c>
      <c r="I159" t="s">
        <v>383</v>
      </c>
      <c r="J159" t="s">
        <v>384</v>
      </c>
      <c r="K159">
        <v>812782</v>
      </c>
      <c r="L159" t="s">
        <v>325</v>
      </c>
      <c r="M159" t="s">
        <v>326</v>
      </c>
      <c r="N159" t="s">
        <v>57</v>
      </c>
      <c r="O159" s="1">
        <v>46082</v>
      </c>
      <c r="Q159" s="1">
        <v>46113</v>
      </c>
      <c r="R159" s="2">
        <v>145.54</v>
      </c>
      <c r="S159">
        <v>1</v>
      </c>
      <c r="T159" t="s">
        <v>58</v>
      </c>
      <c r="U159" t="s">
        <v>59</v>
      </c>
      <c r="V159" s="3">
        <v>0.7</v>
      </c>
      <c r="W159" s="2">
        <v>0</v>
      </c>
      <c r="X159">
        <v>0</v>
      </c>
      <c r="Y159" t="s">
        <v>60</v>
      </c>
      <c r="Z159" t="s">
        <v>61</v>
      </c>
      <c r="AA159">
        <v>6</v>
      </c>
      <c r="AB159" s="2">
        <v>611.28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101.88</v>
      </c>
      <c r="AM159" s="2">
        <v>0</v>
      </c>
      <c r="AN159" s="2">
        <v>611.28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46062</v>
      </c>
      <c r="B160" t="s">
        <v>48</v>
      </c>
      <c r="C160">
        <v>649163</v>
      </c>
      <c r="D160">
        <v>2033555265</v>
      </c>
      <c r="E160" t="s">
        <v>376</v>
      </c>
      <c r="F160" t="s">
        <v>377</v>
      </c>
      <c r="G160" t="s">
        <v>51</v>
      </c>
      <c r="H160" t="s">
        <v>66</v>
      </c>
      <c r="I160" t="s">
        <v>383</v>
      </c>
      <c r="J160" t="s">
        <v>384</v>
      </c>
      <c r="K160">
        <v>764123</v>
      </c>
      <c r="L160" t="s">
        <v>292</v>
      </c>
      <c r="M160" t="s">
        <v>293</v>
      </c>
      <c r="N160" t="s">
        <v>57</v>
      </c>
      <c r="O160" s="1">
        <v>46062</v>
      </c>
      <c r="Q160" s="1">
        <v>46090</v>
      </c>
      <c r="R160" s="2">
        <v>11.5</v>
      </c>
      <c r="S160">
        <v>1</v>
      </c>
      <c r="T160" t="s">
        <v>58</v>
      </c>
      <c r="U160" t="s">
        <v>59</v>
      </c>
      <c r="V160" s="3">
        <v>0.7</v>
      </c>
      <c r="W160" s="2">
        <v>0</v>
      </c>
      <c r="X160">
        <v>0</v>
      </c>
      <c r="Y160" t="s">
        <v>60</v>
      </c>
      <c r="Z160" t="s">
        <v>61</v>
      </c>
      <c r="AA160">
        <v>6</v>
      </c>
      <c r="AB160" s="2">
        <v>48.3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8.0500000000000007</v>
      </c>
      <c r="AM160" s="2">
        <v>0</v>
      </c>
      <c r="AN160" s="2">
        <v>48.3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46062</v>
      </c>
      <c r="B161" t="s">
        <v>48</v>
      </c>
      <c r="C161">
        <v>649163</v>
      </c>
      <c r="D161">
        <v>2033469076</v>
      </c>
      <c r="E161" t="s">
        <v>402</v>
      </c>
      <c r="F161" t="s">
        <v>403</v>
      </c>
      <c r="G161" t="s">
        <v>51</v>
      </c>
      <c r="H161" t="s">
        <v>392</v>
      </c>
      <c r="I161" t="s">
        <v>130</v>
      </c>
      <c r="J161" t="s">
        <v>404</v>
      </c>
      <c r="K161">
        <v>902625</v>
      </c>
      <c r="L161" t="s">
        <v>405</v>
      </c>
      <c r="M161" t="s">
        <v>406</v>
      </c>
      <c r="N161" t="s">
        <v>57</v>
      </c>
      <c r="O161" s="1">
        <v>46057</v>
      </c>
      <c r="Q161" s="1">
        <v>46085</v>
      </c>
      <c r="R161" s="2">
        <v>271.5</v>
      </c>
      <c r="S161">
        <v>1</v>
      </c>
      <c r="T161" t="s">
        <v>58</v>
      </c>
      <c r="U161" t="s">
        <v>113</v>
      </c>
      <c r="V161" s="3">
        <v>0.27</v>
      </c>
      <c r="W161" s="2">
        <v>0</v>
      </c>
      <c r="X161">
        <v>0</v>
      </c>
      <c r="Y161" t="s">
        <v>60</v>
      </c>
      <c r="Z161" t="s">
        <v>61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73.3</v>
      </c>
      <c r="AN161" s="2">
        <v>73.3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46062</v>
      </c>
      <c r="B162" t="s">
        <v>48</v>
      </c>
      <c r="C162">
        <v>649163</v>
      </c>
      <c r="D162">
        <v>2033474598</v>
      </c>
      <c r="E162" t="s">
        <v>348</v>
      </c>
      <c r="F162" t="s">
        <v>349</v>
      </c>
      <c r="G162" t="s">
        <v>51</v>
      </c>
      <c r="H162" t="s">
        <v>116</v>
      </c>
      <c r="I162" t="s">
        <v>130</v>
      </c>
      <c r="J162" t="s">
        <v>131</v>
      </c>
      <c r="K162">
        <v>877790</v>
      </c>
      <c r="L162" t="s">
        <v>132</v>
      </c>
      <c r="M162" t="s">
        <v>133</v>
      </c>
      <c r="N162" t="s">
        <v>57</v>
      </c>
      <c r="O162" s="1">
        <v>46057</v>
      </c>
      <c r="Q162" s="1">
        <v>46085</v>
      </c>
      <c r="R162" s="2">
        <v>221.52</v>
      </c>
      <c r="S162">
        <v>1</v>
      </c>
      <c r="T162" t="s">
        <v>58</v>
      </c>
      <c r="U162" t="s">
        <v>134</v>
      </c>
      <c r="V162" s="3">
        <v>0.19</v>
      </c>
      <c r="W162" s="2">
        <v>0</v>
      </c>
      <c r="X162">
        <v>0</v>
      </c>
      <c r="Y162" t="s">
        <v>60</v>
      </c>
      <c r="Z162" t="s">
        <v>61</v>
      </c>
      <c r="AA162">
        <v>6</v>
      </c>
      <c r="AB162" s="2">
        <v>252.54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42.09</v>
      </c>
      <c r="AM162" s="2">
        <v>0</v>
      </c>
      <c r="AN162" s="2">
        <v>252.54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46062</v>
      </c>
      <c r="B163" t="s">
        <v>48</v>
      </c>
      <c r="C163">
        <v>649163</v>
      </c>
      <c r="D163">
        <v>2033508329</v>
      </c>
      <c r="E163" t="s">
        <v>407</v>
      </c>
      <c r="F163" t="s">
        <v>408</v>
      </c>
      <c r="G163" t="s">
        <v>51</v>
      </c>
      <c r="H163" t="s">
        <v>392</v>
      </c>
      <c r="I163" t="s">
        <v>130</v>
      </c>
      <c r="J163" t="s">
        <v>404</v>
      </c>
      <c r="K163">
        <v>902625</v>
      </c>
      <c r="L163" t="s">
        <v>405</v>
      </c>
      <c r="M163" t="s">
        <v>406</v>
      </c>
      <c r="N163" t="s">
        <v>57</v>
      </c>
      <c r="O163" s="1">
        <v>46059</v>
      </c>
      <c r="Q163" s="1">
        <v>46087</v>
      </c>
      <c r="R163" s="2">
        <v>69.36</v>
      </c>
      <c r="S163">
        <v>1</v>
      </c>
      <c r="T163" t="s">
        <v>58</v>
      </c>
      <c r="U163" t="s">
        <v>113</v>
      </c>
      <c r="V163" s="3">
        <v>0.27</v>
      </c>
      <c r="W163" s="2">
        <v>0</v>
      </c>
      <c r="X163">
        <v>0</v>
      </c>
      <c r="Y163" t="s">
        <v>60</v>
      </c>
      <c r="Z163" t="s">
        <v>61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18.73</v>
      </c>
      <c r="AN163" s="2">
        <v>18.73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46062</v>
      </c>
      <c r="B164" t="s">
        <v>48</v>
      </c>
      <c r="C164">
        <v>649163</v>
      </c>
      <c r="D164">
        <v>2033508330</v>
      </c>
      <c r="E164" t="s">
        <v>407</v>
      </c>
      <c r="F164" t="s">
        <v>408</v>
      </c>
      <c r="G164" t="s">
        <v>51</v>
      </c>
      <c r="H164" t="s">
        <v>392</v>
      </c>
      <c r="I164" t="s">
        <v>130</v>
      </c>
      <c r="J164" t="s">
        <v>409</v>
      </c>
      <c r="K164">
        <v>902625</v>
      </c>
      <c r="L164" t="s">
        <v>405</v>
      </c>
      <c r="M164" t="s">
        <v>406</v>
      </c>
      <c r="N164" t="s">
        <v>57</v>
      </c>
      <c r="O164" s="1">
        <v>46059</v>
      </c>
      <c r="Q164" s="1">
        <v>46087</v>
      </c>
      <c r="R164" s="2">
        <v>9.9499999999999993</v>
      </c>
      <c r="S164">
        <v>1</v>
      </c>
      <c r="T164" t="s">
        <v>58</v>
      </c>
      <c r="U164" t="s">
        <v>113</v>
      </c>
      <c r="V164" s="3">
        <v>0.27</v>
      </c>
      <c r="W164" s="2">
        <v>0</v>
      </c>
      <c r="X164">
        <v>0</v>
      </c>
      <c r="Y164" t="s">
        <v>60</v>
      </c>
      <c r="Z164" t="s">
        <v>61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2.69</v>
      </c>
      <c r="AN164" s="2">
        <v>2.69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46062</v>
      </c>
      <c r="B165" t="s">
        <v>48</v>
      </c>
      <c r="C165">
        <v>649163</v>
      </c>
      <c r="D165">
        <v>2033508331</v>
      </c>
      <c r="E165" t="s">
        <v>407</v>
      </c>
      <c r="F165" t="s">
        <v>408</v>
      </c>
      <c r="G165" t="s">
        <v>51</v>
      </c>
      <c r="H165" t="s">
        <v>392</v>
      </c>
      <c r="I165" t="s">
        <v>130</v>
      </c>
      <c r="J165" t="s">
        <v>409</v>
      </c>
      <c r="K165">
        <v>902625</v>
      </c>
      <c r="L165" t="s">
        <v>405</v>
      </c>
      <c r="M165" t="s">
        <v>406</v>
      </c>
      <c r="N165" t="s">
        <v>57</v>
      </c>
      <c r="O165" s="1">
        <v>46059</v>
      </c>
      <c r="Q165" s="1">
        <v>46087</v>
      </c>
      <c r="R165" s="2">
        <v>5</v>
      </c>
      <c r="S165">
        <v>1</v>
      </c>
      <c r="T165" t="s">
        <v>58</v>
      </c>
      <c r="U165" t="s">
        <v>113</v>
      </c>
      <c r="V165" s="3">
        <v>0.27</v>
      </c>
      <c r="W165" s="2">
        <v>0</v>
      </c>
      <c r="X165">
        <v>0</v>
      </c>
      <c r="Y165" t="s">
        <v>60</v>
      </c>
      <c r="Z165" t="s">
        <v>61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1.35</v>
      </c>
      <c r="AN165" s="2">
        <v>1.35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46062</v>
      </c>
      <c r="B166" t="s">
        <v>48</v>
      </c>
      <c r="C166">
        <v>649163</v>
      </c>
      <c r="D166">
        <v>2033542305</v>
      </c>
      <c r="E166" t="s">
        <v>410</v>
      </c>
      <c r="F166" t="s">
        <v>411</v>
      </c>
      <c r="G166" t="s">
        <v>51</v>
      </c>
      <c r="H166" t="s">
        <v>71</v>
      </c>
      <c r="I166" t="s">
        <v>130</v>
      </c>
      <c r="J166" t="s">
        <v>404</v>
      </c>
      <c r="K166">
        <v>856824</v>
      </c>
      <c r="L166" t="s">
        <v>126</v>
      </c>
      <c r="M166" t="s">
        <v>127</v>
      </c>
      <c r="N166" t="s">
        <v>57</v>
      </c>
      <c r="O166" s="1">
        <v>46060</v>
      </c>
      <c r="Q166" s="1">
        <v>46088</v>
      </c>
      <c r="R166" s="2">
        <v>89.25</v>
      </c>
      <c r="S166">
        <v>1</v>
      </c>
      <c r="T166" t="s">
        <v>58</v>
      </c>
      <c r="U166" t="s">
        <v>113</v>
      </c>
      <c r="V166" s="3">
        <v>0.27</v>
      </c>
      <c r="W166" s="2">
        <v>0</v>
      </c>
      <c r="X166">
        <v>0</v>
      </c>
      <c r="Y166" t="s">
        <v>60</v>
      </c>
      <c r="Z166" t="s">
        <v>61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24.1</v>
      </c>
      <c r="AN166" s="2">
        <v>24.1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46062</v>
      </c>
      <c r="B167" t="s">
        <v>48</v>
      </c>
      <c r="C167">
        <v>649163</v>
      </c>
      <c r="D167">
        <v>2033542306</v>
      </c>
      <c r="E167" t="s">
        <v>410</v>
      </c>
      <c r="F167" t="s">
        <v>411</v>
      </c>
      <c r="G167" t="s">
        <v>51</v>
      </c>
      <c r="H167" t="s">
        <v>71</v>
      </c>
      <c r="I167" t="s">
        <v>130</v>
      </c>
      <c r="J167" t="s">
        <v>409</v>
      </c>
      <c r="K167">
        <v>856824</v>
      </c>
      <c r="L167" t="s">
        <v>126</v>
      </c>
      <c r="M167" t="s">
        <v>127</v>
      </c>
      <c r="N167" t="s">
        <v>57</v>
      </c>
      <c r="O167" s="1">
        <v>46060</v>
      </c>
      <c r="Q167" s="1">
        <v>46088</v>
      </c>
      <c r="R167" s="2">
        <v>9.9499999999999993</v>
      </c>
      <c r="S167">
        <v>1</v>
      </c>
      <c r="T167" t="s">
        <v>58</v>
      </c>
      <c r="U167" t="s">
        <v>113</v>
      </c>
      <c r="V167" s="3">
        <v>0.27</v>
      </c>
      <c r="W167" s="2">
        <v>0</v>
      </c>
      <c r="X167">
        <v>0</v>
      </c>
      <c r="Y167" t="s">
        <v>60</v>
      </c>
      <c r="Z167" t="s">
        <v>61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2.69</v>
      </c>
      <c r="AN167" s="2">
        <v>2.69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46062</v>
      </c>
      <c r="B168" t="s">
        <v>48</v>
      </c>
      <c r="C168">
        <v>649163</v>
      </c>
      <c r="D168">
        <v>2016750308</v>
      </c>
      <c r="E168" t="s">
        <v>412</v>
      </c>
      <c r="F168" t="s">
        <v>83</v>
      </c>
      <c r="G168" t="s">
        <v>51</v>
      </c>
      <c r="H168" t="s">
        <v>170</v>
      </c>
      <c r="I168" t="s">
        <v>53</v>
      </c>
      <c r="J168" t="s">
        <v>54</v>
      </c>
      <c r="K168">
        <v>652037</v>
      </c>
      <c r="L168" t="s">
        <v>171</v>
      </c>
      <c r="M168" t="s">
        <v>172</v>
      </c>
      <c r="N168" t="s">
        <v>57</v>
      </c>
      <c r="O168" s="1">
        <v>44873</v>
      </c>
      <c r="Q168" s="1">
        <v>46089</v>
      </c>
      <c r="R168" s="2">
        <v>36.159999999999997</v>
      </c>
      <c r="S168">
        <v>1</v>
      </c>
      <c r="T168" t="s">
        <v>58</v>
      </c>
      <c r="U168" t="s">
        <v>156</v>
      </c>
      <c r="V168" s="4">
        <v>6.5000000000000002E-2</v>
      </c>
      <c r="W168" s="2">
        <v>0</v>
      </c>
      <c r="X168">
        <v>0</v>
      </c>
      <c r="Y168" t="s">
        <v>157</v>
      </c>
      <c r="Z168" t="s">
        <v>135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2.35</v>
      </c>
      <c r="AN168" s="2">
        <v>2.35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46062</v>
      </c>
      <c r="B169" t="s">
        <v>48</v>
      </c>
      <c r="C169">
        <v>649163</v>
      </c>
      <c r="D169">
        <v>2017242801</v>
      </c>
      <c r="E169" t="s">
        <v>168</v>
      </c>
      <c r="F169" t="s">
        <v>169</v>
      </c>
      <c r="G169" t="s">
        <v>51</v>
      </c>
      <c r="H169" t="s">
        <v>170</v>
      </c>
      <c r="I169" t="s">
        <v>53</v>
      </c>
      <c r="J169" t="s">
        <v>413</v>
      </c>
      <c r="K169">
        <v>652037</v>
      </c>
      <c r="L169" t="s">
        <v>171</v>
      </c>
      <c r="M169" t="s">
        <v>172</v>
      </c>
      <c r="N169" t="s">
        <v>57</v>
      </c>
      <c r="O169" s="1">
        <v>44930</v>
      </c>
      <c r="Q169" s="1">
        <v>46085</v>
      </c>
      <c r="R169" s="2">
        <v>105.84</v>
      </c>
      <c r="S169">
        <v>1</v>
      </c>
      <c r="T169" t="s">
        <v>58</v>
      </c>
      <c r="U169" t="s">
        <v>156</v>
      </c>
      <c r="V169" s="4">
        <v>6.5000000000000002E-2</v>
      </c>
      <c r="W169" s="2">
        <v>0</v>
      </c>
      <c r="X169">
        <v>0</v>
      </c>
      <c r="Y169" t="s">
        <v>157</v>
      </c>
      <c r="Z169" t="s">
        <v>135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6.88</v>
      </c>
      <c r="AN169" s="2">
        <v>6.88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46062</v>
      </c>
      <c r="B170" t="s">
        <v>48</v>
      </c>
      <c r="C170">
        <v>649163</v>
      </c>
      <c r="D170">
        <v>2017539417</v>
      </c>
      <c r="E170" t="s">
        <v>175</v>
      </c>
      <c r="F170" t="s">
        <v>176</v>
      </c>
      <c r="G170" t="s">
        <v>51</v>
      </c>
      <c r="H170" t="s">
        <v>177</v>
      </c>
      <c r="I170" t="s">
        <v>53</v>
      </c>
      <c r="J170" t="s">
        <v>54</v>
      </c>
      <c r="K170">
        <v>649793</v>
      </c>
      <c r="L170" t="s">
        <v>162</v>
      </c>
      <c r="M170" t="s">
        <v>163</v>
      </c>
      <c r="N170" t="s">
        <v>57</v>
      </c>
      <c r="O170" s="1">
        <v>44986</v>
      </c>
      <c r="Q170" s="1">
        <v>46082</v>
      </c>
      <c r="R170" s="2">
        <v>52.69</v>
      </c>
      <c r="S170">
        <v>1</v>
      </c>
      <c r="T170" t="s">
        <v>58</v>
      </c>
      <c r="U170" t="s">
        <v>156</v>
      </c>
      <c r="V170" s="4">
        <v>6.5000000000000002E-2</v>
      </c>
      <c r="W170" s="2">
        <v>0</v>
      </c>
      <c r="X170">
        <v>0</v>
      </c>
      <c r="Y170" t="s">
        <v>157</v>
      </c>
      <c r="Z170" t="s">
        <v>135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3.42</v>
      </c>
      <c r="AN170" s="2">
        <v>3.42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46062</v>
      </c>
      <c r="B171" t="s">
        <v>48</v>
      </c>
      <c r="C171">
        <v>649163</v>
      </c>
      <c r="D171">
        <v>2017624587</v>
      </c>
      <c r="E171" t="s">
        <v>414</v>
      </c>
      <c r="F171" t="s">
        <v>298</v>
      </c>
      <c r="G171" t="s">
        <v>51</v>
      </c>
      <c r="H171" t="s">
        <v>52</v>
      </c>
      <c r="I171" t="s">
        <v>53</v>
      </c>
      <c r="J171" t="s">
        <v>415</v>
      </c>
      <c r="K171">
        <v>650794</v>
      </c>
      <c r="L171" t="s">
        <v>171</v>
      </c>
      <c r="M171" t="s">
        <v>220</v>
      </c>
      <c r="N171" t="s">
        <v>57</v>
      </c>
      <c r="O171" s="1">
        <v>44967</v>
      </c>
      <c r="Q171" s="1">
        <v>46091</v>
      </c>
      <c r="R171" s="2">
        <v>61.81</v>
      </c>
      <c r="S171">
        <v>1</v>
      </c>
      <c r="T171" t="s">
        <v>58</v>
      </c>
      <c r="U171" t="s">
        <v>156</v>
      </c>
      <c r="V171" s="4">
        <v>6.5000000000000002E-2</v>
      </c>
      <c r="W171" s="2">
        <v>0</v>
      </c>
      <c r="X171">
        <v>0</v>
      </c>
      <c r="Y171" t="s">
        <v>157</v>
      </c>
      <c r="Z171" t="s">
        <v>135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4.0199999999999996</v>
      </c>
      <c r="AN171" s="2">
        <v>4.0199999999999996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46062</v>
      </c>
      <c r="B172" t="s">
        <v>48</v>
      </c>
      <c r="C172">
        <v>649163</v>
      </c>
      <c r="D172">
        <v>2018472292</v>
      </c>
      <c r="E172" t="s">
        <v>181</v>
      </c>
      <c r="F172" t="s">
        <v>182</v>
      </c>
      <c r="G172" t="s">
        <v>51</v>
      </c>
      <c r="H172" t="s">
        <v>52</v>
      </c>
      <c r="I172" t="s">
        <v>53</v>
      </c>
      <c r="J172" t="s">
        <v>415</v>
      </c>
      <c r="K172">
        <v>678320</v>
      </c>
      <c r="L172" t="s">
        <v>183</v>
      </c>
      <c r="M172" t="s">
        <v>184</v>
      </c>
      <c r="N172" t="s">
        <v>57</v>
      </c>
      <c r="O172" s="1">
        <v>45047</v>
      </c>
      <c r="Q172" s="1">
        <v>46082</v>
      </c>
      <c r="R172" s="2">
        <v>97.45</v>
      </c>
      <c r="S172">
        <v>1</v>
      </c>
      <c r="T172" t="s">
        <v>58</v>
      </c>
      <c r="U172" t="s">
        <v>156</v>
      </c>
      <c r="V172" s="4">
        <v>6.5000000000000002E-2</v>
      </c>
      <c r="W172" s="2">
        <v>0</v>
      </c>
      <c r="X172">
        <v>0</v>
      </c>
      <c r="Y172" t="s">
        <v>157</v>
      </c>
      <c r="Z172" t="s">
        <v>135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6.33</v>
      </c>
      <c r="AN172" s="2">
        <v>6.33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46062</v>
      </c>
      <c r="B173" t="s">
        <v>48</v>
      </c>
      <c r="C173">
        <v>649163</v>
      </c>
      <c r="D173">
        <v>2020720598</v>
      </c>
      <c r="E173" t="s">
        <v>210</v>
      </c>
      <c r="F173" t="s">
        <v>211</v>
      </c>
      <c r="G173" t="s">
        <v>51</v>
      </c>
      <c r="H173" t="s">
        <v>52</v>
      </c>
      <c r="I173" t="s">
        <v>53</v>
      </c>
      <c r="J173" t="s">
        <v>54</v>
      </c>
      <c r="K173">
        <v>649164</v>
      </c>
      <c r="L173" t="s">
        <v>154</v>
      </c>
      <c r="M173" t="s">
        <v>155</v>
      </c>
      <c r="N173" t="s">
        <v>57</v>
      </c>
      <c r="O173" s="1">
        <v>45261</v>
      </c>
      <c r="Q173" s="1">
        <v>46082</v>
      </c>
      <c r="R173" s="2">
        <v>92.55</v>
      </c>
      <c r="S173">
        <v>1</v>
      </c>
      <c r="T173" t="s">
        <v>58</v>
      </c>
      <c r="U173" t="s">
        <v>156</v>
      </c>
      <c r="V173" s="4">
        <v>6.5000000000000002E-2</v>
      </c>
      <c r="W173" s="2">
        <v>0</v>
      </c>
      <c r="X173">
        <v>0</v>
      </c>
      <c r="Y173" t="s">
        <v>157</v>
      </c>
      <c r="Z173" t="s">
        <v>135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6.02</v>
      </c>
      <c r="AN173" s="2">
        <v>6.02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46062</v>
      </c>
      <c r="B174" t="s">
        <v>48</v>
      </c>
      <c r="C174">
        <v>649163</v>
      </c>
      <c r="D174">
        <v>2020974702</v>
      </c>
      <c r="E174" t="s">
        <v>217</v>
      </c>
      <c r="F174" t="s">
        <v>218</v>
      </c>
      <c r="G174" t="s">
        <v>51</v>
      </c>
      <c r="H174" t="s">
        <v>52</v>
      </c>
      <c r="I174" t="s">
        <v>53</v>
      </c>
      <c r="J174" t="s">
        <v>54</v>
      </c>
      <c r="K174">
        <v>649164</v>
      </c>
      <c r="L174" t="s">
        <v>154</v>
      </c>
      <c r="M174" t="s">
        <v>155</v>
      </c>
      <c r="N174" t="s">
        <v>57</v>
      </c>
      <c r="O174" s="1">
        <v>45292</v>
      </c>
      <c r="Q174" s="1">
        <v>46082</v>
      </c>
      <c r="R174" s="2">
        <v>52.69</v>
      </c>
      <c r="S174">
        <v>1</v>
      </c>
      <c r="T174" t="s">
        <v>58</v>
      </c>
      <c r="U174" t="s">
        <v>156</v>
      </c>
      <c r="V174" s="4">
        <v>6.5000000000000002E-2</v>
      </c>
      <c r="W174" s="2">
        <v>0</v>
      </c>
      <c r="X174">
        <v>0</v>
      </c>
      <c r="Y174" t="s">
        <v>157</v>
      </c>
      <c r="Z174" t="s">
        <v>135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3.42</v>
      </c>
      <c r="AN174" s="2">
        <v>3.42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46062</v>
      </c>
      <c r="B175" t="s">
        <v>48</v>
      </c>
      <c r="C175">
        <v>649163</v>
      </c>
      <c r="D175">
        <v>2022693240</v>
      </c>
      <c r="E175" t="s">
        <v>416</v>
      </c>
      <c r="F175" t="s">
        <v>240</v>
      </c>
      <c r="G175" t="s">
        <v>51</v>
      </c>
      <c r="H175" t="s">
        <v>237</v>
      </c>
      <c r="I175" t="s">
        <v>53</v>
      </c>
      <c r="J175" t="s">
        <v>54</v>
      </c>
      <c r="K175">
        <v>751867</v>
      </c>
      <c r="L175" t="s">
        <v>239</v>
      </c>
      <c r="M175" t="s">
        <v>240</v>
      </c>
      <c r="N175" t="s">
        <v>144</v>
      </c>
      <c r="O175" s="1">
        <v>45413</v>
      </c>
      <c r="P175" s="1">
        <v>46062</v>
      </c>
      <c r="Q175" s="1">
        <v>46082</v>
      </c>
      <c r="R175" s="2">
        <v>-46.45</v>
      </c>
      <c r="S175">
        <v>1</v>
      </c>
      <c r="T175" t="s">
        <v>58</v>
      </c>
      <c r="U175" t="s">
        <v>156</v>
      </c>
      <c r="V175" s="4">
        <v>6.5000000000000002E-2</v>
      </c>
      <c r="W175" s="2">
        <v>0</v>
      </c>
      <c r="X175">
        <v>-1</v>
      </c>
      <c r="Y175" t="s">
        <v>157</v>
      </c>
      <c r="Z175" t="s">
        <v>135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-3.02</v>
      </c>
      <c r="AN175" s="2">
        <v>-3.02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46062</v>
      </c>
      <c r="B176" t="s">
        <v>48</v>
      </c>
      <c r="C176">
        <v>649163</v>
      </c>
      <c r="D176">
        <v>2022853293</v>
      </c>
      <c r="E176" t="s">
        <v>242</v>
      </c>
      <c r="F176" t="s">
        <v>243</v>
      </c>
      <c r="G176" t="s">
        <v>51</v>
      </c>
      <c r="H176" t="s">
        <v>52</v>
      </c>
      <c r="I176" t="s">
        <v>53</v>
      </c>
      <c r="J176" t="s">
        <v>54</v>
      </c>
      <c r="K176">
        <v>751867</v>
      </c>
      <c r="L176" t="s">
        <v>239</v>
      </c>
      <c r="M176" t="s">
        <v>240</v>
      </c>
      <c r="N176" t="s">
        <v>57</v>
      </c>
      <c r="O176" s="1">
        <v>45413</v>
      </c>
      <c r="Q176" s="1">
        <v>46082</v>
      </c>
      <c r="R176" s="2">
        <v>79.75</v>
      </c>
      <c r="S176">
        <v>1</v>
      </c>
      <c r="T176" t="s">
        <v>58</v>
      </c>
      <c r="U176" t="s">
        <v>156</v>
      </c>
      <c r="V176" s="4">
        <v>6.5000000000000002E-2</v>
      </c>
      <c r="W176" s="2">
        <v>0</v>
      </c>
      <c r="X176">
        <v>0</v>
      </c>
      <c r="Y176" t="s">
        <v>157</v>
      </c>
      <c r="Z176" t="s">
        <v>135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5.18</v>
      </c>
      <c r="AN176" s="2">
        <v>5.18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46062</v>
      </c>
      <c r="B177" t="s">
        <v>48</v>
      </c>
      <c r="C177">
        <v>649163</v>
      </c>
      <c r="D177">
        <v>2023499225</v>
      </c>
      <c r="E177" t="s">
        <v>417</v>
      </c>
      <c r="F177" t="s">
        <v>418</v>
      </c>
      <c r="G177" t="s">
        <v>51</v>
      </c>
      <c r="H177" t="s">
        <v>112</v>
      </c>
      <c r="I177" t="s">
        <v>53</v>
      </c>
      <c r="J177" t="s">
        <v>54</v>
      </c>
      <c r="K177">
        <v>751867</v>
      </c>
      <c r="L177" t="s">
        <v>239</v>
      </c>
      <c r="M177" t="s">
        <v>240</v>
      </c>
      <c r="N177" t="s">
        <v>57</v>
      </c>
      <c r="O177" s="1">
        <v>45456</v>
      </c>
      <c r="Q177" s="1">
        <v>46094</v>
      </c>
      <c r="R177" s="2">
        <v>56.69</v>
      </c>
      <c r="S177">
        <v>1</v>
      </c>
      <c r="T177" t="s">
        <v>58</v>
      </c>
      <c r="U177" t="s">
        <v>156</v>
      </c>
      <c r="V177" s="4">
        <v>6.5000000000000002E-2</v>
      </c>
      <c r="W177" s="2">
        <v>0</v>
      </c>
      <c r="X177">
        <v>0</v>
      </c>
      <c r="Y177" t="s">
        <v>157</v>
      </c>
      <c r="Z177" t="s">
        <v>135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3.68</v>
      </c>
      <c r="AN177" s="2">
        <v>3.68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46062</v>
      </c>
      <c r="B178" t="s">
        <v>48</v>
      </c>
      <c r="C178">
        <v>649163</v>
      </c>
      <c r="D178">
        <v>2024033857</v>
      </c>
      <c r="E178" t="s">
        <v>419</v>
      </c>
      <c r="F178" t="s">
        <v>420</v>
      </c>
      <c r="G178" t="s">
        <v>51</v>
      </c>
      <c r="H178" t="s">
        <v>147</v>
      </c>
      <c r="I178" t="s">
        <v>53</v>
      </c>
      <c r="J178" t="s">
        <v>54</v>
      </c>
      <c r="K178">
        <v>650218</v>
      </c>
      <c r="L178" t="s">
        <v>246</v>
      </c>
      <c r="M178" t="s">
        <v>195</v>
      </c>
      <c r="N178" t="s">
        <v>57</v>
      </c>
      <c r="O178" s="1">
        <v>45505</v>
      </c>
      <c r="Q178" s="1">
        <v>46082</v>
      </c>
      <c r="R178" s="2">
        <v>46.45</v>
      </c>
      <c r="S178">
        <v>1</v>
      </c>
      <c r="T178" t="s">
        <v>58</v>
      </c>
      <c r="U178" t="s">
        <v>156</v>
      </c>
      <c r="V178" s="4">
        <v>6.5000000000000002E-2</v>
      </c>
      <c r="W178" s="2">
        <v>0</v>
      </c>
      <c r="X178">
        <v>0</v>
      </c>
      <c r="Y178" t="s">
        <v>157</v>
      </c>
      <c r="Z178" t="s">
        <v>135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3.02</v>
      </c>
      <c r="AN178" s="2">
        <v>3.02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46062</v>
      </c>
      <c r="B179" t="s">
        <v>48</v>
      </c>
      <c r="C179">
        <v>649163</v>
      </c>
      <c r="D179">
        <v>2024320119</v>
      </c>
      <c r="E179" t="s">
        <v>421</v>
      </c>
      <c r="F179" t="s">
        <v>298</v>
      </c>
      <c r="G179" t="s">
        <v>51</v>
      </c>
      <c r="H179" t="s">
        <v>52</v>
      </c>
      <c r="I179" t="s">
        <v>53</v>
      </c>
      <c r="J179" t="s">
        <v>54</v>
      </c>
      <c r="K179">
        <v>650218</v>
      </c>
      <c r="L179" t="s">
        <v>246</v>
      </c>
      <c r="M179" t="s">
        <v>195</v>
      </c>
      <c r="N179" t="s">
        <v>57</v>
      </c>
      <c r="O179" s="1">
        <v>45514</v>
      </c>
      <c r="Q179" s="1">
        <v>46091</v>
      </c>
      <c r="R179" s="2">
        <v>46.45</v>
      </c>
      <c r="S179">
        <v>1</v>
      </c>
      <c r="T179" t="s">
        <v>58</v>
      </c>
      <c r="U179" t="s">
        <v>156</v>
      </c>
      <c r="V179" s="4">
        <v>6.5000000000000002E-2</v>
      </c>
      <c r="W179" s="2">
        <v>0</v>
      </c>
      <c r="X179">
        <v>0</v>
      </c>
      <c r="Y179" t="s">
        <v>157</v>
      </c>
      <c r="Z179" t="s">
        <v>135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3.02</v>
      </c>
      <c r="AN179" s="2">
        <v>3.02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46062</v>
      </c>
      <c r="B180" t="s">
        <v>48</v>
      </c>
      <c r="C180">
        <v>649163</v>
      </c>
      <c r="D180">
        <v>2024737148</v>
      </c>
      <c r="E180" t="s">
        <v>422</v>
      </c>
      <c r="F180" t="s">
        <v>423</v>
      </c>
      <c r="G180" t="s">
        <v>51</v>
      </c>
      <c r="H180" t="s">
        <v>288</v>
      </c>
      <c r="I180" t="s">
        <v>53</v>
      </c>
      <c r="J180" t="s">
        <v>54</v>
      </c>
      <c r="K180">
        <v>751867</v>
      </c>
      <c r="L180" t="s">
        <v>239</v>
      </c>
      <c r="M180" t="s">
        <v>240</v>
      </c>
      <c r="N180" t="s">
        <v>57</v>
      </c>
      <c r="O180" s="1">
        <v>45541</v>
      </c>
      <c r="Q180" s="1">
        <v>46087</v>
      </c>
      <c r="R180" s="2">
        <v>96.55</v>
      </c>
      <c r="S180">
        <v>1</v>
      </c>
      <c r="T180" t="s">
        <v>58</v>
      </c>
      <c r="U180" t="s">
        <v>156</v>
      </c>
      <c r="V180" s="4">
        <v>6.5000000000000002E-2</v>
      </c>
      <c r="W180" s="2">
        <v>0</v>
      </c>
      <c r="X180">
        <v>0</v>
      </c>
      <c r="Y180" t="s">
        <v>157</v>
      </c>
      <c r="Z180" t="s">
        <v>135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6.28</v>
      </c>
      <c r="AN180" s="2">
        <v>6.28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46062</v>
      </c>
      <c r="B181" t="s">
        <v>48</v>
      </c>
      <c r="C181">
        <v>649163</v>
      </c>
      <c r="D181">
        <v>2024752410</v>
      </c>
      <c r="E181" t="s">
        <v>424</v>
      </c>
      <c r="F181" t="s">
        <v>425</v>
      </c>
      <c r="G181" t="s">
        <v>51</v>
      </c>
      <c r="H181" t="s">
        <v>288</v>
      </c>
      <c r="I181" t="s">
        <v>53</v>
      </c>
      <c r="J181" t="s">
        <v>54</v>
      </c>
      <c r="K181">
        <v>751867</v>
      </c>
      <c r="L181" t="s">
        <v>239</v>
      </c>
      <c r="M181" t="s">
        <v>240</v>
      </c>
      <c r="N181" t="s">
        <v>57</v>
      </c>
      <c r="O181" s="1">
        <v>45544</v>
      </c>
      <c r="Q181" s="1">
        <v>46090</v>
      </c>
      <c r="R181" s="2">
        <v>40.159999999999997</v>
      </c>
      <c r="S181">
        <v>1</v>
      </c>
      <c r="T181" t="s">
        <v>58</v>
      </c>
      <c r="U181" t="s">
        <v>156</v>
      </c>
      <c r="V181" s="4">
        <v>6.5000000000000002E-2</v>
      </c>
      <c r="W181" s="2">
        <v>0</v>
      </c>
      <c r="X181">
        <v>0</v>
      </c>
      <c r="Y181" t="s">
        <v>157</v>
      </c>
      <c r="Z181" t="s">
        <v>135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2.61</v>
      </c>
      <c r="AN181" s="2">
        <v>2.61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46062</v>
      </c>
      <c r="B182" t="s">
        <v>48</v>
      </c>
      <c r="C182">
        <v>649163</v>
      </c>
      <c r="D182">
        <v>2026227664</v>
      </c>
      <c r="E182" t="s">
        <v>426</v>
      </c>
      <c r="F182" t="s">
        <v>427</v>
      </c>
      <c r="G182" t="s">
        <v>51</v>
      </c>
      <c r="H182" t="s">
        <v>52</v>
      </c>
      <c r="I182" t="s">
        <v>53</v>
      </c>
      <c r="J182" t="s">
        <v>54</v>
      </c>
      <c r="K182">
        <v>751867</v>
      </c>
      <c r="L182" t="s">
        <v>239</v>
      </c>
      <c r="M182" t="s">
        <v>240</v>
      </c>
      <c r="N182" t="s">
        <v>57</v>
      </c>
      <c r="O182" s="1">
        <v>45658</v>
      </c>
      <c r="Q182" s="1">
        <v>46082</v>
      </c>
      <c r="R182" s="2">
        <v>50.06</v>
      </c>
      <c r="S182">
        <v>1</v>
      </c>
      <c r="T182" t="s">
        <v>58</v>
      </c>
      <c r="U182" t="s">
        <v>156</v>
      </c>
      <c r="V182" s="4">
        <v>6.5000000000000002E-2</v>
      </c>
      <c r="W182" s="2">
        <v>0</v>
      </c>
      <c r="X182">
        <v>0</v>
      </c>
      <c r="Y182" t="s">
        <v>157</v>
      </c>
      <c r="Z182" t="s">
        <v>135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3.25</v>
      </c>
      <c r="AN182" s="2">
        <v>3.25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46062</v>
      </c>
      <c r="B183" t="s">
        <v>48</v>
      </c>
      <c r="C183">
        <v>649163</v>
      </c>
      <c r="D183">
        <v>2026485484</v>
      </c>
      <c r="E183" t="s">
        <v>428</v>
      </c>
      <c r="F183" t="s">
        <v>429</v>
      </c>
      <c r="G183" t="s">
        <v>51</v>
      </c>
      <c r="H183" t="s">
        <v>112</v>
      </c>
      <c r="I183" t="s">
        <v>53</v>
      </c>
      <c r="J183" t="s">
        <v>54</v>
      </c>
      <c r="K183">
        <v>650218</v>
      </c>
      <c r="L183" t="s">
        <v>246</v>
      </c>
      <c r="M183" t="s">
        <v>195</v>
      </c>
      <c r="N183" t="s">
        <v>57</v>
      </c>
      <c r="O183" s="1">
        <v>45665</v>
      </c>
      <c r="Q183" s="1">
        <v>46089</v>
      </c>
      <c r="R183" s="2">
        <v>50.06</v>
      </c>
      <c r="S183">
        <v>1</v>
      </c>
      <c r="T183" t="s">
        <v>58</v>
      </c>
      <c r="U183" t="s">
        <v>156</v>
      </c>
      <c r="V183" s="4">
        <v>6.5000000000000002E-2</v>
      </c>
      <c r="W183" s="2">
        <v>0</v>
      </c>
      <c r="X183">
        <v>0</v>
      </c>
      <c r="Y183" t="s">
        <v>157</v>
      </c>
      <c r="Z183" t="s">
        <v>135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3.25</v>
      </c>
      <c r="AN183" s="2">
        <v>3.25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46062</v>
      </c>
      <c r="B184" t="s">
        <v>48</v>
      </c>
      <c r="C184">
        <v>649163</v>
      </c>
      <c r="D184">
        <v>2029787708</v>
      </c>
      <c r="E184" t="s">
        <v>281</v>
      </c>
      <c r="F184" t="s">
        <v>430</v>
      </c>
      <c r="G184" t="s">
        <v>51</v>
      </c>
      <c r="H184" t="s">
        <v>52</v>
      </c>
      <c r="I184" t="s">
        <v>53</v>
      </c>
      <c r="J184" t="s">
        <v>54</v>
      </c>
      <c r="K184">
        <v>651818</v>
      </c>
      <c r="L184" t="s">
        <v>80</v>
      </c>
      <c r="M184" t="s">
        <v>81</v>
      </c>
      <c r="N184" t="s">
        <v>144</v>
      </c>
      <c r="O184" s="1">
        <v>45870</v>
      </c>
      <c r="P184" s="1">
        <v>46062</v>
      </c>
      <c r="Q184" s="1">
        <v>46082</v>
      </c>
      <c r="R184" s="2">
        <v>-52.69</v>
      </c>
      <c r="S184">
        <v>1</v>
      </c>
      <c r="T184" t="s">
        <v>58</v>
      </c>
      <c r="U184" t="s">
        <v>156</v>
      </c>
      <c r="V184" s="3">
        <v>0.6</v>
      </c>
      <c r="W184" s="2">
        <v>0</v>
      </c>
      <c r="X184">
        <v>-1</v>
      </c>
      <c r="Y184" t="s">
        <v>60</v>
      </c>
      <c r="Z184" t="s">
        <v>135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-31.61</v>
      </c>
      <c r="AN184" s="2">
        <v>-31.61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46062</v>
      </c>
      <c r="B185" t="s">
        <v>48</v>
      </c>
      <c r="C185">
        <v>649163</v>
      </c>
      <c r="D185">
        <v>2030380472</v>
      </c>
      <c r="E185" t="s">
        <v>431</v>
      </c>
      <c r="F185" t="s">
        <v>432</v>
      </c>
      <c r="G185" t="s">
        <v>51</v>
      </c>
      <c r="H185" t="s">
        <v>52</v>
      </c>
      <c r="I185" t="s">
        <v>53</v>
      </c>
      <c r="J185" t="s">
        <v>54</v>
      </c>
      <c r="K185">
        <v>650218</v>
      </c>
      <c r="L185" t="s">
        <v>246</v>
      </c>
      <c r="M185" t="s">
        <v>195</v>
      </c>
      <c r="N185" t="s">
        <v>57</v>
      </c>
      <c r="O185" s="1">
        <v>45877</v>
      </c>
      <c r="Q185" s="1">
        <v>46089</v>
      </c>
      <c r="R185" s="2">
        <v>56.69</v>
      </c>
      <c r="S185">
        <v>1</v>
      </c>
      <c r="T185" t="s">
        <v>58</v>
      </c>
      <c r="U185" t="s">
        <v>156</v>
      </c>
      <c r="V185" s="3">
        <v>0.6</v>
      </c>
      <c r="W185" s="2">
        <v>0</v>
      </c>
      <c r="X185">
        <v>0</v>
      </c>
      <c r="Y185" t="s">
        <v>60</v>
      </c>
      <c r="Z185" t="s">
        <v>135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0.02</v>
      </c>
      <c r="AM185" s="2">
        <v>33.99</v>
      </c>
      <c r="AN185" s="2">
        <v>33.99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46062</v>
      </c>
      <c r="B186" t="s">
        <v>48</v>
      </c>
      <c r="C186">
        <v>649163</v>
      </c>
      <c r="D186">
        <v>2031106900</v>
      </c>
      <c r="E186" t="s">
        <v>433</v>
      </c>
      <c r="F186" t="s">
        <v>434</v>
      </c>
      <c r="G186" t="s">
        <v>51</v>
      </c>
      <c r="H186" t="s">
        <v>90</v>
      </c>
      <c r="I186" t="s">
        <v>53</v>
      </c>
      <c r="J186" t="s">
        <v>415</v>
      </c>
      <c r="K186">
        <v>884595</v>
      </c>
      <c r="L186" t="s">
        <v>435</v>
      </c>
      <c r="M186" t="s">
        <v>436</v>
      </c>
      <c r="N186" t="s">
        <v>57</v>
      </c>
      <c r="O186" s="1">
        <v>45931</v>
      </c>
      <c r="Q186" s="1">
        <v>46082</v>
      </c>
      <c r="R186" s="2">
        <v>64.510000000000005</v>
      </c>
      <c r="S186">
        <v>1</v>
      </c>
      <c r="T186" t="s">
        <v>58</v>
      </c>
      <c r="U186" t="s">
        <v>59</v>
      </c>
      <c r="V186" s="3">
        <v>0.6</v>
      </c>
      <c r="W186" s="2">
        <v>0</v>
      </c>
      <c r="X186">
        <v>0</v>
      </c>
      <c r="Y186" t="s">
        <v>60</v>
      </c>
      <c r="Z186" t="s">
        <v>135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38.71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46062</v>
      </c>
      <c r="B187" t="s">
        <v>48</v>
      </c>
      <c r="C187">
        <v>649163</v>
      </c>
      <c r="D187">
        <v>2032018945</v>
      </c>
      <c r="E187" t="s">
        <v>437</v>
      </c>
      <c r="F187" t="s">
        <v>438</v>
      </c>
      <c r="G187" t="s">
        <v>51</v>
      </c>
      <c r="H187" t="s">
        <v>52</v>
      </c>
      <c r="I187" t="s">
        <v>53</v>
      </c>
      <c r="J187" t="s">
        <v>54</v>
      </c>
      <c r="K187">
        <v>820140</v>
      </c>
      <c r="L187" t="s">
        <v>439</v>
      </c>
      <c r="M187" t="s">
        <v>68</v>
      </c>
      <c r="N187" t="s">
        <v>57</v>
      </c>
      <c r="O187" s="1">
        <v>45968</v>
      </c>
      <c r="Q187" s="1">
        <v>46088</v>
      </c>
      <c r="R187" s="2">
        <v>42.45</v>
      </c>
      <c r="S187">
        <v>1</v>
      </c>
      <c r="T187" t="s">
        <v>58</v>
      </c>
      <c r="U187" t="s">
        <v>59</v>
      </c>
      <c r="V187" s="3">
        <v>0.2</v>
      </c>
      <c r="W187" s="2">
        <v>0</v>
      </c>
      <c r="X187">
        <v>0</v>
      </c>
      <c r="Y187" t="s">
        <v>60</v>
      </c>
      <c r="Z187" t="s">
        <v>135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8.49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46062</v>
      </c>
      <c r="B188" t="s">
        <v>48</v>
      </c>
      <c r="C188">
        <v>649163</v>
      </c>
      <c r="D188">
        <v>2032385812</v>
      </c>
      <c r="E188" t="s">
        <v>440</v>
      </c>
      <c r="F188" t="s">
        <v>441</v>
      </c>
      <c r="G188" t="s">
        <v>51</v>
      </c>
      <c r="H188" t="s">
        <v>140</v>
      </c>
      <c r="I188" t="s">
        <v>53</v>
      </c>
      <c r="J188" t="s">
        <v>54</v>
      </c>
      <c r="K188">
        <v>822733</v>
      </c>
      <c r="L188" t="s">
        <v>442</v>
      </c>
      <c r="M188" t="s">
        <v>443</v>
      </c>
      <c r="N188" t="s">
        <v>57</v>
      </c>
      <c r="O188" s="1">
        <v>46023</v>
      </c>
      <c r="Q188" s="1">
        <v>46082</v>
      </c>
      <c r="R188" s="2">
        <v>54.66</v>
      </c>
      <c r="S188">
        <v>1</v>
      </c>
      <c r="T188" t="s">
        <v>58</v>
      </c>
      <c r="U188" t="s">
        <v>59</v>
      </c>
      <c r="V188" s="3">
        <v>0.6</v>
      </c>
      <c r="W188" s="2">
        <v>0</v>
      </c>
      <c r="X188">
        <v>0</v>
      </c>
      <c r="Y188" t="s">
        <v>60</v>
      </c>
      <c r="Z188" t="s">
        <v>135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32.799999999999997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46062</v>
      </c>
      <c r="B189" t="s">
        <v>48</v>
      </c>
      <c r="C189">
        <v>649163</v>
      </c>
      <c r="D189">
        <v>2032462074</v>
      </c>
      <c r="E189" t="s">
        <v>444</v>
      </c>
      <c r="F189" t="s">
        <v>445</v>
      </c>
      <c r="G189" t="s">
        <v>51</v>
      </c>
      <c r="H189" t="s">
        <v>237</v>
      </c>
      <c r="I189" t="s">
        <v>53</v>
      </c>
      <c r="J189" t="s">
        <v>54</v>
      </c>
      <c r="K189">
        <v>673059</v>
      </c>
      <c r="L189" t="s">
        <v>162</v>
      </c>
      <c r="M189" t="s">
        <v>180</v>
      </c>
      <c r="N189" t="s">
        <v>57</v>
      </c>
      <c r="O189" s="1">
        <v>46023</v>
      </c>
      <c r="Q189" s="1">
        <v>46082</v>
      </c>
      <c r="R189" s="2">
        <v>-75.67</v>
      </c>
      <c r="S189">
        <v>1</v>
      </c>
      <c r="T189" t="s">
        <v>58</v>
      </c>
      <c r="U189" t="s">
        <v>59</v>
      </c>
      <c r="V189" s="3">
        <v>0.6</v>
      </c>
      <c r="W189" s="2">
        <v>0</v>
      </c>
      <c r="X189">
        <v>-1</v>
      </c>
      <c r="Y189" t="s">
        <v>60</v>
      </c>
      <c r="Z189" t="s">
        <v>135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-45.4</v>
      </c>
      <c r="AN189" s="2">
        <v>-45.4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46062</v>
      </c>
      <c r="B190" t="s">
        <v>48</v>
      </c>
      <c r="C190">
        <v>649163</v>
      </c>
      <c r="D190">
        <v>2032590100</v>
      </c>
      <c r="E190" t="s">
        <v>446</v>
      </c>
      <c r="F190" t="s">
        <v>65</v>
      </c>
      <c r="G190" t="s">
        <v>51</v>
      </c>
      <c r="H190" t="s">
        <v>66</v>
      </c>
      <c r="I190" t="s">
        <v>53</v>
      </c>
      <c r="J190" t="s">
        <v>54</v>
      </c>
      <c r="K190">
        <v>894525</v>
      </c>
      <c r="L190" t="s">
        <v>67</v>
      </c>
      <c r="M190" t="s">
        <v>68</v>
      </c>
      <c r="N190" t="s">
        <v>144</v>
      </c>
      <c r="O190" s="1">
        <v>46023</v>
      </c>
      <c r="P190" s="1">
        <v>46062</v>
      </c>
      <c r="Q190" s="1">
        <v>46082</v>
      </c>
      <c r="R190" s="2">
        <v>-52.69</v>
      </c>
      <c r="S190">
        <v>1</v>
      </c>
      <c r="T190" t="s">
        <v>58</v>
      </c>
      <c r="U190" t="s">
        <v>59</v>
      </c>
      <c r="V190" s="3">
        <v>0.6</v>
      </c>
      <c r="W190" s="2">
        <v>0</v>
      </c>
      <c r="X190">
        <v>-1</v>
      </c>
      <c r="Y190" t="s">
        <v>60</v>
      </c>
      <c r="Z190" t="s">
        <v>135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-31.61</v>
      </c>
      <c r="AN190" s="2">
        <v>-31.61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46062</v>
      </c>
      <c r="B191" t="s">
        <v>48</v>
      </c>
      <c r="C191">
        <v>649163</v>
      </c>
      <c r="D191">
        <v>2032616557</v>
      </c>
      <c r="E191" t="s">
        <v>447</v>
      </c>
      <c r="F191" t="s">
        <v>75</v>
      </c>
      <c r="G191" t="s">
        <v>51</v>
      </c>
      <c r="H191" t="s">
        <v>193</v>
      </c>
      <c r="I191" t="s">
        <v>53</v>
      </c>
      <c r="J191" t="s">
        <v>54</v>
      </c>
      <c r="K191">
        <v>822733</v>
      </c>
      <c r="L191" t="s">
        <v>442</v>
      </c>
      <c r="M191" t="s">
        <v>443</v>
      </c>
      <c r="N191" t="s">
        <v>57</v>
      </c>
      <c r="O191" s="1">
        <v>46029</v>
      </c>
      <c r="Q191" s="1">
        <v>46088</v>
      </c>
      <c r="R191" s="2">
        <v>75.75</v>
      </c>
      <c r="S191">
        <v>1</v>
      </c>
      <c r="T191" t="s">
        <v>58</v>
      </c>
      <c r="U191" t="s">
        <v>59</v>
      </c>
      <c r="V191" s="3">
        <v>0.6</v>
      </c>
      <c r="W191" s="2">
        <v>0</v>
      </c>
      <c r="X191">
        <v>0</v>
      </c>
      <c r="Y191" t="s">
        <v>60</v>
      </c>
      <c r="Z191" t="s">
        <v>135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45.45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46062</v>
      </c>
      <c r="B192" t="s">
        <v>48</v>
      </c>
      <c r="C192">
        <v>649163</v>
      </c>
      <c r="D192">
        <v>2033045478</v>
      </c>
      <c r="E192" t="s">
        <v>448</v>
      </c>
      <c r="F192" t="s">
        <v>370</v>
      </c>
      <c r="G192" t="s">
        <v>51</v>
      </c>
      <c r="H192" t="s">
        <v>52</v>
      </c>
      <c r="I192" t="s">
        <v>53</v>
      </c>
      <c r="J192" t="s">
        <v>54</v>
      </c>
      <c r="K192">
        <v>751867</v>
      </c>
      <c r="L192" t="s">
        <v>239</v>
      </c>
      <c r="M192" t="s">
        <v>240</v>
      </c>
      <c r="N192" t="s">
        <v>57</v>
      </c>
      <c r="O192" s="1">
        <v>46031</v>
      </c>
      <c r="Q192" s="1">
        <v>46090</v>
      </c>
      <c r="R192" s="2">
        <v>46.45</v>
      </c>
      <c r="S192">
        <v>1</v>
      </c>
      <c r="T192" t="s">
        <v>58</v>
      </c>
      <c r="U192" t="s">
        <v>59</v>
      </c>
      <c r="V192" s="3">
        <v>0.6</v>
      </c>
      <c r="W192" s="2">
        <v>0</v>
      </c>
      <c r="X192">
        <v>0</v>
      </c>
      <c r="Y192" t="s">
        <v>60</v>
      </c>
      <c r="Z192" t="s">
        <v>135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27.87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46062</v>
      </c>
      <c r="B193" t="s">
        <v>48</v>
      </c>
      <c r="C193">
        <v>649163</v>
      </c>
      <c r="D193">
        <v>2033064966</v>
      </c>
      <c r="E193" t="s">
        <v>449</v>
      </c>
      <c r="F193" t="s">
        <v>450</v>
      </c>
      <c r="G193" t="s">
        <v>51</v>
      </c>
      <c r="H193" t="s">
        <v>52</v>
      </c>
      <c r="I193" t="s">
        <v>53</v>
      </c>
      <c r="J193" t="s">
        <v>54</v>
      </c>
      <c r="K193">
        <v>751867</v>
      </c>
      <c r="L193" t="s">
        <v>239</v>
      </c>
      <c r="M193" t="s">
        <v>240</v>
      </c>
      <c r="N193" t="s">
        <v>57</v>
      </c>
      <c r="O193" s="1">
        <v>46034</v>
      </c>
      <c r="Q193" s="1">
        <v>46093</v>
      </c>
      <c r="R193" s="2">
        <v>40.159999999999997</v>
      </c>
      <c r="S193">
        <v>1</v>
      </c>
      <c r="T193" t="s">
        <v>58</v>
      </c>
      <c r="U193" t="s">
        <v>59</v>
      </c>
      <c r="V193" s="3">
        <v>0.6</v>
      </c>
      <c r="W193" s="2">
        <v>0</v>
      </c>
      <c r="X193">
        <v>0</v>
      </c>
      <c r="Y193" t="s">
        <v>60</v>
      </c>
      <c r="Z193" t="s">
        <v>135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24.1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46062</v>
      </c>
      <c r="B194" t="s">
        <v>48</v>
      </c>
      <c r="C194">
        <v>649163</v>
      </c>
      <c r="D194">
        <v>2033069546</v>
      </c>
      <c r="E194" t="s">
        <v>451</v>
      </c>
      <c r="F194" t="s">
        <v>452</v>
      </c>
      <c r="G194" t="s">
        <v>51</v>
      </c>
      <c r="H194" t="s">
        <v>237</v>
      </c>
      <c r="I194" t="s">
        <v>53</v>
      </c>
      <c r="J194" t="s">
        <v>54</v>
      </c>
      <c r="K194">
        <v>751867</v>
      </c>
      <c r="L194" t="s">
        <v>239</v>
      </c>
      <c r="M194" t="s">
        <v>240</v>
      </c>
      <c r="N194" t="s">
        <v>57</v>
      </c>
      <c r="O194" s="1">
        <v>46032</v>
      </c>
      <c r="Q194" s="1">
        <v>46091</v>
      </c>
      <c r="R194" s="2">
        <v>40.159999999999997</v>
      </c>
      <c r="S194">
        <v>1</v>
      </c>
      <c r="T194" t="s">
        <v>58</v>
      </c>
      <c r="U194" t="s">
        <v>59</v>
      </c>
      <c r="V194" s="3">
        <v>0.6</v>
      </c>
      <c r="W194" s="2">
        <v>0</v>
      </c>
      <c r="X194">
        <v>0</v>
      </c>
      <c r="Y194" t="s">
        <v>60</v>
      </c>
      <c r="Z194" t="s">
        <v>135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24.1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46062</v>
      </c>
      <c r="B195" t="s">
        <v>48</v>
      </c>
      <c r="C195">
        <v>649163</v>
      </c>
      <c r="D195">
        <v>2033160879</v>
      </c>
      <c r="E195" t="s">
        <v>453</v>
      </c>
      <c r="F195" t="s">
        <v>454</v>
      </c>
      <c r="G195" t="s">
        <v>51</v>
      </c>
      <c r="H195" t="s">
        <v>52</v>
      </c>
      <c r="I195" t="s">
        <v>53</v>
      </c>
      <c r="J195" t="s">
        <v>54</v>
      </c>
      <c r="K195">
        <v>929503</v>
      </c>
      <c r="L195" t="s">
        <v>55</v>
      </c>
      <c r="M195" t="s">
        <v>56</v>
      </c>
      <c r="N195" t="s">
        <v>144</v>
      </c>
      <c r="O195" s="1">
        <v>46054</v>
      </c>
      <c r="P195" s="1">
        <v>46062</v>
      </c>
      <c r="Q195" s="1">
        <v>46082</v>
      </c>
      <c r="R195" s="2">
        <v>-75.67</v>
      </c>
      <c r="S195">
        <v>1</v>
      </c>
      <c r="T195" t="s">
        <v>58</v>
      </c>
      <c r="U195" t="s">
        <v>59</v>
      </c>
      <c r="V195" s="3">
        <v>0.6</v>
      </c>
      <c r="W195" s="2">
        <v>0</v>
      </c>
      <c r="X195">
        <v>-1</v>
      </c>
      <c r="Y195" t="s">
        <v>60</v>
      </c>
      <c r="Z195" t="s">
        <v>135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-45.4</v>
      </c>
      <c r="AN195" s="2">
        <v>-45.4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46062</v>
      </c>
      <c r="B196" t="s">
        <v>48</v>
      </c>
      <c r="C196">
        <v>649163</v>
      </c>
      <c r="D196">
        <v>2017242799</v>
      </c>
      <c r="E196" t="s">
        <v>168</v>
      </c>
      <c r="F196" t="s">
        <v>169</v>
      </c>
      <c r="G196" t="s">
        <v>51</v>
      </c>
      <c r="H196" t="s">
        <v>170</v>
      </c>
      <c r="I196" t="s">
        <v>72</v>
      </c>
      <c r="J196" t="s">
        <v>455</v>
      </c>
      <c r="K196">
        <v>652037</v>
      </c>
      <c r="L196" t="s">
        <v>171</v>
      </c>
      <c r="M196" t="s">
        <v>172</v>
      </c>
      <c r="N196" t="s">
        <v>57</v>
      </c>
      <c r="O196" s="1">
        <v>44930</v>
      </c>
      <c r="Q196" s="1">
        <v>46085</v>
      </c>
      <c r="R196" s="2">
        <v>53.56</v>
      </c>
      <c r="S196">
        <v>1</v>
      </c>
      <c r="T196" t="s">
        <v>58</v>
      </c>
      <c r="U196" t="s">
        <v>156</v>
      </c>
      <c r="V196" s="3">
        <v>0.1</v>
      </c>
      <c r="W196" s="2">
        <v>0</v>
      </c>
      <c r="X196">
        <v>0</v>
      </c>
      <c r="Y196" t="s">
        <v>157</v>
      </c>
      <c r="Z196" t="s">
        <v>135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5.36</v>
      </c>
      <c r="AN196" s="2">
        <v>5.36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46062</v>
      </c>
      <c r="B197" t="s">
        <v>48</v>
      </c>
      <c r="C197">
        <v>649163</v>
      </c>
      <c r="D197">
        <v>2018167734</v>
      </c>
      <c r="E197" t="s">
        <v>456</v>
      </c>
      <c r="F197" t="s">
        <v>457</v>
      </c>
      <c r="G197" t="s">
        <v>51</v>
      </c>
      <c r="H197" t="s">
        <v>458</v>
      </c>
      <c r="I197" t="s">
        <v>72</v>
      </c>
      <c r="J197" t="s">
        <v>79</v>
      </c>
      <c r="K197">
        <v>651818</v>
      </c>
      <c r="L197" t="s">
        <v>80</v>
      </c>
      <c r="M197" t="s">
        <v>81</v>
      </c>
      <c r="N197" t="s">
        <v>57</v>
      </c>
      <c r="O197" s="1">
        <v>45024</v>
      </c>
      <c r="Q197" s="1">
        <v>46089</v>
      </c>
      <c r="R197" s="2">
        <v>64.05</v>
      </c>
      <c r="S197">
        <v>1</v>
      </c>
      <c r="T197" t="s">
        <v>58</v>
      </c>
      <c r="U197" t="s">
        <v>156</v>
      </c>
      <c r="V197" s="3">
        <v>0.1</v>
      </c>
      <c r="W197" s="2">
        <v>0</v>
      </c>
      <c r="X197">
        <v>0</v>
      </c>
      <c r="Y197" t="s">
        <v>157</v>
      </c>
      <c r="Z197" t="s">
        <v>135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6.4</v>
      </c>
      <c r="AN197" s="2">
        <v>6.4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46062</v>
      </c>
      <c r="B198" t="s">
        <v>48</v>
      </c>
      <c r="C198">
        <v>649163</v>
      </c>
      <c r="D198">
        <v>2018365034</v>
      </c>
      <c r="E198" t="s">
        <v>459</v>
      </c>
      <c r="F198" t="s">
        <v>460</v>
      </c>
      <c r="G198" t="s">
        <v>51</v>
      </c>
      <c r="H198" t="s">
        <v>66</v>
      </c>
      <c r="I198" t="s">
        <v>72</v>
      </c>
      <c r="J198" t="s">
        <v>79</v>
      </c>
      <c r="K198">
        <v>651818</v>
      </c>
      <c r="L198" t="s">
        <v>80</v>
      </c>
      <c r="M198" t="s">
        <v>81</v>
      </c>
      <c r="N198" t="s">
        <v>57</v>
      </c>
      <c r="O198" s="1">
        <v>45054</v>
      </c>
      <c r="Q198" s="1">
        <v>46089</v>
      </c>
      <c r="R198" s="2">
        <v>171.06</v>
      </c>
      <c r="S198">
        <v>1</v>
      </c>
      <c r="T198" t="s">
        <v>58</v>
      </c>
      <c r="U198" t="s">
        <v>156</v>
      </c>
      <c r="V198" s="3">
        <v>0.1</v>
      </c>
      <c r="W198" s="2">
        <v>0</v>
      </c>
      <c r="X198">
        <v>0</v>
      </c>
      <c r="Y198" t="s">
        <v>157</v>
      </c>
      <c r="Z198" t="s">
        <v>135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17.11</v>
      </c>
      <c r="AN198" s="2">
        <v>17.11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46062</v>
      </c>
      <c r="B199" t="s">
        <v>48</v>
      </c>
      <c r="C199">
        <v>649163</v>
      </c>
      <c r="D199">
        <v>2018462891</v>
      </c>
      <c r="E199" t="s">
        <v>461</v>
      </c>
      <c r="F199" t="s">
        <v>462</v>
      </c>
      <c r="G199" t="s">
        <v>51</v>
      </c>
      <c r="H199" t="s">
        <v>90</v>
      </c>
      <c r="I199" t="s">
        <v>72</v>
      </c>
      <c r="J199" t="s">
        <v>93</v>
      </c>
      <c r="K199">
        <v>651818</v>
      </c>
      <c r="L199" t="s">
        <v>80</v>
      </c>
      <c r="M199" t="s">
        <v>81</v>
      </c>
      <c r="N199" t="s">
        <v>57</v>
      </c>
      <c r="O199" s="1">
        <v>45052</v>
      </c>
      <c r="Q199" s="1">
        <v>46087</v>
      </c>
      <c r="R199" s="2">
        <v>213.41</v>
      </c>
      <c r="S199">
        <v>1</v>
      </c>
      <c r="T199" t="s">
        <v>58</v>
      </c>
      <c r="U199" t="s">
        <v>156</v>
      </c>
      <c r="V199" s="3">
        <v>0.1</v>
      </c>
      <c r="W199" s="2">
        <v>0</v>
      </c>
      <c r="X199">
        <v>0</v>
      </c>
      <c r="Y199" t="s">
        <v>157</v>
      </c>
      <c r="Z199" t="s">
        <v>135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21.34</v>
      </c>
      <c r="AN199" s="2">
        <v>21.34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46062</v>
      </c>
      <c r="B200" t="s">
        <v>48</v>
      </c>
      <c r="C200">
        <v>649163</v>
      </c>
      <c r="D200">
        <v>2019110192</v>
      </c>
      <c r="E200" t="s">
        <v>463</v>
      </c>
      <c r="F200" t="s">
        <v>464</v>
      </c>
      <c r="G200" t="s">
        <v>51</v>
      </c>
      <c r="H200" t="s">
        <v>353</v>
      </c>
      <c r="I200" t="s">
        <v>72</v>
      </c>
      <c r="J200" t="s">
        <v>93</v>
      </c>
      <c r="K200">
        <v>651818</v>
      </c>
      <c r="L200" t="s">
        <v>80</v>
      </c>
      <c r="M200" t="s">
        <v>81</v>
      </c>
      <c r="N200" t="s">
        <v>57</v>
      </c>
      <c r="O200" s="1">
        <v>45112</v>
      </c>
      <c r="Q200" s="1">
        <v>46086</v>
      </c>
      <c r="R200" s="2">
        <v>-48.91</v>
      </c>
      <c r="S200">
        <v>1</v>
      </c>
      <c r="T200" t="s">
        <v>58</v>
      </c>
      <c r="U200" t="s">
        <v>156</v>
      </c>
      <c r="V200" s="3">
        <v>0.1</v>
      </c>
      <c r="W200" s="2">
        <v>0</v>
      </c>
      <c r="X200">
        <v>-1</v>
      </c>
      <c r="Y200" t="s">
        <v>157</v>
      </c>
      <c r="Z200" t="s">
        <v>135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-4.8899999999999997</v>
      </c>
      <c r="AN200" s="2">
        <v>-4.8899999999999997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46062</v>
      </c>
      <c r="B201" t="s">
        <v>48</v>
      </c>
      <c r="C201">
        <v>649163</v>
      </c>
      <c r="D201">
        <v>2019484024</v>
      </c>
      <c r="E201" t="s">
        <v>465</v>
      </c>
      <c r="F201" t="s">
        <v>466</v>
      </c>
      <c r="G201" t="s">
        <v>51</v>
      </c>
      <c r="H201" t="s">
        <v>112</v>
      </c>
      <c r="I201" t="s">
        <v>72</v>
      </c>
      <c r="J201" t="s">
        <v>93</v>
      </c>
      <c r="K201">
        <v>651818</v>
      </c>
      <c r="L201" t="s">
        <v>80</v>
      </c>
      <c r="M201" t="s">
        <v>81</v>
      </c>
      <c r="N201" t="s">
        <v>57</v>
      </c>
      <c r="O201" s="1">
        <v>45144</v>
      </c>
      <c r="Q201" s="1">
        <v>46087</v>
      </c>
      <c r="R201" s="2">
        <v>141.33000000000001</v>
      </c>
      <c r="S201">
        <v>1</v>
      </c>
      <c r="T201" t="s">
        <v>58</v>
      </c>
      <c r="U201" t="s">
        <v>156</v>
      </c>
      <c r="V201" s="3">
        <v>0.1</v>
      </c>
      <c r="W201" s="2">
        <v>0</v>
      </c>
      <c r="X201">
        <v>0</v>
      </c>
      <c r="Y201" t="s">
        <v>157</v>
      </c>
      <c r="Z201" t="s">
        <v>135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14.13</v>
      </c>
      <c r="AN201" s="2">
        <v>14.13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46062</v>
      </c>
      <c r="B202" t="s">
        <v>48</v>
      </c>
      <c r="C202">
        <v>649163</v>
      </c>
      <c r="D202">
        <v>2020855629</v>
      </c>
      <c r="E202" t="s">
        <v>467</v>
      </c>
      <c r="F202" t="s">
        <v>468</v>
      </c>
      <c r="G202" t="s">
        <v>51</v>
      </c>
      <c r="H202" t="s">
        <v>90</v>
      </c>
      <c r="I202" t="s">
        <v>72</v>
      </c>
      <c r="J202" t="s">
        <v>79</v>
      </c>
      <c r="K202">
        <v>651818</v>
      </c>
      <c r="L202" t="s">
        <v>80</v>
      </c>
      <c r="M202" t="s">
        <v>81</v>
      </c>
      <c r="N202" t="s">
        <v>144</v>
      </c>
      <c r="O202" s="1">
        <v>45265</v>
      </c>
      <c r="P202" s="1">
        <v>46062</v>
      </c>
      <c r="Q202" s="1">
        <v>46086</v>
      </c>
      <c r="R202" s="2">
        <v>-66.680000000000007</v>
      </c>
      <c r="S202">
        <v>1</v>
      </c>
      <c r="T202" t="s">
        <v>58</v>
      </c>
      <c r="U202" t="s">
        <v>156</v>
      </c>
      <c r="V202" s="3">
        <v>0.1</v>
      </c>
      <c r="W202" s="2">
        <v>0</v>
      </c>
      <c r="X202">
        <v>-1</v>
      </c>
      <c r="Y202" t="s">
        <v>157</v>
      </c>
      <c r="Z202" t="s">
        <v>135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-6.67</v>
      </c>
      <c r="AN202" s="2">
        <v>-6.67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46062</v>
      </c>
      <c r="B203" t="s">
        <v>48</v>
      </c>
      <c r="C203">
        <v>649163</v>
      </c>
      <c r="D203">
        <v>2021092886</v>
      </c>
      <c r="E203" t="s">
        <v>469</v>
      </c>
      <c r="F203" t="s">
        <v>470</v>
      </c>
      <c r="G203" t="s">
        <v>51</v>
      </c>
      <c r="H203" t="s">
        <v>90</v>
      </c>
      <c r="I203" t="s">
        <v>72</v>
      </c>
      <c r="J203" t="s">
        <v>93</v>
      </c>
      <c r="K203">
        <v>651818</v>
      </c>
      <c r="L203" t="s">
        <v>80</v>
      </c>
      <c r="M203" t="s">
        <v>81</v>
      </c>
      <c r="N203" t="s">
        <v>57</v>
      </c>
      <c r="O203" s="1">
        <v>45295</v>
      </c>
      <c r="Q203" s="1">
        <v>46085</v>
      </c>
      <c r="R203" s="2">
        <v>167.21</v>
      </c>
      <c r="S203">
        <v>1</v>
      </c>
      <c r="T203" t="s">
        <v>58</v>
      </c>
      <c r="U203" t="s">
        <v>156</v>
      </c>
      <c r="V203" s="3">
        <v>0.1</v>
      </c>
      <c r="W203" s="2">
        <v>0</v>
      </c>
      <c r="X203">
        <v>0</v>
      </c>
      <c r="Y203" t="s">
        <v>157</v>
      </c>
      <c r="Z203" t="s">
        <v>135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16.72</v>
      </c>
      <c r="AN203" s="2">
        <v>16.72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46062</v>
      </c>
      <c r="B204" t="s">
        <v>48</v>
      </c>
      <c r="C204">
        <v>649163</v>
      </c>
      <c r="D204">
        <v>2021281141</v>
      </c>
      <c r="E204" t="s">
        <v>471</v>
      </c>
      <c r="F204" t="s">
        <v>472</v>
      </c>
      <c r="G204" t="s">
        <v>51</v>
      </c>
      <c r="H204" t="s">
        <v>237</v>
      </c>
      <c r="I204" t="s">
        <v>72</v>
      </c>
      <c r="J204" t="s">
        <v>93</v>
      </c>
      <c r="K204">
        <v>651818</v>
      </c>
      <c r="L204" t="s">
        <v>80</v>
      </c>
      <c r="M204" t="s">
        <v>81</v>
      </c>
      <c r="N204" t="s">
        <v>57</v>
      </c>
      <c r="O204" s="1">
        <v>45323</v>
      </c>
      <c r="Q204" s="1">
        <v>46082</v>
      </c>
      <c r="R204" s="2">
        <v>78.27</v>
      </c>
      <c r="S204">
        <v>1</v>
      </c>
      <c r="T204" t="s">
        <v>58</v>
      </c>
      <c r="U204" t="s">
        <v>156</v>
      </c>
      <c r="V204" s="3">
        <v>0.1</v>
      </c>
      <c r="W204" s="2">
        <v>0</v>
      </c>
      <c r="X204">
        <v>0</v>
      </c>
      <c r="Y204" t="s">
        <v>157</v>
      </c>
      <c r="Z204" t="s">
        <v>135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7.83</v>
      </c>
      <c r="AN204" s="2">
        <v>7.83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46062</v>
      </c>
      <c r="B205" t="s">
        <v>48</v>
      </c>
      <c r="C205">
        <v>649163</v>
      </c>
      <c r="D205">
        <v>2022505612</v>
      </c>
      <c r="E205" t="s">
        <v>473</v>
      </c>
      <c r="F205" t="s">
        <v>174</v>
      </c>
      <c r="G205" t="s">
        <v>51</v>
      </c>
      <c r="H205" t="s">
        <v>112</v>
      </c>
      <c r="I205" t="s">
        <v>72</v>
      </c>
      <c r="J205" t="s">
        <v>93</v>
      </c>
      <c r="K205">
        <v>651818</v>
      </c>
      <c r="L205" t="s">
        <v>80</v>
      </c>
      <c r="M205" t="s">
        <v>81</v>
      </c>
      <c r="N205" t="s">
        <v>57</v>
      </c>
      <c r="O205" s="1">
        <v>45389</v>
      </c>
      <c r="Q205" s="1">
        <v>46088</v>
      </c>
      <c r="R205" s="2">
        <v>180.88</v>
      </c>
      <c r="S205">
        <v>1</v>
      </c>
      <c r="T205" t="s">
        <v>58</v>
      </c>
      <c r="U205" t="s">
        <v>156</v>
      </c>
      <c r="V205" s="3">
        <v>0.1</v>
      </c>
      <c r="W205" s="2">
        <v>0</v>
      </c>
      <c r="X205">
        <v>0</v>
      </c>
      <c r="Y205" t="s">
        <v>157</v>
      </c>
      <c r="Z205" t="s">
        <v>135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18.09</v>
      </c>
      <c r="AN205" s="2">
        <v>18.09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46062</v>
      </c>
      <c r="B206" t="s">
        <v>48</v>
      </c>
      <c r="C206">
        <v>649163</v>
      </c>
      <c r="D206">
        <v>2022657266</v>
      </c>
      <c r="E206" t="s">
        <v>474</v>
      </c>
      <c r="F206" t="s">
        <v>475</v>
      </c>
      <c r="G206" t="s">
        <v>51</v>
      </c>
      <c r="H206" t="s">
        <v>90</v>
      </c>
      <c r="I206" t="s">
        <v>72</v>
      </c>
      <c r="J206" t="s">
        <v>93</v>
      </c>
      <c r="K206">
        <v>651818</v>
      </c>
      <c r="L206" t="s">
        <v>80</v>
      </c>
      <c r="M206" t="s">
        <v>81</v>
      </c>
      <c r="N206" t="s">
        <v>57</v>
      </c>
      <c r="O206" s="1">
        <v>45418</v>
      </c>
      <c r="Q206" s="1">
        <v>46087</v>
      </c>
      <c r="R206" s="2">
        <v>139.25</v>
      </c>
      <c r="S206">
        <v>1</v>
      </c>
      <c r="T206" t="s">
        <v>58</v>
      </c>
      <c r="U206" t="s">
        <v>156</v>
      </c>
      <c r="V206" s="3">
        <v>0.1</v>
      </c>
      <c r="W206" s="2">
        <v>0</v>
      </c>
      <c r="X206">
        <v>0</v>
      </c>
      <c r="Y206" t="s">
        <v>157</v>
      </c>
      <c r="Z206" t="s">
        <v>135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13.92</v>
      </c>
      <c r="AN206" s="2">
        <v>13.92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46062</v>
      </c>
      <c r="B207" t="s">
        <v>48</v>
      </c>
      <c r="C207">
        <v>649163</v>
      </c>
      <c r="D207">
        <v>2023184015</v>
      </c>
      <c r="E207" t="s">
        <v>476</v>
      </c>
      <c r="F207" t="s">
        <v>477</v>
      </c>
      <c r="G207" t="s">
        <v>51</v>
      </c>
      <c r="H207" t="s">
        <v>96</v>
      </c>
      <c r="I207" t="s">
        <v>72</v>
      </c>
      <c r="J207" t="s">
        <v>79</v>
      </c>
      <c r="K207">
        <v>651818</v>
      </c>
      <c r="L207" t="s">
        <v>80</v>
      </c>
      <c r="M207" t="s">
        <v>81</v>
      </c>
      <c r="N207" t="s">
        <v>57</v>
      </c>
      <c r="O207" s="1">
        <v>45449</v>
      </c>
      <c r="Q207" s="1">
        <v>46087</v>
      </c>
      <c r="R207" s="2">
        <v>142.85</v>
      </c>
      <c r="S207">
        <v>1</v>
      </c>
      <c r="T207" t="s">
        <v>58</v>
      </c>
      <c r="U207" t="s">
        <v>156</v>
      </c>
      <c r="V207" s="3">
        <v>0.1</v>
      </c>
      <c r="W207" s="2">
        <v>0</v>
      </c>
      <c r="X207">
        <v>0</v>
      </c>
      <c r="Y207" t="s">
        <v>157</v>
      </c>
      <c r="Z207" t="s">
        <v>135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14.28</v>
      </c>
      <c r="AN207" s="2">
        <v>14.28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46062</v>
      </c>
      <c r="B208" t="s">
        <v>48</v>
      </c>
      <c r="C208">
        <v>649163</v>
      </c>
      <c r="D208">
        <v>2023294111</v>
      </c>
      <c r="E208" t="s">
        <v>478</v>
      </c>
      <c r="F208" t="s">
        <v>479</v>
      </c>
      <c r="G208" t="s">
        <v>51</v>
      </c>
      <c r="H208" t="s">
        <v>78</v>
      </c>
      <c r="I208" t="s">
        <v>72</v>
      </c>
      <c r="J208" t="s">
        <v>93</v>
      </c>
      <c r="K208">
        <v>651818</v>
      </c>
      <c r="L208" t="s">
        <v>80</v>
      </c>
      <c r="M208" t="s">
        <v>81</v>
      </c>
      <c r="N208" t="s">
        <v>57</v>
      </c>
      <c r="O208" s="1">
        <v>45449</v>
      </c>
      <c r="Q208" s="1">
        <v>46087</v>
      </c>
      <c r="R208" s="2">
        <v>191.17</v>
      </c>
      <c r="S208">
        <v>1</v>
      </c>
      <c r="T208" t="s">
        <v>58</v>
      </c>
      <c r="U208" t="s">
        <v>156</v>
      </c>
      <c r="V208" s="3">
        <v>0.1</v>
      </c>
      <c r="W208" s="2">
        <v>0</v>
      </c>
      <c r="X208">
        <v>0</v>
      </c>
      <c r="Y208" t="s">
        <v>157</v>
      </c>
      <c r="Z208" t="s">
        <v>135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19.12</v>
      </c>
      <c r="AN208" s="2">
        <v>19.12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46062</v>
      </c>
      <c r="B209" t="s">
        <v>48</v>
      </c>
      <c r="C209">
        <v>649163</v>
      </c>
      <c r="D209">
        <v>2023297034</v>
      </c>
      <c r="E209" t="s">
        <v>480</v>
      </c>
      <c r="F209" t="s">
        <v>481</v>
      </c>
      <c r="G209" t="s">
        <v>51</v>
      </c>
      <c r="H209" t="s">
        <v>96</v>
      </c>
      <c r="I209" t="s">
        <v>72</v>
      </c>
      <c r="J209" t="s">
        <v>79</v>
      </c>
      <c r="K209">
        <v>651818</v>
      </c>
      <c r="L209" t="s">
        <v>80</v>
      </c>
      <c r="M209" t="s">
        <v>81</v>
      </c>
      <c r="N209" t="s">
        <v>57</v>
      </c>
      <c r="O209" s="1">
        <v>45449</v>
      </c>
      <c r="Q209" s="1">
        <v>46087</v>
      </c>
      <c r="R209" s="2">
        <v>149.5</v>
      </c>
      <c r="S209">
        <v>1</v>
      </c>
      <c r="T209" t="s">
        <v>58</v>
      </c>
      <c r="U209" t="s">
        <v>156</v>
      </c>
      <c r="V209" s="3">
        <v>0.1</v>
      </c>
      <c r="W209" s="2">
        <v>0</v>
      </c>
      <c r="X209">
        <v>0</v>
      </c>
      <c r="Y209" t="s">
        <v>157</v>
      </c>
      <c r="Z209" t="s">
        <v>135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14.95</v>
      </c>
      <c r="AN209" s="2">
        <v>14.95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46062</v>
      </c>
      <c r="B210" t="s">
        <v>48</v>
      </c>
      <c r="C210">
        <v>649163</v>
      </c>
      <c r="D210">
        <v>2023849739</v>
      </c>
      <c r="E210" t="s">
        <v>219</v>
      </c>
      <c r="F210" t="s">
        <v>482</v>
      </c>
      <c r="G210" t="s">
        <v>51</v>
      </c>
      <c r="H210" t="s">
        <v>66</v>
      </c>
      <c r="I210" t="s">
        <v>72</v>
      </c>
      <c r="J210" t="s">
        <v>79</v>
      </c>
      <c r="K210">
        <v>761385</v>
      </c>
      <c r="L210" t="s">
        <v>219</v>
      </c>
      <c r="M210" t="s">
        <v>482</v>
      </c>
      <c r="N210" t="s">
        <v>57</v>
      </c>
      <c r="O210" s="1">
        <v>45482</v>
      </c>
      <c r="Q210" s="1">
        <v>46090</v>
      </c>
      <c r="R210" s="2">
        <v>99.45</v>
      </c>
      <c r="S210">
        <v>1</v>
      </c>
      <c r="T210" t="s">
        <v>58</v>
      </c>
      <c r="U210" t="s">
        <v>156</v>
      </c>
      <c r="V210" s="3">
        <v>0.1</v>
      </c>
      <c r="W210" s="2">
        <v>0</v>
      </c>
      <c r="X210">
        <v>0</v>
      </c>
      <c r="Y210" t="s">
        <v>157</v>
      </c>
      <c r="Z210" t="s">
        <v>135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9.94</v>
      </c>
      <c r="AN210" s="2">
        <v>9.94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46062</v>
      </c>
      <c r="B211" t="s">
        <v>48</v>
      </c>
      <c r="C211">
        <v>649163</v>
      </c>
      <c r="D211">
        <v>2024001564</v>
      </c>
      <c r="E211" t="s">
        <v>145</v>
      </c>
      <c r="F211" t="s">
        <v>155</v>
      </c>
      <c r="G211" t="s">
        <v>51</v>
      </c>
      <c r="H211" t="s">
        <v>84</v>
      </c>
      <c r="I211" t="s">
        <v>72</v>
      </c>
      <c r="J211" t="s">
        <v>93</v>
      </c>
      <c r="K211">
        <v>651818</v>
      </c>
      <c r="L211" t="s">
        <v>80</v>
      </c>
      <c r="M211" t="s">
        <v>81</v>
      </c>
      <c r="N211" t="s">
        <v>57</v>
      </c>
      <c r="O211" s="1">
        <v>45510</v>
      </c>
      <c r="Q211" s="1">
        <v>46087</v>
      </c>
      <c r="R211" s="2">
        <v>90.33</v>
      </c>
      <c r="S211">
        <v>1</v>
      </c>
      <c r="T211" t="s">
        <v>58</v>
      </c>
      <c r="U211" t="s">
        <v>156</v>
      </c>
      <c r="V211" s="3">
        <v>0.1</v>
      </c>
      <c r="W211" s="2">
        <v>0</v>
      </c>
      <c r="X211">
        <v>0</v>
      </c>
      <c r="Y211" t="s">
        <v>157</v>
      </c>
      <c r="Z211" t="s">
        <v>135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9.0299999999999994</v>
      </c>
      <c r="AN211" s="2">
        <v>9.0299999999999994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46062</v>
      </c>
      <c r="B212" t="s">
        <v>48</v>
      </c>
      <c r="C212">
        <v>649163</v>
      </c>
      <c r="D212">
        <v>2024598450</v>
      </c>
      <c r="E212" t="s">
        <v>483</v>
      </c>
      <c r="F212" t="s">
        <v>484</v>
      </c>
      <c r="G212" t="s">
        <v>51</v>
      </c>
      <c r="H212" t="s">
        <v>66</v>
      </c>
      <c r="I212" t="s">
        <v>72</v>
      </c>
      <c r="J212" t="s">
        <v>79</v>
      </c>
      <c r="K212">
        <v>651818</v>
      </c>
      <c r="L212" t="s">
        <v>80</v>
      </c>
      <c r="M212" t="s">
        <v>81</v>
      </c>
      <c r="N212" t="s">
        <v>57</v>
      </c>
      <c r="O212" s="1">
        <v>45542</v>
      </c>
      <c r="Q212" s="1">
        <v>46088</v>
      </c>
      <c r="R212" s="2">
        <v>90.76</v>
      </c>
      <c r="S212">
        <v>1</v>
      </c>
      <c r="T212" t="s">
        <v>58</v>
      </c>
      <c r="U212" t="s">
        <v>156</v>
      </c>
      <c r="V212" s="3">
        <v>0.1</v>
      </c>
      <c r="W212" s="2">
        <v>0</v>
      </c>
      <c r="X212">
        <v>0</v>
      </c>
      <c r="Y212" t="s">
        <v>157</v>
      </c>
      <c r="Z212" t="s">
        <v>135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9.08</v>
      </c>
      <c r="AN212" s="2">
        <v>9.08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46062</v>
      </c>
      <c r="B213" t="s">
        <v>48</v>
      </c>
      <c r="C213">
        <v>649163</v>
      </c>
      <c r="D213">
        <v>2024789928</v>
      </c>
      <c r="E213" t="s">
        <v>485</v>
      </c>
      <c r="F213" t="s">
        <v>486</v>
      </c>
      <c r="G213" t="s">
        <v>51</v>
      </c>
      <c r="H213" t="s">
        <v>170</v>
      </c>
      <c r="I213" t="s">
        <v>72</v>
      </c>
      <c r="J213" t="s">
        <v>455</v>
      </c>
      <c r="K213">
        <v>767312</v>
      </c>
      <c r="L213" t="s">
        <v>310</v>
      </c>
      <c r="M213" t="s">
        <v>311</v>
      </c>
      <c r="N213" t="s">
        <v>57</v>
      </c>
      <c r="O213" s="1">
        <v>45545</v>
      </c>
      <c r="Q213" s="1">
        <v>46091</v>
      </c>
      <c r="R213" s="2">
        <v>27.12</v>
      </c>
      <c r="S213">
        <v>1</v>
      </c>
      <c r="T213" t="s">
        <v>58</v>
      </c>
      <c r="U213" t="s">
        <v>156</v>
      </c>
      <c r="V213" s="3">
        <v>0.1</v>
      </c>
      <c r="W213" s="2">
        <v>0</v>
      </c>
      <c r="X213">
        <v>0</v>
      </c>
      <c r="Y213" t="s">
        <v>157</v>
      </c>
      <c r="Z213" t="s">
        <v>135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2.71</v>
      </c>
      <c r="AN213" s="2">
        <v>2.71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46062</v>
      </c>
      <c r="B214" t="s">
        <v>48</v>
      </c>
      <c r="C214">
        <v>649163</v>
      </c>
      <c r="D214">
        <v>2025254892</v>
      </c>
      <c r="E214" t="s">
        <v>487</v>
      </c>
      <c r="F214" t="s">
        <v>488</v>
      </c>
      <c r="G214" t="s">
        <v>51</v>
      </c>
      <c r="H214" t="s">
        <v>96</v>
      </c>
      <c r="I214" t="s">
        <v>72</v>
      </c>
      <c r="J214" t="s">
        <v>79</v>
      </c>
      <c r="K214">
        <v>767312</v>
      </c>
      <c r="L214" t="s">
        <v>310</v>
      </c>
      <c r="M214" t="s">
        <v>311</v>
      </c>
      <c r="N214" t="s">
        <v>57</v>
      </c>
      <c r="O214" s="1">
        <v>45576</v>
      </c>
      <c r="Q214" s="1">
        <v>46092</v>
      </c>
      <c r="R214" s="2">
        <v>48.79</v>
      </c>
      <c r="S214">
        <v>1</v>
      </c>
      <c r="T214" t="s">
        <v>58</v>
      </c>
      <c r="U214" t="s">
        <v>156</v>
      </c>
      <c r="V214" s="3">
        <v>0.1</v>
      </c>
      <c r="W214" s="2">
        <v>0</v>
      </c>
      <c r="X214">
        <v>0</v>
      </c>
      <c r="Y214" t="s">
        <v>157</v>
      </c>
      <c r="Z214" t="s">
        <v>135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4.88</v>
      </c>
      <c r="AN214" s="2">
        <v>4.88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46062</v>
      </c>
      <c r="B215" t="s">
        <v>48</v>
      </c>
      <c r="C215">
        <v>649163</v>
      </c>
      <c r="D215">
        <v>2025260278</v>
      </c>
      <c r="E215" t="s">
        <v>489</v>
      </c>
      <c r="F215" t="s">
        <v>250</v>
      </c>
      <c r="G215" t="s">
        <v>51</v>
      </c>
      <c r="H215" t="s">
        <v>78</v>
      </c>
      <c r="I215" t="s">
        <v>72</v>
      </c>
      <c r="J215" t="s">
        <v>79</v>
      </c>
      <c r="K215">
        <v>651818</v>
      </c>
      <c r="L215" t="s">
        <v>80</v>
      </c>
      <c r="M215" t="s">
        <v>81</v>
      </c>
      <c r="N215" t="s">
        <v>57</v>
      </c>
      <c r="O215" s="1">
        <v>45603</v>
      </c>
      <c r="Q215" s="1">
        <v>46088</v>
      </c>
      <c r="R215" s="2">
        <v>267.5</v>
      </c>
      <c r="S215">
        <v>1</v>
      </c>
      <c r="T215" t="s">
        <v>58</v>
      </c>
      <c r="U215" t="s">
        <v>156</v>
      </c>
      <c r="V215" s="3">
        <v>0.1</v>
      </c>
      <c r="W215" s="2">
        <v>0</v>
      </c>
      <c r="X215">
        <v>0</v>
      </c>
      <c r="Y215" t="s">
        <v>157</v>
      </c>
      <c r="Z215" t="s">
        <v>135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26.75</v>
      </c>
      <c r="AN215" s="2">
        <v>26.75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46062</v>
      </c>
      <c r="B216" t="s">
        <v>48</v>
      </c>
      <c r="C216">
        <v>649163</v>
      </c>
      <c r="D216">
        <v>2025262312</v>
      </c>
      <c r="E216" t="s">
        <v>490</v>
      </c>
      <c r="F216" t="s">
        <v>240</v>
      </c>
      <c r="G216" t="s">
        <v>51</v>
      </c>
      <c r="H216" t="s">
        <v>274</v>
      </c>
      <c r="I216" t="s">
        <v>72</v>
      </c>
      <c r="J216" t="s">
        <v>455</v>
      </c>
      <c r="K216">
        <v>796984</v>
      </c>
      <c r="L216" t="s">
        <v>491</v>
      </c>
      <c r="M216" t="s">
        <v>492</v>
      </c>
      <c r="N216" t="s">
        <v>57</v>
      </c>
      <c r="O216" s="1">
        <v>45576</v>
      </c>
      <c r="Q216" s="1">
        <v>46092</v>
      </c>
      <c r="R216" s="2">
        <v>22.71</v>
      </c>
      <c r="S216">
        <v>1</v>
      </c>
      <c r="T216" t="s">
        <v>58</v>
      </c>
      <c r="U216" t="s">
        <v>156</v>
      </c>
      <c r="V216" s="3">
        <v>0.1</v>
      </c>
      <c r="W216" s="2">
        <v>0</v>
      </c>
      <c r="X216">
        <v>0</v>
      </c>
      <c r="Y216" t="s">
        <v>157</v>
      </c>
      <c r="Z216" t="s">
        <v>135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2.27</v>
      </c>
      <c r="AN216" s="2">
        <v>2.27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46062</v>
      </c>
      <c r="B217" t="s">
        <v>48</v>
      </c>
      <c r="C217">
        <v>649163</v>
      </c>
      <c r="D217">
        <v>2025287065</v>
      </c>
      <c r="E217" t="s">
        <v>493</v>
      </c>
      <c r="F217" t="s">
        <v>494</v>
      </c>
      <c r="G217" t="s">
        <v>51</v>
      </c>
      <c r="H217" t="s">
        <v>397</v>
      </c>
      <c r="I217" t="s">
        <v>72</v>
      </c>
      <c r="J217" t="s">
        <v>93</v>
      </c>
      <c r="K217">
        <v>767312</v>
      </c>
      <c r="L217" t="s">
        <v>310</v>
      </c>
      <c r="M217" t="s">
        <v>311</v>
      </c>
      <c r="N217" t="s">
        <v>57</v>
      </c>
      <c r="O217" s="1">
        <v>45577</v>
      </c>
      <c r="Q217" s="1">
        <v>46093</v>
      </c>
      <c r="R217" s="2">
        <v>13.92</v>
      </c>
      <c r="S217">
        <v>1</v>
      </c>
      <c r="T217" t="s">
        <v>58</v>
      </c>
      <c r="U217" t="s">
        <v>156</v>
      </c>
      <c r="V217" s="3">
        <v>0.1</v>
      </c>
      <c r="W217" s="2">
        <v>0</v>
      </c>
      <c r="X217">
        <v>0</v>
      </c>
      <c r="Y217" t="s">
        <v>157</v>
      </c>
      <c r="Z217" t="s">
        <v>135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1.39</v>
      </c>
      <c r="AN217" s="2">
        <v>1.39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46062</v>
      </c>
      <c r="B218" t="s">
        <v>48</v>
      </c>
      <c r="C218">
        <v>649163</v>
      </c>
      <c r="D218">
        <v>2025655085</v>
      </c>
      <c r="E218" t="s">
        <v>495</v>
      </c>
      <c r="F218" t="s">
        <v>496</v>
      </c>
      <c r="G218" t="s">
        <v>51</v>
      </c>
      <c r="H218" t="s">
        <v>90</v>
      </c>
      <c r="I218" t="s">
        <v>72</v>
      </c>
      <c r="J218" t="s">
        <v>79</v>
      </c>
      <c r="K218">
        <v>651818</v>
      </c>
      <c r="L218" t="s">
        <v>80</v>
      </c>
      <c r="M218" t="s">
        <v>81</v>
      </c>
      <c r="N218" t="s">
        <v>57</v>
      </c>
      <c r="O218" s="1">
        <v>45604</v>
      </c>
      <c r="Q218" s="1">
        <v>46089</v>
      </c>
      <c r="R218" s="2">
        <v>68.25</v>
      </c>
      <c r="S218">
        <v>1</v>
      </c>
      <c r="T218" t="s">
        <v>58</v>
      </c>
      <c r="U218" t="s">
        <v>156</v>
      </c>
      <c r="V218" s="3">
        <v>0.1</v>
      </c>
      <c r="W218" s="2">
        <v>0</v>
      </c>
      <c r="X218">
        <v>0</v>
      </c>
      <c r="Y218" t="s">
        <v>157</v>
      </c>
      <c r="Z218" t="s">
        <v>135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6.82</v>
      </c>
      <c r="AN218" s="2">
        <v>6.82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46062</v>
      </c>
      <c r="B219" t="s">
        <v>48</v>
      </c>
      <c r="C219">
        <v>649163</v>
      </c>
      <c r="D219">
        <v>2025690377</v>
      </c>
      <c r="E219" t="s">
        <v>497</v>
      </c>
      <c r="F219" t="s">
        <v>498</v>
      </c>
      <c r="G219" t="s">
        <v>51</v>
      </c>
      <c r="H219" t="s">
        <v>78</v>
      </c>
      <c r="I219" t="s">
        <v>72</v>
      </c>
      <c r="J219" t="s">
        <v>79</v>
      </c>
      <c r="K219">
        <v>651818</v>
      </c>
      <c r="L219" t="s">
        <v>80</v>
      </c>
      <c r="M219" t="s">
        <v>81</v>
      </c>
      <c r="N219" t="s">
        <v>57</v>
      </c>
      <c r="O219" s="1">
        <v>45664</v>
      </c>
      <c r="Q219" s="1">
        <v>46088</v>
      </c>
      <c r="R219" s="2">
        <v>19.63</v>
      </c>
      <c r="S219">
        <v>1</v>
      </c>
      <c r="T219" t="s">
        <v>58</v>
      </c>
      <c r="U219" t="s">
        <v>156</v>
      </c>
      <c r="V219" s="3">
        <v>0.1</v>
      </c>
      <c r="W219" s="2">
        <v>0</v>
      </c>
      <c r="X219">
        <v>0</v>
      </c>
      <c r="Y219" t="s">
        <v>157</v>
      </c>
      <c r="Z219" t="s">
        <v>135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1.96</v>
      </c>
      <c r="AN219" s="2">
        <v>1.96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46062</v>
      </c>
      <c r="B220" t="s">
        <v>48</v>
      </c>
      <c r="C220">
        <v>649163</v>
      </c>
      <c r="D220">
        <v>2025721592</v>
      </c>
      <c r="E220" t="s">
        <v>499</v>
      </c>
      <c r="F220" t="s">
        <v>500</v>
      </c>
      <c r="G220" t="s">
        <v>51</v>
      </c>
      <c r="H220" t="s">
        <v>274</v>
      </c>
      <c r="I220" t="s">
        <v>72</v>
      </c>
      <c r="J220" t="s">
        <v>455</v>
      </c>
      <c r="K220">
        <v>796984</v>
      </c>
      <c r="L220" t="s">
        <v>491</v>
      </c>
      <c r="M220" t="s">
        <v>492</v>
      </c>
      <c r="N220" t="s">
        <v>57</v>
      </c>
      <c r="O220" s="1">
        <v>45608</v>
      </c>
      <c r="Q220" s="1">
        <v>46093</v>
      </c>
      <c r="R220" s="2">
        <v>56.03</v>
      </c>
      <c r="S220">
        <v>1</v>
      </c>
      <c r="T220" t="s">
        <v>58</v>
      </c>
      <c r="U220" t="s">
        <v>156</v>
      </c>
      <c r="V220" s="3">
        <v>0.1</v>
      </c>
      <c r="W220" s="2">
        <v>0</v>
      </c>
      <c r="X220">
        <v>0</v>
      </c>
      <c r="Y220" t="s">
        <v>157</v>
      </c>
      <c r="Z220" t="s">
        <v>135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5.6</v>
      </c>
      <c r="AN220" s="2">
        <v>5.6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46062</v>
      </c>
      <c r="B221" t="s">
        <v>48</v>
      </c>
      <c r="C221">
        <v>649163</v>
      </c>
      <c r="D221">
        <v>2025727309</v>
      </c>
      <c r="E221" t="s">
        <v>173</v>
      </c>
      <c r="F221" t="s">
        <v>501</v>
      </c>
      <c r="G221" t="s">
        <v>51</v>
      </c>
      <c r="H221" t="s">
        <v>274</v>
      </c>
      <c r="I221" t="s">
        <v>72</v>
      </c>
      <c r="J221" t="s">
        <v>455</v>
      </c>
      <c r="K221">
        <v>796984</v>
      </c>
      <c r="L221" t="s">
        <v>491</v>
      </c>
      <c r="M221" t="s">
        <v>492</v>
      </c>
      <c r="N221" t="s">
        <v>57</v>
      </c>
      <c r="O221" s="1">
        <v>45608</v>
      </c>
      <c r="Q221" s="1">
        <v>46093</v>
      </c>
      <c r="R221" s="2">
        <v>42.13</v>
      </c>
      <c r="S221">
        <v>1</v>
      </c>
      <c r="T221" t="s">
        <v>58</v>
      </c>
      <c r="U221" t="s">
        <v>156</v>
      </c>
      <c r="V221" s="3">
        <v>0.1</v>
      </c>
      <c r="W221" s="2">
        <v>0</v>
      </c>
      <c r="X221">
        <v>0</v>
      </c>
      <c r="Y221" t="s">
        <v>157</v>
      </c>
      <c r="Z221" t="s">
        <v>135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4.21</v>
      </c>
      <c r="AN221" s="2">
        <v>4.21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46062</v>
      </c>
      <c r="B222" t="s">
        <v>48</v>
      </c>
      <c r="C222">
        <v>649163</v>
      </c>
      <c r="D222">
        <v>2025732432</v>
      </c>
      <c r="E222" t="s">
        <v>502</v>
      </c>
      <c r="F222" t="s">
        <v>216</v>
      </c>
      <c r="G222" t="s">
        <v>51</v>
      </c>
      <c r="H222" t="s">
        <v>353</v>
      </c>
      <c r="I222" t="s">
        <v>72</v>
      </c>
      <c r="J222" t="s">
        <v>79</v>
      </c>
      <c r="K222">
        <v>651818</v>
      </c>
      <c r="L222" t="s">
        <v>80</v>
      </c>
      <c r="M222" t="s">
        <v>81</v>
      </c>
      <c r="N222" t="s">
        <v>57</v>
      </c>
      <c r="O222" s="1">
        <v>45664</v>
      </c>
      <c r="Q222" s="1">
        <v>46088</v>
      </c>
      <c r="R222" s="2">
        <v>93.93</v>
      </c>
      <c r="S222">
        <v>1</v>
      </c>
      <c r="T222" t="s">
        <v>58</v>
      </c>
      <c r="U222" t="s">
        <v>156</v>
      </c>
      <c r="V222" s="3">
        <v>0.1</v>
      </c>
      <c r="W222" s="2">
        <v>0</v>
      </c>
      <c r="X222">
        <v>0</v>
      </c>
      <c r="Y222" t="s">
        <v>157</v>
      </c>
      <c r="Z222" t="s">
        <v>135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9.39</v>
      </c>
      <c r="AN222" s="2">
        <v>9.39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46062</v>
      </c>
      <c r="B223" t="s">
        <v>48</v>
      </c>
      <c r="C223">
        <v>649163</v>
      </c>
      <c r="D223">
        <v>2025772485</v>
      </c>
      <c r="E223" t="s">
        <v>503</v>
      </c>
      <c r="F223" t="s">
        <v>466</v>
      </c>
      <c r="G223" t="s">
        <v>51</v>
      </c>
      <c r="H223" t="s">
        <v>90</v>
      </c>
      <c r="I223" t="s">
        <v>72</v>
      </c>
      <c r="J223" t="s">
        <v>79</v>
      </c>
      <c r="K223">
        <v>651818</v>
      </c>
      <c r="L223" t="s">
        <v>80</v>
      </c>
      <c r="M223" t="s">
        <v>81</v>
      </c>
      <c r="N223" t="s">
        <v>57</v>
      </c>
      <c r="O223" s="1">
        <v>45633</v>
      </c>
      <c r="Q223" s="1">
        <v>46088</v>
      </c>
      <c r="R223" s="2">
        <v>157.47999999999999</v>
      </c>
      <c r="S223">
        <v>1</v>
      </c>
      <c r="T223" t="s">
        <v>58</v>
      </c>
      <c r="U223" t="s">
        <v>156</v>
      </c>
      <c r="V223" s="3">
        <v>0.1</v>
      </c>
      <c r="W223" s="2">
        <v>0</v>
      </c>
      <c r="X223">
        <v>0</v>
      </c>
      <c r="Y223" t="s">
        <v>157</v>
      </c>
      <c r="Z223" t="s">
        <v>135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15.75</v>
      </c>
      <c r="AN223" s="2">
        <v>15.75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46062</v>
      </c>
      <c r="B224" t="s">
        <v>48</v>
      </c>
      <c r="C224">
        <v>649163</v>
      </c>
      <c r="D224">
        <v>2025815280</v>
      </c>
      <c r="E224" t="s">
        <v>504</v>
      </c>
      <c r="F224" t="s">
        <v>505</v>
      </c>
      <c r="G224" t="s">
        <v>51</v>
      </c>
      <c r="H224" t="s">
        <v>78</v>
      </c>
      <c r="I224" t="s">
        <v>72</v>
      </c>
      <c r="J224" t="s">
        <v>79</v>
      </c>
      <c r="K224">
        <v>651818</v>
      </c>
      <c r="L224" t="s">
        <v>80</v>
      </c>
      <c r="M224" t="s">
        <v>81</v>
      </c>
      <c r="N224" t="s">
        <v>57</v>
      </c>
      <c r="O224" s="1">
        <v>45633</v>
      </c>
      <c r="Q224" s="1">
        <v>46088</v>
      </c>
      <c r="R224" s="2">
        <v>12.1</v>
      </c>
      <c r="S224">
        <v>1</v>
      </c>
      <c r="T224" t="s">
        <v>58</v>
      </c>
      <c r="U224" t="s">
        <v>156</v>
      </c>
      <c r="V224" s="3">
        <v>0.1</v>
      </c>
      <c r="W224" s="2">
        <v>0</v>
      </c>
      <c r="X224">
        <v>0</v>
      </c>
      <c r="Y224" t="s">
        <v>157</v>
      </c>
      <c r="Z224" t="s">
        <v>135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1.21</v>
      </c>
      <c r="AN224" s="2">
        <v>1.21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46062</v>
      </c>
      <c r="B225" t="s">
        <v>48</v>
      </c>
      <c r="C225">
        <v>649163</v>
      </c>
      <c r="D225">
        <v>2025839021</v>
      </c>
      <c r="E225" t="s">
        <v>506</v>
      </c>
      <c r="F225" t="s">
        <v>184</v>
      </c>
      <c r="G225" t="s">
        <v>51</v>
      </c>
      <c r="H225" t="s">
        <v>112</v>
      </c>
      <c r="I225" t="s">
        <v>72</v>
      </c>
      <c r="J225" t="s">
        <v>93</v>
      </c>
      <c r="K225">
        <v>651818</v>
      </c>
      <c r="L225" t="s">
        <v>80</v>
      </c>
      <c r="M225" t="s">
        <v>81</v>
      </c>
      <c r="N225" t="s">
        <v>57</v>
      </c>
      <c r="O225" s="1">
        <v>45633</v>
      </c>
      <c r="Q225" s="1">
        <v>46088</v>
      </c>
      <c r="R225" s="2">
        <v>104.44</v>
      </c>
      <c r="S225">
        <v>1</v>
      </c>
      <c r="T225" t="s">
        <v>58</v>
      </c>
      <c r="U225" t="s">
        <v>156</v>
      </c>
      <c r="V225" s="3">
        <v>0.1</v>
      </c>
      <c r="W225" s="2">
        <v>0</v>
      </c>
      <c r="X225">
        <v>0</v>
      </c>
      <c r="Y225" t="s">
        <v>157</v>
      </c>
      <c r="Z225" t="s">
        <v>135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10.44</v>
      </c>
      <c r="AN225" s="2">
        <v>10.44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46062</v>
      </c>
      <c r="B226" t="s">
        <v>48</v>
      </c>
      <c r="C226">
        <v>649163</v>
      </c>
      <c r="D226">
        <v>2025863139</v>
      </c>
      <c r="E226" t="s">
        <v>507</v>
      </c>
      <c r="F226" t="s">
        <v>508</v>
      </c>
      <c r="G226" t="s">
        <v>51</v>
      </c>
      <c r="H226" t="s">
        <v>90</v>
      </c>
      <c r="I226" t="s">
        <v>72</v>
      </c>
      <c r="J226" t="s">
        <v>79</v>
      </c>
      <c r="K226">
        <v>651818</v>
      </c>
      <c r="L226" t="s">
        <v>80</v>
      </c>
      <c r="M226" t="s">
        <v>81</v>
      </c>
      <c r="N226" t="s">
        <v>57</v>
      </c>
      <c r="O226" s="1">
        <v>45633</v>
      </c>
      <c r="Q226" s="1">
        <v>46088</v>
      </c>
      <c r="R226" s="2">
        <v>107.02</v>
      </c>
      <c r="S226">
        <v>1</v>
      </c>
      <c r="T226" t="s">
        <v>58</v>
      </c>
      <c r="U226" t="s">
        <v>156</v>
      </c>
      <c r="V226" s="3">
        <v>0.1</v>
      </c>
      <c r="W226" s="2">
        <v>0</v>
      </c>
      <c r="X226">
        <v>0</v>
      </c>
      <c r="Y226" t="s">
        <v>157</v>
      </c>
      <c r="Z226" t="s">
        <v>135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10.7</v>
      </c>
      <c r="AN226" s="2">
        <v>10.7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46062</v>
      </c>
      <c r="B227" t="s">
        <v>48</v>
      </c>
      <c r="C227">
        <v>649163</v>
      </c>
      <c r="D227">
        <v>2025887935</v>
      </c>
      <c r="E227" t="s">
        <v>509</v>
      </c>
      <c r="F227" t="s">
        <v>510</v>
      </c>
      <c r="G227" t="s">
        <v>51</v>
      </c>
      <c r="H227" t="s">
        <v>112</v>
      </c>
      <c r="I227" t="s">
        <v>72</v>
      </c>
      <c r="J227" t="s">
        <v>79</v>
      </c>
      <c r="K227">
        <v>651818</v>
      </c>
      <c r="L227" t="s">
        <v>80</v>
      </c>
      <c r="M227" t="s">
        <v>81</v>
      </c>
      <c r="N227" t="s">
        <v>57</v>
      </c>
      <c r="O227" s="1">
        <v>45633</v>
      </c>
      <c r="Q227" s="1">
        <v>46088</v>
      </c>
      <c r="R227" s="2">
        <v>95.25</v>
      </c>
      <c r="S227">
        <v>1</v>
      </c>
      <c r="T227" t="s">
        <v>58</v>
      </c>
      <c r="U227" t="s">
        <v>156</v>
      </c>
      <c r="V227" s="3">
        <v>0.1</v>
      </c>
      <c r="W227" s="2">
        <v>0</v>
      </c>
      <c r="X227">
        <v>0</v>
      </c>
      <c r="Y227" t="s">
        <v>157</v>
      </c>
      <c r="Z227" t="s">
        <v>135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9.52</v>
      </c>
      <c r="AN227" s="2">
        <v>9.52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46062</v>
      </c>
      <c r="B228" t="s">
        <v>48</v>
      </c>
      <c r="C228">
        <v>649163</v>
      </c>
      <c r="D228">
        <v>2025896510</v>
      </c>
      <c r="E228" t="s">
        <v>511</v>
      </c>
      <c r="F228" t="s">
        <v>512</v>
      </c>
      <c r="G228" t="s">
        <v>51</v>
      </c>
      <c r="H228" t="s">
        <v>458</v>
      </c>
      <c r="I228" t="s">
        <v>72</v>
      </c>
      <c r="J228" t="s">
        <v>79</v>
      </c>
      <c r="K228">
        <v>651818</v>
      </c>
      <c r="L228" t="s">
        <v>80</v>
      </c>
      <c r="M228" t="s">
        <v>81</v>
      </c>
      <c r="N228" t="s">
        <v>57</v>
      </c>
      <c r="O228" s="1">
        <v>45633</v>
      </c>
      <c r="Q228" s="1">
        <v>46088</v>
      </c>
      <c r="R228" s="2">
        <v>131.94999999999999</v>
      </c>
      <c r="S228">
        <v>1</v>
      </c>
      <c r="T228" t="s">
        <v>58</v>
      </c>
      <c r="U228" t="s">
        <v>156</v>
      </c>
      <c r="V228" s="3">
        <v>0.1</v>
      </c>
      <c r="W228" s="2">
        <v>0</v>
      </c>
      <c r="X228">
        <v>0</v>
      </c>
      <c r="Y228" t="s">
        <v>157</v>
      </c>
      <c r="Z228" t="s">
        <v>135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13.2</v>
      </c>
      <c r="AN228" s="2">
        <v>13.2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46062</v>
      </c>
      <c r="B229" t="s">
        <v>48</v>
      </c>
      <c r="C229">
        <v>649163</v>
      </c>
      <c r="D229">
        <v>2026036711</v>
      </c>
      <c r="E229" t="s">
        <v>513</v>
      </c>
      <c r="F229" t="s">
        <v>211</v>
      </c>
      <c r="G229" t="s">
        <v>51</v>
      </c>
      <c r="H229" t="s">
        <v>66</v>
      </c>
      <c r="I229" t="s">
        <v>72</v>
      </c>
      <c r="J229" t="s">
        <v>93</v>
      </c>
      <c r="K229">
        <v>651818</v>
      </c>
      <c r="L229" t="s">
        <v>80</v>
      </c>
      <c r="M229" t="s">
        <v>81</v>
      </c>
      <c r="N229" t="s">
        <v>57</v>
      </c>
      <c r="O229" s="1">
        <v>45664</v>
      </c>
      <c r="Q229" s="1">
        <v>46088</v>
      </c>
      <c r="R229" s="2">
        <v>152.33000000000001</v>
      </c>
      <c r="S229">
        <v>1</v>
      </c>
      <c r="T229" t="s">
        <v>58</v>
      </c>
      <c r="U229" t="s">
        <v>156</v>
      </c>
      <c r="V229" s="3">
        <v>0.1</v>
      </c>
      <c r="W229" s="2">
        <v>0</v>
      </c>
      <c r="X229">
        <v>0</v>
      </c>
      <c r="Y229" t="s">
        <v>157</v>
      </c>
      <c r="Z229" t="s">
        <v>135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15.23</v>
      </c>
      <c r="AN229" s="2">
        <v>15.23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46062</v>
      </c>
      <c r="B230" t="s">
        <v>48</v>
      </c>
      <c r="C230">
        <v>649163</v>
      </c>
      <c r="D230">
        <v>2026050471</v>
      </c>
      <c r="E230" t="s">
        <v>514</v>
      </c>
      <c r="F230" t="s">
        <v>240</v>
      </c>
      <c r="G230" t="s">
        <v>51</v>
      </c>
      <c r="H230" t="s">
        <v>274</v>
      </c>
      <c r="I230" t="s">
        <v>72</v>
      </c>
      <c r="J230" t="s">
        <v>93</v>
      </c>
      <c r="K230">
        <v>796984</v>
      </c>
      <c r="L230" t="s">
        <v>491</v>
      </c>
      <c r="M230" t="s">
        <v>492</v>
      </c>
      <c r="N230" t="s">
        <v>57</v>
      </c>
      <c r="O230" s="1">
        <v>45632</v>
      </c>
      <c r="Q230" s="1">
        <v>46087</v>
      </c>
      <c r="R230" s="2">
        <v>66.75</v>
      </c>
      <c r="S230">
        <v>1</v>
      </c>
      <c r="T230" t="s">
        <v>58</v>
      </c>
      <c r="U230" t="s">
        <v>156</v>
      </c>
      <c r="V230" s="3">
        <v>0.1</v>
      </c>
      <c r="W230" s="2">
        <v>0</v>
      </c>
      <c r="X230">
        <v>0</v>
      </c>
      <c r="Y230" t="s">
        <v>157</v>
      </c>
      <c r="Z230" t="s">
        <v>135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6.68</v>
      </c>
      <c r="AN230" s="2">
        <v>6.68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46062</v>
      </c>
      <c r="B231" t="s">
        <v>48</v>
      </c>
      <c r="C231">
        <v>649163</v>
      </c>
      <c r="D231">
        <v>2026053293</v>
      </c>
      <c r="E231" t="s">
        <v>515</v>
      </c>
      <c r="F231" t="s">
        <v>107</v>
      </c>
      <c r="G231" t="s">
        <v>51</v>
      </c>
      <c r="H231" t="s">
        <v>66</v>
      </c>
      <c r="I231" t="s">
        <v>72</v>
      </c>
      <c r="J231" t="s">
        <v>79</v>
      </c>
      <c r="K231">
        <v>651818</v>
      </c>
      <c r="L231" t="s">
        <v>80</v>
      </c>
      <c r="M231" t="s">
        <v>81</v>
      </c>
      <c r="N231" t="s">
        <v>57</v>
      </c>
      <c r="O231" s="1">
        <v>45664</v>
      </c>
      <c r="Q231" s="1">
        <v>46088</v>
      </c>
      <c r="R231" s="2">
        <v>78.430000000000007</v>
      </c>
      <c r="S231">
        <v>1</v>
      </c>
      <c r="T231" t="s">
        <v>58</v>
      </c>
      <c r="U231" t="s">
        <v>156</v>
      </c>
      <c r="V231" s="3">
        <v>0.1</v>
      </c>
      <c r="W231" s="2">
        <v>0</v>
      </c>
      <c r="X231">
        <v>0</v>
      </c>
      <c r="Y231" t="s">
        <v>157</v>
      </c>
      <c r="Z231" t="s">
        <v>135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7.84</v>
      </c>
      <c r="AN231" s="2">
        <v>7.84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46062</v>
      </c>
      <c r="B232" t="s">
        <v>48</v>
      </c>
      <c r="C232">
        <v>649163</v>
      </c>
      <c r="D232">
        <v>2026082703</v>
      </c>
      <c r="E232" t="s">
        <v>516</v>
      </c>
      <c r="F232" t="s">
        <v>259</v>
      </c>
      <c r="G232" t="s">
        <v>51</v>
      </c>
      <c r="H232" t="s">
        <v>96</v>
      </c>
      <c r="I232" t="s">
        <v>72</v>
      </c>
      <c r="J232" t="s">
        <v>79</v>
      </c>
      <c r="K232">
        <v>651818</v>
      </c>
      <c r="L232" t="s">
        <v>80</v>
      </c>
      <c r="M232" t="s">
        <v>81</v>
      </c>
      <c r="N232" t="s">
        <v>57</v>
      </c>
      <c r="O232" s="1">
        <v>45664</v>
      </c>
      <c r="Q232" s="1">
        <v>46088</v>
      </c>
      <c r="R232" s="2">
        <v>148.53</v>
      </c>
      <c r="S232">
        <v>1</v>
      </c>
      <c r="T232" t="s">
        <v>58</v>
      </c>
      <c r="U232" t="s">
        <v>156</v>
      </c>
      <c r="V232" s="3">
        <v>0.1</v>
      </c>
      <c r="W232" s="2">
        <v>0</v>
      </c>
      <c r="X232">
        <v>0</v>
      </c>
      <c r="Y232" t="s">
        <v>157</v>
      </c>
      <c r="Z232" t="s">
        <v>135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14.85</v>
      </c>
      <c r="AN232" s="2">
        <v>14.85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46062</v>
      </c>
      <c r="B233" t="s">
        <v>48</v>
      </c>
      <c r="C233">
        <v>649163</v>
      </c>
      <c r="D233">
        <v>2026099502</v>
      </c>
      <c r="E233" t="s">
        <v>517</v>
      </c>
      <c r="F233" t="s">
        <v>500</v>
      </c>
      <c r="G233" t="s">
        <v>51</v>
      </c>
      <c r="H233" t="s">
        <v>78</v>
      </c>
      <c r="I233" t="s">
        <v>72</v>
      </c>
      <c r="J233" t="s">
        <v>93</v>
      </c>
      <c r="K233">
        <v>651818</v>
      </c>
      <c r="L233" t="s">
        <v>80</v>
      </c>
      <c r="M233" t="s">
        <v>81</v>
      </c>
      <c r="N233" t="s">
        <v>57</v>
      </c>
      <c r="O233" s="1">
        <v>45664</v>
      </c>
      <c r="Q233" s="1">
        <v>46088</v>
      </c>
      <c r="R233" s="2">
        <v>234.17</v>
      </c>
      <c r="S233">
        <v>1</v>
      </c>
      <c r="T233" t="s">
        <v>58</v>
      </c>
      <c r="U233" t="s">
        <v>156</v>
      </c>
      <c r="V233" s="3">
        <v>0.1</v>
      </c>
      <c r="W233" s="2">
        <v>0</v>
      </c>
      <c r="X233">
        <v>0</v>
      </c>
      <c r="Y233" t="s">
        <v>157</v>
      </c>
      <c r="Z233" t="s">
        <v>135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23.42</v>
      </c>
      <c r="AN233" s="2">
        <v>23.42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46062</v>
      </c>
      <c r="B234" t="s">
        <v>48</v>
      </c>
      <c r="C234">
        <v>649163</v>
      </c>
      <c r="D234">
        <v>2026113524</v>
      </c>
      <c r="E234" t="s">
        <v>518</v>
      </c>
      <c r="F234" t="s">
        <v>248</v>
      </c>
      <c r="G234" t="s">
        <v>51</v>
      </c>
      <c r="H234" t="s">
        <v>66</v>
      </c>
      <c r="I234" t="s">
        <v>72</v>
      </c>
      <c r="J234" t="s">
        <v>79</v>
      </c>
      <c r="K234">
        <v>651818</v>
      </c>
      <c r="L234" t="s">
        <v>80</v>
      </c>
      <c r="M234" t="s">
        <v>81</v>
      </c>
      <c r="N234" t="s">
        <v>57</v>
      </c>
      <c r="O234" s="1">
        <v>45664</v>
      </c>
      <c r="Q234" s="1">
        <v>46088</v>
      </c>
      <c r="R234" s="2">
        <v>144.18</v>
      </c>
      <c r="S234">
        <v>1</v>
      </c>
      <c r="T234" t="s">
        <v>58</v>
      </c>
      <c r="U234" t="s">
        <v>156</v>
      </c>
      <c r="V234" s="3">
        <v>0.1</v>
      </c>
      <c r="W234" s="2">
        <v>0</v>
      </c>
      <c r="X234">
        <v>0</v>
      </c>
      <c r="Y234" t="s">
        <v>157</v>
      </c>
      <c r="Z234" t="s">
        <v>135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14.42</v>
      </c>
      <c r="AN234" s="2">
        <v>14.42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46062</v>
      </c>
      <c r="B235" t="s">
        <v>48</v>
      </c>
      <c r="C235">
        <v>649163</v>
      </c>
      <c r="D235">
        <v>2026126661</v>
      </c>
      <c r="E235" t="s">
        <v>504</v>
      </c>
      <c r="F235" t="s">
        <v>519</v>
      </c>
      <c r="G235" t="s">
        <v>51</v>
      </c>
      <c r="H235" t="s">
        <v>90</v>
      </c>
      <c r="I235" t="s">
        <v>72</v>
      </c>
      <c r="J235" t="s">
        <v>79</v>
      </c>
      <c r="K235">
        <v>651818</v>
      </c>
      <c r="L235" t="s">
        <v>80</v>
      </c>
      <c r="M235" t="s">
        <v>81</v>
      </c>
      <c r="N235" t="s">
        <v>57</v>
      </c>
      <c r="O235" s="1">
        <v>45664</v>
      </c>
      <c r="Q235" s="1">
        <v>46088</v>
      </c>
      <c r="R235" s="2">
        <v>107.5</v>
      </c>
      <c r="S235">
        <v>1</v>
      </c>
      <c r="T235" t="s">
        <v>58</v>
      </c>
      <c r="U235" t="s">
        <v>156</v>
      </c>
      <c r="V235" s="3">
        <v>0.1</v>
      </c>
      <c r="W235" s="2">
        <v>0</v>
      </c>
      <c r="X235">
        <v>0</v>
      </c>
      <c r="Y235" t="s">
        <v>157</v>
      </c>
      <c r="Z235" t="s">
        <v>135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10.75</v>
      </c>
      <c r="AN235" s="2">
        <v>10.75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46062</v>
      </c>
      <c r="B236" t="s">
        <v>48</v>
      </c>
      <c r="C236">
        <v>649163</v>
      </c>
      <c r="D236">
        <v>2026133999</v>
      </c>
      <c r="E236" t="s">
        <v>491</v>
      </c>
      <c r="F236" t="s">
        <v>520</v>
      </c>
      <c r="G236" t="s">
        <v>51</v>
      </c>
      <c r="H236" t="s">
        <v>274</v>
      </c>
      <c r="I236" t="s">
        <v>72</v>
      </c>
      <c r="J236" t="s">
        <v>455</v>
      </c>
      <c r="K236">
        <v>816021</v>
      </c>
      <c r="L236" t="s">
        <v>275</v>
      </c>
      <c r="M236" t="s">
        <v>276</v>
      </c>
      <c r="N236" t="s">
        <v>57</v>
      </c>
      <c r="O236" s="1">
        <v>45638</v>
      </c>
      <c r="Q236" s="1">
        <v>46093</v>
      </c>
      <c r="R236" s="2">
        <v>100.33</v>
      </c>
      <c r="S236">
        <v>1</v>
      </c>
      <c r="T236" t="s">
        <v>58</v>
      </c>
      <c r="U236" t="s">
        <v>156</v>
      </c>
      <c r="V236" s="3">
        <v>0.1</v>
      </c>
      <c r="W236" s="2">
        <v>0</v>
      </c>
      <c r="X236">
        <v>0</v>
      </c>
      <c r="Y236" t="s">
        <v>157</v>
      </c>
      <c r="Z236" t="s">
        <v>135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10.029999999999999</v>
      </c>
      <c r="AN236" s="2">
        <v>10.029999999999999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46062</v>
      </c>
      <c r="B237" t="s">
        <v>48</v>
      </c>
      <c r="C237">
        <v>649163</v>
      </c>
      <c r="D237">
        <v>2026145113</v>
      </c>
      <c r="E237" t="s">
        <v>521</v>
      </c>
      <c r="F237" t="s">
        <v>188</v>
      </c>
      <c r="G237" t="s">
        <v>51</v>
      </c>
      <c r="H237" t="s">
        <v>353</v>
      </c>
      <c r="I237" t="s">
        <v>72</v>
      </c>
      <c r="J237" t="s">
        <v>93</v>
      </c>
      <c r="K237">
        <v>651818</v>
      </c>
      <c r="L237" t="s">
        <v>80</v>
      </c>
      <c r="M237" t="s">
        <v>81</v>
      </c>
      <c r="N237" t="s">
        <v>57</v>
      </c>
      <c r="O237" s="1">
        <v>45664</v>
      </c>
      <c r="Q237" s="1">
        <v>46088</v>
      </c>
      <c r="R237" s="2">
        <v>128.61000000000001</v>
      </c>
      <c r="S237">
        <v>1</v>
      </c>
      <c r="T237" t="s">
        <v>58</v>
      </c>
      <c r="U237" t="s">
        <v>156</v>
      </c>
      <c r="V237" s="3">
        <v>0.1</v>
      </c>
      <c r="W237" s="2">
        <v>0</v>
      </c>
      <c r="X237">
        <v>0</v>
      </c>
      <c r="Y237" t="s">
        <v>157</v>
      </c>
      <c r="Z237" t="s">
        <v>135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12.86</v>
      </c>
      <c r="AN237" s="2">
        <v>12.86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46062</v>
      </c>
      <c r="B238" t="s">
        <v>48</v>
      </c>
      <c r="C238">
        <v>649163</v>
      </c>
      <c r="D238">
        <v>2026150038</v>
      </c>
      <c r="E238" t="s">
        <v>522</v>
      </c>
      <c r="F238" t="s">
        <v>477</v>
      </c>
      <c r="G238" t="s">
        <v>51</v>
      </c>
      <c r="H238" t="s">
        <v>66</v>
      </c>
      <c r="I238" t="s">
        <v>72</v>
      </c>
      <c r="J238" t="s">
        <v>93</v>
      </c>
      <c r="K238">
        <v>651818</v>
      </c>
      <c r="L238" t="s">
        <v>80</v>
      </c>
      <c r="M238" t="s">
        <v>81</v>
      </c>
      <c r="N238" t="s">
        <v>57</v>
      </c>
      <c r="O238" s="1">
        <v>45664</v>
      </c>
      <c r="Q238" s="1">
        <v>46088</v>
      </c>
      <c r="R238" s="2">
        <v>59</v>
      </c>
      <c r="S238">
        <v>1</v>
      </c>
      <c r="T238" t="s">
        <v>58</v>
      </c>
      <c r="U238" t="s">
        <v>156</v>
      </c>
      <c r="V238" s="3">
        <v>0.1</v>
      </c>
      <c r="W238" s="2">
        <v>0</v>
      </c>
      <c r="X238">
        <v>0</v>
      </c>
      <c r="Y238" t="s">
        <v>157</v>
      </c>
      <c r="Z238" t="s">
        <v>135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5.9</v>
      </c>
      <c r="AN238" s="2">
        <v>5.9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46062</v>
      </c>
      <c r="B239" t="s">
        <v>48</v>
      </c>
      <c r="C239">
        <v>649163</v>
      </c>
      <c r="D239">
        <v>2026154681</v>
      </c>
      <c r="E239" t="s">
        <v>523</v>
      </c>
      <c r="F239" t="s">
        <v>524</v>
      </c>
      <c r="G239" t="s">
        <v>51</v>
      </c>
      <c r="H239" t="s">
        <v>78</v>
      </c>
      <c r="I239" t="s">
        <v>72</v>
      </c>
      <c r="J239" t="s">
        <v>79</v>
      </c>
      <c r="K239">
        <v>651818</v>
      </c>
      <c r="L239" t="s">
        <v>80</v>
      </c>
      <c r="M239" t="s">
        <v>81</v>
      </c>
      <c r="N239" t="s">
        <v>57</v>
      </c>
      <c r="O239" s="1">
        <v>45664</v>
      </c>
      <c r="Q239" s="1">
        <v>46088</v>
      </c>
      <c r="R239" s="2">
        <v>119.95</v>
      </c>
      <c r="S239">
        <v>1</v>
      </c>
      <c r="T239" t="s">
        <v>58</v>
      </c>
      <c r="U239" t="s">
        <v>156</v>
      </c>
      <c r="V239" s="3">
        <v>0.1</v>
      </c>
      <c r="W239" s="2">
        <v>0</v>
      </c>
      <c r="X239">
        <v>0</v>
      </c>
      <c r="Y239" t="s">
        <v>157</v>
      </c>
      <c r="Z239" t="s">
        <v>135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12</v>
      </c>
      <c r="AN239" s="2">
        <v>12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46062</v>
      </c>
      <c r="B240" t="s">
        <v>48</v>
      </c>
      <c r="C240">
        <v>649163</v>
      </c>
      <c r="D240">
        <v>2026155453</v>
      </c>
      <c r="E240" t="s">
        <v>525</v>
      </c>
      <c r="F240" t="s">
        <v>526</v>
      </c>
      <c r="G240" t="s">
        <v>51</v>
      </c>
      <c r="H240" t="s">
        <v>527</v>
      </c>
      <c r="I240" t="s">
        <v>72</v>
      </c>
      <c r="J240" t="s">
        <v>79</v>
      </c>
      <c r="K240">
        <v>651818</v>
      </c>
      <c r="L240" t="s">
        <v>80</v>
      </c>
      <c r="M240" t="s">
        <v>81</v>
      </c>
      <c r="N240" t="s">
        <v>57</v>
      </c>
      <c r="O240" s="1">
        <v>45664</v>
      </c>
      <c r="Q240" s="1">
        <v>46088</v>
      </c>
      <c r="R240" s="2">
        <v>67.3</v>
      </c>
      <c r="S240">
        <v>1</v>
      </c>
      <c r="T240" t="s">
        <v>58</v>
      </c>
      <c r="U240" t="s">
        <v>156</v>
      </c>
      <c r="V240" s="3">
        <v>0.1</v>
      </c>
      <c r="W240" s="2">
        <v>0</v>
      </c>
      <c r="X240">
        <v>0</v>
      </c>
      <c r="Y240" t="s">
        <v>157</v>
      </c>
      <c r="Z240" t="s">
        <v>135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6.73</v>
      </c>
      <c r="AN240" s="2">
        <v>6.73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46062</v>
      </c>
      <c r="B241" t="s">
        <v>48</v>
      </c>
      <c r="C241">
        <v>649163</v>
      </c>
      <c r="D241">
        <v>2026166108</v>
      </c>
      <c r="E241" t="s">
        <v>528</v>
      </c>
      <c r="F241" t="s">
        <v>529</v>
      </c>
      <c r="G241" t="s">
        <v>51</v>
      </c>
      <c r="H241" t="s">
        <v>66</v>
      </c>
      <c r="I241" t="s">
        <v>72</v>
      </c>
      <c r="J241" t="s">
        <v>79</v>
      </c>
      <c r="K241">
        <v>651818</v>
      </c>
      <c r="L241" t="s">
        <v>80</v>
      </c>
      <c r="M241" t="s">
        <v>81</v>
      </c>
      <c r="N241" t="s">
        <v>57</v>
      </c>
      <c r="O241" s="1">
        <v>45664</v>
      </c>
      <c r="Q241" s="1">
        <v>46088</v>
      </c>
      <c r="R241" s="2">
        <v>129.13</v>
      </c>
      <c r="S241">
        <v>1</v>
      </c>
      <c r="T241" t="s">
        <v>58</v>
      </c>
      <c r="U241" t="s">
        <v>156</v>
      </c>
      <c r="V241" s="3">
        <v>0.1</v>
      </c>
      <c r="W241" s="2">
        <v>0</v>
      </c>
      <c r="X241">
        <v>0</v>
      </c>
      <c r="Y241" t="s">
        <v>157</v>
      </c>
      <c r="Z241" t="s">
        <v>135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12.91</v>
      </c>
      <c r="AN241" s="2">
        <v>12.91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46062</v>
      </c>
      <c r="B242" t="s">
        <v>48</v>
      </c>
      <c r="C242">
        <v>649163</v>
      </c>
      <c r="D242">
        <v>2026175249</v>
      </c>
      <c r="E242" t="s">
        <v>530</v>
      </c>
      <c r="F242" t="s">
        <v>230</v>
      </c>
      <c r="G242" t="s">
        <v>51</v>
      </c>
      <c r="H242" t="s">
        <v>66</v>
      </c>
      <c r="I242" t="s">
        <v>72</v>
      </c>
      <c r="J242" t="s">
        <v>79</v>
      </c>
      <c r="K242">
        <v>651818</v>
      </c>
      <c r="L242" t="s">
        <v>80</v>
      </c>
      <c r="M242" t="s">
        <v>81</v>
      </c>
      <c r="N242" t="s">
        <v>57</v>
      </c>
      <c r="O242" s="1">
        <v>45664</v>
      </c>
      <c r="Q242" s="1">
        <v>46088</v>
      </c>
      <c r="R242" s="2">
        <v>61.27</v>
      </c>
      <c r="S242">
        <v>1</v>
      </c>
      <c r="T242" t="s">
        <v>58</v>
      </c>
      <c r="U242" t="s">
        <v>156</v>
      </c>
      <c r="V242" s="3">
        <v>0.1</v>
      </c>
      <c r="W242" s="2">
        <v>0</v>
      </c>
      <c r="X242">
        <v>0</v>
      </c>
      <c r="Y242" t="s">
        <v>157</v>
      </c>
      <c r="Z242" t="s">
        <v>135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6.13</v>
      </c>
      <c r="AN242" s="2">
        <v>6.13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46062</v>
      </c>
      <c r="B243" t="s">
        <v>48</v>
      </c>
      <c r="C243">
        <v>649163</v>
      </c>
      <c r="D243">
        <v>2026185573</v>
      </c>
      <c r="E243" t="s">
        <v>531</v>
      </c>
      <c r="F243" t="s">
        <v>532</v>
      </c>
      <c r="G243" t="s">
        <v>51</v>
      </c>
      <c r="H243" t="s">
        <v>66</v>
      </c>
      <c r="I243" t="s">
        <v>72</v>
      </c>
      <c r="J243" t="s">
        <v>93</v>
      </c>
      <c r="K243">
        <v>651818</v>
      </c>
      <c r="L243" t="s">
        <v>80</v>
      </c>
      <c r="M243" t="s">
        <v>81</v>
      </c>
      <c r="N243" t="s">
        <v>57</v>
      </c>
      <c r="O243" s="1">
        <v>45664</v>
      </c>
      <c r="Q243" s="1">
        <v>46088</v>
      </c>
      <c r="R243" s="2">
        <v>135.59</v>
      </c>
      <c r="S243">
        <v>1</v>
      </c>
      <c r="T243" t="s">
        <v>58</v>
      </c>
      <c r="U243" t="s">
        <v>156</v>
      </c>
      <c r="V243" s="3">
        <v>0.1</v>
      </c>
      <c r="W243" s="2">
        <v>0</v>
      </c>
      <c r="X243">
        <v>0</v>
      </c>
      <c r="Y243" t="s">
        <v>157</v>
      </c>
      <c r="Z243" t="s">
        <v>135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13.56</v>
      </c>
      <c r="AN243" s="2">
        <v>13.56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46062</v>
      </c>
      <c r="B244" t="s">
        <v>48</v>
      </c>
      <c r="C244">
        <v>649163</v>
      </c>
      <c r="D244">
        <v>2026187013</v>
      </c>
      <c r="E244" t="s">
        <v>533</v>
      </c>
      <c r="F244" t="s">
        <v>534</v>
      </c>
      <c r="G244" t="s">
        <v>51</v>
      </c>
      <c r="H244" t="s">
        <v>170</v>
      </c>
      <c r="I244" t="s">
        <v>72</v>
      </c>
      <c r="J244" t="s">
        <v>455</v>
      </c>
      <c r="K244">
        <v>767312</v>
      </c>
      <c r="L244" t="s">
        <v>310</v>
      </c>
      <c r="M244" t="s">
        <v>311</v>
      </c>
      <c r="N244" t="s">
        <v>144</v>
      </c>
      <c r="O244" s="1">
        <v>45658</v>
      </c>
      <c r="P244" s="1">
        <v>46062</v>
      </c>
      <c r="Q244" s="1">
        <v>46082</v>
      </c>
      <c r="R244" s="2">
        <v>-59.37</v>
      </c>
      <c r="S244">
        <v>1</v>
      </c>
      <c r="T244" t="s">
        <v>58</v>
      </c>
      <c r="U244" t="s">
        <v>156</v>
      </c>
      <c r="V244" s="3">
        <v>0.1</v>
      </c>
      <c r="W244" s="2">
        <v>0</v>
      </c>
      <c r="X244">
        <v>-1</v>
      </c>
      <c r="Y244" t="s">
        <v>157</v>
      </c>
      <c r="Z244" t="s">
        <v>135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-5.94</v>
      </c>
      <c r="AN244" s="2">
        <v>-5.94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46062</v>
      </c>
      <c r="B245" t="s">
        <v>48</v>
      </c>
      <c r="C245">
        <v>649163</v>
      </c>
      <c r="D245">
        <v>2026236140</v>
      </c>
      <c r="E245" t="s">
        <v>535</v>
      </c>
      <c r="F245" t="s">
        <v>188</v>
      </c>
      <c r="G245" t="s">
        <v>51</v>
      </c>
      <c r="H245" t="s">
        <v>90</v>
      </c>
      <c r="I245" t="s">
        <v>72</v>
      </c>
      <c r="J245" t="s">
        <v>79</v>
      </c>
      <c r="K245">
        <v>651818</v>
      </c>
      <c r="L245" t="s">
        <v>80</v>
      </c>
      <c r="M245" t="s">
        <v>81</v>
      </c>
      <c r="N245" t="s">
        <v>57</v>
      </c>
      <c r="O245" s="1">
        <v>45664</v>
      </c>
      <c r="Q245" s="1">
        <v>46088</v>
      </c>
      <c r="R245" s="2">
        <v>127.21</v>
      </c>
      <c r="S245">
        <v>1</v>
      </c>
      <c r="T245" t="s">
        <v>58</v>
      </c>
      <c r="U245" t="s">
        <v>156</v>
      </c>
      <c r="V245" s="3">
        <v>0.1</v>
      </c>
      <c r="W245" s="2">
        <v>0</v>
      </c>
      <c r="X245">
        <v>0</v>
      </c>
      <c r="Y245" t="s">
        <v>157</v>
      </c>
      <c r="Z245" t="s">
        <v>135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12.72</v>
      </c>
      <c r="AN245" s="2">
        <v>12.72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46062</v>
      </c>
      <c r="B246" t="s">
        <v>48</v>
      </c>
      <c r="C246">
        <v>649163</v>
      </c>
      <c r="D246">
        <v>2026298483</v>
      </c>
      <c r="E246" t="s">
        <v>536</v>
      </c>
      <c r="F246" t="s">
        <v>537</v>
      </c>
      <c r="G246" t="s">
        <v>51</v>
      </c>
      <c r="H246" t="s">
        <v>66</v>
      </c>
      <c r="I246" t="s">
        <v>72</v>
      </c>
      <c r="J246" t="s">
        <v>79</v>
      </c>
      <c r="K246">
        <v>651818</v>
      </c>
      <c r="L246" t="s">
        <v>80</v>
      </c>
      <c r="M246" t="s">
        <v>81</v>
      </c>
      <c r="N246" t="s">
        <v>57</v>
      </c>
      <c r="O246" s="1">
        <v>45664</v>
      </c>
      <c r="Q246" s="1">
        <v>46088</v>
      </c>
      <c r="R246" s="2">
        <v>25.6</v>
      </c>
      <c r="S246">
        <v>1</v>
      </c>
      <c r="T246" t="s">
        <v>58</v>
      </c>
      <c r="U246" t="s">
        <v>156</v>
      </c>
      <c r="V246" s="3">
        <v>0.1</v>
      </c>
      <c r="W246" s="2">
        <v>0</v>
      </c>
      <c r="X246">
        <v>0</v>
      </c>
      <c r="Y246" t="s">
        <v>157</v>
      </c>
      <c r="Z246" t="s">
        <v>135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2.56</v>
      </c>
      <c r="AN246" s="2">
        <v>2.56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46062</v>
      </c>
      <c r="B247" t="s">
        <v>48</v>
      </c>
      <c r="C247">
        <v>649163</v>
      </c>
      <c r="D247">
        <v>2026498048</v>
      </c>
      <c r="E247" t="s">
        <v>538</v>
      </c>
      <c r="F247" t="s">
        <v>539</v>
      </c>
      <c r="G247" t="s">
        <v>51</v>
      </c>
      <c r="H247" t="s">
        <v>90</v>
      </c>
      <c r="I247" t="s">
        <v>72</v>
      </c>
      <c r="J247" t="s">
        <v>79</v>
      </c>
      <c r="K247">
        <v>651818</v>
      </c>
      <c r="L247" t="s">
        <v>80</v>
      </c>
      <c r="M247" t="s">
        <v>81</v>
      </c>
      <c r="N247" t="s">
        <v>57</v>
      </c>
      <c r="O247" s="1">
        <v>45695</v>
      </c>
      <c r="Q247" s="1">
        <v>46088</v>
      </c>
      <c r="R247" s="2">
        <v>160.30000000000001</v>
      </c>
      <c r="S247">
        <v>1</v>
      </c>
      <c r="T247" t="s">
        <v>58</v>
      </c>
      <c r="U247" t="s">
        <v>156</v>
      </c>
      <c r="V247" s="3">
        <v>0.1</v>
      </c>
      <c r="W247" s="2">
        <v>0</v>
      </c>
      <c r="X247">
        <v>0</v>
      </c>
      <c r="Y247" t="s">
        <v>157</v>
      </c>
      <c r="Z247" t="s">
        <v>135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16.03</v>
      </c>
      <c r="AN247" s="2">
        <v>16.03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46062</v>
      </c>
      <c r="B248" t="s">
        <v>48</v>
      </c>
      <c r="C248">
        <v>649163</v>
      </c>
      <c r="D248">
        <v>2026521339</v>
      </c>
      <c r="E248" t="s">
        <v>50</v>
      </c>
      <c r="F248" t="s">
        <v>540</v>
      </c>
      <c r="G248" t="s">
        <v>51</v>
      </c>
      <c r="H248" t="s">
        <v>78</v>
      </c>
      <c r="I248" t="s">
        <v>72</v>
      </c>
      <c r="J248" t="s">
        <v>93</v>
      </c>
      <c r="K248">
        <v>651818</v>
      </c>
      <c r="L248" t="s">
        <v>80</v>
      </c>
      <c r="M248" t="s">
        <v>81</v>
      </c>
      <c r="N248" t="s">
        <v>57</v>
      </c>
      <c r="O248" s="1">
        <v>45695</v>
      </c>
      <c r="Q248" s="1">
        <v>46088</v>
      </c>
      <c r="R248" s="2">
        <v>171.34</v>
      </c>
      <c r="S248">
        <v>1</v>
      </c>
      <c r="T248" t="s">
        <v>58</v>
      </c>
      <c r="U248" t="s">
        <v>156</v>
      </c>
      <c r="V248" s="3">
        <v>0.1</v>
      </c>
      <c r="W248" s="2">
        <v>0</v>
      </c>
      <c r="X248">
        <v>0</v>
      </c>
      <c r="Y248" t="s">
        <v>157</v>
      </c>
      <c r="Z248" t="s">
        <v>135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17.13</v>
      </c>
      <c r="AN248" s="2">
        <v>17.13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46062</v>
      </c>
      <c r="B249" t="s">
        <v>48</v>
      </c>
      <c r="C249">
        <v>649163</v>
      </c>
      <c r="D249">
        <v>2026544306</v>
      </c>
      <c r="E249" t="s">
        <v>541</v>
      </c>
      <c r="F249" t="s">
        <v>98</v>
      </c>
      <c r="G249" t="s">
        <v>51</v>
      </c>
      <c r="H249" t="s">
        <v>78</v>
      </c>
      <c r="I249" t="s">
        <v>72</v>
      </c>
      <c r="J249" t="s">
        <v>79</v>
      </c>
      <c r="K249">
        <v>651818</v>
      </c>
      <c r="L249" t="s">
        <v>80</v>
      </c>
      <c r="M249" t="s">
        <v>81</v>
      </c>
      <c r="N249" t="s">
        <v>57</v>
      </c>
      <c r="O249" s="1">
        <v>45695</v>
      </c>
      <c r="Q249" s="1">
        <v>46088</v>
      </c>
      <c r="R249" s="2">
        <v>189.31</v>
      </c>
      <c r="S249">
        <v>1</v>
      </c>
      <c r="T249" t="s">
        <v>58</v>
      </c>
      <c r="U249" t="s">
        <v>156</v>
      </c>
      <c r="V249" s="3">
        <v>0.1</v>
      </c>
      <c r="W249" s="2">
        <v>0</v>
      </c>
      <c r="X249">
        <v>0</v>
      </c>
      <c r="Y249" t="s">
        <v>157</v>
      </c>
      <c r="Z249" t="s">
        <v>135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18.93</v>
      </c>
      <c r="AN249" s="2">
        <v>18.93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46062</v>
      </c>
      <c r="B250" t="s">
        <v>48</v>
      </c>
      <c r="C250">
        <v>649163</v>
      </c>
      <c r="D250">
        <v>2026599464</v>
      </c>
      <c r="E250" t="s">
        <v>542</v>
      </c>
      <c r="F250" t="s">
        <v>543</v>
      </c>
      <c r="G250" t="s">
        <v>51</v>
      </c>
      <c r="H250" t="s">
        <v>147</v>
      </c>
      <c r="I250" t="s">
        <v>72</v>
      </c>
      <c r="J250" t="s">
        <v>79</v>
      </c>
      <c r="K250">
        <v>651818</v>
      </c>
      <c r="L250" t="s">
        <v>80</v>
      </c>
      <c r="M250" t="s">
        <v>81</v>
      </c>
      <c r="N250" t="s">
        <v>57</v>
      </c>
      <c r="O250" s="1">
        <v>45695</v>
      </c>
      <c r="Q250" s="1">
        <v>46088</v>
      </c>
      <c r="R250" s="2">
        <v>64.23</v>
      </c>
      <c r="S250">
        <v>1</v>
      </c>
      <c r="T250" t="s">
        <v>58</v>
      </c>
      <c r="U250" t="s">
        <v>156</v>
      </c>
      <c r="V250" s="3">
        <v>0.1</v>
      </c>
      <c r="W250" s="2">
        <v>0</v>
      </c>
      <c r="X250">
        <v>0</v>
      </c>
      <c r="Y250" t="s">
        <v>157</v>
      </c>
      <c r="Z250" t="s">
        <v>135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6.42</v>
      </c>
      <c r="AN250" s="2">
        <v>6.42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46062</v>
      </c>
      <c r="B251" t="s">
        <v>48</v>
      </c>
      <c r="C251">
        <v>649163</v>
      </c>
      <c r="D251">
        <v>2026617927</v>
      </c>
      <c r="E251" t="s">
        <v>544</v>
      </c>
      <c r="F251" t="s">
        <v>545</v>
      </c>
      <c r="G251" t="s">
        <v>51</v>
      </c>
      <c r="H251" t="s">
        <v>90</v>
      </c>
      <c r="I251" t="s">
        <v>72</v>
      </c>
      <c r="J251" t="s">
        <v>79</v>
      </c>
      <c r="K251">
        <v>651818</v>
      </c>
      <c r="L251" t="s">
        <v>80</v>
      </c>
      <c r="M251" t="s">
        <v>81</v>
      </c>
      <c r="N251" t="s">
        <v>57</v>
      </c>
      <c r="O251" s="1">
        <v>45695</v>
      </c>
      <c r="Q251" s="1">
        <v>46088</v>
      </c>
      <c r="R251" s="2">
        <v>71.63</v>
      </c>
      <c r="S251">
        <v>1</v>
      </c>
      <c r="T251" t="s">
        <v>58</v>
      </c>
      <c r="U251" t="s">
        <v>156</v>
      </c>
      <c r="V251" s="3">
        <v>0.1</v>
      </c>
      <c r="W251" s="2">
        <v>0</v>
      </c>
      <c r="X251">
        <v>0</v>
      </c>
      <c r="Y251" t="s">
        <v>157</v>
      </c>
      <c r="Z251" t="s">
        <v>135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7.16</v>
      </c>
      <c r="AN251" s="2">
        <v>7.16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46062</v>
      </c>
      <c r="B252" t="s">
        <v>48</v>
      </c>
      <c r="C252">
        <v>649163</v>
      </c>
      <c r="D252">
        <v>2026628668</v>
      </c>
      <c r="E252" t="s">
        <v>546</v>
      </c>
      <c r="F252" t="s">
        <v>180</v>
      </c>
      <c r="G252" t="s">
        <v>51</v>
      </c>
      <c r="H252" t="s">
        <v>66</v>
      </c>
      <c r="I252" t="s">
        <v>72</v>
      </c>
      <c r="J252" t="s">
        <v>79</v>
      </c>
      <c r="K252">
        <v>651818</v>
      </c>
      <c r="L252" t="s">
        <v>80</v>
      </c>
      <c r="M252" t="s">
        <v>81</v>
      </c>
      <c r="N252" t="s">
        <v>57</v>
      </c>
      <c r="O252" s="1">
        <v>45695</v>
      </c>
      <c r="Q252" s="1">
        <v>46088</v>
      </c>
      <c r="R252" s="2">
        <v>39.4</v>
      </c>
      <c r="S252">
        <v>1</v>
      </c>
      <c r="T252" t="s">
        <v>58</v>
      </c>
      <c r="U252" t="s">
        <v>156</v>
      </c>
      <c r="V252" s="3">
        <v>0.1</v>
      </c>
      <c r="W252" s="2">
        <v>0</v>
      </c>
      <c r="X252">
        <v>0</v>
      </c>
      <c r="Y252" t="s">
        <v>157</v>
      </c>
      <c r="Z252" t="s">
        <v>135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3.94</v>
      </c>
      <c r="AN252" s="2">
        <v>3.94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46062</v>
      </c>
      <c r="B253" t="s">
        <v>48</v>
      </c>
      <c r="C253">
        <v>649163</v>
      </c>
      <c r="D253">
        <v>2026637122</v>
      </c>
      <c r="E253" t="s">
        <v>547</v>
      </c>
      <c r="F253" t="s">
        <v>302</v>
      </c>
      <c r="G253" t="s">
        <v>51</v>
      </c>
      <c r="H253" t="s">
        <v>353</v>
      </c>
      <c r="I253" t="s">
        <v>72</v>
      </c>
      <c r="J253" t="s">
        <v>79</v>
      </c>
      <c r="K253">
        <v>651818</v>
      </c>
      <c r="L253" t="s">
        <v>80</v>
      </c>
      <c r="M253" t="s">
        <v>81</v>
      </c>
      <c r="N253" t="s">
        <v>57</v>
      </c>
      <c r="O253" s="1">
        <v>45695</v>
      </c>
      <c r="Q253" s="1">
        <v>46088</v>
      </c>
      <c r="R253" s="2">
        <v>92.48</v>
      </c>
      <c r="S253">
        <v>1</v>
      </c>
      <c r="T253" t="s">
        <v>58</v>
      </c>
      <c r="U253" t="s">
        <v>156</v>
      </c>
      <c r="V253" s="3">
        <v>0.1</v>
      </c>
      <c r="W253" s="2">
        <v>0</v>
      </c>
      <c r="X253">
        <v>0</v>
      </c>
      <c r="Y253" t="s">
        <v>157</v>
      </c>
      <c r="Z253" t="s">
        <v>135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9.25</v>
      </c>
      <c r="AN253" s="2">
        <v>9.25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46062</v>
      </c>
      <c r="B254" t="s">
        <v>48</v>
      </c>
      <c r="C254">
        <v>649163</v>
      </c>
      <c r="D254">
        <v>2026655555</v>
      </c>
      <c r="E254" t="s">
        <v>548</v>
      </c>
      <c r="F254" t="s">
        <v>298</v>
      </c>
      <c r="G254" t="s">
        <v>51</v>
      </c>
      <c r="H254" t="s">
        <v>66</v>
      </c>
      <c r="I254" t="s">
        <v>72</v>
      </c>
      <c r="J254" t="s">
        <v>79</v>
      </c>
      <c r="K254">
        <v>651818</v>
      </c>
      <c r="L254" t="s">
        <v>80</v>
      </c>
      <c r="M254" t="s">
        <v>81</v>
      </c>
      <c r="N254" t="s">
        <v>57</v>
      </c>
      <c r="O254" s="1">
        <v>45695</v>
      </c>
      <c r="Q254" s="1">
        <v>46088</v>
      </c>
      <c r="R254" s="2">
        <v>193.9</v>
      </c>
      <c r="S254">
        <v>1</v>
      </c>
      <c r="T254" t="s">
        <v>58</v>
      </c>
      <c r="U254" t="s">
        <v>156</v>
      </c>
      <c r="V254" s="3">
        <v>0.1</v>
      </c>
      <c r="W254" s="2">
        <v>0</v>
      </c>
      <c r="X254">
        <v>0</v>
      </c>
      <c r="Y254" t="s">
        <v>157</v>
      </c>
      <c r="Z254" t="s">
        <v>135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19.39</v>
      </c>
      <c r="AN254" s="2">
        <v>19.39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46062</v>
      </c>
      <c r="B255" t="s">
        <v>48</v>
      </c>
      <c r="C255">
        <v>649163</v>
      </c>
      <c r="D255">
        <v>2026680615</v>
      </c>
      <c r="E255" t="s">
        <v>547</v>
      </c>
      <c r="F255" t="s">
        <v>549</v>
      </c>
      <c r="G255" t="s">
        <v>51</v>
      </c>
      <c r="H255" t="s">
        <v>333</v>
      </c>
      <c r="I255" t="s">
        <v>72</v>
      </c>
      <c r="J255" t="s">
        <v>79</v>
      </c>
      <c r="K255">
        <v>651818</v>
      </c>
      <c r="L255" t="s">
        <v>80</v>
      </c>
      <c r="M255" t="s">
        <v>81</v>
      </c>
      <c r="N255" t="s">
        <v>57</v>
      </c>
      <c r="O255" s="1">
        <v>45695</v>
      </c>
      <c r="Q255" s="1">
        <v>46088</v>
      </c>
      <c r="R255" s="2">
        <v>31.75</v>
      </c>
      <c r="S255">
        <v>1</v>
      </c>
      <c r="T255" t="s">
        <v>58</v>
      </c>
      <c r="U255" t="s">
        <v>156</v>
      </c>
      <c r="V255" s="3">
        <v>0.1</v>
      </c>
      <c r="W255" s="2">
        <v>0</v>
      </c>
      <c r="X255">
        <v>0</v>
      </c>
      <c r="Y255" t="s">
        <v>157</v>
      </c>
      <c r="Z255" t="s">
        <v>135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3.18</v>
      </c>
      <c r="AN255" s="2">
        <v>3.18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46062</v>
      </c>
      <c r="B256" t="s">
        <v>48</v>
      </c>
      <c r="C256">
        <v>649163</v>
      </c>
      <c r="D256">
        <v>2026682347</v>
      </c>
      <c r="E256" t="s">
        <v>550</v>
      </c>
      <c r="F256" t="s">
        <v>551</v>
      </c>
      <c r="G256" t="s">
        <v>51</v>
      </c>
      <c r="H256" t="s">
        <v>66</v>
      </c>
      <c r="I256" t="s">
        <v>72</v>
      </c>
      <c r="J256" t="s">
        <v>79</v>
      </c>
      <c r="K256">
        <v>651818</v>
      </c>
      <c r="L256" t="s">
        <v>80</v>
      </c>
      <c r="M256" t="s">
        <v>81</v>
      </c>
      <c r="N256" t="s">
        <v>57</v>
      </c>
      <c r="O256" s="1">
        <v>45695</v>
      </c>
      <c r="Q256" s="1">
        <v>46088</v>
      </c>
      <c r="R256" s="2">
        <v>21.78</v>
      </c>
      <c r="S256">
        <v>1</v>
      </c>
      <c r="T256" t="s">
        <v>58</v>
      </c>
      <c r="U256" t="s">
        <v>156</v>
      </c>
      <c r="V256" s="3">
        <v>0.1</v>
      </c>
      <c r="W256" s="2">
        <v>0</v>
      </c>
      <c r="X256">
        <v>0</v>
      </c>
      <c r="Y256" t="s">
        <v>157</v>
      </c>
      <c r="Z256" t="s">
        <v>135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2.1800000000000002</v>
      </c>
      <c r="AN256" s="2">
        <v>2.1800000000000002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46062</v>
      </c>
      <c r="B257" t="s">
        <v>48</v>
      </c>
      <c r="C257">
        <v>649163</v>
      </c>
      <c r="D257">
        <v>2026683722</v>
      </c>
      <c r="E257" t="s">
        <v>480</v>
      </c>
      <c r="F257" t="s">
        <v>65</v>
      </c>
      <c r="G257" t="s">
        <v>51</v>
      </c>
      <c r="H257" t="s">
        <v>78</v>
      </c>
      <c r="I257" t="s">
        <v>72</v>
      </c>
      <c r="J257" t="s">
        <v>93</v>
      </c>
      <c r="K257">
        <v>651818</v>
      </c>
      <c r="L257" t="s">
        <v>80</v>
      </c>
      <c r="M257" t="s">
        <v>81</v>
      </c>
      <c r="N257" t="s">
        <v>57</v>
      </c>
      <c r="O257" s="1">
        <v>45695</v>
      </c>
      <c r="Q257" s="1">
        <v>46088</v>
      </c>
      <c r="R257" s="2">
        <v>194.91</v>
      </c>
      <c r="S257">
        <v>1</v>
      </c>
      <c r="T257" t="s">
        <v>58</v>
      </c>
      <c r="U257" t="s">
        <v>156</v>
      </c>
      <c r="V257" s="3">
        <v>0.1</v>
      </c>
      <c r="W257" s="2">
        <v>0</v>
      </c>
      <c r="X257">
        <v>0</v>
      </c>
      <c r="Y257" t="s">
        <v>157</v>
      </c>
      <c r="Z257" t="s">
        <v>135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19.489999999999998</v>
      </c>
      <c r="AN257" s="2">
        <v>19.489999999999998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46062</v>
      </c>
      <c r="B258" t="s">
        <v>48</v>
      </c>
      <c r="C258">
        <v>649163</v>
      </c>
      <c r="D258">
        <v>2026698496</v>
      </c>
      <c r="E258" t="s">
        <v>552</v>
      </c>
      <c r="F258" t="s">
        <v>553</v>
      </c>
      <c r="G258" t="s">
        <v>51</v>
      </c>
      <c r="H258" t="s">
        <v>78</v>
      </c>
      <c r="I258" t="s">
        <v>72</v>
      </c>
      <c r="J258" t="s">
        <v>79</v>
      </c>
      <c r="K258">
        <v>651818</v>
      </c>
      <c r="L258" t="s">
        <v>80</v>
      </c>
      <c r="M258" t="s">
        <v>81</v>
      </c>
      <c r="N258" t="s">
        <v>57</v>
      </c>
      <c r="O258" s="1">
        <v>45695</v>
      </c>
      <c r="Q258" s="1">
        <v>46088</v>
      </c>
      <c r="R258" s="2">
        <v>37.979999999999997</v>
      </c>
      <c r="S258">
        <v>1</v>
      </c>
      <c r="T258" t="s">
        <v>58</v>
      </c>
      <c r="U258" t="s">
        <v>156</v>
      </c>
      <c r="V258" s="3">
        <v>0.1</v>
      </c>
      <c r="W258" s="2">
        <v>0</v>
      </c>
      <c r="X258">
        <v>0</v>
      </c>
      <c r="Y258" t="s">
        <v>157</v>
      </c>
      <c r="Z258" t="s">
        <v>135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3.8</v>
      </c>
      <c r="AN258" s="2">
        <v>3.8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46062</v>
      </c>
      <c r="B259" t="s">
        <v>48</v>
      </c>
      <c r="C259">
        <v>649163</v>
      </c>
      <c r="D259">
        <v>2026832449</v>
      </c>
      <c r="E259" t="s">
        <v>74</v>
      </c>
      <c r="F259" t="s">
        <v>172</v>
      </c>
      <c r="G259" t="s">
        <v>51</v>
      </c>
      <c r="H259" t="s">
        <v>96</v>
      </c>
      <c r="I259" t="s">
        <v>72</v>
      </c>
      <c r="J259" t="s">
        <v>79</v>
      </c>
      <c r="K259">
        <v>651818</v>
      </c>
      <c r="L259" t="s">
        <v>80</v>
      </c>
      <c r="M259" t="s">
        <v>81</v>
      </c>
      <c r="N259" t="s">
        <v>57</v>
      </c>
      <c r="O259" s="1">
        <v>45695</v>
      </c>
      <c r="Q259" s="1">
        <v>46088</v>
      </c>
      <c r="R259" s="2">
        <v>33.159999999999997</v>
      </c>
      <c r="S259">
        <v>1</v>
      </c>
      <c r="T259" t="s">
        <v>58</v>
      </c>
      <c r="U259" t="s">
        <v>156</v>
      </c>
      <c r="V259" s="3">
        <v>0.1</v>
      </c>
      <c r="W259" s="2">
        <v>0</v>
      </c>
      <c r="X259">
        <v>0</v>
      </c>
      <c r="Y259" t="s">
        <v>157</v>
      </c>
      <c r="Z259" t="s">
        <v>135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3.32</v>
      </c>
      <c r="AN259" s="2">
        <v>3.32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46062</v>
      </c>
      <c r="B260" t="s">
        <v>48</v>
      </c>
      <c r="C260">
        <v>649163</v>
      </c>
      <c r="D260">
        <v>2026844912</v>
      </c>
      <c r="E260" t="s">
        <v>554</v>
      </c>
      <c r="F260" t="s">
        <v>120</v>
      </c>
      <c r="G260" t="s">
        <v>51</v>
      </c>
      <c r="H260" t="s">
        <v>66</v>
      </c>
      <c r="I260" t="s">
        <v>72</v>
      </c>
      <c r="J260" t="s">
        <v>93</v>
      </c>
      <c r="K260">
        <v>651818</v>
      </c>
      <c r="L260" t="s">
        <v>80</v>
      </c>
      <c r="M260" t="s">
        <v>81</v>
      </c>
      <c r="N260" t="s">
        <v>57</v>
      </c>
      <c r="O260" s="1">
        <v>45695</v>
      </c>
      <c r="Q260" s="1">
        <v>46088</v>
      </c>
      <c r="R260" s="2">
        <v>121.92</v>
      </c>
      <c r="S260">
        <v>1</v>
      </c>
      <c r="T260" t="s">
        <v>58</v>
      </c>
      <c r="U260" t="s">
        <v>156</v>
      </c>
      <c r="V260" s="3">
        <v>0.1</v>
      </c>
      <c r="W260" s="2">
        <v>0</v>
      </c>
      <c r="X260">
        <v>0</v>
      </c>
      <c r="Y260" t="s">
        <v>157</v>
      </c>
      <c r="Z260" t="s">
        <v>135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12.19</v>
      </c>
      <c r="AN260" s="2">
        <v>12.19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46062</v>
      </c>
      <c r="B261" t="s">
        <v>48</v>
      </c>
      <c r="C261">
        <v>649163</v>
      </c>
      <c r="D261">
        <v>2026970603</v>
      </c>
      <c r="E261" t="s">
        <v>555</v>
      </c>
      <c r="F261" t="s">
        <v>556</v>
      </c>
      <c r="G261" t="s">
        <v>51</v>
      </c>
      <c r="H261" t="s">
        <v>90</v>
      </c>
      <c r="I261" t="s">
        <v>72</v>
      </c>
      <c r="J261" t="s">
        <v>79</v>
      </c>
      <c r="K261">
        <v>651818</v>
      </c>
      <c r="L261" t="s">
        <v>80</v>
      </c>
      <c r="M261" t="s">
        <v>81</v>
      </c>
      <c r="N261" t="s">
        <v>57</v>
      </c>
      <c r="O261" s="1">
        <v>45723</v>
      </c>
      <c r="Q261" s="1">
        <v>46088</v>
      </c>
      <c r="R261" s="2">
        <v>132.5</v>
      </c>
      <c r="S261">
        <v>1</v>
      </c>
      <c r="T261" t="s">
        <v>58</v>
      </c>
      <c r="U261" t="s">
        <v>156</v>
      </c>
      <c r="V261" s="3">
        <v>0.75</v>
      </c>
      <c r="W261" s="2">
        <v>0</v>
      </c>
      <c r="X261">
        <v>0</v>
      </c>
      <c r="Y261" t="s">
        <v>60</v>
      </c>
      <c r="Z261" t="s">
        <v>135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99.38</v>
      </c>
      <c r="AN261" s="2">
        <v>99.38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46062</v>
      </c>
      <c r="B262" t="s">
        <v>48</v>
      </c>
      <c r="C262">
        <v>649163</v>
      </c>
      <c r="D262">
        <v>2027001809</v>
      </c>
      <c r="E262" t="s">
        <v>557</v>
      </c>
      <c r="F262" t="s">
        <v>190</v>
      </c>
      <c r="G262" t="s">
        <v>51</v>
      </c>
      <c r="H262" t="s">
        <v>274</v>
      </c>
      <c r="I262" t="s">
        <v>72</v>
      </c>
      <c r="J262" t="s">
        <v>93</v>
      </c>
      <c r="K262">
        <v>816021</v>
      </c>
      <c r="L262" t="s">
        <v>275</v>
      </c>
      <c r="M262" t="s">
        <v>276</v>
      </c>
      <c r="N262" t="s">
        <v>57</v>
      </c>
      <c r="O262" s="1">
        <v>45698</v>
      </c>
      <c r="Q262" s="1">
        <v>46091</v>
      </c>
      <c r="R262" s="2">
        <v>57.08</v>
      </c>
      <c r="S262">
        <v>1</v>
      </c>
      <c r="T262" t="s">
        <v>58</v>
      </c>
      <c r="U262" t="s">
        <v>156</v>
      </c>
      <c r="V262" s="3">
        <v>0.1</v>
      </c>
      <c r="W262" s="2">
        <v>0</v>
      </c>
      <c r="X262">
        <v>0</v>
      </c>
      <c r="Y262" t="s">
        <v>157</v>
      </c>
      <c r="Z262" t="s">
        <v>135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5.71</v>
      </c>
      <c r="AN262" s="2">
        <v>5.71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46062</v>
      </c>
      <c r="B263" t="s">
        <v>48</v>
      </c>
      <c r="C263">
        <v>649163</v>
      </c>
      <c r="D263">
        <v>2027003323</v>
      </c>
      <c r="E263" t="s">
        <v>558</v>
      </c>
      <c r="F263" t="s">
        <v>559</v>
      </c>
      <c r="G263" t="s">
        <v>51</v>
      </c>
      <c r="H263" t="s">
        <v>274</v>
      </c>
      <c r="I263" t="s">
        <v>72</v>
      </c>
      <c r="J263" t="s">
        <v>455</v>
      </c>
      <c r="K263">
        <v>816021</v>
      </c>
      <c r="L263" t="s">
        <v>275</v>
      </c>
      <c r="M263" t="s">
        <v>276</v>
      </c>
      <c r="N263" t="s">
        <v>57</v>
      </c>
      <c r="O263" s="1">
        <v>45696</v>
      </c>
      <c r="Q263" s="1">
        <v>46089</v>
      </c>
      <c r="R263" s="2">
        <v>133.63</v>
      </c>
      <c r="S263">
        <v>1</v>
      </c>
      <c r="T263" t="s">
        <v>58</v>
      </c>
      <c r="U263" t="s">
        <v>156</v>
      </c>
      <c r="V263" s="3">
        <v>0.1</v>
      </c>
      <c r="W263" s="2">
        <v>0</v>
      </c>
      <c r="X263">
        <v>0</v>
      </c>
      <c r="Y263" t="s">
        <v>157</v>
      </c>
      <c r="Z263" t="s">
        <v>135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13.36</v>
      </c>
      <c r="AN263" s="2">
        <v>13.36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46062</v>
      </c>
      <c r="B264" t="s">
        <v>48</v>
      </c>
      <c r="C264">
        <v>649163</v>
      </c>
      <c r="D264">
        <v>2027003554</v>
      </c>
      <c r="E264" t="s">
        <v>560</v>
      </c>
      <c r="F264" t="s">
        <v>92</v>
      </c>
      <c r="G264" t="s">
        <v>51</v>
      </c>
      <c r="H264" t="s">
        <v>274</v>
      </c>
      <c r="I264" t="s">
        <v>72</v>
      </c>
      <c r="J264" t="s">
        <v>455</v>
      </c>
      <c r="K264">
        <v>816021</v>
      </c>
      <c r="L264" t="s">
        <v>275</v>
      </c>
      <c r="M264" t="s">
        <v>276</v>
      </c>
      <c r="N264" t="s">
        <v>57</v>
      </c>
      <c r="O264" s="1">
        <v>45698</v>
      </c>
      <c r="Q264" s="1">
        <v>46091</v>
      </c>
      <c r="R264" s="2">
        <v>50.23</v>
      </c>
      <c r="S264">
        <v>1</v>
      </c>
      <c r="T264" t="s">
        <v>58</v>
      </c>
      <c r="U264" t="s">
        <v>156</v>
      </c>
      <c r="V264" s="3">
        <v>0.1</v>
      </c>
      <c r="W264" s="2">
        <v>0</v>
      </c>
      <c r="X264">
        <v>0</v>
      </c>
      <c r="Y264" t="s">
        <v>157</v>
      </c>
      <c r="Z264" t="s">
        <v>135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5.0199999999999996</v>
      </c>
      <c r="AN264" s="2">
        <v>5.0199999999999996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46062</v>
      </c>
      <c r="B265" t="s">
        <v>48</v>
      </c>
      <c r="C265">
        <v>649163</v>
      </c>
      <c r="D265">
        <v>2027010992</v>
      </c>
      <c r="E265" t="s">
        <v>547</v>
      </c>
      <c r="F265" t="s">
        <v>561</v>
      </c>
      <c r="G265" t="s">
        <v>51</v>
      </c>
      <c r="H265" t="s">
        <v>274</v>
      </c>
      <c r="I265" t="s">
        <v>72</v>
      </c>
      <c r="J265" t="s">
        <v>455</v>
      </c>
      <c r="K265">
        <v>816021</v>
      </c>
      <c r="L265" t="s">
        <v>275</v>
      </c>
      <c r="M265" t="s">
        <v>276</v>
      </c>
      <c r="N265" t="s">
        <v>57</v>
      </c>
      <c r="O265" s="1">
        <v>45697</v>
      </c>
      <c r="Q265" s="1">
        <v>46090</v>
      </c>
      <c r="R265" s="2">
        <v>47.01</v>
      </c>
      <c r="S265">
        <v>1</v>
      </c>
      <c r="T265" t="s">
        <v>58</v>
      </c>
      <c r="U265" t="s">
        <v>156</v>
      </c>
      <c r="V265" s="3">
        <v>0.1</v>
      </c>
      <c r="W265" s="2">
        <v>0</v>
      </c>
      <c r="X265">
        <v>0</v>
      </c>
      <c r="Y265" t="s">
        <v>157</v>
      </c>
      <c r="Z265" t="s">
        <v>135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4.7</v>
      </c>
      <c r="AN265" s="2">
        <v>4.7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46062</v>
      </c>
      <c r="B266" t="s">
        <v>48</v>
      </c>
      <c r="C266">
        <v>649163</v>
      </c>
      <c r="D266">
        <v>2027025172</v>
      </c>
      <c r="E266" t="s">
        <v>562</v>
      </c>
      <c r="F266" t="s">
        <v>349</v>
      </c>
      <c r="G266" t="s">
        <v>51</v>
      </c>
      <c r="H266" t="s">
        <v>274</v>
      </c>
      <c r="I266" t="s">
        <v>72</v>
      </c>
      <c r="J266" t="s">
        <v>455</v>
      </c>
      <c r="K266">
        <v>824082</v>
      </c>
      <c r="L266" t="s">
        <v>563</v>
      </c>
      <c r="M266" t="s">
        <v>564</v>
      </c>
      <c r="N266" t="s">
        <v>57</v>
      </c>
      <c r="O266" s="1">
        <v>45697</v>
      </c>
      <c r="Q266" s="1">
        <v>46090</v>
      </c>
      <c r="R266" s="2">
        <v>65.08</v>
      </c>
      <c r="S266">
        <v>1</v>
      </c>
      <c r="T266" t="s">
        <v>58</v>
      </c>
      <c r="U266" t="s">
        <v>156</v>
      </c>
      <c r="V266" s="3">
        <v>0.1</v>
      </c>
      <c r="W266" s="2">
        <v>0</v>
      </c>
      <c r="X266">
        <v>0</v>
      </c>
      <c r="Y266" t="s">
        <v>157</v>
      </c>
      <c r="Z266" t="s">
        <v>135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6.51</v>
      </c>
      <c r="AN266" s="2">
        <v>6.51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46062</v>
      </c>
      <c r="B267" t="s">
        <v>48</v>
      </c>
      <c r="C267">
        <v>649163</v>
      </c>
      <c r="D267">
        <v>2030339161</v>
      </c>
      <c r="E267" t="s">
        <v>339</v>
      </c>
      <c r="F267" t="s">
        <v>565</v>
      </c>
      <c r="G267" t="s">
        <v>51</v>
      </c>
      <c r="H267" t="s">
        <v>140</v>
      </c>
      <c r="I267" t="s">
        <v>350</v>
      </c>
      <c r="J267" t="s">
        <v>566</v>
      </c>
      <c r="K267">
        <v>874230</v>
      </c>
      <c r="L267" t="s">
        <v>142</v>
      </c>
      <c r="M267" t="s">
        <v>143</v>
      </c>
      <c r="N267" t="s">
        <v>57</v>
      </c>
      <c r="O267" s="1">
        <v>45875</v>
      </c>
      <c r="Q267" s="1">
        <v>46087</v>
      </c>
      <c r="R267" s="2">
        <v>15</v>
      </c>
      <c r="S267">
        <v>1</v>
      </c>
      <c r="T267" t="s">
        <v>58</v>
      </c>
      <c r="U267" t="s">
        <v>156</v>
      </c>
      <c r="V267" s="3">
        <v>0.19</v>
      </c>
      <c r="W267" s="2">
        <v>0</v>
      </c>
      <c r="X267">
        <v>0</v>
      </c>
      <c r="Y267" t="s">
        <v>60</v>
      </c>
      <c r="Z267" t="s">
        <v>135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2.85</v>
      </c>
      <c r="AN267" s="2">
        <v>2.85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46062</v>
      </c>
      <c r="B268" t="s">
        <v>48</v>
      </c>
      <c r="C268">
        <v>649163</v>
      </c>
      <c r="D268">
        <v>2030375984</v>
      </c>
      <c r="E268" t="s">
        <v>302</v>
      </c>
      <c r="F268" t="s">
        <v>567</v>
      </c>
      <c r="G268" t="s">
        <v>51</v>
      </c>
      <c r="H268" t="s">
        <v>116</v>
      </c>
      <c r="I268" t="s">
        <v>350</v>
      </c>
      <c r="J268" t="s">
        <v>351</v>
      </c>
      <c r="K268">
        <v>877790</v>
      </c>
      <c r="L268" t="s">
        <v>132</v>
      </c>
      <c r="M268" t="s">
        <v>133</v>
      </c>
      <c r="N268" t="s">
        <v>57</v>
      </c>
      <c r="O268" s="1">
        <v>45877</v>
      </c>
      <c r="Q268" s="1">
        <v>46089</v>
      </c>
      <c r="R268" s="2">
        <v>15</v>
      </c>
      <c r="S268">
        <v>1</v>
      </c>
      <c r="T268" t="s">
        <v>58</v>
      </c>
      <c r="U268" t="s">
        <v>156</v>
      </c>
      <c r="V268" s="3">
        <v>0.19</v>
      </c>
      <c r="W268" s="2">
        <v>0</v>
      </c>
      <c r="X268">
        <v>0</v>
      </c>
      <c r="Y268" t="s">
        <v>60</v>
      </c>
      <c r="Z268" t="s">
        <v>135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2.85</v>
      </c>
      <c r="AN268" s="2">
        <v>2.85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46062</v>
      </c>
      <c r="B269" t="s">
        <v>48</v>
      </c>
      <c r="C269">
        <v>649163</v>
      </c>
      <c r="D269">
        <v>2030399998</v>
      </c>
      <c r="E269" t="s">
        <v>568</v>
      </c>
      <c r="F269" t="s">
        <v>184</v>
      </c>
      <c r="G269" t="s">
        <v>51</v>
      </c>
      <c r="H269" t="s">
        <v>66</v>
      </c>
      <c r="I269" t="s">
        <v>350</v>
      </c>
      <c r="J269" t="s">
        <v>354</v>
      </c>
      <c r="K269">
        <v>824062</v>
      </c>
      <c r="L269" t="s">
        <v>569</v>
      </c>
      <c r="M269" t="s">
        <v>570</v>
      </c>
      <c r="N269" t="s">
        <v>57</v>
      </c>
      <c r="O269" s="1">
        <v>45878</v>
      </c>
      <c r="Q269" s="1">
        <v>46090</v>
      </c>
      <c r="R269" s="2">
        <v>15</v>
      </c>
      <c r="S269">
        <v>1</v>
      </c>
      <c r="T269" t="s">
        <v>58</v>
      </c>
      <c r="U269" t="s">
        <v>156</v>
      </c>
      <c r="V269" s="3">
        <v>0.38</v>
      </c>
      <c r="W269" s="2">
        <v>0</v>
      </c>
      <c r="X269">
        <v>0</v>
      </c>
      <c r="Y269" t="s">
        <v>60</v>
      </c>
      <c r="Z269" t="s">
        <v>135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5.7</v>
      </c>
      <c r="AN269" s="2">
        <v>5.7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46062</v>
      </c>
      <c r="B270" t="s">
        <v>48</v>
      </c>
      <c r="C270">
        <v>649163</v>
      </c>
      <c r="D270">
        <v>2030762532</v>
      </c>
      <c r="E270" t="s">
        <v>571</v>
      </c>
      <c r="F270" t="s">
        <v>185</v>
      </c>
      <c r="G270" t="s">
        <v>51</v>
      </c>
      <c r="H270" t="s">
        <v>140</v>
      </c>
      <c r="I270" t="s">
        <v>350</v>
      </c>
      <c r="J270" t="s">
        <v>566</v>
      </c>
      <c r="K270">
        <v>888536</v>
      </c>
      <c r="L270" t="s">
        <v>315</v>
      </c>
      <c r="M270" t="s">
        <v>316</v>
      </c>
      <c r="N270" t="s">
        <v>144</v>
      </c>
      <c r="O270" s="1">
        <v>45899</v>
      </c>
      <c r="P270" s="1">
        <v>46062</v>
      </c>
      <c r="Q270" s="1">
        <v>46081</v>
      </c>
      <c r="R270" s="2">
        <v>-16.940000000000001</v>
      </c>
      <c r="S270">
        <v>1</v>
      </c>
      <c r="T270" t="s">
        <v>58</v>
      </c>
      <c r="U270" t="s">
        <v>156</v>
      </c>
      <c r="V270" s="3">
        <v>0.19</v>
      </c>
      <c r="W270" s="2">
        <v>0</v>
      </c>
      <c r="X270">
        <v>-1</v>
      </c>
      <c r="Y270" t="s">
        <v>60</v>
      </c>
      <c r="Z270" t="s">
        <v>135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-3.22</v>
      </c>
      <c r="AN270" s="2">
        <v>-3.22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46062</v>
      </c>
      <c r="B271" t="s">
        <v>48</v>
      </c>
      <c r="C271">
        <v>649163</v>
      </c>
      <c r="D271">
        <v>2030905165</v>
      </c>
      <c r="E271" t="s">
        <v>572</v>
      </c>
      <c r="F271" t="s">
        <v>573</v>
      </c>
      <c r="G271" t="s">
        <v>51</v>
      </c>
      <c r="H271" t="s">
        <v>90</v>
      </c>
      <c r="I271" t="s">
        <v>350</v>
      </c>
      <c r="J271" t="s">
        <v>574</v>
      </c>
      <c r="K271">
        <v>753748</v>
      </c>
      <c r="L271" t="s">
        <v>74</v>
      </c>
      <c r="M271" t="s">
        <v>75</v>
      </c>
      <c r="N271" t="s">
        <v>57</v>
      </c>
      <c r="O271" s="1">
        <v>45906</v>
      </c>
      <c r="Q271" s="1">
        <v>46087</v>
      </c>
      <c r="R271" s="2">
        <v>15</v>
      </c>
      <c r="S271">
        <v>1</v>
      </c>
      <c r="T271" t="s">
        <v>58</v>
      </c>
      <c r="U271" t="s">
        <v>156</v>
      </c>
      <c r="V271" s="3">
        <v>0.28999999999999998</v>
      </c>
      <c r="W271" s="2">
        <v>0</v>
      </c>
      <c r="X271">
        <v>0</v>
      </c>
      <c r="Y271" t="s">
        <v>60</v>
      </c>
      <c r="Z271" t="s">
        <v>135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4.3499999999999996</v>
      </c>
      <c r="AN271" s="2">
        <v>4.3499999999999996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46062</v>
      </c>
      <c r="B272" t="s">
        <v>48</v>
      </c>
      <c r="C272">
        <v>649163</v>
      </c>
      <c r="D272">
        <v>2030917279</v>
      </c>
      <c r="E272" t="s">
        <v>575</v>
      </c>
      <c r="F272" t="s">
        <v>576</v>
      </c>
      <c r="G272" t="s">
        <v>51</v>
      </c>
      <c r="H272" t="s">
        <v>140</v>
      </c>
      <c r="I272" t="s">
        <v>350</v>
      </c>
      <c r="J272" t="s">
        <v>566</v>
      </c>
      <c r="K272">
        <v>874230</v>
      </c>
      <c r="L272" t="s">
        <v>142</v>
      </c>
      <c r="M272" t="s">
        <v>143</v>
      </c>
      <c r="N272" t="s">
        <v>57</v>
      </c>
      <c r="O272" s="1">
        <v>45910</v>
      </c>
      <c r="Q272" s="1">
        <v>46091</v>
      </c>
      <c r="R272" s="2">
        <v>15</v>
      </c>
      <c r="S272">
        <v>1</v>
      </c>
      <c r="T272" t="s">
        <v>58</v>
      </c>
      <c r="U272" t="s">
        <v>156</v>
      </c>
      <c r="V272" s="3">
        <v>0.19</v>
      </c>
      <c r="W272" s="2">
        <v>0</v>
      </c>
      <c r="X272">
        <v>0</v>
      </c>
      <c r="Y272" t="s">
        <v>60</v>
      </c>
      <c r="Z272" t="s">
        <v>135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2.85</v>
      </c>
      <c r="AN272" s="2">
        <v>2.85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46062</v>
      </c>
      <c r="B273" t="s">
        <v>48</v>
      </c>
      <c r="C273">
        <v>649163</v>
      </c>
      <c r="D273">
        <v>2030933674</v>
      </c>
      <c r="E273" t="s">
        <v>577</v>
      </c>
      <c r="F273" t="s">
        <v>578</v>
      </c>
      <c r="G273" t="s">
        <v>51</v>
      </c>
      <c r="H273" t="s">
        <v>392</v>
      </c>
      <c r="I273" t="s">
        <v>350</v>
      </c>
      <c r="J273" t="s">
        <v>579</v>
      </c>
      <c r="K273">
        <v>823068</v>
      </c>
      <c r="L273" t="s">
        <v>355</v>
      </c>
      <c r="M273" t="s">
        <v>356</v>
      </c>
      <c r="N273" t="s">
        <v>57</v>
      </c>
      <c r="O273" s="1">
        <v>45909</v>
      </c>
      <c r="Q273" s="1">
        <v>46090</v>
      </c>
      <c r="R273" s="2">
        <v>19.5</v>
      </c>
      <c r="S273">
        <v>1</v>
      </c>
      <c r="T273" t="s">
        <v>58</v>
      </c>
      <c r="U273" t="s">
        <v>59</v>
      </c>
      <c r="V273" s="3">
        <v>0.39</v>
      </c>
      <c r="W273" s="2">
        <v>0</v>
      </c>
      <c r="X273">
        <v>0</v>
      </c>
      <c r="Y273" t="s">
        <v>60</v>
      </c>
      <c r="Z273" t="s">
        <v>135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7.6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46062</v>
      </c>
      <c r="B274" t="s">
        <v>48</v>
      </c>
      <c r="C274">
        <v>649163</v>
      </c>
      <c r="D274">
        <v>2030945125</v>
      </c>
      <c r="E274" t="s">
        <v>580</v>
      </c>
      <c r="F274" t="s">
        <v>581</v>
      </c>
      <c r="G274" t="s">
        <v>51</v>
      </c>
      <c r="H274" t="s">
        <v>66</v>
      </c>
      <c r="I274" t="s">
        <v>350</v>
      </c>
      <c r="J274" t="s">
        <v>582</v>
      </c>
      <c r="K274">
        <v>820873</v>
      </c>
      <c r="L274" t="s">
        <v>319</v>
      </c>
      <c r="M274" t="s">
        <v>320</v>
      </c>
      <c r="N274" t="s">
        <v>57</v>
      </c>
      <c r="O274" s="1">
        <v>45909</v>
      </c>
      <c r="Q274" s="1">
        <v>46090</v>
      </c>
      <c r="R274" s="2">
        <v>15</v>
      </c>
      <c r="S274">
        <v>1</v>
      </c>
      <c r="T274" t="s">
        <v>58</v>
      </c>
      <c r="U274" t="s">
        <v>59</v>
      </c>
      <c r="V274" s="3">
        <v>0.38</v>
      </c>
      <c r="W274" s="2">
        <v>0</v>
      </c>
      <c r="X274">
        <v>0</v>
      </c>
      <c r="Y274" t="s">
        <v>60</v>
      </c>
      <c r="Z274" t="s">
        <v>135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5.7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46062</v>
      </c>
      <c r="B275" t="s">
        <v>48</v>
      </c>
      <c r="C275">
        <v>649163</v>
      </c>
      <c r="D275">
        <v>2031017071</v>
      </c>
      <c r="E275" t="s">
        <v>583</v>
      </c>
      <c r="F275" t="s">
        <v>188</v>
      </c>
      <c r="G275" t="s">
        <v>51</v>
      </c>
      <c r="H275" t="s">
        <v>116</v>
      </c>
      <c r="I275" t="s">
        <v>350</v>
      </c>
      <c r="J275" t="s">
        <v>351</v>
      </c>
      <c r="K275">
        <v>877790</v>
      </c>
      <c r="L275" t="s">
        <v>132</v>
      </c>
      <c r="M275" t="s">
        <v>133</v>
      </c>
      <c r="N275" t="s">
        <v>57</v>
      </c>
      <c r="O275" s="1">
        <v>45913</v>
      </c>
      <c r="Q275" s="1">
        <v>46094</v>
      </c>
      <c r="R275" s="2">
        <v>15</v>
      </c>
      <c r="S275">
        <v>1</v>
      </c>
      <c r="T275" t="s">
        <v>58</v>
      </c>
      <c r="U275" t="s">
        <v>134</v>
      </c>
      <c r="V275" s="3">
        <v>0.19</v>
      </c>
      <c r="W275" s="2">
        <v>0</v>
      </c>
      <c r="X275">
        <v>0</v>
      </c>
      <c r="Y275" t="s">
        <v>60</v>
      </c>
      <c r="Z275" t="s">
        <v>135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2.85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46062</v>
      </c>
      <c r="B276" t="s">
        <v>48</v>
      </c>
      <c r="C276">
        <v>649163</v>
      </c>
      <c r="D276">
        <v>2031581265</v>
      </c>
      <c r="E276" t="s">
        <v>584</v>
      </c>
      <c r="F276" t="s">
        <v>585</v>
      </c>
      <c r="G276" t="s">
        <v>51</v>
      </c>
      <c r="H276" t="s">
        <v>397</v>
      </c>
      <c r="I276" t="s">
        <v>350</v>
      </c>
      <c r="J276" t="s">
        <v>574</v>
      </c>
      <c r="K276">
        <v>897073</v>
      </c>
      <c r="L276" t="s">
        <v>586</v>
      </c>
      <c r="M276" t="s">
        <v>587</v>
      </c>
      <c r="N276" t="s">
        <v>57</v>
      </c>
      <c r="O276" s="1">
        <v>45942</v>
      </c>
      <c r="Q276" s="1">
        <v>46093</v>
      </c>
      <c r="R276" s="2">
        <v>15</v>
      </c>
      <c r="S276">
        <v>1</v>
      </c>
      <c r="T276" t="s">
        <v>58</v>
      </c>
      <c r="U276" t="s">
        <v>134</v>
      </c>
      <c r="V276" s="3">
        <v>0.28999999999999998</v>
      </c>
      <c r="W276" s="2">
        <v>0</v>
      </c>
      <c r="X276">
        <v>0</v>
      </c>
      <c r="Y276" t="s">
        <v>60</v>
      </c>
      <c r="Z276" t="s">
        <v>135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4.3499999999999996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46062</v>
      </c>
      <c r="B277" t="s">
        <v>48</v>
      </c>
      <c r="C277">
        <v>649163</v>
      </c>
      <c r="D277">
        <v>2032226957</v>
      </c>
      <c r="E277" t="s">
        <v>588</v>
      </c>
      <c r="F277" t="s">
        <v>377</v>
      </c>
      <c r="G277" t="s">
        <v>51</v>
      </c>
      <c r="H277" t="s">
        <v>66</v>
      </c>
      <c r="I277" t="s">
        <v>350</v>
      </c>
      <c r="J277" t="s">
        <v>354</v>
      </c>
      <c r="K277">
        <v>820873</v>
      </c>
      <c r="L277" t="s">
        <v>319</v>
      </c>
      <c r="M277" t="s">
        <v>320</v>
      </c>
      <c r="N277" t="s">
        <v>57</v>
      </c>
      <c r="O277" s="1">
        <v>45992</v>
      </c>
      <c r="Q277" s="1">
        <v>46082</v>
      </c>
      <c r="R277" s="2">
        <v>-15</v>
      </c>
      <c r="S277">
        <v>1</v>
      </c>
      <c r="T277" t="s">
        <v>58</v>
      </c>
      <c r="U277" t="s">
        <v>149</v>
      </c>
      <c r="V277" s="3">
        <v>0.38</v>
      </c>
      <c r="W277" s="2">
        <v>0</v>
      </c>
      <c r="X277">
        <v>-1</v>
      </c>
      <c r="Y277" t="s">
        <v>60</v>
      </c>
      <c r="Z277" t="s">
        <v>135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-5.7</v>
      </c>
      <c r="AN277" s="2">
        <v>-5.7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46062</v>
      </c>
      <c r="B278" t="s">
        <v>48</v>
      </c>
      <c r="C278">
        <v>649163</v>
      </c>
      <c r="D278">
        <v>2032465281</v>
      </c>
      <c r="E278" t="s">
        <v>589</v>
      </c>
      <c r="F278" t="s">
        <v>590</v>
      </c>
      <c r="G278" t="s">
        <v>51</v>
      </c>
      <c r="H278" t="s">
        <v>237</v>
      </c>
      <c r="I278" t="s">
        <v>350</v>
      </c>
      <c r="J278" t="s">
        <v>582</v>
      </c>
      <c r="K278">
        <v>751867</v>
      </c>
      <c r="L278" t="s">
        <v>239</v>
      </c>
      <c r="M278" t="s">
        <v>240</v>
      </c>
      <c r="N278" t="s">
        <v>57</v>
      </c>
      <c r="O278" s="1">
        <v>46023</v>
      </c>
      <c r="Q278" s="1">
        <v>46082</v>
      </c>
      <c r="R278" s="2">
        <v>15</v>
      </c>
      <c r="S278">
        <v>1</v>
      </c>
      <c r="T278" t="s">
        <v>58</v>
      </c>
      <c r="U278" t="s">
        <v>59</v>
      </c>
      <c r="V278" s="3">
        <v>0.38</v>
      </c>
      <c r="W278" s="2">
        <v>0</v>
      </c>
      <c r="X278">
        <v>0</v>
      </c>
      <c r="Y278" t="s">
        <v>60</v>
      </c>
      <c r="Z278" t="s">
        <v>135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5.7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46062</v>
      </c>
      <c r="B279" t="s">
        <v>48</v>
      </c>
      <c r="C279">
        <v>649163</v>
      </c>
      <c r="D279">
        <v>2032554458</v>
      </c>
      <c r="E279" t="s">
        <v>591</v>
      </c>
      <c r="F279" t="s">
        <v>592</v>
      </c>
      <c r="G279" t="s">
        <v>51</v>
      </c>
      <c r="H279" t="s">
        <v>66</v>
      </c>
      <c r="I279" t="s">
        <v>350</v>
      </c>
      <c r="J279" t="s">
        <v>354</v>
      </c>
      <c r="K279">
        <v>824076</v>
      </c>
      <c r="L279" t="s">
        <v>340</v>
      </c>
      <c r="M279" t="s">
        <v>341</v>
      </c>
      <c r="N279" t="s">
        <v>57</v>
      </c>
      <c r="O279" s="1">
        <v>45998</v>
      </c>
      <c r="Q279" s="1">
        <v>46088</v>
      </c>
      <c r="R279" s="2">
        <v>15</v>
      </c>
      <c r="S279">
        <v>1</v>
      </c>
      <c r="T279" t="s">
        <v>58</v>
      </c>
      <c r="U279" t="s">
        <v>149</v>
      </c>
      <c r="V279" s="3">
        <v>0.38</v>
      </c>
      <c r="W279" s="2">
        <v>0</v>
      </c>
      <c r="X279">
        <v>0</v>
      </c>
      <c r="Y279" t="s">
        <v>60</v>
      </c>
      <c r="Z279" t="s">
        <v>135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5.7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46062</v>
      </c>
      <c r="B280" t="s">
        <v>48</v>
      </c>
      <c r="C280">
        <v>649163</v>
      </c>
      <c r="D280">
        <v>2032562022</v>
      </c>
      <c r="E280" t="s">
        <v>593</v>
      </c>
      <c r="F280" t="s">
        <v>512</v>
      </c>
      <c r="G280" t="s">
        <v>51</v>
      </c>
      <c r="H280" t="s">
        <v>140</v>
      </c>
      <c r="I280" t="s">
        <v>350</v>
      </c>
      <c r="J280" t="s">
        <v>566</v>
      </c>
      <c r="K280">
        <v>874230</v>
      </c>
      <c r="L280" t="s">
        <v>142</v>
      </c>
      <c r="M280" t="s">
        <v>143</v>
      </c>
      <c r="N280" t="s">
        <v>144</v>
      </c>
      <c r="O280" s="1">
        <v>46023</v>
      </c>
      <c r="P280" s="1">
        <v>46055</v>
      </c>
      <c r="Q280" s="1">
        <v>46082</v>
      </c>
      <c r="R280" s="2">
        <v>-15</v>
      </c>
      <c r="S280">
        <v>1</v>
      </c>
      <c r="T280" t="s">
        <v>58</v>
      </c>
      <c r="U280" t="s">
        <v>134</v>
      </c>
      <c r="V280" s="3">
        <v>0.19</v>
      </c>
      <c r="W280" s="2">
        <v>0</v>
      </c>
      <c r="X280">
        <v>-1</v>
      </c>
      <c r="Y280" t="s">
        <v>60</v>
      </c>
      <c r="Z280" t="s">
        <v>135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-2.85</v>
      </c>
      <c r="AN280" s="2">
        <v>-2.85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46062</v>
      </c>
      <c r="B281" t="s">
        <v>48</v>
      </c>
      <c r="C281">
        <v>649163</v>
      </c>
      <c r="D281">
        <v>2032570173</v>
      </c>
      <c r="E281" t="s">
        <v>594</v>
      </c>
      <c r="F281" t="s">
        <v>595</v>
      </c>
      <c r="G281" t="s">
        <v>51</v>
      </c>
      <c r="H281" t="s">
        <v>170</v>
      </c>
      <c r="I281" t="s">
        <v>350</v>
      </c>
      <c r="J281" t="s">
        <v>574</v>
      </c>
      <c r="K281">
        <v>767312</v>
      </c>
      <c r="L281" t="s">
        <v>310</v>
      </c>
      <c r="M281" t="s">
        <v>311</v>
      </c>
      <c r="N281" t="s">
        <v>57</v>
      </c>
      <c r="O281" s="1">
        <v>46001</v>
      </c>
      <c r="Q281" s="1">
        <v>46091</v>
      </c>
      <c r="R281" s="2">
        <v>15</v>
      </c>
      <c r="S281">
        <v>1</v>
      </c>
      <c r="T281" t="s">
        <v>58</v>
      </c>
      <c r="U281" t="s">
        <v>149</v>
      </c>
      <c r="V281" s="3">
        <v>0.28999999999999998</v>
      </c>
      <c r="W281" s="2">
        <v>0</v>
      </c>
      <c r="X281">
        <v>0</v>
      </c>
      <c r="Y281" t="s">
        <v>60</v>
      </c>
      <c r="Z281" t="s">
        <v>135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4.3499999999999996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46062</v>
      </c>
      <c r="B282" t="s">
        <v>48</v>
      </c>
      <c r="C282">
        <v>649163</v>
      </c>
      <c r="D282">
        <v>2032570318</v>
      </c>
      <c r="E282" t="s">
        <v>596</v>
      </c>
      <c r="F282" t="s">
        <v>176</v>
      </c>
      <c r="G282" t="s">
        <v>51</v>
      </c>
      <c r="H282" t="s">
        <v>66</v>
      </c>
      <c r="I282" t="s">
        <v>350</v>
      </c>
      <c r="J282" t="s">
        <v>354</v>
      </c>
      <c r="K282">
        <v>673059</v>
      </c>
      <c r="L282" t="s">
        <v>162</v>
      </c>
      <c r="M282" t="s">
        <v>180</v>
      </c>
      <c r="N282" t="s">
        <v>57</v>
      </c>
      <c r="O282" s="1">
        <v>46000</v>
      </c>
      <c r="Q282" s="1">
        <v>46090</v>
      </c>
      <c r="R282" s="2">
        <v>15</v>
      </c>
      <c r="S282">
        <v>1</v>
      </c>
      <c r="T282" t="s">
        <v>58</v>
      </c>
      <c r="U282" t="s">
        <v>149</v>
      </c>
      <c r="V282" s="3">
        <v>0.38</v>
      </c>
      <c r="W282" s="2">
        <v>0</v>
      </c>
      <c r="X282">
        <v>0</v>
      </c>
      <c r="Y282" t="s">
        <v>60</v>
      </c>
      <c r="Z282" t="s">
        <v>135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5.7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46062</v>
      </c>
      <c r="B283" t="s">
        <v>48</v>
      </c>
      <c r="C283">
        <v>649163</v>
      </c>
      <c r="D283">
        <v>2032604914</v>
      </c>
      <c r="E283" t="s">
        <v>597</v>
      </c>
      <c r="F283" t="s">
        <v>598</v>
      </c>
      <c r="G283" t="s">
        <v>51</v>
      </c>
      <c r="H283" t="s">
        <v>193</v>
      </c>
      <c r="I283" t="s">
        <v>350</v>
      </c>
      <c r="J283" t="s">
        <v>582</v>
      </c>
      <c r="K283">
        <v>893408</v>
      </c>
      <c r="L283" t="s">
        <v>599</v>
      </c>
      <c r="M283" t="s">
        <v>600</v>
      </c>
      <c r="N283" t="s">
        <v>57</v>
      </c>
      <c r="O283" s="1">
        <v>46002</v>
      </c>
      <c r="Q283" s="1">
        <v>46092</v>
      </c>
      <c r="R283" s="2">
        <v>15</v>
      </c>
      <c r="S283">
        <v>1</v>
      </c>
      <c r="T283" t="s">
        <v>58</v>
      </c>
      <c r="U283" t="s">
        <v>59</v>
      </c>
      <c r="V283" s="3">
        <v>0.38</v>
      </c>
      <c r="W283" s="2">
        <v>0</v>
      </c>
      <c r="X283">
        <v>0</v>
      </c>
      <c r="Y283" t="s">
        <v>60</v>
      </c>
      <c r="Z283" t="s">
        <v>135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5.7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46062</v>
      </c>
      <c r="B284" t="s">
        <v>48</v>
      </c>
      <c r="C284">
        <v>649163</v>
      </c>
      <c r="D284">
        <v>2032629846</v>
      </c>
      <c r="E284" t="s">
        <v>601</v>
      </c>
      <c r="F284" t="s">
        <v>602</v>
      </c>
      <c r="G284" t="s">
        <v>51</v>
      </c>
      <c r="H284" t="s">
        <v>66</v>
      </c>
      <c r="I284" t="s">
        <v>350</v>
      </c>
      <c r="J284" t="s">
        <v>354</v>
      </c>
      <c r="K284">
        <v>894525</v>
      </c>
      <c r="L284" t="s">
        <v>67</v>
      </c>
      <c r="M284" t="s">
        <v>68</v>
      </c>
      <c r="N284" t="s">
        <v>57</v>
      </c>
      <c r="O284" s="1">
        <v>46023</v>
      </c>
      <c r="Q284" s="1">
        <v>46082</v>
      </c>
      <c r="R284" s="2">
        <v>-15</v>
      </c>
      <c r="S284">
        <v>1</v>
      </c>
      <c r="T284" t="s">
        <v>58</v>
      </c>
      <c r="U284" t="s">
        <v>149</v>
      </c>
      <c r="V284" s="3">
        <v>0.38</v>
      </c>
      <c r="W284" s="2">
        <v>0</v>
      </c>
      <c r="X284">
        <v>-1</v>
      </c>
      <c r="Y284" t="s">
        <v>60</v>
      </c>
      <c r="Z284" t="s">
        <v>135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-5.7</v>
      </c>
      <c r="AN284" s="2">
        <v>-5.7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46062</v>
      </c>
      <c r="B285" t="s">
        <v>48</v>
      </c>
      <c r="C285">
        <v>649163</v>
      </c>
      <c r="D285">
        <v>2032634421</v>
      </c>
      <c r="E285" t="s">
        <v>453</v>
      </c>
      <c r="F285" t="s">
        <v>603</v>
      </c>
      <c r="G285" t="s">
        <v>51</v>
      </c>
      <c r="H285" t="s">
        <v>52</v>
      </c>
      <c r="I285" t="s">
        <v>350</v>
      </c>
      <c r="J285" t="s">
        <v>582</v>
      </c>
      <c r="K285">
        <v>650218</v>
      </c>
      <c r="L285" t="s">
        <v>246</v>
      </c>
      <c r="M285" t="s">
        <v>195</v>
      </c>
      <c r="N285" t="s">
        <v>57</v>
      </c>
      <c r="O285" s="1">
        <v>46003</v>
      </c>
      <c r="Q285" s="1">
        <v>46093</v>
      </c>
      <c r="R285" s="2">
        <v>15</v>
      </c>
      <c r="S285">
        <v>1</v>
      </c>
      <c r="T285" t="s">
        <v>58</v>
      </c>
      <c r="U285" t="s">
        <v>59</v>
      </c>
      <c r="V285" s="3">
        <v>0.38</v>
      </c>
      <c r="W285" s="2">
        <v>0</v>
      </c>
      <c r="X285">
        <v>0</v>
      </c>
      <c r="Y285" t="s">
        <v>60</v>
      </c>
      <c r="Z285" t="s">
        <v>135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5.7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46062</v>
      </c>
      <c r="B286" t="s">
        <v>48</v>
      </c>
      <c r="C286">
        <v>649163</v>
      </c>
      <c r="D286">
        <v>2032671166</v>
      </c>
      <c r="E286" t="s">
        <v>604</v>
      </c>
      <c r="F286" t="s">
        <v>605</v>
      </c>
      <c r="G286" t="s">
        <v>51</v>
      </c>
      <c r="H286" t="s">
        <v>66</v>
      </c>
      <c r="I286" t="s">
        <v>350</v>
      </c>
      <c r="J286" t="s">
        <v>606</v>
      </c>
      <c r="K286">
        <v>856824</v>
      </c>
      <c r="L286" t="s">
        <v>126</v>
      </c>
      <c r="M286" t="s">
        <v>127</v>
      </c>
      <c r="N286" t="s">
        <v>57</v>
      </c>
      <c r="O286" s="1">
        <v>46023</v>
      </c>
      <c r="Q286" s="1">
        <v>46082</v>
      </c>
      <c r="R286" s="2">
        <v>71.260000000000005</v>
      </c>
      <c r="S286">
        <v>1</v>
      </c>
      <c r="T286" t="s">
        <v>58</v>
      </c>
      <c r="U286" t="s">
        <v>59</v>
      </c>
      <c r="V286" s="3">
        <v>0.38</v>
      </c>
      <c r="W286" s="2">
        <v>0</v>
      </c>
      <c r="X286">
        <v>0</v>
      </c>
      <c r="Y286" t="s">
        <v>60</v>
      </c>
      <c r="Z286" t="s">
        <v>135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27.08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46062</v>
      </c>
      <c r="B287" t="s">
        <v>48</v>
      </c>
      <c r="C287">
        <v>649163</v>
      </c>
      <c r="D287">
        <v>2032671167</v>
      </c>
      <c r="E287" t="s">
        <v>604</v>
      </c>
      <c r="F287" t="s">
        <v>605</v>
      </c>
      <c r="G287" t="s">
        <v>51</v>
      </c>
      <c r="H287" t="s">
        <v>66</v>
      </c>
      <c r="I287" t="s">
        <v>350</v>
      </c>
      <c r="J287" t="s">
        <v>354</v>
      </c>
      <c r="K287">
        <v>856824</v>
      </c>
      <c r="L287" t="s">
        <v>126</v>
      </c>
      <c r="M287" t="s">
        <v>127</v>
      </c>
      <c r="N287" t="s">
        <v>57</v>
      </c>
      <c r="O287" s="1">
        <v>46023</v>
      </c>
      <c r="Q287" s="1">
        <v>46082</v>
      </c>
      <c r="R287" s="2">
        <v>15</v>
      </c>
      <c r="S287">
        <v>1</v>
      </c>
      <c r="T287" t="s">
        <v>58</v>
      </c>
      <c r="U287" t="s">
        <v>149</v>
      </c>
      <c r="V287" s="3">
        <v>0.38</v>
      </c>
      <c r="W287" s="2">
        <v>0</v>
      </c>
      <c r="X287">
        <v>0</v>
      </c>
      <c r="Y287" t="s">
        <v>60</v>
      </c>
      <c r="Z287" t="s">
        <v>135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5.7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46062</v>
      </c>
      <c r="B288" t="s">
        <v>48</v>
      </c>
      <c r="C288">
        <v>649163</v>
      </c>
      <c r="D288">
        <v>2032749838</v>
      </c>
      <c r="E288" t="s">
        <v>607</v>
      </c>
      <c r="F288" t="s">
        <v>608</v>
      </c>
      <c r="G288" t="s">
        <v>51</v>
      </c>
      <c r="H288" t="s">
        <v>170</v>
      </c>
      <c r="I288" t="s">
        <v>350</v>
      </c>
      <c r="J288" t="s">
        <v>582</v>
      </c>
      <c r="K288">
        <v>650218</v>
      </c>
      <c r="L288" t="s">
        <v>246</v>
      </c>
      <c r="M288" t="s">
        <v>195</v>
      </c>
      <c r="N288" t="s">
        <v>57</v>
      </c>
      <c r="O288" s="1">
        <v>46023</v>
      </c>
      <c r="Q288" s="1">
        <v>46082</v>
      </c>
      <c r="R288" s="2">
        <v>15</v>
      </c>
      <c r="S288">
        <v>1</v>
      </c>
      <c r="T288" t="s">
        <v>58</v>
      </c>
      <c r="U288" t="s">
        <v>59</v>
      </c>
      <c r="V288" s="3">
        <v>0.38</v>
      </c>
      <c r="W288" s="2">
        <v>0</v>
      </c>
      <c r="X288">
        <v>0</v>
      </c>
      <c r="Y288" t="s">
        <v>60</v>
      </c>
      <c r="Z288" t="s">
        <v>135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5.7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46062</v>
      </c>
      <c r="B289" t="s">
        <v>48</v>
      </c>
      <c r="C289">
        <v>649163</v>
      </c>
      <c r="D289">
        <v>2032888768</v>
      </c>
      <c r="E289" t="s">
        <v>609</v>
      </c>
      <c r="F289" t="s">
        <v>176</v>
      </c>
      <c r="G289" t="s">
        <v>51</v>
      </c>
      <c r="H289" t="s">
        <v>170</v>
      </c>
      <c r="I289" t="s">
        <v>350</v>
      </c>
      <c r="J289" t="s">
        <v>574</v>
      </c>
      <c r="K289">
        <v>651818</v>
      </c>
      <c r="L289" t="s">
        <v>80</v>
      </c>
      <c r="M289" t="s">
        <v>81</v>
      </c>
      <c r="N289" t="s">
        <v>144</v>
      </c>
      <c r="O289" s="1">
        <v>46023</v>
      </c>
      <c r="P289" s="1">
        <v>46055</v>
      </c>
      <c r="Q289" s="1">
        <v>46082</v>
      </c>
      <c r="R289" s="2">
        <v>-15</v>
      </c>
      <c r="S289">
        <v>1</v>
      </c>
      <c r="T289" t="s">
        <v>58</v>
      </c>
      <c r="U289" t="s">
        <v>113</v>
      </c>
      <c r="V289" s="3">
        <v>0.28999999999999998</v>
      </c>
      <c r="W289" s="2">
        <v>0</v>
      </c>
      <c r="X289">
        <v>-1</v>
      </c>
      <c r="Y289" t="s">
        <v>60</v>
      </c>
      <c r="Z289" t="s">
        <v>135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-4.3499999999999996</v>
      </c>
      <c r="AN289" s="2">
        <v>-4.3499999999999996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46062</v>
      </c>
      <c r="B290" t="s">
        <v>48</v>
      </c>
      <c r="C290">
        <v>649163</v>
      </c>
      <c r="D290">
        <v>2032981351</v>
      </c>
      <c r="E290" t="s">
        <v>222</v>
      </c>
      <c r="F290" t="s">
        <v>610</v>
      </c>
      <c r="G290" t="s">
        <v>51</v>
      </c>
      <c r="H290" t="s">
        <v>392</v>
      </c>
      <c r="I290" t="s">
        <v>350</v>
      </c>
      <c r="J290" t="s">
        <v>611</v>
      </c>
      <c r="K290">
        <v>902625</v>
      </c>
      <c r="L290" t="s">
        <v>405</v>
      </c>
      <c r="M290" t="s">
        <v>406</v>
      </c>
      <c r="N290" t="s">
        <v>57</v>
      </c>
      <c r="O290" s="1">
        <v>46028</v>
      </c>
      <c r="Q290" s="1">
        <v>46087</v>
      </c>
      <c r="R290" s="2">
        <v>15</v>
      </c>
      <c r="S290">
        <v>1</v>
      </c>
      <c r="T290" t="s">
        <v>58</v>
      </c>
      <c r="U290" t="s">
        <v>612</v>
      </c>
      <c r="V290" s="3">
        <v>0.27</v>
      </c>
      <c r="W290" s="2">
        <v>0</v>
      </c>
      <c r="X290">
        <v>0</v>
      </c>
      <c r="Y290" t="s">
        <v>60</v>
      </c>
      <c r="Z290" t="s">
        <v>135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4.05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46062</v>
      </c>
      <c r="B291" t="s">
        <v>48</v>
      </c>
      <c r="C291">
        <v>649163</v>
      </c>
      <c r="D291">
        <v>2032984685</v>
      </c>
      <c r="E291" t="s">
        <v>613</v>
      </c>
      <c r="F291" t="s">
        <v>614</v>
      </c>
      <c r="G291" t="s">
        <v>51</v>
      </c>
      <c r="H291" t="s">
        <v>140</v>
      </c>
      <c r="I291" t="s">
        <v>350</v>
      </c>
      <c r="J291" t="s">
        <v>566</v>
      </c>
      <c r="K291">
        <v>874230</v>
      </c>
      <c r="L291" t="s">
        <v>142</v>
      </c>
      <c r="M291" t="s">
        <v>143</v>
      </c>
      <c r="N291" t="s">
        <v>57</v>
      </c>
      <c r="O291" s="1">
        <v>46028</v>
      </c>
      <c r="Q291" s="1">
        <v>46087</v>
      </c>
      <c r="R291" s="2">
        <v>15</v>
      </c>
      <c r="S291">
        <v>1</v>
      </c>
      <c r="T291" t="s">
        <v>58</v>
      </c>
      <c r="U291" t="s">
        <v>149</v>
      </c>
      <c r="V291" s="3">
        <v>0.19</v>
      </c>
      <c r="W291" s="2">
        <v>0</v>
      </c>
      <c r="X291">
        <v>0</v>
      </c>
      <c r="Y291" t="s">
        <v>60</v>
      </c>
      <c r="Z291" t="s">
        <v>135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2.85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46062</v>
      </c>
      <c r="B292" t="s">
        <v>48</v>
      </c>
      <c r="C292">
        <v>649163</v>
      </c>
      <c r="D292">
        <v>2033011867</v>
      </c>
      <c r="E292" t="s">
        <v>615</v>
      </c>
      <c r="F292" t="s">
        <v>250</v>
      </c>
      <c r="G292" t="s">
        <v>51</v>
      </c>
      <c r="H292" t="s">
        <v>116</v>
      </c>
      <c r="I292" t="s">
        <v>350</v>
      </c>
      <c r="J292" t="s">
        <v>351</v>
      </c>
      <c r="K292">
        <v>877790</v>
      </c>
      <c r="L292" t="s">
        <v>132</v>
      </c>
      <c r="M292" t="s">
        <v>133</v>
      </c>
      <c r="N292" t="s">
        <v>57</v>
      </c>
      <c r="O292" s="1">
        <v>46029</v>
      </c>
      <c r="Q292" s="1">
        <v>46088</v>
      </c>
      <c r="R292" s="2">
        <v>15</v>
      </c>
      <c r="S292">
        <v>1</v>
      </c>
      <c r="T292" t="s">
        <v>58</v>
      </c>
      <c r="U292" t="s">
        <v>149</v>
      </c>
      <c r="V292" s="3">
        <v>0.19</v>
      </c>
      <c r="W292" s="2">
        <v>0</v>
      </c>
      <c r="X292">
        <v>0</v>
      </c>
      <c r="Y292" t="s">
        <v>60</v>
      </c>
      <c r="Z292" t="s">
        <v>135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2.85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46062</v>
      </c>
      <c r="B293" t="s">
        <v>48</v>
      </c>
      <c r="C293">
        <v>649163</v>
      </c>
      <c r="D293">
        <v>2033012322</v>
      </c>
      <c r="E293" t="s">
        <v>616</v>
      </c>
      <c r="F293" t="s">
        <v>617</v>
      </c>
      <c r="G293" t="s">
        <v>51</v>
      </c>
      <c r="H293" t="s">
        <v>170</v>
      </c>
      <c r="I293" t="s">
        <v>350</v>
      </c>
      <c r="J293" t="s">
        <v>574</v>
      </c>
      <c r="K293">
        <v>650218</v>
      </c>
      <c r="L293" t="s">
        <v>246</v>
      </c>
      <c r="M293" t="s">
        <v>195</v>
      </c>
      <c r="N293" t="s">
        <v>57</v>
      </c>
      <c r="O293" s="1">
        <v>46029</v>
      </c>
      <c r="Q293" s="1">
        <v>46088</v>
      </c>
      <c r="R293" s="2">
        <v>15</v>
      </c>
      <c r="S293">
        <v>1</v>
      </c>
      <c r="T293" t="s">
        <v>58</v>
      </c>
      <c r="U293" t="s">
        <v>134</v>
      </c>
      <c r="V293" s="3">
        <v>0.28999999999999998</v>
      </c>
      <c r="W293" s="2">
        <v>0</v>
      </c>
      <c r="X293">
        <v>0</v>
      </c>
      <c r="Y293" t="s">
        <v>60</v>
      </c>
      <c r="Z293" t="s">
        <v>135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4.3499999999999996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46062</v>
      </c>
      <c r="B294" t="s">
        <v>48</v>
      </c>
      <c r="C294">
        <v>649163</v>
      </c>
      <c r="D294">
        <v>2033029176</v>
      </c>
      <c r="E294" t="s">
        <v>618</v>
      </c>
      <c r="F294" t="s">
        <v>619</v>
      </c>
      <c r="G294" t="s">
        <v>51</v>
      </c>
      <c r="H294" t="s">
        <v>66</v>
      </c>
      <c r="I294" t="s">
        <v>350</v>
      </c>
      <c r="J294" t="s">
        <v>354</v>
      </c>
      <c r="K294">
        <v>824062</v>
      </c>
      <c r="L294" t="s">
        <v>569</v>
      </c>
      <c r="M294" t="s">
        <v>570</v>
      </c>
      <c r="N294" t="s">
        <v>57</v>
      </c>
      <c r="O294" s="1">
        <v>46030</v>
      </c>
      <c r="Q294" s="1">
        <v>46089</v>
      </c>
      <c r="R294" s="2">
        <v>15</v>
      </c>
      <c r="S294">
        <v>1</v>
      </c>
      <c r="T294" t="s">
        <v>58</v>
      </c>
      <c r="U294" t="s">
        <v>149</v>
      </c>
      <c r="V294" s="3">
        <v>0.38</v>
      </c>
      <c r="W294" s="2">
        <v>0</v>
      </c>
      <c r="X294">
        <v>0</v>
      </c>
      <c r="Y294" t="s">
        <v>60</v>
      </c>
      <c r="Z294" t="s">
        <v>135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5.7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46062</v>
      </c>
      <c r="B295" t="s">
        <v>48</v>
      </c>
      <c r="C295">
        <v>649163</v>
      </c>
      <c r="D295">
        <v>2033055173</v>
      </c>
      <c r="E295" t="s">
        <v>128</v>
      </c>
      <c r="F295" t="s">
        <v>129</v>
      </c>
      <c r="G295" t="s">
        <v>51</v>
      </c>
      <c r="H295" t="s">
        <v>116</v>
      </c>
      <c r="I295" t="s">
        <v>350</v>
      </c>
      <c r="J295" t="s">
        <v>351</v>
      </c>
      <c r="K295">
        <v>877790</v>
      </c>
      <c r="L295" t="s">
        <v>132</v>
      </c>
      <c r="M295" t="s">
        <v>133</v>
      </c>
      <c r="N295" t="s">
        <v>57</v>
      </c>
      <c r="O295" s="1">
        <v>46031</v>
      </c>
      <c r="Q295" s="1">
        <v>46090</v>
      </c>
      <c r="R295" s="2">
        <v>15</v>
      </c>
      <c r="S295">
        <v>1</v>
      </c>
      <c r="T295" t="s">
        <v>58</v>
      </c>
      <c r="U295" t="s">
        <v>134</v>
      </c>
      <c r="V295" s="3">
        <v>0.19</v>
      </c>
      <c r="W295" s="2">
        <v>0</v>
      </c>
      <c r="X295">
        <v>0</v>
      </c>
      <c r="Y295" t="s">
        <v>60</v>
      </c>
      <c r="Z295" t="s">
        <v>135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2.85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46062</v>
      </c>
      <c r="B296" t="s">
        <v>48</v>
      </c>
      <c r="C296">
        <v>649163</v>
      </c>
      <c r="D296">
        <v>2033064525</v>
      </c>
      <c r="E296" t="s">
        <v>136</v>
      </c>
      <c r="F296" t="s">
        <v>137</v>
      </c>
      <c r="G296" t="s">
        <v>51</v>
      </c>
      <c r="H296" t="s">
        <v>116</v>
      </c>
      <c r="I296" t="s">
        <v>350</v>
      </c>
      <c r="J296" t="s">
        <v>351</v>
      </c>
      <c r="K296">
        <v>877790</v>
      </c>
      <c r="L296" t="s">
        <v>132</v>
      </c>
      <c r="M296" t="s">
        <v>133</v>
      </c>
      <c r="N296" t="s">
        <v>57</v>
      </c>
      <c r="O296" s="1">
        <v>46032</v>
      </c>
      <c r="Q296" s="1">
        <v>46091</v>
      </c>
      <c r="R296" s="2">
        <v>15</v>
      </c>
      <c r="S296">
        <v>1</v>
      </c>
      <c r="T296" t="s">
        <v>58</v>
      </c>
      <c r="U296" t="s">
        <v>134</v>
      </c>
      <c r="V296" s="3">
        <v>0.19</v>
      </c>
      <c r="W296" s="2">
        <v>0</v>
      </c>
      <c r="X296">
        <v>0</v>
      </c>
      <c r="Y296" t="s">
        <v>60</v>
      </c>
      <c r="Z296" t="s">
        <v>135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2.85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46062</v>
      </c>
      <c r="B297" t="s">
        <v>48</v>
      </c>
      <c r="C297">
        <v>649163</v>
      </c>
      <c r="D297">
        <v>2033104451</v>
      </c>
      <c r="E297" t="s">
        <v>138</v>
      </c>
      <c r="F297" t="s">
        <v>139</v>
      </c>
      <c r="G297" t="s">
        <v>51</v>
      </c>
      <c r="H297" t="s">
        <v>140</v>
      </c>
      <c r="I297" t="s">
        <v>350</v>
      </c>
      <c r="J297" t="s">
        <v>566</v>
      </c>
      <c r="K297">
        <v>874230</v>
      </c>
      <c r="L297" t="s">
        <v>142</v>
      </c>
      <c r="M297" t="s">
        <v>143</v>
      </c>
      <c r="N297" t="s">
        <v>144</v>
      </c>
      <c r="O297" s="1">
        <v>46035</v>
      </c>
      <c r="P297" s="1">
        <v>46062</v>
      </c>
      <c r="Q297" s="1">
        <v>46066</v>
      </c>
      <c r="R297" s="2">
        <v>-4.3499999999999996</v>
      </c>
      <c r="S297">
        <v>1</v>
      </c>
      <c r="T297" t="s">
        <v>58</v>
      </c>
      <c r="U297" t="s">
        <v>134</v>
      </c>
      <c r="V297" s="3">
        <v>0.19</v>
      </c>
      <c r="W297" s="2">
        <v>0</v>
      </c>
      <c r="X297">
        <v>-1</v>
      </c>
      <c r="Y297" t="s">
        <v>60</v>
      </c>
      <c r="Z297" t="s">
        <v>135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-0.83</v>
      </c>
      <c r="AN297" s="2">
        <v>-0.83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46062</v>
      </c>
      <c r="B298" t="s">
        <v>48</v>
      </c>
      <c r="C298">
        <v>649163</v>
      </c>
      <c r="D298">
        <v>2033115854</v>
      </c>
      <c r="E298" t="s">
        <v>145</v>
      </c>
      <c r="F298" t="s">
        <v>146</v>
      </c>
      <c r="G298" t="s">
        <v>51</v>
      </c>
      <c r="H298" t="s">
        <v>147</v>
      </c>
      <c r="I298" t="s">
        <v>350</v>
      </c>
      <c r="J298" t="s">
        <v>574</v>
      </c>
      <c r="K298">
        <v>753748</v>
      </c>
      <c r="L298" t="s">
        <v>74</v>
      </c>
      <c r="M298" t="s">
        <v>75</v>
      </c>
      <c r="N298" t="s">
        <v>57</v>
      </c>
      <c r="O298" s="1">
        <v>46035</v>
      </c>
      <c r="Q298" s="1">
        <v>46094</v>
      </c>
      <c r="R298" s="2">
        <v>15</v>
      </c>
      <c r="S298">
        <v>1</v>
      </c>
      <c r="T298" t="s">
        <v>58</v>
      </c>
      <c r="U298" t="s">
        <v>149</v>
      </c>
      <c r="V298" s="3">
        <v>0.28999999999999998</v>
      </c>
      <c r="W298" s="2">
        <v>0</v>
      </c>
      <c r="X298">
        <v>0</v>
      </c>
      <c r="Y298" t="s">
        <v>60</v>
      </c>
      <c r="Z298" t="s">
        <v>135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4.3499999999999996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46062</v>
      </c>
      <c r="B299" t="s">
        <v>48</v>
      </c>
      <c r="C299">
        <v>649163</v>
      </c>
      <c r="D299">
        <v>2033397217</v>
      </c>
      <c r="E299" t="s">
        <v>620</v>
      </c>
      <c r="F299" t="s">
        <v>539</v>
      </c>
      <c r="G299" t="s">
        <v>51</v>
      </c>
      <c r="H299" t="s">
        <v>90</v>
      </c>
      <c r="I299" t="s">
        <v>350</v>
      </c>
      <c r="J299" t="s">
        <v>354</v>
      </c>
      <c r="K299">
        <v>902625</v>
      </c>
      <c r="L299" t="s">
        <v>405</v>
      </c>
      <c r="M299" t="s">
        <v>406</v>
      </c>
      <c r="N299" t="s">
        <v>144</v>
      </c>
      <c r="O299" s="1">
        <v>46052</v>
      </c>
      <c r="P299" s="1">
        <v>46062</v>
      </c>
      <c r="Q299" s="1">
        <v>46081</v>
      </c>
      <c r="R299" s="2">
        <v>-15</v>
      </c>
      <c r="S299">
        <v>1</v>
      </c>
      <c r="T299" t="s">
        <v>58</v>
      </c>
      <c r="U299" t="s">
        <v>149</v>
      </c>
      <c r="V299" s="3">
        <v>0.38</v>
      </c>
      <c r="W299" s="2">
        <v>0</v>
      </c>
      <c r="X299">
        <v>-1</v>
      </c>
      <c r="Y299" t="s">
        <v>60</v>
      </c>
      <c r="Z299" t="s">
        <v>135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-5.7</v>
      </c>
      <c r="AN299" s="2">
        <v>-5.7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46062</v>
      </c>
      <c r="B300" t="s">
        <v>48</v>
      </c>
      <c r="C300">
        <v>649163</v>
      </c>
      <c r="D300">
        <v>2016750307</v>
      </c>
      <c r="E300" t="s">
        <v>412</v>
      </c>
      <c r="F300" t="s">
        <v>83</v>
      </c>
      <c r="G300" t="s">
        <v>51</v>
      </c>
      <c r="H300" t="s">
        <v>170</v>
      </c>
      <c r="I300" t="s">
        <v>363</v>
      </c>
      <c r="J300" t="s">
        <v>364</v>
      </c>
      <c r="K300">
        <v>652037</v>
      </c>
      <c r="L300" t="s">
        <v>171</v>
      </c>
      <c r="M300" t="s">
        <v>172</v>
      </c>
      <c r="N300" t="s">
        <v>57</v>
      </c>
      <c r="O300" s="1">
        <v>44873</v>
      </c>
      <c r="Q300" s="1">
        <v>46089</v>
      </c>
      <c r="R300" s="2">
        <v>58.09</v>
      </c>
      <c r="S300">
        <v>1</v>
      </c>
      <c r="T300" t="s">
        <v>58</v>
      </c>
      <c r="U300" t="s">
        <v>156</v>
      </c>
      <c r="V300" s="3">
        <v>0.06</v>
      </c>
      <c r="W300" s="2">
        <v>0</v>
      </c>
      <c r="X300">
        <v>0</v>
      </c>
      <c r="Y300" t="s">
        <v>157</v>
      </c>
      <c r="Z300" t="s">
        <v>135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3.49</v>
      </c>
      <c r="AN300" s="2">
        <v>3.49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46062</v>
      </c>
      <c r="B301" t="s">
        <v>48</v>
      </c>
      <c r="C301">
        <v>649163</v>
      </c>
      <c r="D301">
        <v>2017003447</v>
      </c>
      <c r="E301" t="s">
        <v>621</v>
      </c>
      <c r="F301" t="s">
        <v>240</v>
      </c>
      <c r="G301" t="s">
        <v>51</v>
      </c>
      <c r="H301" t="s">
        <v>52</v>
      </c>
      <c r="I301" t="s">
        <v>363</v>
      </c>
      <c r="J301" t="s">
        <v>364</v>
      </c>
      <c r="K301">
        <v>650794</v>
      </c>
      <c r="L301" t="s">
        <v>171</v>
      </c>
      <c r="M301" t="s">
        <v>220</v>
      </c>
      <c r="N301" t="s">
        <v>57</v>
      </c>
      <c r="O301" s="1">
        <v>44902</v>
      </c>
      <c r="Q301" s="1">
        <v>46088</v>
      </c>
      <c r="R301" s="2">
        <v>39.979999999999997</v>
      </c>
      <c r="S301">
        <v>1</v>
      </c>
      <c r="T301" t="s">
        <v>58</v>
      </c>
      <c r="U301" t="s">
        <v>156</v>
      </c>
      <c r="V301" s="3">
        <v>0.06</v>
      </c>
      <c r="W301" s="2">
        <v>0</v>
      </c>
      <c r="X301">
        <v>0</v>
      </c>
      <c r="Y301" t="s">
        <v>157</v>
      </c>
      <c r="Z301" t="s">
        <v>135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2.4</v>
      </c>
      <c r="AN301" s="2">
        <v>2.4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46062</v>
      </c>
      <c r="B302" t="s">
        <v>48</v>
      </c>
      <c r="C302">
        <v>649163</v>
      </c>
      <c r="D302">
        <v>2017036876</v>
      </c>
      <c r="E302" t="s">
        <v>547</v>
      </c>
      <c r="F302" t="s">
        <v>622</v>
      </c>
      <c r="G302" t="s">
        <v>51</v>
      </c>
      <c r="H302" t="s">
        <v>170</v>
      </c>
      <c r="I302" t="s">
        <v>363</v>
      </c>
      <c r="J302" t="s">
        <v>364</v>
      </c>
      <c r="K302">
        <v>649793</v>
      </c>
      <c r="L302" t="s">
        <v>162</v>
      </c>
      <c r="M302" t="s">
        <v>163</v>
      </c>
      <c r="N302" t="s">
        <v>144</v>
      </c>
      <c r="O302" s="1">
        <v>44927</v>
      </c>
      <c r="P302" s="1">
        <v>46062</v>
      </c>
      <c r="Q302" s="1">
        <v>46082</v>
      </c>
      <c r="R302" s="2">
        <v>-68.75</v>
      </c>
      <c r="S302">
        <v>1</v>
      </c>
      <c r="T302" t="s">
        <v>58</v>
      </c>
      <c r="U302" t="s">
        <v>156</v>
      </c>
      <c r="V302" s="3">
        <v>0.06</v>
      </c>
      <c r="W302" s="2">
        <v>0</v>
      </c>
      <c r="X302">
        <v>-1</v>
      </c>
      <c r="Y302" t="s">
        <v>157</v>
      </c>
      <c r="Z302" t="s">
        <v>135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-4.12</v>
      </c>
      <c r="AN302" s="2">
        <v>-4.12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46062</v>
      </c>
      <c r="B303" t="s">
        <v>48</v>
      </c>
      <c r="C303">
        <v>649163</v>
      </c>
      <c r="D303">
        <v>2017624589</v>
      </c>
      <c r="E303" t="s">
        <v>414</v>
      </c>
      <c r="F303" t="s">
        <v>298</v>
      </c>
      <c r="G303" t="s">
        <v>51</v>
      </c>
      <c r="H303" t="s">
        <v>52</v>
      </c>
      <c r="I303" t="s">
        <v>363</v>
      </c>
      <c r="J303" t="s">
        <v>364</v>
      </c>
      <c r="K303">
        <v>650794</v>
      </c>
      <c r="L303" t="s">
        <v>171</v>
      </c>
      <c r="M303" t="s">
        <v>220</v>
      </c>
      <c r="N303" t="s">
        <v>57</v>
      </c>
      <c r="O303" s="1">
        <v>44967</v>
      </c>
      <c r="Q303" s="1">
        <v>46091</v>
      </c>
      <c r="R303" s="2">
        <v>53.08</v>
      </c>
      <c r="S303">
        <v>1</v>
      </c>
      <c r="T303" t="s">
        <v>58</v>
      </c>
      <c r="U303" t="s">
        <v>156</v>
      </c>
      <c r="V303" s="3">
        <v>0.06</v>
      </c>
      <c r="W303" s="2">
        <v>0</v>
      </c>
      <c r="X303">
        <v>0</v>
      </c>
      <c r="Y303" t="s">
        <v>157</v>
      </c>
      <c r="Z303" t="s">
        <v>135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3.18</v>
      </c>
      <c r="AN303" s="2">
        <v>3.18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46062</v>
      </c>
      <c r="B304" t="s">
        <v>48</v>
      </c>
      <c r="C304">
        <v>649163</v>
      </c>
      <c r="D304">
        <v>2018695482</v>
      </c>
      <c r="E304" t="s">
        <v>623</v>
      </c>
      <c r="F304" t="s">
        <v>188</v>
      </c>
      <c r="G304" t="s">
        <v>51</v>
      </c>
      <c r="H304" t="s">
        <v>52</v>
      </c>
      <c r="I304" t="s">
        <v>363</v>
      </c>
      <c r="J304" t="s">
        <v>364</v>
      </c>
      <c r="K304">
        <v>650218</v>
      </c>
      <c r="L304" t="s">
        <v>246</v>
      </c>
      <c r="M304" t="s">
        <v>195</v>
      </c>
      <c r="N304" t="s">
        <v>57</v>
      </c>
      <c r="O304" s="1">
        <v>45078</v>
      </c>
      <c r="Q304" s="1">
        <v>46082</v>
      </c>
      <c r="R304" s="2">
        <v>57.29</v>
      </c>
      <c r="S304">
        <v>1</v>
      </c>
      <c r="T304" t="s">
        <v>58</v>
      </c>
      <c r="U304" t="s">
        <v>156</v>
      </c>
      <c r="V304" s="3">
        <v>0.06</v>
      </c>
      <c r="W304" s="2">
        <v>0</v>
      </c>
      <c r="X304">
        <v>0</v>
      </c>
      <c r="Y304" t="s">
        <v>157</v>
      </c>
      <c r="Z304" t="s">
        <v>135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3.44</v>
      </c>
      <c r="AN304" s="2">
        <v>3.44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46062</v>
      </c>
      <c r="B305" t="s">
        <v>48</v>
      </c>
      <c r="C305">
        <v>649163</v>
      </c>
      <c r="D305">
        <v>2019352254</v>
      </c>
      <c r="E305" t="s">
        <v>624</v>
      </c>
      <c r="F305" t="s">
        <v>625</v>
      </c>
      <c r="G305" t="s">
        <v>51</v>
      </c>
      <c r="H305" t="s">
        <v>52</v>
      </c>
      <c r="I305" t="s">
        <v>363</v>
      </c>
      <c r="J305" t="s">
        <v>364</v>
      </c>
      <c r="K305">
        <v>649247</v>
      </c>
      <c r="L305" t="s">
        <v>204</v>
      </c>
      <c r="M305" t="s">
        <v>205</v>
      </c>
      <c r="N305" t="s">
        <v>57</v>
      </c>
      <c r="O305" s="1">
        <v>45120</v>
      </c>
      <c r="Q305" s="1">
        <v>46094</v>
      </c>
      <c r="R305" s="2">
        <v>49.98</v>
      </c>
      <c r="S305">
        <v>1</v>
      </c>
      <c r="T305" t="s">
        <v>58</v>
      </c>
      <c r="U305" t="s">
        <v>156</v>
      </c>
      <c r="V305" s="3">
        <v>0.06</v>
      </c>
      <c r="W305" s="2">
        <v>0</v>
      </c>
      <c r="X305">
        <v>0</v>
      </c>
      <c r="Y305" t="s">
        <v>157</v>
      </c>
      <c r="Z305" t="s">
        <v>135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3</v>
      </c>
      <c r="AN305" s="2">
        <v>3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46062</v>
      </c>
      <c r="B306" t="s">
        <v>48</v>
      </c>
      <c r="C306">
        <v>649163</v>
      </c>
      <c r="D306">
        <v>2019638944</v>
      </c>
      <c r="E306" t="s">
        <v>626</v>
      </c>
      <c r="F306" t="s">
        <v>263</v>
      </c>
      <c r="G306" t="s">
        <v>51</v>
      </c>
      <c r="H306" t="s">
        <v>78</v>
      </c>
      <c r="I306" t="s">
        <v>363</v>
      </c>
      <c r="J306" t="s">
        <v>364</v>
      </c>
      <c r="K306">
        <v>651818</v>
      </c>
      <c r="L306" t="s">
        <v>80</v>
      </c>
      <c r="M306" t="s">
        <v>81</v>
      </c>
      <c r="N306" t="s">
        <v>57</v>
      </c>
      <c r="O306" s="1">
        <v>45146</v>
      </c>
      <c r="Q306" s="1">
        <v>46089</v>
      </c>
      <c r="R306" s="2">
        <v>40.07</v>
      </c>
      <c r="S306">
        <v>1</v>
      </c>
      <c r="T306" t="s">
        <v>58</v>
      </c>
      <c r="U306" t="s">
        <v>156</v>
      </c>
      <c r="V306" s="3">
        <v>0.06</v>
      </c>
      <c r="W306" s="2">
        <v>0</v>
      </c>
      <c r="X306">
        <v>0</v>
      </c>
      <c r="Y306" t="s">
        <v>157</v>
      </c>
      <c r="Z306" t="s">
        <v>135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2.4</v>
      </c>
      <c r="AN306" s="2">
        <v>2.4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46062</v>
      </c>
      <c r="B307" t="s">
        <v>48</v>
      </c>
      <c r="C307">
        <v>649163</v>
      </c>
      <c r="D307">
        <v>2019958314</v>
      </c>
      <c r="E307" t="s">
        <v>627</v>
      </c>
      <c r="F307" t="s">
        <v>628</v>
      </c>
      <c r="G307" t="s">
        <v>51</v>
      </c>
      <c r="H307" t="s">
        <v>52</v>
      </c>
      <c r="I307" t="s">
        <v>363</v>
      </c>
      <c r="J307" t="s">
        <v>364</v>
      </c>
      <c r="K307">
        <v>678320</v>
      </c>
      <c r="L307" t="s">
        <v>183</v>
      </c>
      <c r="M307" t="s">
        <v>184</v>
      </c>
      <c r="N307" t="s">
        <v>57</v>
      </c>
      <c r="O307" s="1">
        <v>45175</v>
      </c>
      <c r="Q307" s="1">
        <v>46087</v>
      </c>
      <c r="R307" s="2">
        <v>49.12</v>
      </c>
      <c r="S307">
        <v>1</v>
      </c>
      <c r="T307" t="s">
        <v>58</v>
      </c>
      <c r="U307" t="s">
        <v>156</v>
      </c>
      <c r="V307" s="3">
        <v>0.06</v>
      </c>
      <c r="W307" s="2">
        <v>0</v>
      </c>
      <c r="X307">
        <v>0</v>
      </c>
      <c r="Y307" t="s">
        <v>157</v>
      </c>
      <c r="Z307" t="s">
        <v>135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2.95</v>
      </c>
      <c r="AN307" s="2">
        <v>2.95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46062</v>
      </c>
      <c r="B308" t="s">
        <v>48</v>
      </c>
      <c r="C308">
        <v>649163</v>
      </c>
      <c r="D308">
        <v>2020037859</v>
      </c>
      <c r="E308" t="s">
        <v>629</v>
      </c>
      <c r="F308" t="s">
        <v>188</v>
      </c>
      <c r="G308" t="s">
        <v>51</v>
      </c>
      <c r="H308" t="s">
        <v>52</v>
      </c>
      <c r="I308" t="s">
        <v>363</v>
      </c>
      <c r="J308" t="s">
        <v>364</v>
      </c>
      <c r="K308">
        <v>702406</v>
      </c>
      <c r="L308" t="s">
        <v>630</v>
      </c>
      <c r="M308" t="s">
        <v>65</v>
      </c>
      <c r="N308" t="s">
        <v>57</v>
      </c>
      <c r="O308" s="1">
        <v>45182</v>
      </c>
      <c r="Q308" s="1">
        <v>46094</v>
      </c>
      <c r="R308" s="2">
        <v>151.88</v>
      </c>
      <c r="S308">
        <v>1</v>
      </c>
      <c r="T308" t="s">
        <v>58</v>
      </c>
      <c r="U308" t="s">
        <v>156</v>
      </c>
      <c r="V308" s="3">
        <v>0.06</v>
      </c>
      <c r="W308" s="2">
        <v>0</v>
      </c>
      <c r="X308">
        <v>0</v>
      </c>
      <c r="Y308" t="s">
        <v>157</v>
      </c>
      <c r="Z308" t="s">
        <v>135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9.11</v>
      </c>
      <c r="AN308" s="2">
        <v>9.11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46062</v>
      </c>
      <c r="B309" t="s">
        <v>48</v>
      </c>
      <c r="C309">
        <v>649163</v>
      </c>
      <c r="D309">
        <v>2020039861</v>
      </c>
      <c r="E309" t="s">
        <v>509</v>
      </c>
      <c r="F309" t="s">
        <v>631</v>
      </c>
      <c r="G309" t="s">
        <v>51</v>
      </c>
      <c r="H309" t="s">
        <v>66</v>
      </c>
      <c r="I309" t="s">
        <v>363</v>
      </c>
      <c r="J309" t="s">
        <v>364</v>
      </c>
      <c r="K309">
        <v>673059</v>
      </c>
      <c r="L309" t="s">
        <v>162</v>
      </c>
      <c r="M309" t="s">
        <v>180</v>
      </c>
      <c r="N309" t="s">
        <v>57</v>
      </c>
      <c r="O309" s="1">
        <v>45182</v>
      </c>
      <c r="Q309" s="1">
        <v>46094</v>
      </c>
      <c r="R309" s="2">
        <v>53.57</v>
      </c>
      <c r="S309">
        <v>1</v>
      </c>
      <c r="T309" t="s">
        <v>58</v>
      </c>
      <c r="U309" t="s">
        <v>156</v>
      </c>
      <c r="V309" s="3">
        <v>0.06</v>
      </c>
      <c r="W309" s="2">
        <v>0</v>
      </c>
      <c r="X309">
        <v>0</v>
      </c>
      <c r="Y309" t="s">
        <v>157</v>
      </c>
      <c r="Z309" t="s">
        <v>135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3.21</v>
      </c>
      <c r="AN309" s="2">
        <v>3.21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46062</v>
      </c>
      <c r="B310" t="s">
        <v>48</v>
      </c>
      <c r="C310">
        <v>649163</v>
      </c>
      <c r="D310">
        <v>2020685017</v>
      </c>
      <c r="E310" t="s">
        <v>632</v>
      </c>
      <c r="F310" t="s">
        <v>633</v>
      </c>
      <c r="G310" t="s">
        <v>51</v>
      </c>
      <c r="H310" t="s">
        <v>52</v>
      </c>
      <c r="I310" t="s">
        <v>363</v>
      </c>
      <c r="J310" t="s">
        <v>364</v>
      </c>
      <c r="K310">
        <v>702406</v>
      </c>
      <c r="L310" t="s">
        <v>630</v>
      </c>
      <c r="M310" t="s">
        <v>65</v>
      </c>
      <c r="N310" t="s">
        <v>57</v>
      </c>
      <c r="O310" s="1">
        <v>45237</v>
      </c>
      <c r="Q310" s="1">
        <v>46088</v>
      </c>
      <c r="R310" s="2">
        <v>57.29</v>
      </c>
      <c r="S310">
        <v>1</v>
      </c>
      <c r="T310" t="s">
        <v>58</v>
      </c>
      <c r="U310" t="s">
        <v>156</v>
      </c>
      <c r="V310" s="3">
        <v>0.06</v>
      </c>
      <c r="W310" s="2">
        <v>0</v>
      </c>
      <c r="X310">
        <v>0</v>
      </c>
      <c r="Y310" t="s">
        <v>157</v>
      </c>
      <c r="Z310" t="s">
        <v>135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3.44</v>
      </c>
      <c r="AN310" s="2">
        <v>3.44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46062</v>
      </c>
      <c r="B311" t="s">
        <v>48</v>
      </c>
      <c r="C311">
        <v>649163</v>
      </c>
      <c r="D311">
        <v>2020953073</v>
      </c>
      <c r="E311" t="s">
        <v>634</v>
      </c>
      <c r="F311" t="s">
        <v>545</v>
      </c>
      <c r="G311" t="s">
        <v>51</v>
      </c>
      <c r="H311" t="s">
        <v>209</v>
      </c>
      <c r="I311" t="s">
        <v>363</v>
      </c>
      <c r="J311" t="s">
        <v>364</v>
      </c>
      <c r="K311">
        <v>673059</v>
      </c>
      <c r="L311" t="s">
        <v>162</v>
      </c>
      <c r="M311" t="s">
        <v>180</v>
      </c>
      <c r="N311" t="s">
        <v>57</v>
      </c>
      <c r="O311" s="1">
        <v>45292</v>
      </c>
      <c r="Q311" s="1">
        <v>46082</v>
      </c>
      <c r="R311" s="2">
        <v>85.6</v>
      </c>
      <c r="S311">
        <v>1</v>
      </c>
      <c r="T311" t="s">
        <v>58</v>
      </c>
      <c r="U311" t="s">
        <v>156</v>
      </c>
      <c r="V311" s="3">
        <v>0.06</v>
      </c>
      <c r="W311" s="2">
        <v>0</v>
      </c>
      <c r="X311">
        <v>0</v>
      </c>
      <c r="Y311" t="s">
        <v>157</v>
      </c>
      <c r="Z311" t="s">
        <v>135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5.14</v>
      </c>
      <c r="AN311" s="2">
        <v>5.14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46062</v>
      </c>
      <c r="B312" t="s">
        <v>48</v>
      </c>
      <c r="C312">
        <v>649163</v>
      </c>
      <c r="D312">
        <v>2021350310</v>
      </c>
      <c r="E312" t="s">
        <v>635</v>
      </c>
      <c r="F312" t="s">
        <v>636</v>
      </c>
      <c r="G312" t="s">
        <v>51</v>
      </c>
      <c r="H312" t="s">
        <v>52</v>
      </c>
      <c r="I312" t="s">
        <v>363</v>
      </c>
      <c r="J312" t="s">
        <v>364</v>
      </c>
      <c r="K312">
        <v>678320</v>
      </c>
      <c r="L312" t="s">
        <v>183</v>
      </c>
      <c r="M312" t="s">
        <v>184</v>
      </c>
      <c r="N312" t="s">
        <v>57</v>
      </c>
      <c r="O312" s="1">
        <v>45301</v>
      </c>
      <c r="Q312" s="1">
        <v>46091</v>
      </c>
      <c r="R312" s="2">
        <v>49.98</v>
      </c>
      <c r="S312">
        <v>1</v>
      </c>
      <c r="T312" t="s">
        <v>58</v>
      </c>
      <c r="U312" t="s">
        <v>156</v>
      </c>
      <c r="V312" s="3">
        <v>0.06</v>
      </c>
      <c r="W312" s="2">
        <v>0</v>
      </c>
      <c r="X312">
        <v>0</v>
      </c>
      <c r="Y312" t="s">
        <v>157</v>
      </c>
      <c r="Z312" t="s">
        <v>135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3</v>
      </c>
      <c r="AN312" s="2">
        <v>3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46062</v>
      </c>
      <c r="B313" t="s">
        <v>48</v>
      </c>
      <c r="C313">
        <v>649163</v>
      </c>
      <c r="D313">
        <v>2021645073</v>
      </c>
      <c r="E313" t="s">
        <v>637</v>
      </c>
      <c r="F313" t="s">
        <v>234</v>
      </c>
      <c r="G313" t="s">
        <v>51</v>
      </c>
      <c r="H313" t="s">
        <v>52</v>
      </c>
      <c r="I313" t="s">
        <v>363</v>
      </c>
      <c r="J313" t="s">
        <v>364</v>
      </c>
      <c r="K313">
        <v>650218</v>
      </c>
      <c r="L313" t="s">
        <v>246</v>
      </c>
      <c r="M313" t="s">
        <v>195</v>
      </c>
      <c r="N313" t="s">
        <v>57</v>
      </c>
      <c r="O313" s="1">
        <v>45356</v>
      </c>
      <c r="Q313" s="1">
        <v>46086</v>
      </c>
      <c r="R313" s="2">
        <v>39.979999999999997</v>
      </c>
      <c r="S313">
        <v>1</v>
      </c>
      <c r="T313" t="s">
        <v>58</v>
      </c>
      <c r="U313" t="s">
        <v>156</v>
      </c>
      <c r="V313" s="3">
        <v>0.06</v>
      </c>
      <c r="W313" s="2">
        <v>0</v>
      </c>
      <c r="X313">
        <v>0</v>
      </c>
      <c r="Y313" t="s">
        <v>157</v>
      </c>
      <c r="Z313" t="s">
        <v>135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2.4</v>
      </c>
      <c r="AN313" s="2">
        <v>2.4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46062</v>
      </c>
      <c r="B314" t="s">
        <v>48</v>
      </c>
      <c r="C314">
        <v>649163</v>
      </c>
      <c r="D314">
        <v>2022013867</v>
      </c>
      <c r="E314" t="s">
        <v>638</v>
      </c>
      <c r="F314" t="s">
        <v>639</v>
      </c>
      <c r="G314" t="s">
        <v>51</v>
      </c>
      <c r="H314" t="s">
        <v>209</v>
      </c>
      <c r="I314" t="s">
        <v>363</v>
      </c>
      <c r="J314" t="s">
        <v>364</v>
      </c>
      <c r="K314">
        <v>673059</v>
      </c>
      <c r="L314" t="s">
        <v>162</v>
      </c>
      <c r="M314" t="s">
        <v>180</v>
      </c>
      <c r="N314" t="s">
        <v>144</v>
      </c>
      <c r="O314" s="1">
        <v>45383</v>
      </c>
      <c r="P314" s="1">
        <v>46055</v>
      </c>
      <c r="Q314" s="1">
        <v>46082</v>
      </c>
      <c r="R314" s="2">
        <v>-23.34</v>
      </c>
      <c r="S314">
        <v>1</v>
      </c>
      <c r="T314" t="s">
        <v>58</v>
      </c>
      <c r="U314" t="s">
        <v>156</v>
      </c>
      <c r="V314" s="3">
        <v>0.06</v>
      </c>
      <c r="W314" s="2">
        <v>0</v>
      </c>
      <c r="X314">
        <v>-1</v>
      </c>
      <c r="Y314" t="s">
        <v>157</v>
      </c>
      <c r="Z314" t="s">
        <v>135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-1.4</v>
      </c>
      <c r="AN314" s="2">
        <v>-1.4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46062</v>
      </c>
      <c r="B315" t="s">
        <v>48</v>
      </c>
      <c r="C315">
        <v>649163</v>
      </c>
      <c r="D315">
        <v>2022645069</v>
      </c>
      <c r="E315" t="s">
        <v>517</v>
      </c>
      <c r="F315" t="s">
        <v>120</v>
      </c>
      <c r="G315" t="s">
        <v>51</v>
      </c>
      <c r="H315" t="s">
        <v>52</v>
      </c>
      <c r="I315" t="s">
        <v>363</v>
      </c>
      <c r="J315" t="s">
        <v>364</v>
      </c>
      <c r="K315">
        <v>649247</v>
      </c>
      <c r="L315" t="s">
        <v>204</v>
      </c>
      <c r="M315" t="s">
        <v>205</v>
      </c>
      <c r="N315" t="s">
        <v>57</v>
      </c>
      <c r="O315" s="1">
        <v>45392</v>
      </c>
      <c r="Q315" s="1">
        <v>46091</v>
      </c>
      <c r="R315" s="2">
        <v>39.979999999999997</v>
      </c>
      <c r="S315">
        <v>1</v>
      </c>
      <c r="T315" t="s">
        <v>58</v>
      </c>
      <c r="U315" t="s">
        <v>156</v>
      </c>
      <c r="V315" s="3">
        <v>0.06</v>
      </c>
      <c r="W315" s="2">
        <v>0</v>
      </c>
      <c r="X315">
        <v>0</v>
      </c>
      <c r="Y315" t="s">
        <v>157</v>
      </c>
      <c r="Z315" t="s">
        <v>135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2.4</v>
      </c>
      <c r="AN315" s="2">
        <v>2.4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46062</v>
      </c>
      <c r="B316" t="s">
        <v>48</v>
      </c>
      <c r="C316">
        <v>649163</v>
      </c>
      <c r="D316">
        <v>2022693239</v>
      </c>
      <c r="E316" t="s">
        <v>416</v>
      </c>
      <c r="F316" t="s">
        <v>240</v>
      </c>
      <c r="G316" t="s">
        <v>51</v>
      </c>
      <c r="H316" t="s">
        <v>237</v>
      </c>
      <c r="I316" t="s">
        <v>363</v>
      </c>
      <c r="J316" t="s">
        <v>364</v>
      </c>
      <c r="K316">
        <v>751867</v>
      </c>
      <c r="L316" t="s">
        <v>239</v>
      </c>
      <c r="M316" t="s">
        <v>240</v>
      </c>
      <c r="N316" t="s">
        <v>144</v>
      </c>
      <c r="O316" s="1">
        <v>45413</v>
      </c>
      <c r="P316" s="1">
        <v>46062</v>
      </c>
      <c r="Q316" s="1">
        <v>46082</v>
      </c>
      <c r="R316" s="2">
        <v>-22.71</v>
      </c>
      <c r="S316">
        <v>1</v>
      </c>
      <c r="T316" t="s">
        <v>58</v>
      </c>
      <c r="U316" t="s">
        <v>156</v>
      </c>
      <c r="V316" s="3">
        <v>0.06</v>
      </c>
      <c r="W316" s="2">
        <v>0</v>
      </c>
      <c r="X316">
        <v>-1</v>
      </c>
      <c r="Y316" t="s">
        <v>157</v>
      </c>
      <c r="Z316" t="s">
        <v>135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-1.36</v>
      </c>
      <c r="AN316" s="2">
        <v>-1.36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46062</v>
      </c>
      <c r="B317" t="s">
        <v>48</v>
      </c>
      <c r="C317">
        <v>649163</v>
      </c>
      <c r="D317">
        <v>2023048530</v>
      </c>
      <c r="E317" t="s">
        <v>235</v>
      </c>
      <c r="F317" t="s">
        <v>640</v>
      </c>
      <c r="G317" t="s">
        <v>51</v>
      </c>
      <c r="H317" t="s">
        <v>237</v>
      </c>
      <c r="I317" t="s">
        <v>363</v>
      </c>
      <c r="J317" t="s">
        <v>364</v>
      </c>
      <c r="K317">
        <v>751867</v>
      </c>
      <c r="L317" t="s">
        <v>239</v>
      </c>
      <c r="M317" t="s">
        <v>240</v>
      </c>
      <c r="N317" t="s">
        <v>57</v>
      </c>
      <c r="O317" s="1">
        <v>45422</v>
      </c>
      <c r="Q317" s="1">
        <v>46091</v>
      </c>
      <c r="R317" s="2">
        <v>119.64</v>
      </c>
      <c r="S317">
        <v>1</v>
      </c>
      <c r="T317" t="s">
        <v>58</v>
      </c>
      <c r="U317" t="s">
        <v>156</v>
      </c>
      <c r="V317" s="3">
        <v>0.06</v>
      </c>
      <c r="W317" s="2">
        <v>0</v>
      </c>
      <c r="X317">
        <v>0</v>
      </c>
      <c r="Y317" t="s">
        <v>157</v>
      </c>
      <c r="Z317" t="s">
        <v>135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7.18</v>
      </c>
      <c r="AN317" s="2">
        <v>7.18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46062</v>
      </c>
      <c r="B318" t="s">
        <v>48</v>
      </c>
      <c r="C318">
        <v>649163</v>
      </c>
      <c r="D318">
        <v>2023294110</v>
      </c>
      <c r="E318" t="s">
        <v>478</v>
      </c>
      <c r="F318" t="s">
        <v>479</v>
      </c>
      <c r="G318" t="s">
        <v>51</v>
      </c>
      <c r="H318" t="s">
        <v>78</v>
      </c>
      <c r="I318" t="s">
        <v>363</v>
      </c>
      <c r="J318" t="s">
        <v>364</v>
      </c>
      <c r="K318">
        <v>651818</v>
      </c>
      <c r="L318" t="s">
        <v>80</v>
      </c>
      <c r="M318" t="s">
        <v>81</v>
      </c>
      <c r="N318" t="s">
        <v>57</v>
      </c>
      <c r="O318" s="1">
        <v>45449</v>
      </c>
      <c r="Q318" s="1">
        <v>46087</v>
      </c>
      <c r="R318" s="2">
        <v>40.07</v>
      </c>
      <c r="S318">
        <v>1</v>
      </c>
      <c r="T318" t="s">
        <v>58</v>
      </c>
      <c r="U318" t="s">
        <v>156</v>
      </c>
      <c r="V318" s="3">
        <v>0.06</v>
      </c>
      <c r="W318" s="2">
        <v>0</v>
      </c>
      <c r="X318">
        <v>0</v>
      </c>
      <c r="Y318" t="s">
        <v>157</v>
      </c>
      <c r="Z318" t="s">
        <v>135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2.4</v>
      </c>
      <c r="AN318" s="2">
        <v>2.4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46062</v>
      </c>
      <c r="B319" t="s">
        <v>48</v>
      </c>
      <c r="C319">
        <v>649163</v>
      </c>
      <c r="D319">
        <v>2023372599</v>
      </c>
      <c r="E319" t="s">
        <v>641</v>
      </c>
      <c r="F319" t="s">
        <v>642</v>
      </c>
      <c r="G319" t="s">
        <v>51</v>
      </c>
      <c r="H319" t="s">
        <v>353</v>
      </c>
      <c r="I319" t="s">
        <v>363</v>
      </c>
      <c r="J319" t="s">
        <v>364</v>
      </c>
      <c r="K319">
        <v>650218</v>
      </c>
      <c r="L319" t="s">
        <v>246</v>
      </c>
      <c r="M319" t="s">
        <v>195</v>
      </c>
      <c r="N319" t="s">
        <v>144</v>
      </c>
      <c r="O319" s="1">
        <v>45447</v>
      </c>
      <c r="P319" s="1">
        <v>46062</v>
      </c>
      <c r="Q319" s="1">
        <v>46081</v>
      </c>
      <c r="R319" s="2">
        <v>-16.62</v>
      </c>
      <c r="S319">
        <v>1</v>
      </c>
      <c r="T319" t="s">
        <v>58</v>
      </c>
      <c r="U319" t="s">
        <v>156</v>
      </c>
      <c r="V319" s="3">
        <v>0.06</v>
      </c>
      <c r="W319" s="2">
        <v>0</v>
      </c>
      <c r="X319">
        <v>-1</v>
      </c>
      <c r="Y319" t="s">
        <v>157</v>
      </c>
      <c r="Z319" t="s">
        <v>135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-1</v>
      </c>
      <c r="AN319" s="2">
        <v>-1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46062</v>
      </c>
      <c r="B320" t="s">
        <v>48</v>
      </c>
      <c r="C320">
        <v>649163</v>
      </c>
      <c r="D320">
        <v>2023499226</v>
      </c>
      <c r="E320" t="s">
        <v>417</v>
      </c>
      <c r="F320" t="s">
        <v>418</v>
      </c>
      <c r="G320" t="s">
        <v>51</v>
      </c>
      <c r="H320" t="s">
        <v>112</v>
      </c>
      <c r="I320" t="s">
        <v>363</v>
      </c>
      <c r="J320" t="s">
        <v>364</v>
      </c>
      <c r="K320">
        <v>751867</v>
      </c>
      <c r="L320" t="s">
        <v>239</v>
      </c>
      <c r="M320" t="s">
        <v>240</v>
      </c>
      <c r="N320" t="s">
        <v>57</v>
      </c>
      <c r="O320" s="1">
        <v>45456</v>
      </c>
      <c r="Q320" s="1">
        <v>46094</v>
      </c>
      <c r="R320" s="2">
        <v>33.479999999999997</v>
      </c>
      <c r="S320">
        <v>1</v>
      </c>
      <c r="T320" t="s">
        <v>58</v>
      </c>
      <c r="U320" t="s">
        <v>156</v>
      </c>
      <c r="V320" s="3">
        <v>0.06</v>
      </c>
      <c r="W320" s="2">
        <v>0</v>
      </c>
      <c r="X320">
        <v>0</v>
      </c>
      <c r="Y320" t="s">
        <v>157</v>
      </c>
      <c r="Z320" t="s">
        <v>135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2.0099999999999998</v>
      </c>
      <c r="AN320" s="2">
        <v>2.0099999999999998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46062</v>
      </c>
      <c r="B321" t="s">
        <v>48</v>
      </c>
      <c r="C321">
        <v>649163</v>
      </c>
      <c r="D321">
        <v>2023845996</v>
      </c>
      <c r="E321" t="s">
        <v>471</v>
      </c>
      <c r="F321" t="s">
        <v>466</v>
      </c>
      <c r="G321" t="s">
        <v>51</v>
      </c>
      <c r="H321" t="s">
        <v>237</v>
      </c>
      <c r="I321" t="s">
        <v>363</v>
      </c>
      <c r="J321" t="s">
        <v>364</v>
      </c>
      <c r="K321">
        <v>751867</v>
      </c>
      <c r="L321" t="s">
        <v>239</v>
      </c>
      <c r="M321" t="s">
        <v>240</v>
      </c>
      <c r="N321" t="s">
        <v>57</v>
      </c>
      <c r="O321" s="1">
        <v>45505</v>
      </c>
      <c r="Q321" s="1">
        <v>46082</v>
      </c>
      <c r="R321" s="2">
        <v>27.06</v>
      </c>
      <c r="S321">
        <v>1</v>
      </c>
      <c r="T321" t="s">
        <v>58</v>
      </c>
      <c r="U321" t="s">
        <v>156</v>
      </c>
      <c r="V321" s="3">
        <v>0.06</v>
      </c>
      <c r="W321" s="2">
        <v>0</v>
      </c>
      <c r="X321">
        <v>0</v>
      </c>
      <c r="Y321" t="s">
        <v>157</v>
      </c>
      <c r="Z321" t="s">
        <v>135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1.62</v>
      </c>
      <c r="AN321" s="2">
        <v>1.62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46062</v>
      </c>
      <c r="B322" t="s">
        <v>48</v>
      </c>
      <c r="C322">
        <v>649163</v>
      </c>
      <c r="D322">
        <v>2024197969</v>
      </c>
      <c r="E322" t="s">
        <v>643</v>
      </c>
      <c r="F322" t="s">
        <v>644</v>
      </c>
      <c r="G322" t="s">
        <v>51</v>
      </c>
      <c r="H322" t="s">
        <v>66</v>
      </c>
      <c r="I322" t="s">
        <v>363</v>
      </c>
      <c r="J322" t="s">
        <v>364</v>
      </c>
      <c r="K322">
        <v>766747</v>
      </c>
      <c r="L322" t="s">
        <v>645</v>
      </c>
      <c r="M322" t="s">
        <v>188</v>
      </c>
      <c r="N322" t="s">
        <v>57</v>
      </c>
      <c r="O322" s="1">
        <v>45541</v>
      </c>
      <c r="Q322" s="1">
        <v>46087</v>
      </c>
      <c r="R322" s="2">
        <v>18.72</v>
      </c>
      <c r="S322">
        <v>1</v>
      </c>
      <c r="T322" t="s">
        <v>58</v>
      </c>
      <c r="U322" t="s">
        <v>156</v>
      </c>
      <c r="V322" s="3">
        <v>0.06</v>
      </c>
      <c r="W322" s="2">
        <v>0</v>
      </c>
      <c r="X322">
        <v>0</v>
      </c>
      <c r="Y322" t="s">
        <v>157</v>
      </c>
      <c r="Z322" t="s">
        <v>135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1.1200000000000001</v>
      </c>
      <c r="AN322" s="2">
        <v>1.1200000000000001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46062</v>
      </c>
      <c r="B323" t="s">
        <v>48</v>
      </c>
      <c r="C323">
        <v>649163</v>
      </c>
      <c r="D323">
        <v>2024320117</v>
      </c>
      <c r="E323" t="s">
        <v>421</v>
      </c>
      <c r="F323" t="s">
        <v>298</v>
      </c>
      <c r="G323" t="s">
        <v>51</v>
      </c>
      <c r="H323" t="s">
        <v>52</v>
      </c>
      <c r="I323" t="s">
        <v>363</v>
      </c>
      <c r="J323" t="s">
        <v>364</v>
      </c>
      <c r="K323">
        <v>650218</v>
      </c>
      <c r="L323" t="s">
        <v>246</v>
      </c>
      <c r="M323" t="s">
        <v>195</v>
      </c>
      <c r="N323" t="s">
        <v>57</v>
      </c>
      <c r="O323" s="1">
        <v>45514</v>
      </c>
      <c r="Q323" s="1">
        <v>46091</v>
      </c>
      <c r="R323" s="2">
        <v>44.21</v>
      </c>
      <c r="S323">
        <v>1</v>
      </c>
      <c r="T323" t="s">
        <v>58</v>
      </c>
      <c r="U323" t="s">
        <v>156</v>
      </c>
      <c r="V323" s="3">
        <v>0.06</v>
      </c>
      <c r="W323" s="2">
        <v>0</v>
      </c>
      <c r="X323">
        <v>0</v>
      </c>
      <c r="Y323" t="s">
        <v>157</v>
      </c>
      <c r="Z323" t="s">
        <v>135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2.65</v>
      </c>
      <c r="AN323" s="2">
        <v>2.65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46062</v>
      </c>
      <c r="B324" t="s">
        <v>48</v>
      </c>
      <c r="C324">
        <v>649163</v>
      </c>
      <c r="D324">
        <v>2024356430</v>
      </c>
      <c r="E324" t="s">
        <v>646</v>
      </c>
      <c r="F324" t="s">
        <v>647</v>
      </c>
      <c r="G324" t="s">
        <v>51</v>
      </c>
      <c r="H324" t="s">
        <v>66</v>
      </c>
      <c r="I324" t="s">
        <v>363</v>
      </c>
      <c r="J324" t="s">
        <v>364</v>
      </c>
      <c r="K324">
        <v>767312</v>
      </c>
      <c r="L324" t="s">
        <v>310</v>
      </c>
      <c r="M324" t="s">
        <v>311</v>
      </c>
      <c r="N324" t="s">
        <v>57</v>
      </c>
      <c r="O324" s="1">
        <v>45517</v>
      </c>
      <c r="Q324" s="1">
        <v>46094</v>
      </c>
      <c r="R324" s="2">
        <v>27.22</v>
      </c>
      <c r="S324">
        <v>1</v>
      </c>
      <c r="T324" t="s">
        <v>58</v>
      </c>
      <c r="U324" t="s">
        <v>156</v>
      </c>
      <c r="V324" s="3">
        <v>0.06</v>
      </c>
      <c r="W324" s="2">
        <v>0</v>
      </c>
      <c r="X324">
        <v>0</v>
      </c>
      <c r="Y324" t="s">
        <v>157</v>
      </c>
      <c r="Z324" t="s">
        <v>135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1.63</v>
      </c>
      <c r="AN324" s="2">
        <v>1.63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46062</v>
      </c>
      <c r="B325" t="s">
        <v>48</v>
      </c>
      <c r="C325">
        <v>649163</v>
      </c>
      <c r="D325">
        <v>2024779716</v>
      </c>
      <c r="E325" t="s">
        <v>648</v>
      </c>
      <c r="F325" t="s">
        <v>649</v>
      </c>
      <c r="G325" t="s">
        <v>51</v>
      </c>
      <c r="H325" t="s">
        <v>52</v>
      </c>
      <c r="I325" t="s">
        <v>363</v>
      </c>
      <c r="J325" t="s">
        <v>364</v>
      </c>
      <c r="K325">
        <v>728134</v>
      </c>
      <c r="L325" t="s">
        <v>215</v>
      </c>
      <c r="M325" t="s">
        <v>216</v>
      </c>
      <c r="N325" t="s">
        <v>57</v>
      </c>
      <c r="O325" s="1">
        <v>45545</v>
      </c>
      <c r="Q325" s="1">
        <v>46091</v>
      </c>
      <c r="R325" s="2">
        <v>49.98</v>
      </c>
      <c r="S325">
        <v>1</v>
      </c>
      <c r="T325" t="s">
        <v>58</v>
      </c>
      <c r="U325" t="s">
        <v>156</v>
      </c>
      <c r="V325" s="3">
        <v>0.06</v>
      </c>
      <c r="W325" s="2">
        <v>0</v>
      </c>
      <c r="X325">
        <v>0</v>
      </c>
      <c r="Y325" t="s">
        <v>157</v>
      </c>
      <c r="Z325" t="s">
        <v>135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3</v>
      </c>
      <c r="AN325" s="2">
        <v>3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46062</v>
      </c>
      <c r="B326" t="s">
        <v>48</v>
      </c>
      <c r="C326">
        <v>649163</v>
      </c>
      <c r="D326">
        <v>2024899509</v>
      </c>
      <c r="E326" t="s">
        <v>650</v>
      </c>
      <c r="F326" t="s">
        <v>651</v>
      </c>
      <c r="G326" t="s">
        <v>51</v>
      </c>
      <c r="H326" t="s">
        <v>353</v>
      </c>
      <c r="I326" t="s">
        <v>363</v>
      </c>
      <c r="J326" t="s">
        <v>364</v>
      </c>
      <c r="K326">
        <v>651818</v>
      </c>
      <c r="L326" t="s">
        <v>80</v>
      </c>
      <c r="M326" t="s">
        <v>81</v>
      </c>
      <c r="N326" t="s">
        <v>57</v>
      </c>
      <c r="O326" s="1">
        <v>45571</v>
      </c>
      <c r="Q326" s="1">
        <v>46087</v>
      </c>
      <c r="R326" s="2">
        <v>49.55</v>
      </c>
      <c r="S326">
        <v>1</v>
      </c>
      <c r="T326" t="s">
        <v>58</v>
      </c>
      <c r="U326" t="s">
        <v>156</v>
      </c>
      <c r="V326" s="3">
        <v>0.06</v>
      </c>
      <c r="W326" s="2">
        <v>0</v>
      </c>
      <c r="X326">
        <v>0</v>
      </c>
      <c r="Y326" t="s">
        <v>157</v>
      </c>
      <c r="Z326" t="s">
        <v>135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2.97</v>
      </c>
      <c r="AN326" s="2">
        <v>2.97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46062</v>
      </c>
      <c r="B327" t="s">
        <v>48</v>
      </c>
      <c r="C327">
        <v>649163</v>
      </c>
      <c r="D327">
        <v>2024984936</v>
      </c>
      <c r="E327" t="s">
        <v>652</v>
      </c>
      <c r="F327" t="s">
        <v>653</v>
      </c>
      <c r="G327" t="s">
        <v>51</v>
      </c>
      <c r="H327" t="s">
        <v>66</v>
      </c>
      <c r="I327" t="s">
        <v>363</v>
      </c>
      <c r="J327" t="s">
        <v>364</v>
      </c>
      <c r="K327">
        <v>673059</v>
      </c>
      <c r="L327" t="s">
        <v>162</v>
      </c>
      <c r="M327" t="s">
        <v>180</v>
      </c>
      <c r="N327" t="s">
        <v>57</v>
      </c>
      <c r="O327" s="1">
        <v>45575</v>
      </c>
      <c r="Q327" s="1">
        <v>46091</v>
      </c>
      <c r="R327" s="2">
        <v>107.98</v>
      </c>
      <c r="S327">
        <v>1</v>
      </c>
      <c r="T327" t="s">
        <v>58</v>
      </c>
      <c r="U327" t="s">
        <v>156</v>
      </c>
      <c r="V327" s="3">
        <v>0.06</v>
      </c>
      <c r="W327" s="2">
        <v>0</v>
      </c>
      <c r="X327">
        <v>0</v>
      </c>
      <c r="Y327" t="s">
        <v>157</v>
      </c>
      <c r="Z327" t="s">
        <v>135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6.48</v>
      </c>
      <c r="AN327" s="2">
        <v>6.48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46062</v>
      </c>
      <c r="B328" t="s">
        <v>48</v>
      </c>
      <c r="C328">
        <v>649163</v>
      </c>
      <c r="D328">
        <v>2025287064</v>
      </c>
      <c r="E328" t="s">
        <v>493</v>
      </c>
      <c r="F328" t="s">
        <v>494</v>
      </c>
      <c r="G328" t="s">
        <v>51</v>
      </c>
      <c r="H328" t="s">
        <v>397</v>
      </c>
      <c r="I328" t="s">
        <v>363</v>
      </c>
      <c r="J328" t="s">
        <v>364</v>
      </c>
      <c r="K328">
        <v>767312</v>
      </c>
      <c r="L328" t="s">
        <v>310</v>
      </c>
      <c r="M328" t="s">
        <v>311</v>
      </c>
      <c r="N328" t="s">
        <v>57</v>
      </c>
      <c r="O328" s="1">
        <v>45577</v>
      </c>
      <c r="Q328" s="1">
        <v>46093</v>
      </c>
      <c r="R328" s="2">
        <v>18.25</v>
      </c>
      <c r="S328">
        <v>1</v>
      </c>
      <c r="T328" t="s">
        <v>58</v>
      </c>
      <c r="U328" t="s">
        <v>156</v>
      </c>
      <c r="V328" s="3">
        <v>0.06</v>
      </c>
      <c r="W328" s="2">
        <v>0</v>
      </c>
      <c r="X328">
        <v>0</v>
      </c>
      <c r="Y328" t="s">
        <v>157</v>
      </c>
      <c r="Z328" t="s">
        <v>135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1.1000000000000001</v>
      </c>
      <c r="AN328" s="2">
        <v>1.1000000000000001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46062</v>
      </c>
      <c r="B329" t="s">
        <v>48</v>
      </c>
      <c r="C329">
        <v>649163</v>
      </c>
      <c r="D329">
        <v>2025660999</v>
      </c>
      <c r="E329" t="s">
        <v>654</v>
      </c>
      <c r="F329" t="s">
        <v>496</v>
      </c>
      <c r="G329" t="s">
        <v>51</v>
      </c>
      <c r="H329" t="s">
        <v>140</v>
      </c>
      <c r="I329" t="s">
        <v>363</v>
      </c>
      <c r="J329" t="s">
        <v>364</v>
      </c>
      <c r="K329">
        <v>673059</v>
      </c>
      <c r="L329" t="s">
        <v>162</v>
      </c>
      <c r="M329" t="s">
        <v>180</v>
      </c>
      <c r="N329" t="s">
        <v>57</v>
      </c>
      <c r="O329" s="1">
        <v>45665</v>
      </c>
      <c r="Q329" s="1">
        <v>46089</v>
      </c>
      <c r="R329" s="2">
        <v>89.53</v>
      </c>
      <c r="S329">
        <v>1</v>
      </c>
      <c r="T329" t="s">
        <v>58</v>
      </c>
      <c r="U329" t="s">
        <v>156</v>
      </c>
      <c r="V329" s="3">
        <v>0.06</v>
      </c>
      <c r="W329" s="2">
        <v>0</v>
      </c>
      <c r="X329">
        <v>0</v>
      </c>
      <c r="Y329" t="s">
        <v>157</v>
      </c>
      <c r="Z329" t="s">
        <v>135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5.37</v>
      </c>
      <c r="AN329" s="2">
        <v>5.37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46062</v>
      </c>
      <c r="B330" t="s">
        <v>48</v>
      </c>
      <c r="C330">
        <v>649163</v>
      </c>
      <c r="D330">
        <v>2025677957</v>
      </c>
      <c r="E330" t="s">
        <v>655</v>
      </c>
      <c r="F330" t="s">
        <v>656</v>
      </c>
      <c r="G330" t="s">
        <v>51</v>
      </c>
      <c r="H330" t="s">
        <v>309</v>
      </c>
      <c r="I330" t="s">
        <v>363</v>
      </c>
      <c r="J330" t="s">
        <v>364</v>
      </c>
      <c r="K330">
        <v>767312</v>
      </c>
      <c r="L330" t="s">
        <v>310</v>
      </c>
      <c r="M330" t="s">
        <v>311</v>
      </c>
      <c r="N330" t="s">
        <v>57</v>
      </c>
      <c r="O330" s="1">
        <v>45604</v>
      </c>
      <c r="Q330" s="1">
        <v>46089</v>
      </c>
      <c r="R330" s="2">
        <v>24.36</v>
      </c>
      <c r="S330">
        <v>1</v>
      </c>
      <c r="T330" t="s">
        <v>58</v>
      </c>
      <c r="U330" t="s">
        <v>156</v>
      </c>
      <c r="V330" s="3">
        <v>0.06</v>
      </c>
      <c r="W330" s="2">
        <v>0</v>
      </c>
      <c r="X330">
        <v>0</v>
      </c>
      <c r="Y330" t="s">
        <v>157</v>
      </c>
      <c r="Z330" t="s">
        <v>135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1.46</v>
      </c>
      <c r="AN330" s="2">
        <v>1.46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46062</v>
      </c>
      <c r="B331" t="s">
        <v>48</v>
      </c>
      <c r="C331">
        <v>649163</v>
      </c>
      <c r="D331">
        <v>2025687269</v>
      </c>
      <c r="E331" t="s">
        <v>657</v>
      </c>
      <c r="F331" t="s">
        <v>658</v>
      </c>
      <c r="G331" t="s">
        <v>51</v>
      </c>
      <c r="H331" t="s">
        <v>170</v>
      </c>
      <c r="I331" t="s">
        <v>363</v>
      </c>
      <c r="J331" t="s">
        <v>364</v>
      </c>
      <c r="K331">
        <v>767312</v>
      </c>
      <c r="L331" t="s">
        <v>310</v>
      </c>
      <c r="M331" t="s">
        <v>311</v>
      </c>
      <c r="N331" t="s">
        <v>57</v>
      </c>
      <c r="O331" s="1">
        <v>45605</v>
      </c>
      <c r="Q331" s="1">
        <v>46090</v>
      </c>
      <c r="R331" s="2">
        <v>28.87</v>
      </c>
      <c r="S331">
        <v>1</v>
      </c>
      <c r="T331" t="s">
        <v>58</v>
      </c>
      <c r="U331" t="s">
        <v>156</v>
      </c>
      <c r="V331" s="3">
        <v>0.06</v>
      </c>
      <c r="W331" s="2">
        <v>0</v>
      </c>
      <c r="X331">
        <v>0</v>
      </c>
      <c r="Y331" t="s">
        <v>157</v>
      </c>
      <c r="Z331" t="s">
        <v>135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1.73</v>
      </c>
      <c r="AN331" s="2">
        <v>1.73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46062</v>
      </c>
      <c r="B332" t="s">
        <v>48</v>
      </c>
      <c r="C332">
        <v>649163</v>
      </c>
      <c r="D332">
        <v>2025698057</v>
      </c>
      <c r="E332" t="s">
        <v>184</v>
      </c>
      <c r="F332" t="s">
        <v>107</v>
      </c>
      <c r="G332" t="s">
        <v>51</v>
      </c>
      <c r="H332" t="s">
        <v>170</v>
      </c>
      <c r="I332" t="s">
        <v>363</v>
      </c>
      <c r="J332" t="s">
        <v>364</v>
      </c>
      <c r="K332">
        <v>650218</v>
      </c>
      <c r="L332" t="s">
        <v>246</v>
      </c>
      <c r="M332" t="s">
        <v>195</v>
      </c>
      <c r="N332" t="s">
        <v>57</v>
      </c>
      <c r="O332" s="1">
        <v>45605</v>
      </c>
      <c r="Q332" s="1">
        <v>46090</v>
      </c>
      <c r="R332" s="2">
        <v>36.119999999999997</v>
      </c>
      <c r="S332">
        <v>1</v>
      </c>
      <c r="T332" t="s">
        <v>58</v>
      </c>
      <c r="U332" t="s">
        <v>156</v>
      </c>
      <c r="V332" s="3">
        <v>0.06</v>
      </c>
      <c r="W332" s="2">
        <v>0</v>
      </c>
      <c r="X332">
        <v>0</v>
      </c>
      <c r="Y332" t="s">
        <v>157</v>
      </c>
      <c r="Z332" t="s">
        <v>135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2.17</v>
      </c>
      <c r="AN332" s="2">
        <v>2.17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46062</v>
      </c>
      <c r="B333" t="s">
        <v>48</v>
      </c>
      <c r="C333">
        <v>649163</v>
      </c>
      <c r="D333">
        <v>2025703126</v>
      </c>
      <c r="E333" t="s">
        <v>659</v>
      </c>
      <c r="F333" t="s">
        <v>660</v>
      </c>
      <c r="G333" t="s">
        <v>51</v>
      </c>
      <c r="H333" t="s">
        <v>397</v>
      </c>
      <c r="I333" t="s">
        <v>363</v>
      </c>
      <c r="J333" t="s">
        <v>364</v>
      </c>
      <c r="K333">
        <v>767312</v>
      </c>
      <c r="L333" t="s">
        <v>310</v>
      </c>
      <c r="M333" t="s">
        <v>311</v>
      </c>
      <c r="N333" t="s">
        <v>57</v>
      </c>
      <c r="O333" s="1">
        <v>45606</v>
      </c>
      <c r="Q333" s="1">
        <v>46091</v>
      </c>
      <c r="R333" s="2">
        <v>21.47</v>
      </c>
      <c r="S333">
        <v>1</v>
      </c>
      <c r="T333" t="s">
        <v>58</v>
      </c>
      <c r="U333" t="s">
        <v>156</v>
      </c>
      <c r="V333" s="3">
        <v>0.06</v>
      </c>
      <c r="W333" s="2">
        <v>0</v>
      </c>
      <c r="X333">
        <v>0</v>
      </c>
      <c r="Y333" t="s">
        <v>157</v>
      </c>
      <c r="Z333" t="s">
        <v>135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1.29</v>
      </c>
      <c r="AN333" s="2">
        <v>1.29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46062</v>
      </c>
      <c r="B334" t="s">
        <v>48</v>
      </c>
      <c r="C334">
        <v>649163</v>
      </c>
      <c r="D334">
        <v>2025724990</v>
      </c>
      <c r="E334" t="s">
        <v>661</v>
      </c>
      <c r="F334" t="s">
        <v>125</v>
      </c>
      <c r="G334" t="s">
        <v>51</v>
      </c>
      <c r="H334" t="s">
        <v>662</v>
      </c>
      <c r="I334" t="s">
        <v>363</v>
      </c>
      <c r="J334" t="s">
        <v>364</v>
      </c>
      <c r="K334">
        <v>756418</v>
      </c>
      <c r="L334" t="s">
        <v>663</v>
      </c>
      <c r="M334" t="s">
        <v>639</v>
      </c>
      <c r="N334" t="s">
        <v>57</v>
      </c>
      <c r="O334" s="1">
        <v>45608</v>
      </c>
      <c r="Q334" s="1">
        <v>46093</v>
      </c>
      <c r="R334" s="2">
        <v>94.25</v>
      </c>
      <c r="S334">
        <v>1</v>
      </c>
      <c r="T334" t="s">
        <v>58</v>
      </c>
      <c r="U334" t="s">
        <v>156</v>
      </c>
      <c r="V334" s="3">
        <v>0.06</v>
      </c>
      <c r="W334" s="2">
        <v>0</v>
      </c>
      <c r="X334">
        <v>0</v>
      </c>
      <c r="Y334" t="s">
        <v>157</v>
      </c>
      <c r="Z334" t="s">
        <v>135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5.66</v>
      </c>
      <c r="AN334" s="2">
        <v>5.66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46062</v>
      </c>
      <c r="B335" t="s">
        <v>48</v>
      </c>
      <c r="C335">
        <v>649163</v>
      </c>
      <c r="D335">
        <v>2025732434</v>
      </c>
      <c r="E335" t="s">
        <v>502</v>
      </c>
      <c r="F335" t="s">
        <v>216</v>
      </c>
      <c r="G335" t="s">
        <v>51</v>
      </c>
      <c r="H335" t="s">
        <v>353</v>
      </c>
      <c r="I335" t="s">
        <v>363</v>
      </c>
      <c r="J335" t="s">
        <v>364</v>
      </c>
      <c r="K335">
        <v>651818</v>
      </c>
      <c r="L335" t="s">
        <v>80</v>
      </c>
      <c r="M335" t="s">
        <v>81</v>
      </c>
      <c r="N335" t="s">
        <v>57</v>
      </c>
      <c r="O335" s="1">
        <v>45664</v>
      </c>
      <c r="Q335" s="1">
        <v>46088</v>
      </c>
      <c r="R335" s="2">
        <v>103.36</v>
      </c>
      <c r="S335">
        <v>1</v>
      </c>
      <c r="T335" t="s">
        <v>58</v>
      </c>
      <c r="U335" t="s">
        <v>156</v>
      </c>
      <c r="V335" s="3">
        <v>0.06</v>
      </c>
      <c r="W335" s="2">
        <v>0</v>
      </c>
      <c r="X335">
        <v>0</v>
      </c>
      <c r="Y335" t="s">
        <v>157</v>
      </c>
      <c r="Z335" t="s">
        <v>135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6.2</v>
      </c>
      <c r="AN335" s="2">
        <v>6.2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46062</v>
      </c>
      <c r="B336" t="s">
        <v>48</v>
      </c>
      <c r="C336">
        <v>649163</v>
      </c>
      <c r="D336">
        <v>2025738648</v>
      </c>
      <c r="E336" t="s">
        <v>664</v>
      </c>
      <c r="F336" t="s">
        <v>665</v>
      </c>
      <c r="G336" t="s">
        <v>51</v>
      </c>
      <c r="H336" t="s">
        <v>309</v>
      </c>
      <c r="I336" t="s">
        <v>363</v>
      </c>
      <c r="J336" t="s">
        <v>364</v>
      </c>
      <c r="K336">
        <v>767312</v>
      </c>
      <c r="L336" t="s">
        <v>310</v>
      </c>
      <c r="M336" t="s">
        <v>311</v>
      </c>
      <c r="N336" t="s">
        <v>57</v>
      </c>
      <c r="O336" s="1">
        <v>45609</v>
      </c>
      <c r="Q336" s="1">
        <v>46094</v>
      </c>
      <c r="R336" s="2">
        <v>18.66</v>
      </c>
      <c r="S336">
        <v>1</v>
      </c>
      <c r="T336" t="s">
        <v>58</v>
      </c>
      <c r="U336" t="s">
        <v>156</v>
      </c>
      <c r="V336" s="3">
        <v>0.06</v>
      </c>
      <c r="W336" s="2">
        <v>0</v>
      </c>
      <c r="X336">
        <v>0</v>
      </c>
      <c r="Y336" t="s">
        <v>157</v>
      </c>
      <c r="Z336" t="s">
        <v>135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1.1200000000000001</v>
      </c>
      <c r="AN336" s="2">
        <v>1.1200000000000001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46062</v>
      </c>
      <c r="B337" t="s">
        <v>48</v>
      </c>
      <c r="C337">
        <v>649163</v>
      </c>
      <c r="D337">
        <v>2025815451</v>
      </c>
      <c r="E337" t="s">
        <v>504</v>
      </c>
      <c r="F337" t="s">
        <v>505</v>
      </c>
      <c r="G337" t="s">
        <v>51</v>
      </c>
      <c r="H337" t="s">
        <v>78</v>
      </c>
      <c r="I337" t="s">
        <v>363</v>
      </c>
      <c r="J337" t="s">
        <v>364</v>
      </c>
      <c r="K337">
        <v>651818</v>
      </c>
      <c r="L337" t="s">
        <v>80</v>
      </c>
      <c r="M337" t="s">
        <v>81</v>
      </c>
      <c r="N337" t="s">
        <v>57</v>
      </c>
      <c r="O337" s="1">
        <v>45633</v>
      </c>
      <c r="Q337" s="1">
        <v>46088</v>
      </c>
      <c r="R337" s="2">
        <v>40.07</v>
      </c>
      <c r="S337">
        <v>1</v>
      </c>
      <c r="T337" t="s">
        <v>58</v>
      </c>
      <c r="U337" t="s">
        <v>156</v>
      </c>
      <c r="V337" s="3">
        <v>0.06</v>
      </c>
      <c r="W337" s="2">
        <v>0</v>
      </c>
      <c r="X337">
        <v>0</v>
      </c>
      <c r="Y337" t="s">
        <v>157</v>
      </c>
      <c r="Z337" t="s">
        <v>135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2.4</v>
      </c>
      <c r="AN337" s="2">
        <v>2.4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46062</v>
      </c>
      <c r="B338" t="s">
        <v>48</v>
      </c>
      <c r="C338">
        <v>649163</v>
      </c>
      <c r="D338">
        <v>2025863140</v>
      </c>
      <c r="E338" t="s">
        <v>507</v>
      </c>
      <c r="F338" t="s">
        <v>508</v>
      </c>
      <c r="G338" t="s">
        <v>51</v>
      </c>
      <c r="H338" t="s">
        <v>90</v>
      </c>
      <c r="I338" t="s">
        <v>363</v>
      </c>
      <c r="J338" t="s">
        <v>364</v>
      </c>
      <c r="K338">
        <v>651818</v>
      </c>
      <c r="L338" t="s">
        <v>80</v>
      </c>
      <c r="M338" t="s">
        <v>81</v>
      </c>
      <c r="N338" t="s">
        <v>57</v>
      </c>
      <c r="O338" s="1">
        <v>45633</v>
      </c>
      <c r="Q338" s="1">
        <v>46088</v>
      </c>
      <c r="R338" s="2">
        <v>55.66</v>
      </c>
      <c r="S338">
        <v>1</v>
      </c>
      <c r="T338" t="s">
        <v>58</v>
      </c>
      <c r="U338" t="s">
        <v>156</v>
      </c>
      <c r="V338" s="3">
        <v>0.06</v>
      </c>
      <c r="W338" s="2">
        <v>0</v>
      </c>
      <c r="X338">
        <v>0</v>
      </c>
      <c r="Y338" t="s">
        <v>157</v>
      </c>
      <c r="Z338" t="s">
        <v>135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3.34</v>
      </c>
      <c r="AN338" s="2">
        <v>3.34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46062</v>
      </c>
      <c r="B339" t="s">
        <v>48</v>
      </c>
      <c r="C339">
        <v>649163</v>
      </c>
      <c r="D339">
        <v>2025884356</v>
      </c>
      <c r="E339" t="s">
        <v>145</v>
      </c>
      <c r="F339" t="s">
        <v>666</v>
      </c>
      <c r="G339" t="s">
        <v>51</v>
      </c>
      <c r="H339" t="s">
        <v>90</v>
      </c>
      <c r="I339" t="s">
        <v>363</v>
      </c>
      <c r="J339" t="s">
        <v>364</v>
      </c>
      <c r="K339">
        <v>651818</v>
      </c>
      <c r="L339" t="s">
        <v>80</v>
      </c>
      <c r="M339" t="s">
        <v>81</v>
      </c>
      <c r="N339" t="s">
        <v>57</v>
      </c>
      <c r="O339" s="1">
        <v>45633</v>
      </c>
      <c r="Q339" s="1">
        <v>46088</v>
      </c>
      <c r="R339" s="2">
        <v>55.66</v>
      </c>
      <c r="S339">
        <v>1</v>
      </c>
      <c r="T339" t="s">
        <v>58</v>
      </c>
      <c r="U339" t="s">
        <v>156</v>
      </c>
      <c r="V339" s="3">
        <v>0.06</v>
      </c>
      <c r="W339" s="2">
        <v>0</v>
      </c>
      <c r="X339">
        <v>0</v>
      </c>
      <c r="Y339" t="s">
        <v>157</v>
      </c>
      <c r="Z339" t="s">
        <v>135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3.34</v>
      </c>
      <c r="AN339" s="2">
        <v>3.34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46062</v>
      </c>
      <c r="B340" t="s">
        <v>48</v>
      </c>
      <c r="C340">
        <v>649163</v>
      </c>
      <c r="D340">
        <v>2026047881</v>
      </c>
      <c r="E340" t="s">
        <v>667</v>
      </c>
      <c r="F340" t="s">
        <v>454</v>
      </c>
      <c r="G340" t="s">
        <v>51</v>
      </c>
      <c r="H340" t="s">
        <v>78</v>
      </c>
      <c r="I340" t="s">
        <v>363</v>
      </c>
      <c r="J340" t="s">
        <v>364</v>
      </c>
      <c r="K340">
        <v>651818</v>
      </c>
      <c r="L340" t="s">
        <v>80</v>
      </c>
      <c r="M340" t="s">
        <v>81</v>
      </c>
      <c r="N340" t="s">
        <v>57</v>
      </c>
      <c r="O340" s="1">
        <v>45633</v>
      </c>
      <c r="Q340" s="1">
        <v>46088</v>
      </c>
      <c r="R340" s="2">
        <v>40.07</v>
      </c>
      <c r="S340">
        <v>1</v>
      </c>
      <c r="T340" t="s">
        <v>58</v>
      </c>
      <c r="U340" t="s">
        <v>156</v>
      </c>
      <c r="V340" s="3">
        <v>0.06</v>
      </c>
      <c r="W340" s="2">
        <v>0</v>
      </c>
      <c r="X340">
        <v>0</v>
      </c>
      <c r="Y340" t="s">
        <v>157</v>
      </c>
      <c r="Z340" t="s">
        <v>135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2.4</v>
      </c>
      <c r="AN340" s="2">
        <v>2.4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46062</v>
      </c>
      <c r="B341" t="s">
        <v>48</v>
      </c>
      <c r="C341">
        <v>649163</v>
      </c>
      <c r="D341">
        <v>2026048649</v>
      </c>
      <c r="E341" t="s">
        <v>668</v>
      </c>
      <c r="F341" t="s">
        <v>299</v>
      </c>
      <c r="G341" t="s">
        <v>51</v>
      </c>
      <c r="H341" t="s">
        <v>66</v>
      </c>
      <c r="I341" t="s">
        <v>363</v>
      </c>
      <c r="J341" t="s">
        <v>364</v>
      </c>
      <c r="K341">
        <v>651818</v>
      </c>
      <c r="L341" t="s">
        <v>80</v>
      </c>
      <c r="M341" t="s">
        <v>81</v>
      </c>
      <c r="N341" t="s">
        <v>57</v>
      </c>
      <c r="O341" s="1">
        <v>45664</v>
      </c>
      <c r="Q341" s="1">
        <v>46088</v>
      </c>
      <c r="R341" s="2">
        <v>190.54</v>
      </c>
      <c r="S341">
        <v>1</v>
      </c>
      <c r="T341" t="s">
        <v>58</v>
      </c>
      <c r="U341" t="s">
        <v>156</v>
      </c>
      <c r="V341" s="3">
        <v>0.06</v>
      </c>
      <c r="W341" s="2">
        <v>0</v>
      </c>
      <c r="X341">
        <v>0</v>
      </c>
      <c r="Y341" t="s">
        <v>157</v>
      </c>
      <c r="Z341" t="s">
        <v>135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11.43</v>
      </c>
      <c r="AN341" s="2">
        <v>11.43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46062</v>
      </c>
      <c r="B342" t="s">
        <v>48</v>
      </c>
      <c r="C342">
        <v>649163</v>
      </c>
      <c r="D342">
        <v>2026057641</v>
      </c>
      <c r="E342" t="s">
        <v>669</v>
      </c>
      <c r="F342" t="s">
        <v>457</v>
      </c>
      <c r="G342" t="s">
        <v>51</v>
      </c>
      <c r="H342" t="s">
        <v>90</v>
      </c>
      <c r="I342" t="s">
        <v>363</v>
      </c>
      <c r="J342" t="s">
        <v>364</v>
      </c>
      <c r="K342">
        <v>767312</v>
      </c>
      <c r="L342" t="s">
        <v>310</v>
      </c>
      <c r="M342" t="s">
        <v>311</v>
      </c>
      <c r="N342" t="s">
        <v>57</v>
      </c>
      <c r="O342" s="1">
        <v>45632</v>
      </c>
      <c r="Q342" s="1">
        <v>46087</v>
      </c>
      <c r="R342" s="2">
        <v>32.380000000000003</v>
      </c>
      <c r="S342">
        <v>1</v>
      </c>
      <c r="T342" t="s">
        <v>58</v>
      </c>
      <c r="U342" t="s">
        <v>156</v>
      </c>
      <c r="V342" s="3">
        <v>0.06</v>
      </c>
      <c r="W342" s="2">
        <v>0</v>
      </c>
      <c r="X342">
        <v>0</v>
      </c>
      <c r="Y342" t="s">
        <v>157</v>
      </c>
      <c r="Z342" t="s">
        <v>135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1.94</v>
      </c>
      <c r="AN342" s="2">
        <v>1.94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46062</v>
      </c>
      <c r="B343" t="s">
        <v>48</v>
      </c>
      <c r="C343">
        <v>649163</v>
      </c>
      <c r="D343">
        <v>2026119931</v>
      </c>
      <c r="E343" t="s">
        <v>670</v>
      </c>
      <c r="F343" t="s">
        <v>460</v>
      </c>
      <c r="G343" t="s">
        <v>51</v>
      </c>
      <c r="H343" t="s">
        <v>397</v>
      </c>
      <c r="I343" t="s">
        <v>363</v>
      </c>
      <c r="J343" t="s">
        <v>364</v>
      </c>
      <c r="K343">
        <v>651818</v>
      </c>
      <c r="L343" t="s">
        <v>80</v>
      </c>
      <c r="M343" t="s">
        <v>81</v>
      </c>
      <c r="N343" t="s">
        <v>57</v>
      </c>
      <c r="O343" s="1">
        <v>45664</v>
      </c>
      <c r="Q343" s="1">
        <v>46088</v>
      </c>
      <c r="R343" s="2">
        <v>58.32</v>
      </c>
      <c r="S343">
        <v>1</v>
      </c>
      <c r="T343" t="s">
        <v>58</v>
      </c>
      <c r="U343" t="s">
        <v>156</v>
      </c>
      <c r="V343" s="3">
        <v>0.06</v>
      </c>
      <c r="W343" s="2">
        <v>0</v>
      </c>
      <c r="X343">
        <v>0</v>
      </c>
      <c r="Y343" t="s">
        <v>157</v>
      </c>
      <c r="Z343" t="s">
        <v>135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3.5</v>
      </c>
      <c r="AN343" s="2">
        <v>3.5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46062</v>
      </c>
      <c r="B344" t="s">
        <v>48</v>
      </c>
      <c r="C344">
        <v>649163</v>
      </c>
      <c r="D344">
        <v>2026146921</v>
      </c>
      <c r="E344" t="s">
        <v>671</v>
      </c>
      <c r="F344" t="s">
        <v>672</v>
      </c>
      <c r="G344" t="s">
        <v>51</v>
      </c>
      <c r="H344" t="s">
        <v>52</v>
      </c>
      <c r="I344" t="s">
        <v>363</v>
      </c>
      <c r="J344" t="s">
        <v>364</v>
      </c>
      <c r="K344">
        <v>728134</v>
      </c>
      <c r="L344" t="s">
        <v>215</v>
      </c>
      <c r="M344" t="s">
        <v>216</v>
      </c>
      <c r="N344" t="s">
        <v>57</v>
      </c>
      <c r="O344" s="1">
        <v>45639</v>
      </c>
      <c r="Q344" s="1">
        <v>46094</v>
      </c>
      <c r="R344" s="2">
        <v>39.979999999999997</v>
      </c>
      <c r="S344">
        <v>1</v>
      </c>
      <c r="T344" t="s">
        <v>58</v>
      </c>
      <c r="U344" t="s">
        <v>156</v>
      </c>
      <c r="V344" s="3">
        <v>0.06</v>
      </c>
      <c r="W344" s="2">
        <v>0</v>
      </c>
      <c r="X344">
        <v>0</v>
      </c>
      <c r="Y344" t="s">
        <v>157</v>
      </c>
      <c r="Z344" t="s">
        <v>135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2.4</v>
      </c>
      <c r="AN344" s="2">
        <v>2.4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46062</v>
      </c>
      <c r="B345" t="s">
        <v>48</v>
      </c>
      <c r="C345">
        <v>649163</v>
      </c>
      <c r="D345">
        <v>2026187010</v>
      </c>
      <c r="E345" t="s">
        <v>533</v>
      </c>
      <c r="F345" t="s">
        <v>534</v>
      </c>
      <c r="G345" t="s">
        <v>51</v>
      </c>
      <c r="H345" t="s">
        <v>170</v>
      </c>
      <c r="I345" t="s">
        <v>363</v>
      </c>
      <c r="J345" t="s">
        <v>364</v>
      </c>
      <c r="K345">
        <v>767312</v>
      </c>
      <c r="L345" t="s">
        <v>310</v>
      </c>
      <c r="M345" t="s">
        <v>311</v>
      </c>
      <c r="N345" t="s">
        <v>144</v>
      </c>
      <c r="O345" s="1">
        <v>45658</v>
      </c>
      <c r="P345" s="1">
        <v>46062</v>
      </c>
      <c r="Q345" s="1">
        <v>46082</v>
      </c>
      <c r="R345" s="2">
        <v>-21.91</v>
      </c>
      <c r="S345">
        <v>1</v>
      </c>
      <c r="T345" t="s">
        <v>58</v>
      </c>
      <c r="U345" t="s">
        <v>156</v>
      </c>
      <c r="V345" s="3">
        <v>0.06</v>
      </c>
      <c r="W345" s="2">
        <v>0</v>
      </c>
      <c r="X345">
        <v>-1</v>
      </c>
      <c r="Y345" t="s">
        <v>157</v>
      </c>
      <c r="Z345" t="s">
        <v>135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-1.31</v>
      </c>
      <c r="AN345" s="2">
        <v>-1.31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46062</v>
      </c>
      <c r="B346" t="s">
        <v>48</v>
      </c>
      <c r="C346">
        <v>649163</v>
      </c>
      <c r="D346">
        <v>2026227662</v>
      </c>
      <c r="E346" t="s">
        <v>426</v>
      </c>
      <c r="F346" t="s">
        <v>427</v>
      </c>
      <c r="G346" t="s">
        <v>51</v>
      </c>
      <c r="H346" t="s">
        <v>52</v>
      </c>
      <c r="I346" t="s">
        <v>363</v>
      </c>
      <c r="J346" t="s">
        <v>364</v>
      </c>
      <c r="K346">
        <v>751867</v>
      </c>
      <c r="L346" t="s">
        <v>239</v>
      </c>
      <c r="M346" t="s">
        <v>240</v>
      </c>
      <c r="N346" t="s">
        <v>57</v>
      </c>
      <c r="O346" s="1">
        <v>45658</v>
      </c>
      <c r="Q346" s="1">
        <v>46082</v>
      </c>
      <c r="R346" s="2">
        <v>81.180000000000007</v>
      </c>
      <c r="S346">
        <v>1</v>
      </c>
      <c r="T346" t="s">
        <v>58</v>
      </c>
      <c r="U346" t="s">
        <v>156</v>
      </c>
      <c r="V346" s="3">
        <v>0.06</v>
      </c>
      <c r="W346" s="2">
        <v>0</v>
      </c>
      <c r="X346">
        <v>0</v>
      </c>
      <c r="Y346" t="s">
        <v>157</v>
      </c>
      <c r="Z346" t="s">
        <v>135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4.87</v>
      </c>
      <c r="AN346" s="2">
        <v>4.87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46062</v>
      </c>
      <c r="B347" t="s">
        <v>48</v>
      </c>
      <c r="C347">
        <v>649163</v>
      </c>
      <c r="D347">
        <v>2026485485</v>
      </c>
      <c r="E347" t="s">
        <v>428</v>
      </c>
      <c r="F347" t="s">
        <v>429</v>
      </c>
      <c r="G347" t="s">
        <v>51</v>
      </c>
      <c r="H347" t="s">
        <v>112</v>
      </c>
      <c r="I347" t="s">
        <v>363</v>
      </c>
      <c r="J347" t="s">
        <v>364</v>
      </c>
      <c r="K347">
        <v>650218</v>
      </c>
      <c r="L347" t="s">
        <v>246</v>
      </c>
      <c r="M347" t="s">
        <v>195</v>
      </c>
      <c r="N347" t="s">
        <v>57</v>
      </c>
      <c r="O347" s="1">
        <v>45665</v>
      </c>
      <c r="Q347" s="1">
        <v>46089</v>
      </c>
      <c r="R347" s="2">
        <v>55.63</v>
      </c>
      <c r="S347">
        <v>1</v>
      </c>
      <c r="T347" t="s">
        <v>58</v>
      </c>
      <c r="U347" t="s">
        <v>156</v>
      </c>
      <c r="V347" s="3">
        <v>0.06</v>
      </c>
      <c r="W347" s="2">
        <v>0</v>
      </c>
      <c r="X347">
        <v>0</v>
      </c>
      <c r="Y347" t="s">
        <v>157</v>
      </c>
      <c r="Z347" t="s">
        <v>135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3.34</v>
      </c>
      <c r="AN347" s="2">
        <v>3.34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46062</v>
      </c>
      <c r="B348" t="s">
        <v>48</v>
      </c>
      <c r="C348">
        <v>649163</v>
      </c>
      <c r="D348">
        <v>2026490244</v>
      </c>
      <c r="E348" t="s">
        <v>673</v>
      </c>
      <c r="F348" t="s">
        <v>674</v>
      </c>
      <c r="G348" t="s">
        <v>51</v>
      </c>
      <c r="H348" t="s">
        <v>66</v>
      </c>
      <c r="I348" t="s">
        <v>363</v>
      </c>
      <c r="J348" t="s">
        <v>364</v>
      </c>
      <c r="K348">
        <v>766747</v>
      </c>
      <c r="L348" t="s">
        <v>645</v>
      </c>
      <c r="M348" t="s">
        <v>188</v>
      </c>
      <c r="N348" t="s">
        <v>144</v>
      </c>
      <c r="O348" s="1">
        <v>45689</v>
      </c>
      <c r="P348" s="1">
        <v>46055</v>
      </c>
      <c r="Q348" s="1">
        <v>46082</v>
      </c>
      <c r="R348" s="2">
        <v>-24.7</v>
      </c>
      <c r="S348">
        <v>1</v>
      </c>
      <c r="T348" t="s">
        <v>58</v>
      </c>
      <c r="U348" t="s">
        <v>156</v>
      </c>
      <c r="V348" s="3">
        <v>0.06</v>
      </c>
      <c r="W348" s="2">
        <v>0</v>
      </c>
      <c r="X348">
        <v>-1</v>
      </c>
      <c r="Y348" t="s">
        <v>157</v>
      </c>
      <c r="Z348" t="s">
        <v>135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-1.48</v>
      </c>
      <c r="AN348" s="2">
        <v>-1.48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46062</v>
      </c>
      <c r="B349" t="s">
        <v>48</v>
      </c>
      <c r="C349">
        <v>649163</v>
      </c>
      <c r="D349">
        <v>2026617925</v>
      </c>
      <c r="E349" t="s">
        <v>544</v>
      </c>
      <c r="F349" t="s">
        <v>545</v>
      </c>
      <c r="G349" t="s">
        <v>51</v>
      </c>
      <c r="H349" t="s">
        <v>90</v>
      </c>
      <c r="I349" t="s">
        <v>363</v>
      </c>
      <c r="J349" t="s">
        <v>364</v>
      </c>
      <c r="K349">
        <v>651818</v>
      </c>
      <c r="L349" t="s">
        <v>80</v>
      </c>
      <c r="M349" t="s">
        <v>81</v>
      </c>
      <c r="N349" t="s">
        <v>57</v>
      </c>
      <c r="O349" s="1">
        <v>45695</v>
      </c>
      <c r="Q349" s="1">
        <v>46088</v>
      </c>
      <c r="R349" s="2">
        <v>48.88</v>
      </c>
      <c r="S349">
        <v>1</v>
      </c>
      <c r="T349" t="s">
        <v>58</v>
      </c>
      <c r="U349" t="s">
        <v>156</v>
      </c>
      <c r="V349" s="3">
        <v>0.06</v>
      </c>
      <c r="W349" s="2">
        <v>0</v>
      </c>
      <c r="X349">
        <v>0</v>
      </c>
      <c r="Y349" t="s">
        <v>157</v>
      </c>
      <c r="Z349" t="s">
        <v>135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2.93</v>
      </c>
      <c r="AN349" s="2">
        <v>2.93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46062</v>
      </c>
      <c r="B350" t="s">
        <v>48</v>
      </c>
      <c r="C350">
        <v>649163</v>
      </c>
      <c r="D350">
        <v>2026627934</v>
      </c>
      <c r="E350" t="s">
        <v>675</v>
      </c>
      <c r="F350" t="s">
        <v>676</v>
      </c>
      <c r="G350" t="s">
        <v>51</v>
      </c>
      <c r="H350" t="s">
        <v>274</v>
      </c>
      <c r="I350" t="s">
        <v>363</v>
      </c>
      <c r="J350" t="s">
        <v>364</v>
      </c>
      <c r="K350">
        <v>816021</v>
      </c>
      <c r="L350" t="s">
        <v>275</v>
      </c>
      <c r="M350" t="s">
        <v>276</v>
      </c>
      <c r="N350" t="s">
        <v>144</v>
      </c>
      <c r="O350" s="1">
        <v>45689</v>
      </c>
      <c r="P350" s="1">
        <v>46055</v>
      </c>
      <c r="Q350" s="1">
        <v>46082</v>
      </c>
      <c r="R350" s="2">
        <v>-79.06</v>
      </c>
      <c r="S350">
        <v>1</v>
      </c>
      <c r="T350" t="s">
        <v>58</v>
      </c>
      <c r="U350" t="s">
        <v>156</v>
      </c>
      <c r="V350" s="3">
        <v>0.06</v>
      </c>
      <c r="W350" s="2">
        <v>0</v>
      </c>
      <c r="X350">
        <v>-1</v>
      </c>
      <c r="Y350" t="s">
        <v>157</v>
      </c>
      <c r="Z350" t="s">
        <v>135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-4.74</v>
      </c>
      <c r="AN350" s="2">
        <v>-4.74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46062</v>
      </c>
      <c r="B351" t="s">
        <v>48</v>
      </c>
      <c r="C351">
        <v>649163</v>
      </c>
      <c r="D351">
        <v>2026628667</v>
      </c>
      <c r="E351" t="s">
        <v>546</v>
      </c>
      <c r="F351" t="s">
        <v>180</v>
      </c>
      <c r="G351" t="s">
        <v>51</v>
      </c>
      <c r="H351" t="s">
        <v>66</v>
      </c>
      <c r="I351" t="s">
        <v>363</v>
      </c>
      <c r="J351" t="s">
        <v>364</v>
      </c>
      <c r="K351">
        <v>651818</v>
      </c>
      <c r="L351" t="s">
        <v>80</v>
      </c>
      <c r="M351" t="s">
        <v>81</v>
      </c>
      <c r="N351" t="s">
        <v>57</v>
      </c>
      <c r="O351" s="1">
        <v>45695</v>
      </c>
      <c r="Q351" s="1">
        <v>46088</v>
      </c>
      <c r="R351" s="2">
        <v>43.36</v>
      </c>
      <c r="S351">
        <v>1</v>
      </c>
      <c r="T351" t="s">
        <v>58</v>
      </c>
      <c r="U351" t="s">
        <v>156</v>
      </c>
      <c r="V351" s="3">
        <v>0.06</v>
      </c>
      <c r="W351" s="2">
        <v>0</v>
      </c>
      <c r="X351">
        <v>0</v>
      </c>
      <c r="Y351" t="s">
        <v>157</v>
      </c>
      <c r="Z351" t="s">
        <v>135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2.6</v>
      </c>
      <c r="AN351" s="2">
        <v>2.6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46062</v>
      </c>
      <c r="B352" t="s">
        <v>48</v>
      </c>
      <c r="C352">
        <v>649163</v>
      </c>
      <c r="D352">
        <v>2026680614</v>
      </c>
      <c r="E352" t="s">
        <v>547</v>
      </c>
      <c r="F352" t="s">
        <v>549</v>
      </c>
      <c r="G352" t="s">
        <v>51</v>
      </c>
      <c r="H352" t="s">
        <v>333</v>
      </c>
      <c r="I352" t="s">
        <v>363</v>
      </c>
      <c r="J352" t="s">
        <v>364</v>
      </c>
      <c r="K352">
        <v>651818</v>
      </c>
      <c r="L352" t="s">
        <v>80</v>
      </c>
      <c r="M352" t="s">
        <v>81</v>
      </c>
      <c r="N352" t="s">
        <v>57</v>
      </c>
      <c r="O352" s="1">
        <v>45695</v>
      </c>
      <c r="Q352" s="1">
        <v>46088</v>
      </c>
      <c r="R352" s="2">
        <v>42.23</v>
      </c>
      <c r="S352">
        <v>1</v>
      </c>
      <c r="T352" t="s">
        <v>58</v>
      </c>
      <c r="U352" t="s">
        <v>156</v>
      </c>
      <c r="V352" s="3">
        <v>0.06</v>
      </c>
      <c r="W352" s="2">
        <v>0</v>
      </c>
      <c r="X352">
        <v>0</v>
      </c>
      <c r="Y352" t="s">
        <v>157</v>
      </c>
      <c r="Z352" t="s">
        <v>135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2.5299999999999998</v>
      </c>
      <c r="AN352" s="2">
        <v>2.5299999999999998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46062</v>
      </c>
      <c r="B353" t="s">
        <v>48</v>
      </c>
      <c r="C353">
        <v>649163</v>
      </c>
      <c r="D353">
        <v>2026755179</v>
      </c>
      <c r="E353" t="s">
        <v>677</v>
      </c>
      <c r="F353" t="s">
        <v>678</v>
      </c>
      <c r="G353" t="s">
        <v>51</v>
      </c>
      <c r="H353" t="s">
        <v>209</v>
      </c>
      <c r="I353" t="s">
        <v>363</v>
      </c>
      <c r="J353" t="s">
        <v>364</v>
      </c>
      <c r="K353">
        <v>673059</v>
      </c>
      <c r="L353" t="s">
        <v>162</v>
      </c>
      <c r="M353" t="s">
        <v>180</v>
      </c>
      <c r="N353" t="s">
        <v>144</v>
      </c>
      <c r="O353" s="1">
        <v>45689</v>
      </c>
      <c r="P353" s="1">
        <v>46055</v>
      </c>
      <c r="Q353" s="1">
        <v>46082</v>
      </c>
      <c r="R353" s="2">
        <v>-49.53</v>
      </c>
      <c r="S353">
        <v>1</v>
      </c>
      <c r="T353" t="s">
        <v>58</v>
      </c>
      <c r="U353" t="s">
        <v>156</v>
      </c>
      <c r="V353" s="3">
        <v>0.06</v>
      </c>
      <c r="W353" s="2">
        <v>0</v>
      </c>
      <c r="X353">
        <v>-1</v>
      </c>
      <c r="Y353" t="s">
        <v>157</v>
      </c>
      <c r="Z353" t="s">
        <v>135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-2.97</v>
      </c>
      <c r="AN353" s="2">
        <v>-2.97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46062</v>
      </c>
      <c r="B354" t="s">
        <v>48</v>
      </c>
      <c r="C354">
        <v>649163</v>
      </c>
      <c r="D354">
        <v>2026860055</v>
      </c>
      <c r="E354" t="s">
        <v>538</v>
      </c>
      <c r="F354" t="s">
        <v>539</v>
      </c>
      <c r="G354" t="s">
        <v>51</v>
      </c>
      <c r="H354" t="s">
        <v>90</v>
      </c>
      <c r="I354" t="s">
        <v>363</v>
      </c>
      <c r="J354" t="s">
        <v>364</v>
      </c>
      <c r="K354">
        <v>651818</v>
      </c>
      <c r="L354" t="s">
        <v>80</v>
      </c>
      <c r="M354" t="s">
        <v>81</v>
      </c>
      <c r="N354" t="s">
        <v>57</v>
      </c>
      <c r="O354" s="1">
        <v>45695</v>
      </c>
      <c r="Q354" s="1">
        <v>46088</v>
      </c>
      <c r="R354" s="2">
        <v>57.96</v>
      </c>
      <c r="S354">
        <v>1</v>
      </c>
      <c r="T354" t="s">
        <v>58</v>
      </c>
      <c r="U354" t="s">
        <v>156</v>
      </c>
      <c r="V354" s="3">
        <v>0.06</v>
      </c>
      <c r="W354" s="2">
        <v>0</v>
      </c>
      <c r="X354">
        <v>0</v>
      </c>
      <c r="Y354" t="s">
        <v>157</v>
      </c>
      <c r="Z354" t="s">
        <v>135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3.48</v>
      </c>
      <c r="AN354" s="2">
        <v>3.48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46062</v>
      </c>
      <c r="B355" t="s">
        <v>48</v>
      </c>
      <c r="C355">
        <v>649163</v>
      </c>
      <c r="D355">
        <v>2026978806</v>
      </c>
      <c r="E355" t="s">
        <v>679</v>
      </c>
      <c r="F355" t="s">
        <v>680</v>
      </c>
      <c r="G355" t="s">
        <v>51</v>
      </c>
      <c r="H355" t="s">
        <v>66</v>
      </c>
      <c r="I355" t="s">
        <v>363</v>
      </c>
      <c r="J355" t="s">
        <v>364</v>
      </c>
      <c r="K355">
        <v>824062</v>
      </c>
      <c r="L355" t="s">
        <v>569</v>
      </c>
      <c r="M355" t="s">
        <v>570</v>
      </c>
      <c r="N355" t="s">
        <v>57</v>
      </c>
      <c r="O355" s="1">
        <v>45695</v>
      </c>
      <c r="Q355" s="1">
        <v>46088</v>
      </c>
      <c r="R355" s="2">
        <v>112.85</v>
      </c>
      <c r="S355">
        <v>1</v>
      </c>
      <c r="T355" t="s">
        <v>58</v>
      </c>
      <c r="U355" t="s">
        <v>156</v>
      </c>
      <c r="V355" s="3">
        <v>0.06</v>
      </c>
      <c r="W355" s="2">
        <v>0</v>
      </c>
      <c r="X355">
        <v>0</v>
      </c>
      <c r="Y355" t="s">
        <v>157</v>
      </c>
      <c r="Z355" t="s">
        <v>135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6.77</v>
      </c>
      <c r="AN355" s="2">
        <v>6.77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46062</v>
      </c>
      <c r="B356" t="s">
        <v>48</v>
      </c>
      <c r="C356">
        <v>649163</v>
      </c>
      <c r="D356">
        <v>2027001807</v>
      </c>
      <c r="E356" t="s">
        <v>557</v>
      </c>
      <c r="F356" t="s">
        <v>190</v>
      </c>
      <c r="G356" t="s">
        <v>51</v>
      </c>
      <c r="H356" t="s">
        <v>274</v>
      </c>
      <c r="I356" t="s">
        <v>363</v>
      </c>
      <c r="J356" t="s">
        <v>364</v>
      </c>
      <c r="K356">
        <v>816021</v>
      </c>
      <c r="L356" t="s">
        <v>275</v>
      </c>
      <c r="M356" t="s">
        <v>276</v>
      </c>
      <c r="N356" t="s">
        <v>57</v>
      </c>
      <c r="O356" s="1">
        <v>45698</v>
      </c>
      <c r="Q356" s="1">
        <v>46091</v>
      </c>
      <c r="R356" s="2">
        <v>53.08</v>
      </c>
      <c r="S356">
        <v>1</v>
      </c>
      <c r="T356" t="s">
        <v>58</v>
      </c>
      <c r="U356" t="s">
        <v>156</v>
      </c>
      <c r="V356" s="3">
        <v>0.06</v>
      </c>
      <c r="W356" s="2">
        <v>0</v>
      </c>
      <c r="X356">
        <v>0</v>
      </c>
      <c r="Y356" t="s">
        <v>157</v>
      </c>
      <c r="Z356" t="s">
        <v>135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3.18</v>
      </c>
      <c r="AN356" s="2">
        <v>3.18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46062</v>
      </c>
      <c r="B357" t="s">
        <v>48</v>
      </c>
      <c r="C357">
        <v>649163</v>
      </c>
      <c r="D357">
        <v>2027014989</v>
      </c>
      <c r="E357" t="s">
        <v>681</v>
      </c>
      <c r="F357" t="s">
        <v>592</v>
      </c>
      <c r="G357" t="s">
        <v>51</v>
      </c>
      <c r="H357" t="s">
        <v>397</v>
      </c>
      <c r="I357" t="s">
        <v>363</v>
      </c>
      <c r="J357" t="s">
        <v>364</v>
      </c>
      <c r="K357">
        <v>673059</v>
      </c>
      <c r="L357" t="s">
        <v>162</v>
      </c>
      <c r="M357" t="s">
        <v>180</v>
      </c>
      <c r="N357" t="s">
        <v>57</v>
      </c>
      <c r="O357" s="1">
        <v>45696</v>
      </c>
      <c r="Q357" s="1">
        <v>46089</v>
      </c>
      <c r="R357" s="2">
        <v>59.58</v>
      </c>
      <c r="S357">
        <v>1</v>
      </c>
      <c r="T357" t="s">
        <v>58</v>
      </c>
      <c r="U357" t="s">
        <v>156</v>
      </c>
      <c r="V357" s="3">
        <v>0.06</v>
      </c>
      <c r="W357" s="2">
        <v>0</v>
      </c>
      <c r="X357">
        <v>0</v>
      </c>
      <c r="Y357" t="s">
        <v>157</v>
      </c>
      <c r="Z357" t="s">
        <v>135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3.57</v>
      </c>
      <c r="AN357" s="2">
        <v>3.57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46062</v>
      </c>
      <c r="B358" t="s">
        <v>48</v>
      </c>
      <c r="C358">
        <v>649163</v>
      </c>
      <c r="D358">
        <v>2027052527</v>
      </c>
      <c r="E358" t="s">
        <v>682</v>
      </c>
      <c r="F358" t="s">
        <v>683</v>
      </c>
      <c r="G358" t="s">
        <v>51</v>
      </c>
      <c r="H358" t="s">
        <v>66</v>
      </c>
      <c r="I358" t="s">
        <v>363</v>
      </c>
      <c r="J358" t="s">
        <v>364</v>
      </c>
      <c r="K358">
        <v>766747</v>
      </c>
      <c r="L358" t="s">
        <v>645</v>
      </c>
      <c r="M358" t="s">
        <v>188</v>
      </c>
      <c r="N358" t="s">
        <v>57</v>
      </c>
      <c r="O358" s="1">
        <v>45699</v>
      </c>
      <c r="Q358" s="1">
        <v>46092</v>
      </c>
      <c r="R358" s="2">
        <v>48.61</v>
      </c>
      <c r="S358">
        <v>1</v>
      </c>
      <c r="T358" t="s">
        <v>58</v>
      </c>
      <c r="U358" t="s">
        <v>156</v>
      </c>
      <c r="V358" s="3">
        <v>0.06</v>
      </c>
      <c r="W358" s="2">
        <v>0</v>
      </c>
      <c r="X358">
        <v>0</v>
      </c>
      <c r="Y358" t="s">
        <v>157</v>
      </c>
      <c r="Z358" t="s">
        <v>135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2.92</v>
      </c>
      <c r="AN358" s="2">
        <v>2.92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46062</v>
      </c>
      <c r="B359" t="s">
        <v>48</v>
      </c>
      <c r="C359">
        <v>649163</v>
      </c>
      <c r="D359">
        <v>2027055699</v>
      </c>
      <c r="E359" t="s">
        <v>684</v>
      </c>
      <c r="F359" t="s">
        <v>685</v>
      </c>
      <c r="G359" t="s">
        <v>51</v>
      </c>
      <c r="H359" t="s">
        <v>274</v>
      </c>
      <c r="I359" t="s">
        <v>363</v>
      </c>
      <c r="J359" t="s">
        <v>364</v>
      </c>
      <c r="K359">
        <v>816021</v>
      </c>
      <c r="L359" t="s">
        <v>275</v>
      </c>
      <c r="M359" t="s">
        <v>276</v>
      </c>
      <c r="N359" t="s">
        <v>57</v>
      </c>
      <c r="O359" s="1">
        <v>45699</v>
      </c>
      <c r="Q359" s="1">
        <v>46092</v>
      </c>
      <c r="R359" s="2">
        <v>53.08</v>
      </c>
      <c r="S359">
        <v>1</v>
      </c>
      <c r="T359" t="s">
        <v>58</v>
      </c>
      <c r="U359" t="s">
        <v>156</v>
      </c>
      <c r="V359" s="3">
        <v>0.06</v>
      </c>
      <c r="W359" s="2">
        <v>0</v>
      </c>
      <c r="X359">
        <v>0</v>
      </c>
      <c r="Y359" t="s">
        <v>157</v>
      </c>
      <c r="Z359" t="s">
        <v>135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3.18</v>
      </c>
      <c r="AN359" s="2">
        <v>3.18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46062</v>
      </c>
      <c r="B360" t="s">
        <v>48</v>
      </c>
      <c r="C360">
        <v>649163</v>
      </c>
      <c r="D360">
        <v>2027059395</v>
      </c>
      <c r="E360" t="s">
        <v>346</v>
      </c>
      <c r="F360" t="s">
        <v>686</v>
      </c>
      <c r="G360" t="s">
        <v>51</v>
      </c>
      <c r="H360" t="s">
        <v>66</v>
      </c>
      <c r="I360" t="s">
        <v>363</v>
      </c>
      <c r="J360" t="s">
        <v>364</v>
      </c>
      <c r="K360">
        <v>824062</v>
      </c>
      <c r="L360" t="s">
        <v>569</v>
      </c>
      <c r="M360" t="s">
        <v>570</v>
      </c>
      <c r="N360" t="s">
        <v>57</v>
      </c>
      <c r="O360" s="1">
        <v>45700</v>
      </c>
      <c r="Q360" s="1">
        <v>46093</v>
      </c>
      <c r="R360" s="2">
        <v>64.760000000000005</v>
      </c>
      <c r="S360">
        <v>1</v>
      </c>
      <c r="T360" t="s">
        <v>58</v>
      </c>
      <c r="U360" t="s">
        <v>156</v>
      </c>
      <c r="V360" s="3">
        <v>0.06</v>
      </c>
      <c r="W360" s="2">
        <v>0</v>
      </c>
      <c r="X360">
        <v>0</v>
      </c>
      <c r="Y360" t="s">
        <v>157</v>
      </c>
      <c r="Z360" t="s">
        <v>135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3.89</v>
      </c>
      <c r="AN360" s="2">
        <v>3.89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46062</v>
      </c>
      <c r="B361" t="s">
        <v>48</v>
      </c>
      <c r="C361">
        <v>649163</v>
      </c>
      <c r="D361">
        <v>2027380470</v>
      </c>
      <c r="E361" t="s">
        <v>687</v>
      </c>
      <c r="F361" t="s">
        <v>688</v>
      </c>
      <c r="G361" t="s">
        <v>51</v>
      </c>
      <c r="H361" t="s">
        <v>66</v>
      </c>
      <c r="I361" t="s">
        <v>363</v>
      </c>
      <c r="J361" t="s">
        <v>364</v>
      </c>
      <c r="K361">
        <v>822733</v>
      </c>
      <c r="L361" t="s">
        <v>442</v>
      </c>
      <c r="M361" t="s">
        <v>443</v>
      </c>
      <c r="N361" t="s">
        <v>57</v>
      </c>
      <c r="O361" s="1">
        <v>45723</v>
      </c>
      <c r="Q361" s="1">
        <v>46088</v>
      </c>
      <c r="R361" s="2">
        <v>60.3</v>
      </c>
      <c r="S361">
        <v>1</v>
      </c>
      <c r="T361" t="s">
        <v>58</v>
      </c>
      <c r="U361" t="s">
        <v>156</v>
      </c>
      <c r="V361" s="4">
        <v>0.375</v>
      </c>
      <c r="W361" s="2">
        <v>0</v>
      </c>
      <c r="X361">
        <v>0</v>
      </c>
      <c r="Y361" t="s">
        <v>60</v>
      </c>
      <c r="Z361" t="s">
        <v>135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22.61</v>
      </c>
      <c r="AN361" s="2">
        <v>22.61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46062</v>
      </c>
      <c r="B362" t="s">
        <v>48</v>
      </c>
      <c r="C362">
        <v>649163</v>
      </c>
      <c r="D362">
        <v>2027482811</v>
      </c>
      <c r="E362" t="s">
        <v>444</v>
      </c>
      <c r="F362" t="s">
        <v>298</v>
      </c>
      <c r="G362" t="s">
        <v>51</v>
      </c>
      <c r="H362" t="s">
        <v>112</v>
      </c>
      <c r="I362" t="s">
        <v>363</v>
      </c>
      <c r="J362" t="s">
        <v>364</v>
      </c>
      <c r="K362">
        <v>651818</v>
      </c>
      <c r="L362" t="s">
        <v>80</v>
      </c>
      <c r="M362" t="s">
        <v>81</v>
      </c>
      <c r="N362" t="s">
        <v>57</v>
      </c>
      <c r="O362" s="1">
        <v>45723</v>
      </c>
      <c r="Q362" s="1">
        <v>46088</v>
      </c>
      <c r="R362" s="2">
        <v>40.1</v>
      </c>
      <c r="S362">
        <v>1</v>
      </c>
      <c r="T362" t="s">
        <v>58</v>
      </c>
      <c r="U362" t="s">
        <v>156</v>
      </c>
      <c r="V362" s="4">
        <v>0.375</v>
      </c>
      <c r="W362" s="2">
        <v>0</v>
      </c>
      <c r="X362">
        <v>0</v>
      </c>
      <c r="Y362" t="s">
        <v>60</v>
      </c>
      <c r="Z362" t="s">
        <v>135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15.04</v>
      </c>
      <c r="AN362" s="2">
        <v>15.04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46062</v>
      </c>
      <c r="B363" t="s">
        <v>48</v>
      </c>
      <c r="C363">
        <v>649163</v>
      </c>
      <c r="D363">
        <v>2027500015</v>
      </c>
      <c r="E363" t="s">
        <v>689</v>
      </c>
      <c r="F363" t="s">
        <v>690</v>
      </c>
      <c r="G363" t="s">
        <v>51</v>
      </c>
      <c r="H363" t="s">
        <v>353</v>
      </c>
      <c r="I363" t="s">
        <v>363</v>
      </c>
      <c r="J363" t="s">
        <v>364</v>
      </c>
      <c r="K363">
        <v>822865</v>
      </c>
      <c r="L363" t="s">
        <v>691</v>
      </c>
      <c r="M363" t="s">
        <v>692</v>
      </c>
      <c r="N363" t="s">
        <v>57</v>
      </c>
      <c r="O363" s="1">
        <v>45718</v>
      </c>
      <c r="Q363" s="1">
        <v>46083</v>
      </c>
      <c r="R363" s="2">
        <v>-36.299999999999997</v>
      </c>
      <c r="S363">
        <v>1</v>
      </c>
      <c r="T363" t="s">
        <v>58</v>
      </c>
      <c r="U363" t="s">
        <v>156</v>
      </c>
      <c r="V363" s="4">
        <v>0.375</v>
      </c>
      <c r="W363" s="2">
        <v>0</v>
      </c>
      <c r="X363">
        <v>-1</v>
      </c>
      <c r="Y363" t="s">
        <v>60</v>
      </c>
      <c r="Z363" t="s">
        <v>135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-13.61</v>
      </c>
      <c r="AN363" s="2">
        <v>-13.61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46062</v>
      </c>
      <c r="B364" t="s">
        <v>48</v>
      </c>
      <c r="C364">
        <v>649163</v>
      </c>
      <c r="D364">
        <v>2027545460</v>
      </c>
      <c r="E364" t="s">
        <v>693</v>
      </c>
      <c r="F364" t="s">
        <v>694</v>
      </c>
      <c r="G364" t="s">
        <v>51</v>
      </c>
      <c r="H364" t="s">
        <v>66</v>
      </c>
      <c r="I364" t="s">
        <v>363</v>
      </c>
      <c r="J364" t="s">
        <v>364</v>
      </c>
      <c r="K364">
        <v>651818</v>
      </c>
      <c r="L364" t="s">
        <v>80</v>
      </c>
      <c r="M364" t="s">
        <v>81</v>
      </c>
      <c r="N364" t="s">
        <v>57</v>
      </c>
      <c r="O364" s="1">
        <v>45723</v>
      </c>
      <c r="Q364" s="1">
        <v>46088</v>
      </c>
      <c r="R364" s="2">
        <v>48.61</v>
      </c>
      <c r="S364">
        <v>1</v>
      </c>
      <c r="T364" t="s">
        <v>58</v>
      </c>
      <c r="U364" t="s">
        <v>156</v>
      </c>
      <c r="V364" s="4">
        <v>0.375</v>
      </c>
      <c r="W364" s="2">
        <v>0</v>
      </c>
      <c r="X364">
        <v>0</v>
      </c>
      <c r="Y364" t="s">
        <v>60</v>
      </c>
      <c r="Z364" t="s">
        <v>135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18.23</v>
      </c>
      <c r="AN364" s="2">
        <v>18.23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46062</v>
      </c>
      <c r="B365" t="s">
        <v>48</v>
      </c>
      <c r="C365">
        <v>649163</v>
      </c>
      <c r="D365">
        <v>2027573959</v>
      </c>
      <c r="E365" t="s">
        <v>695</v>
      </c>
      <c r="F365" t="s">
        <v>174</v>
      </c>
      <c r="G365" t="s">
        <v>51</v>
      </c>
      <c r="H365" t="s">
        <v>209</v>
      </c>
      <c r="I365" t="s">
        <v>363</v>
      </c>
      <c r="J365" t="s">
        <v>364</v>
      </c>
      <c r="K365">
        <v>673059</v>
      </c>
      <c r="L365" t="s">
        <v>162</v>
      </c>
      <c r="M365" t="s">
        <v>180</v>
      </c>
      <c r="N365" t="s">
        <v>57</v>
      </c>
      <c r="O365" s="1">
        <v>45757</v>
      </c>
      <c r="Q365" s="1">
        <v>46091</v>
      </c>
      <c r="R365" s="2">
        <v>23.34</v>
      </c>
      <c r="S365">
        <v>1</v>
      </c>
      <c r="T365" t="s">
        <v>58</v>
      </c>
      <c r="U365" t="s">
        <v>156</v>
      </c>
      <c r="V365" s="4">
        <v>0.375</v>
      </c>
      <c r="W365" s="2">
        <v>0</v>
      </c>
      <c r="X365">
        <v>0</v>
      </c>
      <c r="Y365" t="s">
        <v>60</v>
      </c>
      <c r="Z365" t="s">
        <v>135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8.75</v>
      </c>
      <c r="AN365" s="2">
        <v>8.75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46062</v>
      </c>
      <c r="B366" t="s">
        <v>48</v>
      </c>
      <c r="C366">
        <v>649163</v>
      </c>
      <c r="D366">
        <v>2027706491</v>
      </c>
      <c r="E366" t="s">
        <v>696</v>
      </c>
      <c r="F366" t="s">
        <v>92</v>
      </c>
      <c r="G366" t="s">
        <v>51</v>
      </c>
      <c r="H366" t="s">
        <v>66</v>
      </c>
      <c r="I366" t="s">
        <v>363</v>
      </c>
      <c r="J366" t="s">
        <v>364</v>
      </c>
      <c r="K366">
        <v>768887</v>
      </c>
      <c r="L366" t="s">
        <v>295</v>
      </c>
      <c r="M366" t="s">
        <v>296</v>
      </c>
      <c r="N366" t="s">
        <v>57</v>
      </c>
      <c r="O366" s="1">
        <v>45727</v>
      </c>
      <c r="Q366" s="1">
        <v>46092</v>
      </c>
      <c r="R366" s="2">
        <v>103.42</v>
      </c>
      <c r="S366">
        <v>1</v>
      </c>
      <c r="T366" t="s">
        <v>58</v>
      </c>
      <c r="U366" t="s">
        <v>156</v>
      </c>
      <c r="V366" s="4">
        <v>0.375</v>
      </c>
      <c r="W366" s="2">
        <v>0</v>
      </c>
      <c r="X366">
        <v>0</v>
      </c>
      <c r="Y366" t="s">
        <v>60</v>
      </c>
      <c r="Z366" t="s">
        <v>135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38.78</v>
      </c>
      <c r="AN366" s="2">
        <v>38.78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46062</v>
      </c>
      <c r="B367" t="s">
        <v>48</v>
      </c>
      <c r="C367">
        <v>649163</v>
      </c>
      <c r="D367">
        <v>2027729456</v>
      </c>
      <c r="E367" t="s">
        <v>697</v>
      </c>
      <c r="F367" t="s">
        <v>636</v>
      </c>
      <c r="G367" t="s">
        <v>51</v>
      </c>
      <c r="H367" t="s">
        <v>66</v>
      </c>
      <c r="I367" t="s">
        <v>363</v>
      </c>
      <c r="J367" t="s">
        <v>364</v>
      </c>
      <c r="K367">
        <v>812782</v>
      </c>
      <c r="L367" t="s">
        <v>325</v>
      </c>
      <c r="M367" t="s">
        <v>326</v>
      </c>
      <c r="N367" t="s">
        <v>57</v>
      </c>
      <c r="O367" s="1">
        <v>45728</v>
      </c>
      <c r="Q367" s="1">
        <v>46093</v>
      </c>
      <c r="R367" s="2">
        <v>150.44999999999999</v>
      </c>
      <c r="S367">
        <v>1</v>
      </c>
      <c r="T367" t="s">
        <v>58</v>
      </c>
      <c r="U367" t="s">
        <v>156</v>
      </c>
      <c r="V367" s="4">
        <v>0.375</v>
      </c>
      <c r="W367" s="2">
        <v>0</v>
      </c>
      <c r="X367">
        <v>0</v>
      </c>
      <c r="Y367" t="s">
        <v>60</v>
      </c>
      <c r="Z367" t="s">
        <v>135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56.42</v>
      </c>
      <c r="AN367" s="2">
        <v>56.42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46062</v>
      </c>
      <c r="B368" t="s">
        <v>48</v>
      </c>
      <c r="C368">
        <v>649163</v>
      </c>
      <c r="D368">
        <v>2027767676</v>
      </c>
      <c r="E368" t="s">
        <v>698</v>
      </c>
      <c r="F368" t="s">
        <v>668</v>
      </c>
      <c r="G368" t="s">
        <v>51</v>
      </c>
      <c r="H368" t="s">
        <v>333</v>
      </c>
      <c r="I368" t="s">
        <v>363</v>
      </c>
      <c r="J368" t="s">
        <v>364</v>
      </c>
      <c r="K368">
        <v>764123</v>
      </c>
      <c r="L368" t="s">
        <v>292</v>
      </c>
      <c r="M368" t="s">
        <v>293</v>
      </c>
      <c r="N368" t="s">
        <v>57</v>
      </c>
      <c r="O368" s="1">
        <v>45729</v>
      </c>
      <c r="Q368" s="1">
        <v>46094</v>
      </c>
      <c r="R368" s="2">
        <v>66.650000000000006</v>
      </c>
      <c r="S368">
        <v>1</v>
      </c>
      <c r="T368" t="s">
        <v>58</v>
      </c>
      <c r="U368" t="s">
        <v>156</v>
      </c>
      <c r="V368" s="4">
        <v>0.375</v>
      </c>
      <c r="W368" s="2">
        <v>0</v>
      </c>
      <c r="X368">
        <v>0</v>
      </c>
      <c r="Y368" t="s">
        <v>60</v>
      </c>
      <c r="Z368" t="s">
        <v>135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24.99</v>
      </c>
      <c r="AN368" s="2">
        <v>24.99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46062</v>
      </c>
      <c r="B369" t="s">
        <v>48</v>
      </c>
      <c r="C369">
        <v>649163</v>
      </c>
      <c r="D369">
        <v>2027787691</v>
      </c>
      <c r="E369" t="s">
        <v>699</v>
      </c>
      <c r="F369" t="s">
        <v>700</v>
      </c>
      <c r="G369" t="s">
        <v>51</v>
      </c>
      <c r="H369" t="s">
        <v>90</v>
      </c>
      <c r="I369" t="s">
        <v>363</v>
      </c>
      <c r="J369" t="s">
        <v>364</v>
      </c>
      <c r="K369">
        <v>839474</v>
      </c>
      <c r="L369" t="s">
        <v>334</v>
      </c>
      <c r="M369" t="s">
        <v>335</v>
      </c>
      <c r="N369" t="s">
        <v>144</v>
      </c>
      <c r="O369" s="1">
        <v>45748</v>
      </c>
      <c r="P369" s="1">
        <v>46062</v>
      </c>
      <c r="Q369" s="1">
        <v>46082</v>
      </c>
      <c r="R369" s="2">
        <v>-104.53</v>
      </c>
      <c r="S369">
        <v>1</v>
      </c>
      <c r="T369" t="s">
        <v>58</v>
      </c>
      <c r="U369" t="s">
        <v>156</v>
      </c>
      <c r="V369" s="4">
        <v>0.375</v>
      </c>
      <c r="W369" s="2">
        <v>0</v>
      </c>
      <c r="X369">
        <v>-1</v>
      </c>
      <c r="Y369" t="s">
        <v>60</v>
      </c>
      <c r="Z369" t="s">
        <v>135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-39.200000000000003</v>
      </c>
      <c r="AN369" s="2">
        <v>-39.200000000000003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46062</v>
      </c>
      <c r="B370" t="s">
        <v>48</v>
      </c>
      <c r="C370">
        <v>649163</v>
      </c>
      <c r="D370">
        <v>2028174265</v>
      </c>
      <c r="E370" t="s">
        <v>454</v>
      </c>
      <c r="F370" t="s">
        <v>701</v>
      </c>
      <c r="G370" t="s">
        <v>51</v>
      </c>
      <c r="H370" t="s">
        <v>66</v>
      </c>
      <c r="I370" t="s">
        <v>363</v>
      </c>
      <c r="J370" t="s">
        <v>364</v>
      </c>
      <c r="K370">
        <v>843573</v>
      </c>
      <c r="L370" t="s">
        <v>365</v>
      </c>
      <c r="M370" t="s">
        <v>366</v>
      </c>
      <c r="N370" t="s">
        <v>57</v>
      </c>
      <c r="O370" s="1">
        <v>45758</v>
      </c>
      <c r="Q370" s="1">
        <v>46092</v>
      </c>
      <c r="R370" s="2">
        <v>32.67</v>
      </c>
      <c r="S370">
        <v>1</v>
      </c>
      <c r="T370" t="s">
        <v>58</v>
      </c>
      <c r="U370" t="s">
        <v>156</v>
      </c>
      <c r="V370" s="4">
        <v>0.375</v>
      </c>
      <c r="W370" s="2">
        <v>0</v>
      </c>
      <c r="X370">
        <v>0</v>
      </c>
      <c r="Y370" t="s">
        <v>60</v>
      </c>
      <c r="Z370" t="s">
        <v>135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12.25</v>
      </c>
      <c r="AN370" s="2">
        <v>12.25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46062</v>
      </c>
      <c r="B371" t="s">
        <v>48</v>
      </c>
      <c r="C371">
        <v>649163</v>
      </c>
      <c r="D371">
        <v>2028271608</v>
      </c>
      <c r="E371" t="s">
        <v>702</v>
      </c>
      <c r="F371" t="s">
        <v>703</v>
      </c>
      <c r="G371" t="s">
        <v>51</v>
      </c>
      <c r="H371" t="s">
        <v>66</v>
      </c>
      <c r="I371" t="s">
        <v>363</v>
      </c>
      <c r="J371" t="s">
        <v>364</v>
      </c>
      <c r="K371">
        <v>856824</v>
      </c>
      <c r="L371" t="s">
        <v>126</v>
      </c>
      <c r="M371" t="s">
        <v>127</v>
      </c>
      <c r="N371" t="s">
        <v>57</v>
      </c>
      <c r="O371" s="1">
        <v>45755</v>
      </c>
      <c r="Q371" s="1">
        <v>46089</v>
      </c>
      <c r="R371" s="2">
        <v>81.94</v>
      </c>
      <c r="S371">
        <v>1</v>
      </c>
      <c r="T371" t="s">
        <v>58</v>
      </c>
      <c r="U371" t="s">
        <v>156</v>
      </c>
      <c r="V371" s="4">
        <v>0.375</v>
      </c>
      <c r="W371" s="2">
        <v>0</v>
      </c>
      <c r="X371">
        <v>0</v>
      </c>
      <c r="Y371" t="s">
        <v>60</v>
      </c>
      <c r="Z371" t="s">
        <v>135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30.73</v>
      </c>
      <c r="AN371" s="2">
        <v>30.73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46062</v>
      </c>
      <c r="B372" t="s">
        <v>48</v>
      </c>
      <c r="C372">
        <v>649163</v>
      </c>
      <c r="D372">
        <v>2028281047</v>
      </c>
      <c r="E372" t="s">
        <v>704</v>
      </c>
      <c r="F372" t="s">
        <v>705</v>
      </c>
      <c r="G372" t="s">
        <v>51</v>
      </c>
      <c r="H372" t="s">
        <v>66</v>
      </c>
      <c r="I372" t="s">
        <v>363</v>
      </c>
      <c r="J372" t="s">
        <v>364</v>
      </c>
      <c r="K372">
        <v>806645</v>
      </c>
      <c r="L372" t="s">
        <v>344</v>
      </c>
      <c r="M372" t="s">
        <v>345</v>
      </c>
      <c r="N372" t="s">
        <v>57</v>
      </c>
      <c r="O372" s="1">
        <v>45755</v>
      </c>
      <c r="Q372" s="1">
        <v>46089</v>
      </c>
      <c r="R372" s="2">
        <v>59.51</v>
      </c>
      <c r="S372">
        <v>1</v>
      </c>
      <c r="T372" t="s">
        <v>58</v>
      </c>
      <c r="U372" t="s">
        <v>156</v>
      </c>
      <c r="V372" s="4">
        <v>0.375</v>
      </c>
      <c r="W372" s="2">
        <v>0</v>
      </c>
      <c r="X372">
        <v>0</v>
      </c>
      <c r="Y372" t="s">
        <v>60</v>
      </c>
      <c r="Z372" t="s">
        <v>135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22.32</v>
      </c>
      <c r="AN372" s="2">
        <v>22.32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46062</v>
      </c>
      <c r="B373" t="s">
        <v>48</v>
      </c>
      <c r="C373">
        <v>649163</v>
      </c>
      <c r="D373">
        <v>2028281146</v>
      </c>
      <c r="E373" t="s">
        <v>706</v>
      </c>
      <c r="F373" t="s">
        <v>155</v>
      </c>
      <c r="G373" t="s">
        <v>51</v>
      </c>
      <c r="H373" t="s">
        <v>274</v>
      </c>
      <c r="I373" t="s">
        <v>363</v>
      </c>
      <c r="J373" t="s">
        <v>364</v>
      </c>
      <c r="K373">
        <v>816021</v>
      </c>
      <c r="L373" t="s">
        <v>275</v>
      </c>
      <c r="M373" t="s">
        <v>276</v>
      </c>
      <c r="N373" t="s">
        <v>57</v>
      </c>
      <c r="O373" s="1">
        <v>45755</v>
      </c>
      <c r="Q373" s="1">
        <v>46089</v>
      </c>
      <c r="R373" s="2">
        <v>120.25</v>
      </c>
      <c r="S373">
        <v>1</v>
      </c>
      <c r="T373" t="s">
        <v>58</v>
      </c>
      <c r="U373" t="s">
        <v>156</v>
      </c>
      <c r="V373" s="4">
        <v>0.375</v>
      </c>
      <c r="W373" s="2">
        <v>0</v>
      </c>
      <c r="X373">
        <v>0</v>
      </c>
      <c r="Y373" t="s">
        <v>60</v>
      </c>
      <c r="Z373" t="s">
        <v>135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45.09</v>
      </c>
      <c r="AN373" s="2">
        <v>45.09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46062</v>
      </c>
      <c r="B374" t="s">
        <v>48</v>
      </c>
      <c r="C374">
        <v>649163</v>
      </c>
      <c r="D374">
        <v>2028297703</v>
      </c>
      <c r="E374" t="s">
        <v>707</v>
      </c>
      <c r="F374" t="s">
        <v>490</v>
      </c>
      <c r="G374" t="s">
        <v>51</v>
      </c>
      <c r="H374" t="s">
        <v>397</v>
      </c>
      <c r="I374" t="s">
        <v>363</v>
      </c>
      <c r="J374" t="s">
        <v>364</v>
      </c>
      <c r="K374">
        <v>822865</v>
      </c>
      <c r="L374" t="s">
        <v>691</v>
      </c>
      <c r="M374" t="s">
        <v>692</v>
      </c>
      <c r="N374" t="s">
        <v>57</v>
      </c>
      <c r="O374" s="1">
        <v>45756</v>
      </c>
      <c r="Q374" s="1">
        <v>46090</v>
      </c>
      <c r="R374" s="2">
        <v>18.62</v>
      </c>
      <c r="S374">
        <v>1</v>
      </c>
      <c r="T374" t="s">
        <v>58</v>
      </c>
      <c r="U374" t="s">
        <v>156</v>
      </c>
      <c r="V374" s="4">
        <v>0.375</v>
      </c>
      <c r="W374" s="2">
        <v>0</v>
      </c>
      <c r="X374">
        <v>0</v>
      </c>
      <c r="Y374" t="s">
        <v>60</v>
      </c>
      <c r="Z374" t="s">
        <v>135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6.98</v>
      </c>
      <c r="AN374" s="2">
        <v>6.98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46062</v>
      </c>
      <c r="B375" t="s">
        <v>48</v>
      </c>
      <c r="C375">
        <v>649163</v>
      </c>
      <c r="D375">
        <v>2028367120</v>
      </c>
      <c r="E375" t="s">
        <v>708</v>
      </c>
      <c r="F375" t="s">
        <v>709</v>
      </c>
      <c r="G375" t="s">
        <v>51</v>
      </c>
      <c r="H375" t="s">
        <v>397</v>
      </c>
      <c r="I375" t="s">
        <v>363</v>
      </c>
      <c r="J375" t="s">
        <v>364</v>
      </c>
      <c r="K375">
        <v>673059</v>
      </c>
      <c r="L375" t="s">
        <v>162</v>
      </c>
      <c r="M375" t="s">
        <v>180</v>
      </c>
      <c r="N375" t="s">
        <v>57</v>
      </c>
      <c r="O375" s="1">
        <v>45759</v>
      </c>
      <c r="Q375" s="1">
        <v>46093</v>
      </c>
      <c r="R375" s="2">
        <v>18.62</v>
      </c>
      <c r="S375">
        <v>1</v>
      </c>
      <c r="T375" t="s">
        <v>58</v>
      </c>
      <c r="U375" t="s">
        <v>156</v>
      </c>
      <c r="V375" s="4">
        <v>0.375</v>
      </c>
      <c r="W375" s="2">
        <v>0</v>
      </c>
      <c r="X375">
        <v>0</v>
      </c>
      <c r="Y375" t="s">
        <v>60</v>
      </c>
      <c r="Z375" t="s">
        <v>135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6.98</v>
      </c>
      <c r="AN375" s="2">
        <v>6.98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46062</v>
      </c>
      <c r="B376" t="s">
        <v>48</v>
      </c>
      <c r="C376">
        <v>649163</v>
      </c>
      <c r="D376">
        <v>2028379893</v>
      </c>
      <c r="E376" t="s">
        <v>710</v>
      </c>
      <c r="F376" t="s">
        <v>711</v>
      </c>
      <c r="G376" t="s">
        <v>51</v>
      </c>
      <c r="H376" t="s">
        <v>90</v>
      </c>
      <c r="I376" t="s">
        <v>363</v>
      </c>
      <c r="J376" t="s">
        <v>364</v>
      </c>
      <c r="K376">
        <v>822865</v>
      </c>
      <c r="L376" t="s">
        <v>691</v>
      </c>
      <c r="M376" t="s">
        <v>692</v>
      </c>
      <c r="N376" t="s">
        <v>57</v>
      </c>
      <c r="O376" s="1">
        <v>45760</v>
      </c>
      <c r="Q376" s="1">
        <v>46094</v>
      </c>
      <c r="R376" s="2">
        <v>27.95</v>
      </c>
      <c r="S376">
        <v>1</v>
      </c>
      <c r="T376" t="s">
        <v>58</v>
      </c>
      <c r="U376" t="s">
        <v>156</v>
      </c>
      <c r="V376" s="4">
        <v>0.375</v>
      </c>
      <c r="W376" s="2">
        <v>0</v>
      </c>
      <c r="X376">
        <v>0</v>
      </c>
      <c r="Y376" t="s">
        <v>60</v>
      </c>
      <c r="Z376" t="s">
        <v>135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10.48</v>
      </c>
      <c r="AN376" s="2">
        <v>10.48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46062</v>
      </c>
      <c r="B377" t="s">
        <v>48</v>
      </c>
      <c r="C377">
        <v>649163</v>
      </c>
      <c r="D377">
        <v>2028520982</v>
      </c>
      <c r="E377" t="s">
        <v>531</v>
      </c>
      <c r="F377" t="s">
        <v>712</v>
      </c>
      <c r="G377" t="s">
        <v>51</v>
      </c>
      <c r="H377" t="s">
        <v>66</v>
      </c>
      <c r="I377" t="s">
        <v>363</v>
      </c>
      <c r="J377" t="s">
        <v>364</v>
      </c>
      <c r="K377">
        <v>824062</v>
      </c>
      <c r="L377" t="s">
        <v>569</v>
      </c>
      <c r="M377" t="s">
        <v>570</v>
      </c>
      <c r="N377" t="s">
        <v>144</v>
      </c>
      <c r="O377" s="1">
        <v>45778</v>
      </c>
      <c r="P377" s="1">
        <v>46062</v>
      </c>
      <c r="Q377" s="1">
        <v>46082</v>
      </c>
      <c r="R377" s="2">
        <v>-64.790000000000006</v>
      </c>
      <c r="S377">
        <v>1</v>
      </c>
      <c r="T377" t="s">
        <v>58</v>
      </c>
      <c r="U377" t="s">
        <v>156</v>
      </c>
      <c r="V377" s="4">
        <v>0.375</v>
      </c>
      <c r="W377" s="2">
        <v>0</v>
      </c>
      <c r="X377">
        <v>-1</v>
      </c>
      <c r="Y377" t="s">
        <v>60</v>
      </c>
      <c r="Z377" t="s">
        <v>135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-24.3</v>
      </c>
      <c r="AN377" s="2">
        <v>-24.3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46062</v>
      </c>
      <c r="B378" t="s">
        <v>48</v>
      </c>
      <c r="C378">
        <v>649163</v>
      </c>
      <c r="D378">
        <v>2028683414</v>
      </c>
      <c r="E378" t="s">
        <v>713</v>
      </c>
      <c r="F378" t="s">
        <v>713</v>
      </c>
      <c r="G378" t="s">
        <v>51</v>
      </c>
      <c r="H378" t="s">
        <v>66</v>
      </c>
      <c r="I378" t="s">
        <v>363</v>
      </c>
      <c r="J378" t="s">
        <v>364</v>
      </c>
      <c r="K378">
        <v>824076</v>
      </c>
      <c r="L378" t="s">
        <v>340</v>
      </c>
      <c r="M378" t="s">
        <v>341</v>
      </c>
      <c r="N378" t="s">
        <v>57</v>
      </c>
      <c r="O378" s="1">
        <v>45778</v>
      </c>
      <c r="Q378" s="1">
        <v>46082</v>
      </c>
      <c r="R378" s="2">
        <v>176.99</v>
      </c>
      <c r="S378">
        <v>1</v>
      </c>
      <c r="T378" t="s">
        <v>58</v>
      </c>
      <c r="U378" t="s">
        <v>156</v>
      </c>
      <c r="V378" s="4">
        <v>0.375</v>
      </c>
      <c r="W378" s="2">
        <v>0</v>
      </c>
      <c r="X378">
        <v>0</v>
      </c>
      <c r="Y378" t="s">
        <v>60</v>
      </c>
      <c r="Z378" t="s">
        <v>135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66.37</v>
      </c>
      <c r="AN378" s="2">
        <v>66.37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46062</v>
      </c>
      <c r="B379" t="s">
        <v>48</v>
      </c>
      <c r="C379">
        <v>649163</v>
      </c>
      <c r="D379">
        <v>2028775018</v>
      </c>
      <c r="E379" t="s">
        <v>714</v>
      </c>
      <c r="F379" t="s">
        <v>468</v>
      </c>
      <c r="G379" t="s">
        <v>51</v>
      </c>
      <c r="H379" t="s">
        <v>66</v>
      </c>
      <c r="I379" t="s">
        <v>363</v>
      </c>
      <c r="J379" t="s">
        <v>364</v>
      </c>
      <c r="K379">
        <v>856824</v>
      </c>
      <c r="L379" t="s">
        <v>126</v>
      </c>
      <c r="M379" t="s">
        <v>127</v>
      </c>
      <c r="N379" t="s">
        <v>57</v>
      </c>
      <c r="O379" s="1">
        <v>45783</v>
      </c>
      <c r="Q379" s="1">
        <v>46087</v>
      </c>
      <c r="R379" s="2">
        <v>22.52</v>
      </c>
      <c r="S379">
        <v>1</v>
      </c>
      <c r="T379" t="s">
        <v>58</v>
      </c>
      <c r="U379" t="s">
        <v>156</v>
      </c>
      <c r="V379" s="4">
        <v>0.375</v>
      </c>
      <c r="W379" s="2">
        <v>0</v>
      </c>
      <c r="X379">
        <v>0</v>
      </c>
      <c r="Y379" t="s">
        <v>60</v>
      </c>
      <c r="Z379" t="s">
        <v>135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8.44</v>
      </c>
      <c r="AN379" s="2">
        <v>8.44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46062</v>
      </c>
      <c r="B380" t="s">
        <v>48</v>
      </c>
      <c r="C380">
        <v>649163</v>
      </c>
      <c r="D380">
        <v>2028775533</v>
      </c>
      <c r="E380" t="s">
        <v>715</v>
      </c>
      <c r="F380" t="s">
        <v>716</v>
      </c>
      <c r="G380" t="s">
        <v>51</v>
      </c>
      <c r="H380" t="s">
        <v>66</v>
      </c>
      <c r="I380" t="s">
        <v>363</v>
      </c>
      <c r="J380" t="s">
        <v>364</v>
      </c>
      <c r="K380">
        <v>856824</v>
      </c>
      <c r="L380" t="s">
        <v>126</v>
      </c>
      <c r="M380" t="s">
        <v>127</v>
      </c>
      <c r="N380" t="s">
        <v>57</v>
      </c>
      <c r="O380" s="1">
        <v>45783</v>
      </c>
      <c r="Q380" s="1">
        <v>46087</v>
      </c>
      <c r="R380" s="2">
        <v>22.52</v>
      </c>
      <c r="S380">
        <v>1</v>
      </c>
      <c r="T380" t="s">
        <v>58</v>
      </c>
      <c r="U380" t="s">
        <v>156</v>
      </c>
      <c r="V380" s="4">
        <v>0.375</v>
      </c>
      <c r="W380" s="2">
        <v>0</v>
      </c>
      <c r="X380">
        <v>0</v>
      </c>
      <c r="Y380" t="s">
        <v>60</v>
      </c>
      <c r="Z380" t="s">
        <v>135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8.44</v>
      </c>
      <c r="AN380" s="2">
        <v>8.44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46062</v>
      </c>
      <c r="B381" t="s">
        <v>48</v>
      </c>
      <c r="C381">
        <v>649163</v>
      </c>
      <c r="D381">
        <v>2028801870</v>
      </c>
      <c r="E381" t="s">
        <v>717</v>
      </c>
      <c r="F381" t="s">
        <v>498</v>
      </c>
      <c r="G381" t="s">
        <v>51</v>
      </c>
      <c r="H381" t="s">
        <v>66</v>
      </c>
      <c r="I381" t="s">
        <v>363</v>
      </c>
      <c r="J381" t="s">
        <v>364</v>
      </c>
      <c r="K381">
        <v>824076</v>
      </c>
      <c r="L381" t="s">
        <v>340</v>
      </c>
      <c r="M381" t="s">
        <v>341</v>
      </c>
      <c r="N381" t="s">
        <v>57</v>
      </c>
      <c r="O381" s="1">
        <v>45784</v>
      </c>
      <c r="Q381" s="1">
        <v>46088</v>
      </c>
      <c r="R381" s="2">
        <v>38.44</v>
      </c>
      <c r="S381">
        <v>1</v>
      </c>
      <c r="T381" t="s">
        <v>58</v>
      </c>
      <c r="U381" t="s">
        <v>156</v>
      </c>
      <c r="V381" s="4">
        <v>0.375</v>
      </c>
      <c r="W381" s="2">
        <v>0</v>
      </c>
      <c r="X381">
        <v>0</v>
      </c>
      <c r="Y381" t="s">
        <v>60</v>
      </c>
      <c r="Z381" t="s">
        <v>135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14.42</v>
      </c>
      <c r="AN381" s="2">
        <v>14.42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46062</v>
      </c>
      <c r="B382" t="s">
        <v>48</v>
      </c>
      <c r="C382">
        <v>649163</v>
      </c>
      <c r="D382">
        <v>2028803827</v>
      </c>
      <c r="E382" t="s">
        <v>718</v>
      </c>
      <c r="F382" t="s">
        <v>719</v>
      </c>
      <c r="G382" t="s">
        <v>51</v>
      </c>
      <c r="H382" t="s">
        <v>66</v>
      </c>
      <c r="I382" t="s">
        <v>363</v>
      </c>
      <c r="J382" t="s">
        <v>364</v>
      </c>
      <c r="K382">
        <v>669316</v>
      </c>
      <c r="L382" t="s">
        <v>720</v>
      </c>
      <c r="M382" t="s">
        <v>252</v>
      </c>
      <c r="N382" t="s">
        <v>57</v>
      </c>
      <c r="O382" s="1">
        <v>45809</v>
      </c>
      <c r="Q382" s="1">
        <v>46082</v>
      </c>
      <c r="R382" s="2">
        <v>51.86</v>
      </c>
      <c r="S382">
        <v>1</v>
      </c>
      <c r="T382" t="s">
        <v>58</v>
      </c>
      <c r="U382" t="s">
        <v>156</v>
      </c>
      <c r="V382" s="4">
        <v>0.375</v>
      </c>
      <c r="W382" s="2">
        <v>0</v>
      </c>
      <c r="X382">
        <v>0</v>
      </c>
      <c r="Y382" t="s">
        <v>60</v>
      </c>
      <c r="Z382" t="s">
        <v>135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19.45</v>
      </c>
      <c r="AN382" s="2">
        <v>19.45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46062</v>
      </c>
      <c r="B383" t="s">
        <v>48</v>
      </c>
      <c r="C383">
        <v>649163</v>
      </c>
      <c r="D383">
        <v>2028819906</v>
      </c>
      <c r="E383" t="s">
        <v>721</v>
      </c>
      <c r="F383" t="s">
        <v>722</v>
      </c>
      <c r="G383" t="s">
        <v>51</v>
      </c>
      <c r="H383" t="s">
        <v>52</v>
      </c>
      <c r="I383" t="s">
        <v>363</v>
      </c>
      <c r="J383" t="s">
        <v>364</v>
      </c>
      <c r="K383">
        <v>650218</v>
      </c>
      <c r="L383" t="s">
        <v>246</v>
      </c>
      <c r="M383" t="s">
        <v>195</v>
      </c>
      <c r="N383" t="s">
        <v>57</v>
      </c>
      <c r="O383" s="1">
        <v>45785</v>
      </c>
      <c r="Q383" s="1">
        <v>46089</v>
      </c>
      <c r="R383" s="2">
        <v>32.979999999999997</v>
      </c>
      <c r="S383">
        <v>1</v>
      </c>
      <c r="T383" t="s">
        <v>58</v>
      </c>
      <c r="U383" t="s">
        <v>156</v>
      </c>
      <c r="V383" s="4">
        <v>0.375</v>
      </c>
      <c r="W383" s="2">
        <v>0</v>
      </c>
      <c r="X383">
        <v>0</v>
      </c>
      <c r="Y383" t="s">
        <v>60</v>
      </c>
      <c r="Z383" t="s">
        <v>135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12.37</v>
      </c>
      <c r="AN383" s="2">
        <v>12.37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46062</v>
      </c>
      <c r="B384" t="s">
        <v>48</v>
      </c>
      <c r="C384">
        <v>649163</v>
      </c>
      <c r="D384">
        <v>2028831848</v>
      </c>
      <c r="E384" t="s">
        <v>723</v>
      </c>
      <c r="F384" t="s">
        <v>724</v>
      </c>
      <c r="G384" t="s">
        <v>51</v>
      </c>
      <c r="H384" t="s">
        <v>170</v>
      </c>
      <c r="I384" t="s">
        <v>363</v>
      </c>
      <c r="J384" t="s">
        <v>364</v>
      </c>
      <c r="K384">
        <v>856824</v>
      </c>
      <c r="L384" t="s">
        <v>126</v>
      </c>
      <c r="M384" t="s">
        <v>127</v>
      </c>
      <c r="N384" t="s">
        <v>57</v>
      </c>
      <c r="O384" s="1">
        <v>45786</v>
      </c>
      <c r="Q384" s="1">
        <v>46090</v>
      </c>
      <c r="R384" s="2">
        <v>43.68</v>
      </c>
      <c r="S384">
        <v>1</v>
      </c>
      <c r="T384" t="s">
        <v>58</v>
      </c>
      <c r="U384" t="s">
        <v>156</v>
      </c>
      <c r="V384" s="4">
        <v>0.375</v>
      </c>
      <c r="W384" s="2">
        <v>0</v>
      </c>
      <c r="X384">
        <v>0</v>
      </c>
      <c r="Y384" t="s">
        <v>60</v>
      </c>
      <c r="Z384" t="s">
        <v>135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16.38</v>
      </c>
      <c r="AN384" s="2">
        <v>16.38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46062</v>
      </c>
      <c r="B385" t="s">
        <v>48</v>
      </c>
      <c r="C385">
        <v>649163</v>
      </c>
      <c r="D385">
        <v>2028878699</v>
      </c>
      <c r="E385" t="s">
        <v>725</v>
      </c>
      <c r="F385" t="s">
        <v>726</v>
      </c>
      <c r="G385" t="s">
        <v>51</v>
      </c>
      <c r="H385" t="s">
        <v>170</v>
      </c>
      <c r="I385" t="s">
        <v>363</v>
      </c>
      <c r="J385" t="s">
        <v>364</v>
      </c>
      <c r="K385">
        <v>806645</v>
      </c>
      <c r="L385" t="s">
        <v>344</v>
      </c>
      <c r="M385" t="s">
        <v>345</v>
      </c>
      <c r="N385" t="s">
        <v>57</v>
      </c>
      <c r="O385" s="1">
        <v>45788</v>
      </c>
      <c r="Q385" s="1">
        <v>46092</v>
      </c>
      <c r="R385" s="2">
        <v>37.5</v>
      </c>
      <c r="S385">
        <v>1</v>
      </c>
      <c r="T385" t="s">
        <v>58</v>
      </c>
      <c r="U385" t="s">
        <v>156</v>
      </c>
      <c r="V385" s="4">
        <v>0.375</v>
      </c>
      <c r="W385" s="2">
        <v>0</v>
      </c>
      <c r="X385">
        <v>0</v>
      </c>
      <c r="Y385" t="s">
        <v>60</v>
      </c>
      <c r="Z385" t="s">
        <v>135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14.06</v>
      </c>
      <c r="AN385" s="2">
        <v>14.06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46062</v>
      </c>
      <c r="B386" t="s">
        <v>48</v>
      </c>
      <c r="C386">
        <v>649163</v>
      </c>
      <c r="D386">
        <v>2028960908</v>
      </c>
      <c r="E386" t="s">
        <v>727</v>
      </c>
      <c r="F386" t="s">
        <v>728</v>
      </c>
      <c r="G386" t="s">
        <v>51</v>
      </c>
      <c r="H386" t="s">
        <v>66</v>
      </c>
      <c r="I386" t="s">
        <v>363</v>
      </c>
      <c r="J386" t="s">
        <v>364</v>
      </c>
      <c r="K386">
        <v>856163</v>
      </c>
      <c r="L386" t="s">
        <v>108</v>
      </c>
      <c r="M386" t="s">
        <v>109</v>
      </c>
      <c r="N386" t="s">
        <v>57</v>
      </c>
      <c r="O386" s="1">
        <v>45809</v>
      </c>
      <c r="Q386" s="1">
        <v>46082</v>
      </c>
      <c r="R386" s="2">
        <v>41.17</v>
      </c>
      <c r="S386">
        <v>1</v>
      </c>
      <c r="T386" t="s">
        <v>58</v>
      </c>
      <c r="U386" t="s">
        <v>156</v>
      </c>
      <c r="V386" s="4">
        <v>0.375</v>
      </c>
      <c r="W386" s="2">
        <v>0</v>
      </c>
      <c r="X386">
        <v>0</v>
      </c>
      <c r="Y386" t="s">
        <v>60</v>
      </c>
      <c r="Z386" t="s">
        <v>135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15.44</v>
      </c>
      <c r="AN386" s="2">
        <v>15.44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46062</v>
      </c>
      <c r="B387" t="s">
        <v>48</v>
      </c>
      <c r="C387">
        <v>649163</v>
      </c>
      <c r="D387">
        <v>2028965157</v>
      </c>
      <c r="E387" t="s">
        <v>729</v>
      </c>
      <c r="F387" t="s">
        <v>726</v>
      </c>
      <c r="G387" t="s">
        <v>51</v>
      </c>
      <c r="H387" t="s">
        <v>66</v>
      </c>
      <c r="I387" t="s">
        <v>363</v>
      </c>
      <c r="J387" t="s">
        <v>364</v>
      </c>
      <c r="K387">
        <v>812994</v>
      </c>
      <c r="L387" t="s">
        <v>730</v>
      </c>
      <c r="M387" t="s">
        <v>731</v>
      </c>
      <c r="N387" t="s">
        <v>144</v>
      </c>
      <c r="O387" s="1">
        <v>45809</v>
      </c>
      <c r="P387" s="1">
        <v>46055</v>
      </c>
      <c r="Q387" s="1">
        <v>46082</v>
      </c>
      <c r="R387" s="2">
        <v>-83.56</v>
      </c>
      <c r="S387">
        <v>1</v>
      </c>
      <c r="T387" t="s">
        <v>58</v>
      </c>
      <c r="U387" t="s">
        <v>156</v>
      </c>
      <c r="V387" s="4">
        <v>0.375</v>
      </c>
      <c r="W387" s="2">
        <v>0</v>
      </c>
      <c r="X387">
        <v>-1</v>
      </c>
      <c r="Y387" t="s">
        <v>60</v>
      </c>
      <c r="Z387" t="s">
        <v>135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-31.34</v>
      </c>
      <c r="AN387" s="2">
        <v>-31.34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46062</v>
      </c>
      <c r="B388" t="s">
        <v>48</v>
      </c>
      <c r="C388">
        <v>649163</v>
      </c>
      <c r="D388">
        <v>2029026297</v>
      </c>
      <c r="E388" t="s">
        <v>145</v>
      </c>
      <c r="F388" t="s">
        <v>732</v>
      </c>
      <c r="G388" t="s">
        <v>51</v>
      </c>
      <c r="H388" t="s">
        <v>112</v>
      </c>
      <c r="I388" t="s">
        <v>363</v>
      </c>
      <c r="J388" t="s">
        <v>364</v>
      </c>
      <c r="K388">
        <v>767312</v>
      </c>
      <c r="L388" t="s">
        <v>310</v>
      </c>
      <c r="M388" t="s">
        <v>311</v>
      </c>
      <c r="N388" t="s">
        <v>57</v>
      </c>
      <c r="O388" s="1">
        <v>45798</v>
      </c>
      <c r="Q388" s="1">
        <v>46074</v>
      </c>
      <c r="R388" s="2">
        <v>23.79</v>
      </c>
      <c r="S388">
        <v>1</v>
      </c>
      <c r="T388" t="s">
        <v>58</v>
      </c>
      <c r="U388" t="s">
        <v>156</v>
      </c>
      <c r="V388" s="4">
        <v>0.375</v>
      </c>
      <c r="W388" s="2">
        <v>0</v>
      </c>
      <c r="X388">
        <v>0</v>
      </c>
      <c r="Y388" t="s">
        <v>60</v>
      </c>
      <c r="Z388" t="s">
        <v>135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8.92</v>
      </c>
      <c r="AN388" s="2">
        <v>8.92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46062</v>
      </c>
      <c r="B389" t="s">
        <v>48</v>
      </c>
      <c r="C389">
        <v>649163</v>
      </c>
      <c r="D389">
        <v>2029183289</v>
      </c>
      <c r="E389" t="s">
        <v>687</v>
      </c>
      <c r="F389" t="s">
        <v>345</v>
      </c>
      <c r="G389" t="s">
        <v>51</v>
      </c>
      <c r="H389" t="s">
        <v>90</v>
      </c>
      <c r="I389" t="s">
        <v>363</v>
      </c>
      <c r="J389" t="s">
        <v>364</v>
      </c>
      <c r="K389">
        <v>806645</v>
      </c>
      <c r="L389" t="s">
        <v>344</v>
      </c>
      <c r="M389" t="s">
        <v>345</v>
      </c>
      <c r="N389" t="s">
        <v>144</v>
      </c>
      <c r="O389" s="1">
        <v>45807</v>
      </c>
      <c r="P389" s="1">
        <v>46055</v>
      </c>
      <c r="Q389" s="1">
        <v>46081</v>
      </c>
      <c r="R389" s="2">
        <v>-6.35</v>
      </c>
      <c r="S389">
        <v>1</v>
      </c>
      <c r="T389" t="s">
        <v>58</v>
      </c>
      <c r="U389" t="s">
        <v>156</v>
      </c>
      <c r="V389" s="4">
        <v>0.375</v>
      </c>
      <c r="W389" s="2">
        <v>0</v>
      </c>
      <c r="X389">
        <v>-1</v>
      </c>
      <c r="Y389" t="s">
        <v>60</v>
      </c>
      <c r="Z389" t="s">
        <v>135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-2.38</v>
      </c>
      <c r="AN389" s="2">
        <v>-2.38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46062</v>
      </c>
      <c r="B390" t="s">
        <v>48</v>
      </c>
      <c r="C390">
        <v>649163</v>
      </c>
      <c r="D390">
        <v>2029275519</v>
      </c>
      <c r="E390" t="s">
        <v>733</v>
      </c>
      <c r="F390" t="s">
        <v>734</v>
      </c>
      <c r="G390" t="s">
        <v>51</v>
      </c>
      <c r="H390" t="s">
        <v>66</v>
      </c>
      <c r="I390" t="s">
        <v>363</v>
      </c>
      <c r="J390" t="s">
        <v>364</v>
      </c>
      <c r="K390">
        <v>821015</v>
      </c>
      <c r="L390" t="s">
        <v>735</v>
      </c>
      <c r="M390" t="s">
        <v>736</v>
      </c>
      <c r="N390" t="s">
        <v>57</v>
      </c>
      <c r="O390" s="1">
        <v>45815</v>
      </c>
      <c r="Q390" s="1">
        <v>46088</v>
      </c>
      <c r="R390" s="2">
        <v>156.16</v>
      </c>
      <c r="S390">
        <v>1</v>
      </c>
      <c r="T390" t="s">
        <v>58</v>
      </c>
      <c r="U390" t="s">
        <v>156</v>
      </c>
      <c r="V390" s="4">
        <v>0.375</v>
      </c>
      <c r="W390" s="2">
        <v>0</v>
      </c>
      <c r="X390">
        <v>0</v>
      </c>
      <c r="Y390" t="s">
        <v>60</v>
      </c>
      <c r="Z390" t="s">
        <v>135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58.56</v>
      </c>
      <c r="AN390" s="2">
        <v>58.56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46062</v>
      </c>
      <c r="B391" t="s">
        <v>48</v>
      </c>
      <c r="C391">
        <v>649163</v>
      </c>
      <c r="D391">
        <v>2029378056</v>
      </c>
      <c r="E391" t="s">
        <v>737</v>
      </c>
      <c r="F391" t="s">
        <v>738</v>
      </c>
      <c r="G391" t="s">
        <v>51</v>
      </c>
      <c r="H391" t="s">
        <v>90</v>
      </c>
      <c r="I391" t="s">
        <v>363</v>
      </c>
      <c r="J391" t="s">
        <v>364</v>
      </c>
      <c r="K391">
        <v>823350</v>
      </c>
      <c r="L391" t="s">
        <v>108</v>
      </c>
      <c r="M391" t="s">
        <v>394</v>
      </c>
      <c r="N391" t="s">
        <v>57</v>
      </c>
      <c r="O391" s="1">
        <v>45820</v>
      </c>
      <c r="Q391" s="1">
        <v>46093</v>
      </c>
      <c r="R391" s="2">
        <v>117.83</v>
      </c>
      <c r="S391">
        <v>1</v>
      </c>
      <c r="T391" t="s">
        <v>58</v>
      </c>
      <c r="U391" t="s">
        <v>156</v>
      </c>
      <c r="V391" s="4">
        <v>0.375</v>
      </c>
      <c r="W391" s="2">
        <v>0</v>
      </c>
      <c r="X391">
        <v>0</v>
      </c>
      <c r="Y391" t="s">
        <v>60</v>
      </c>
      <c r="Z391" t="s">
        <v>135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44.19</v>
      </c>
      <c r="AN391" s="2">
        <v>44.19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46062</v>
      </c>
      <c r="B392" t="s">
        <v>48</v>
      </c>
      <c r="C392">
        <v>649163</v>
      </c>
      <c r="D392">
        <v>2029378240</v>
      </c>
      <c r="E392" t="s">
        <v>739</v>
      </c>
      <c r="F392" t="s">
        <v>614</v>
      </c>
      <c r="G392" t="s">
        <v>51</v>
      </c>
      <c r="H392" t="s">
        <v>193</v>
      </c>
      <c r="I392" t="s">
        <v>363</v>
      </c>
      <c r="J392" t="s">
        <v>364</v>
      </c>
      <c r="K392">
        <v>812656</v>
      </c>
      <c r="L392" t="s">
        <v>740</v>
      </c>
      <c r="M392" t="s">
        <v>741</v>
      </c>
      <c r="N392" t="s">
        <v>57</v>
      </c>
      <c r="O392" s="1">
        <v>45818</v>
      </c>
      <c r="Q392" s="1">
        <v>46091</v>
      </c>
      <c r="R392" s="2">
        <v>115.5</v>
      </c>
      <c r="S392">
        <v>1</v>
      </c>
      <c r="T392" t="s">
        <v>58</v>
      </c>
      <c r="U392" t="s">
        <v>156</v>
      </c>
      <c r="V392" s="4">
        <v>0.375</v>
      </c>
      <c r="W392" s="2">
        <v>0</v>
      </c>
      <c r="X392">
        <v>0</v>
      </c>
      <c r="Y392" t="s">
        <v>60</v>
      </c>
      <c r="Z392" t="s">
        <v>135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43.31</v>
      </c>
      <c r="AN392" s="2">
        <v>43.31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46062</v>
      </c>
      <c r="B393" t="s">
        <v>48</v>
      </c>
      <c r="C393">
        <v>649163</v>
      </c>
      <c r="D393">
        <v>2029405218</v>
      </c>
      <c r="E393" t="s">
        <v>739</v>
      </c>
      <c r="F393" t="s">
        <v>742</v>
      </c>
      <c r="G393" t="s">
        <v>51</v>
      </c>
      <c r="H393" t="s">
        <v>193</v>
      </c>
      <c r="I393" t="s">
        <v>363</v>
      </c>
      <c r="J393" t="s">
        <v>364</v>
      </c>
      <c r="K393">
        <v>812656</v>
      </c>
      <c r="L393" t="s">
        <v>740</v>
      </c>
      <c r="M393" t="s">
        <v>741</v>
      </c>
      <c r="N393" t="s">
        <v>57</v>
      </c>
      <c r="O393" s="1">
        <v>45820</v>
      </c>
      <c r="Q393" s="1">
        <v>46093</v>
      </c>
      <c r="R393" s="2">
        <v>38.4</v>
      </c>
      <c r="S393">
        <v>1</v>
      </c>
      <c r="T393" t="s">
        <v>58</v>
      </c>
      <c r="U393" t="s">
        <v>156</v>
      </c>
      <c r="V393" s="4">
        <v>0.375</v>
      </c>
      <c r="W393" s="2">
        <v>0</v>
      </c>
      <c r="X393">
        <v>0</v>
      </c>
      <c r="Y393" t="s">
        <v>60</v>
      </c>
      <c r="Z393" t="s">
        <v>135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14.4</v>
      </c>
      <c r="AN393" s="2">
        <v>14.4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46062</v>
      </c>
      <c r="B394" t="s">
        <v>48</v>
      </c>
      <c r="C394">
        <v>649163</v>
      </c>
      <c r="D394">
        <v>2029413863</v>
      </c>
      <c r="E394" t="s">
        <v>390</v>
      </c>
      <c r="F394" t="s">
        <v>743</v>
      </c>
      <c r="G394" t="s">
        <v>51</v>
      </c>
      <c r="H394" t="s">
        <v>90</v>
      </c>
      <c r="I394" t="s">
        <v>363</v>
      </c>
      <c r="J394" t="s">
        <v>364</v>
      </c>
      <c r="K394">
        <v>823350</v>
      </c>
      <c r="L394" t="s">
        <v>108</v>
      </c>
      <c r="M394" t="s">
        <v>394</v>
      </c>
      <c r="N394" t="s">
        <v>57</v>
      </c>
      <c r="O394" s="1">
        <v>45820</v>
      </c>
      <c r="Q394" s="1">
        <v>46093</v>
      </c>
      <c r="R394" s="2">
        <v>68.19</v>
      </c>
      <c r="S394">
        <v>1</v>
      </c>
      <c r="T394" t="s">
        <v>58</v>
      </c>
      <c r="U394" t="s">
        <v>156</v>
      </c>
      <c r="V394" s="4">
        <v>0.375</v>
      </c>
      <c r="W394" s="2">
        <v>0</v>
      </c>
      <c r="X394">
        <v>0</v>
      </c>
      <c r="Y394" t="s">
        <v>60</v>
      </c>
      <c r="Z394" t="s">
        <v>135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25.57</v>
      </c>
      <c r="AN394" s="2">
        <v>25.57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46062</v>
      </c>
      <c r="B395" t="s">
        <v>48</v>
      </c>
      <c r="C395">
        <v>649163</v>
      </c>
      <c r="D395">
        <v>2029694327</v>
      </c>
      <c r="E395" t="s">
        <v>744</v>
      </c>
      <c r="F395" t="s">
        <v>745</v>
      </c>
      <c r="G395" t="s">
        <v>51</v>
      </c>
      <c r="H395" t="s">
        <v>746</v>
      </c>
      <c r="I395" t="s">
        <v>363</v>
      </c>
      <c r="J395" t="s">
        <v>364</v>
      </c>
      <c r="K395">
        <v>822865</v>
      </c>
      <c r="L395" t="s">
        <v>691</v>
      </c>
      <c r="M395" t="s">
        <v>692</v>
      </c>
      <c r="N395" t="s">
        <v>57</v>
      </c>
      <c r="O395" s="1">
        <v>45837</v>
      </c>
      <c r="Q395" s="1">
        <v>46081</v>
      </c>
      <c r="R395" s="2">
        <v>27.04</v>
      </c>
      <c r="S395">
        <v>1</v>
      </c>
      <c r="T395" t="s">
        <v>58</v>
      </c>
      <c r="U395" t="s">
        <v>156</v>
      </c>
      <c r="V395" s="4">
        <v>0.375</v>
      </c>
      <c r="W395" s="2">
        <v>0</v>
      </c>
      <c r="X395">
        <v>0</v>
      </c>
      <c r="Y395" t="s">
        <v>60</v>
      </c>
      <c r="Z395" t="s">
        <v>135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10.14</v>
      </c>
      <c r="AN395" s="2">
        <v>10.14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46062</v>
      </c>
      <c r="B396" t="s">
        <v>48</v>
      </c>
      <c r="C396">
        <v>649163</v>
      </c>
      <c r="D396">
        <v>2029772059</v>
      </c>
      <c r="E396" t="s">
        <v>339</v>
      </c>
      <c r="F396" t="s">
        <v>747</v>
      </c>
      <c r="G396" t="s">
        <v>51</v>
      </c>
      <c r="H396" t="s">
        <v>66</v>
      </c>
      <c r="I396" t="s">
        <v>363</v>
      </c>
      <c r="J396" t="s">
        <v>364</v>
      </c>
      <c r="K396">
        <v>824076</v>
      </c>
      <c r="L396" t="s">
        <v>340</v>
      </c>
      <c r="M396" t="s">
        <v>341</v>
      </c>
      <c r="N396" t="s">
        <v>144</v>
      </c>
      <c r="O396" s="1">
        <v>45841</v>
      </c>
      <c r="P396" s="1">
        <v>46062</v>
      </c>
      <c r="Q396" s="1">
        <v>46084</v>
      </c>
      <c r="R396" s="2">
        <v>-159.96</v>
      </c>
      <c r="S396">
        <v>1</v>
      </c>
      <c r="T396" t="s">
        <v>58</v>
      </c>
      <c r="U396" t="s">
        <v>156</v>
      </c>
      <c r="V396" s="4">
        <v>0.375</v>
      </c>
      <c r="W396" s="2">
        <v>0</v>
      </c>
      <c r="X396">
        <v>-1</v>
      </c>
      <c r="Y396" t="s">
        <v>60</v>
      </c>
      <c r="Z396" t="s">
        <v>135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-59.98</v>
      </c>
      <c r="AN396" s="2">
        <v>-59.98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46062</v>
      </c>
      <c r="B397" t="s">
        <v>48</v>
      </c>
      <c r="C397">
        <v>649163</v>
      </c>
      <c r="D397">
        <v>2029787707</v>
      </c>
      <c r="E397" t="s">
        <v>281</v>
      </c>
      <c r="F397" t="s">
        <v>430</v>
      </c>
      <c r="G397" t="s">
        <v>51</v>
      </c>
      <c r="H397" t="s">
        <v>52</v>
      </c>
      <c r="I397" t="s">
        <v>363</v>
      </c>
      <c r="J397" t="s">
        <v>364</v>
      </c>
      <c r="K397">
        <v>651818</v>
      </c>
      <c r="L397" t="s">
        <v>80</v>
      </c>
      <c r="M397" t="s">
        <v>81</v>
      </c>
      <c r="N397" t="s">
        <v>144</v>
      </c>
      <c r="O397" s="1">
        <v>45870</v>
      </c>
      <c r="P397" s="1">
        <v>46062</v>
      </c>
      <c r="Q397" s="1">
        <v>46082</v>
      </c>
      <c r="R397" s="2">
        <v>-119.34</v>
      </c>
      <c r="S397">
        <v>1</v>
      </c>
      <c r="T397" t="s">
        <v>58</v>
      </c>
      <c r="U397" t="s">
        <v>156</v>
      </c>
      <c r="V397" s="4">
        <v>0.375</v>
      </c>
      <c r="W397" s="2">
        <v>0</v>
      </c>
      <c r="X397">
        <v>-1</v>
      </c>
      <c r="Y397" t="s">
        <v>60</v>
      </c>
      <c r="Z397" t="s">
        <v>135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-44.75</v>
      </c>
      <c r="AN397" s="2">
        <v>-44.75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46062</v>
      </c>
      <c r="B398" t="s">
        <v>48</v>
      </c>
      <c r="C398">
        <v>649163</v>
      </c>
      <c r="D398">
        <v>2029869955</v>
      </c>
      <c r="E398" t="s">
        <v>748</v>
      </c>
      <c r="F398" t="s">
        <v>749</v>
      </c>
      <c r="G398" t="s">
        <v>51</v>
      </c>
      <c r="H398" t="s">
        <v>750</v>
      </c>
      <c r="I398" t="s">
        <v>363</v>
      </c>
      <c r="J398" t="s">
        <v>364</v>
      </c>
      <c r="K398">
        <v>767312</v>
      </c>
      <c r="L398" t="s">
        <v>310</v>
      </c>
      <c r="M398" t="s">
        <v>311</v>
      </c>
      <c r="N398" t="s">
        <v>57</v>
      </c>
      <c r="O398" s="1">
        <v>45848</v>
      </c>
      <c r="Q398" s="1">
        <v>46091</v>
      </c>
      <c r="R398" s="2">
        <v>28.86</v>
      </c>
      <c r="S398">
        <v>1</v>
      </c>
      <c r="T398" t="s">
        <v>58</v>
      </c>
      <c r="U398" t="s">
        <v>156</v>
      </c>
      <c r="V398" s="4">
        <v>0.375</v>
      </c>
      <c r="W398" s="2">
        <v>0</v>
      </c>
      <c r="X398">
        <v>0</v>
      </c>
      <c r="Y398" t="s">
        <v>60</v>
      </c>
      <c r="Z398" t="s">
        <v>135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10.82</v>
      </c>
      <c r="AN398" s="2">
        <v>10.82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46062</v>
      </c>
      <c r="B399" t="s">
        <v>48</v>
      </c>
      <c r="C399">
        <v>649163</v>
      </c>
      <c r="D399">
        <v>2029877306</v>
      </c>
      <c r="E399" t="s">
        <v>751</v>
      </c>
      <c r="F399" t="s">
        <v>752</v>
      </c>
      <c r="G399" t="s">
        <v>51</v>
      </c>
      <c r="H399" t="s">
        <v>274</v>
      </c>
      <c r="I399" t="s">
        <v>363</v>
      </c>
      <c r="J399" t="s">
        <v>364</v>
      </c>
      <c r="K399">
        <v>824082</v>
      </c>
      <c r="L399" t="s">
        <v>563</v>
      </c>
      <c r="M399" t="s">
        <v>564</v>
      </c>
      <c r="N399" t="s">
        <v>57</v>
      </c>
      <c r="O399" s="1">
        <v>45848</v>
      </c>
      <c r="Q399" s="1">
        <v>46091</v>
      </c>
      <c r="R399" s="2">
        <v>189.23</v>
      </c>
      <c r="S399">
        <v>1</v>
      </c>
      <c r="T399" t="s">
        <v>58</v>
      </c>
      <c r="U399" t="s">
        <v>156</v>
      </c>
      <c r="V399" s="4">
        <v>0.375</v>
      </c>
      <c r="W399" s="2">
        <v>0</v>
      </c>
      <c r="X399">
        <v>0</v>
      </c>
      <c r="Y399" t="s">
        <v>60</v>
      </c>
      <c r="Z399" t="s">
        <v>135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70.959999999999994</v>
      </c>
      <c r="AN399" s="2">
        <v>70.959999999999994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46062</v>
      </c>
      <c r="B400" t="s">
        <v>48</v>
      </c>
      <c r="C400">
        <v>649163</v>
      </c>
      <c r="D400">
        <v>2029880676</v>
      </c>
      <c r="E400" t="s">
        <v>753</v>
      </c>
      <c r="F400" t="s">
        <v>324</v>
      </c>
      <c r="G400" t="s">
        <v>51</v>
      </c>
      <c r="H400" t="s">
        <v>66</v>
      </c>
      <c r="I400" t="s">
        <v>363</v>
      </c>
      <c r="J400" t="s">
        <v>364</v>
      </c>
      <c r="K400">
        <v>812994</v>
      </c>
      <c r="L400" t="s">
        <v>730</v>
      </c>
      <c r="M400" t="s">
        <v>731</v>
      </c>
      <c r="N400" t="s">
        <v>57</v>
      </c>
      <c r="O400" s="1">
        <v>45848</v>
      </c>
      <c r="Q400" s="1">
        <v>46091</v>
      </c>
      <c r="R400" s="2">
        <v>77.48</v>
      </c>
      <c r="S400">
        <v>1</v>
      </c>
      <c r="T400" t="s">
        <v>58</v>
      </c>
      <c r="U400" t="s">
        <v>156</v>
      </c>
      <c r="V400" s="4">
        <v>0.375</v>
      </c>
      <c r="W400" s="2">
        <v>0</v>
      </c>
      <c r="X400">
        <v>0</v>
      </c>
      <c r="Y400" t="s">
        <v>60</v>
      </c>
      <c r="Z400" t="s">
        <v>135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29.06</v>
      </c>
      <c r="AN400" s="2">
        <v>29.06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46062</v>
      </c>
      <c r="B401" t="s">
        <v>48</v>
      </c>
      <c r="C401">
        <v>649163</v>
      </c>
      <c r="D401">
        <v>2029894410</v>
      </c>
      <c r="E401" t="s">
        <v>240</v>
      </c>
      <c r="F401" t="s">
        <v>754</v>
      </c>
      <c r="G401" t="s">
        <v>51</v>
      </c>
      <c r="H401" t="s">
        <v>116</v>
      </c>
      <c r="I401" t="s">
        <v>363</v>
      </c>
      <c r="J401" t="s">
        <v>364</v>
      </c>
      <c r="K401">
        <v>877790</v>
      </c>
      <c r="L401" t="s">
        <v>132</v>
      </c>
      <c r="M401" t="s">
        <v>133</v>
      </c>
      <c r="N401" t="s">
        <v>57</v>
      </c>
      <c r="O401" s="1">
        <v>45849</v>
      </c>
      <c r="Q401" s="1">
        <v>46092</v>
      </c>
      <c r="R401" s="2">
        <v>189.28</v>
      </c>
      <c r="S401">
        <v>1</v>
      </c>
      <c r="T401" t="s">
        <v>58</v>
      </c>
      <c r="U401" t="s">
        <v>156</v>
      </c>
      <c r="V401" s="4">
        <v>0.375</v>
      </c>
      <c r="W401" s="2">
        <v>0</v>
      </c>
      <c r="X401">
        <v>0</v>
      </c>
      <c r="Y401" t="s">
        <v>60</v>
      </c>
      <c r="Z401" t="s">
        <v>135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70.98</v>
      </c>
      <c r="AN401" s="2">
        <v>70.98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46062</v>
      </c>
      <c r="B402" t="s">
        <v>48</v>
      </c>
      <c r="C402">
        <v>649163</v>
      </c>
      <c r="D402">
        <v>2029904975</v>
      </c>
      <c r="E402" t="s">
        <v>755</v>
      </c>
      <c r="F402" t="s">
        <v>756</v>
      </c>
      <c r="G402" t="s">
        <v>51</v>
      </c>
      <c r="H402" t="s">
        <v>170</v>
      </c>
      <c r="I402" t="s">
        <v>363</v>
      </c>
      <c r="J402" t="s">
        <v>364</v>
      </c>
      <c r="K402">
        <v>651818</v>
      </c>
      <c r="L402" t="s">
        <v>80</v>
      </c>
      <c r="M402" t="s">
        <v>81</v>
      </c>
      <c r="N402" t="s">
        <v>57</v>
      </c>
      <c r="O402" s="1">
        <v>45850</v>
      </c>
      <c r="Q402" s="1">
        <v>46093</v>
      </c>
      <c r="R402" s="2">
        <v>102.62</v>
      </c>
      <c r="S402">
        <v>1</v>
      </c>
      <c r="T402" t="s">
        <v>58</v>
      </c>
      <c r="U402" t="s">
        <v>156</v>
      </c>
      <c r="V402" s="4">
        <v>0.375</v>
      </c>
      <c r="W402" s="2">
        <v>0</v>
      </c>
      <c r="X402">
        <v>0</v>
      </c>
      <c r="Y402" t="s">
        <v>60</v>
      </c>
      <c r="Z402" t="s">
        <v>135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38.479999999999997</v>
      </c>
      <c r="AN402" s="2">
        <v>38.479999999999997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46062</v>
      </c>
      <c r="B403" t="s">
        <v>48</v>
      </c>
      <c r="C403">
        <v>649163</v>
      </c>
      <c r="D403">
        <v>2029910892</v>
      </c>
      <c r="E403" t="s">
        <v>757</v>
      </c>
      <c r="F403" t="s">
        <v>758</v>
      </c>
      <c r="G403" t="s">
        <v>51</v>
      </c>
      <c r="H403" t="s">
        <v>90</v>
      </c>
      <c r="I403" t="s">
        <v>363</v>
      </c>
      <c r="J403" t="s">
        <v>364</v>
      </c>
      <c r="K403">
        <v>856824</v>
      </c>
      <c r="L403" t="s">
        <v>126</v>
      </c>
      <c r="M403" t="s">
        <v>127</v>
      </c>
      <c r="N403" t="s">
        <v>57</v>
      </c>
      <c r="O403" s="1">
        <v>45850</v>
      </c>
      <c r="Q403" s="1">
        <v>46093</v>
      </c>
      <c r="R403" s="2">
        <v>28.38</v>
      </c>
      <c r="S403">
        <v>1</v>
      </c>
      <c r="T403" t="s">
        <v>58</v>
      </c>
      <c r="U403" t="s">
        <v>156</v>
      </c>
      <c r="V403" s="4">
        <v>0.375</v>
      </c>
      <c r="W403" s="2">
        <v>0</v>
      </c>
      <c r="X403">
        <v>0</v>
      </c>
      <c r="Y403" t="s">
        <v>60</v>
      </c>
      <c r="Z403" t="s">
        <v>135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10.64</v>
      </c>
      <c r="AN403" s="2">
        <v>10.64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46062</v>
      </c>
      <c r="B404" t="s">
        <v>48</v>
      </c>
      <c r="C404">
        <v>649163</v>
      </c>
      <c r="D404">
        <v>2029955371</v>
      </c>
      <c r="E404" t="s">
        <v>759</v>
      </c>
      <c r="F404" t="s">
        <v>622</v>
      </c>
      <c r="G404" t="s">
        <v>51</v>
      </c>
      <c r="H404" t="s">
        <v>274</v>
      </c>
      <c r="I404" t="s">
        <v>363</v>
      </c>
      <c r="J404" t="s">
        <v>364</v>
      </c>
      <c r="K404">
        <v>824082</v>
      </c>
      <c r="L404" t="s">
        <v>563</v>
      </c>
      <c r="M404" t="s">
        <v>564</v>
      </c>
      <c r="N404" t="s">
        <v>144</v>
      </c>
      <c r="O404" s="1">
        <v>45853</v>
      </c>
      <c r="P404" s="1">
        <v>46062</v>
      </c>
      <c r="Q404" s="1">
        <v>46068</v>
      </c>
      <c r="R404" s="2">
        <v>-82.09</v>
      </c>
      <c r="S404">
        <v>1</v>
      </c>
      <c r="T404" t="s">
        <v>58</v>
      </c>
      <c r="U404" t="s">
        <v>156</v>
      </c>
      <c r="V404" s="4">
        <v>0.375</v>
      </c>
      <c r="W404" s="2">
        <v>0</v>
      </c>
      <c r="X404">
        <v>-1</v>
      </c>
      <c r="Y404" t="s">
        <v>60</v>
      </c>
      <c r="Z404" t="s">
        <v>135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-30.78</v>
      </c>
      <c r="AN404" s="2">
        <v>-30.78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46062</v>
      </c>
      <c r="B405" t="s">
        <v>48</v>
      </c>
      <c r="C405">
        <v>649163</v>
      </c>
      <c r="D405">
        <v>2030189269</v>
      </c>
      <c r="E405" t="s">
        <v>760</v>
      </c>
      <c r="F405" t="s">
        <v>761</v>
      </c>
      <c r="G405" t="s">
        <v>51</v>
      </c>
      <c r="H405" t="s">
        <v>193</v>
      </c>
      <c r="I405" t="s">
        <v>363</v>
      </c>
      <c r="J405" t="s">
        <v>364</v>
      </c>
      <c r="K405">
        <v>651818</v>
      </c>
      <c r="L405" t="s">
        <v>80</v>
      </c>
      <c r="M405" t="s">
        <v>81</v>
      </c>
      <c r="N405" t="s">
        <v>57</v>
      </c>
      <c r="O405" s="1">
        <v>45876</v>
      </c>
      <c r="Q405" s="1">
        <v>46088</v>
      </c>
      <c r="R405" s="2">
        <v>47.06</v>
      </c>
      <c r="S405">
        <v>1</v>
      </c>
      <c r="T405" t="s">
        <v>58</v>
      </c>
      <c r="U405" t="s">
        <v>156</v>
      </c>
      <c r="V405" s="4">
        <v>0.375</v>
      </c>
      <c r="W405" s="2">
        <v>0</v>
      </c>
      <c r="X405">
        <v>0</v>
      </c>
      <c r="Y405" t="s">
        <v>60</v>
      </c>
      <c r="Z405" t="s">
        <v>135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17.649999999999999</v>
      </c>
      <c r="AN405" s="2">
        <v>17.649999999999999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46062</v>
      </c>
      <c r="B406" t="s">
        <v>48</v>
      </c>
      <c r="C406">
        <v>649163</v>
      </c>
      <c r="D406">
        <v>2030240610</v>
      </c>
      <c r="E406" t="s">
        <v>762</v>
      </c>
      <c r="F406" t="s">
        <v>763</v>
      </c>
      <c r="G406" t="s">
        <v>51</v>
      </c>
      <c r="H406" t="s">
        <v>66</v>
      </c>
      <c r="I406" t="s">
        <v>363</v>
      </c>
      <c r="J406" t="s">
        <v>364</v>
      </c>
      <c r="K406">
        <v>824062</v>
      </c>
      <c r="L406" t="s">
        <v>569</v>
      </c>
      <c r="M406" t="s">
        <v>570</v>
      </c>
      <c r="N406" t="s">
        <v>144</v>
      </c>
      <c r="O406" s="1">
        <v>45901</v>
      </c>
      <c r="P406" s="1">
        <v>46062</v>
      </c>
      <c r="Q406" s="1">
        <v>46082</v>
      </c>
      <c r="R406" s="2">
        <v>-77.48</v>
      </c>
      <c r="S406">
        <v>1</v>
      </c>
      <c r="T406" t="s">
        <v>58</v>
      </c>
      <c r="U406" t="s">
        <v>156</v>
      </c>
      <c r="V406" s="4">
        <v>0.375</v>
      </c>
      <c r="W406" s="2">
        <v>0</v>
      </c>
      <c r="X406">
        <v>-1</v>
      </c>
      <c r="Y406" t="s">
        <v>60</v>
      </c>
      <c r="Z406" t="s">
        <v>135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-29.06</v>
      </c>
      <c r="AN406" s="2">
        <v>-29.06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46062</v>
      </c>
      <c r="B407" t="s">
        <v>48</v>
      </c>
      <c r="C407">
        <v>649163</v>
      </c>
      <c r="D407">
        <v>2030367107</v>
      </c>
      <c r="E407" t="s">
        <v>70</v>
      </c>
      <c r="F407" t="s">
        <v>764</v>
      </c>
      <c r="G407" t="s">
        <v>51</v>
      </c>
      <c r="H407" t="s">
        <v>765</v>
      </c>
      <c r="I407" t="s">
        <v>363</v>
      </c>
      <c r="J407" t="s">
        <v>364</v>
      </c>
      <c r="K407">
        <v>650218</v>
      </c>
      <c r="L407" t="s">
        <v>246</v>
      </c>
      <c r="M407" t="s">
        <v>195</v>
      </c>
      <c r="N407" t="s">
        <v>57</v>
      </c>
      <c r="O407" s="1">
        <v>45877</v>
      </c>
      <c r="Q407" s="1">
        <v>46089</v>
      </c>
      <c r="R407" s="2">
        <v>67.63</v>
      </c>
      <c r="S407">
        <v>1</v>
      </c>
      <c r="T407" t="s">
        <v>58</v>
      </c>
      <c r="U407" t="s">
        <v>156</v>
      </c>
      <c r="V407" s="4">
        <v>0.375</v>
      </c>
      <c r="W407" s="2">
        <v>0</v>
      </c>
      <c r="X407">
        <v>0</v>
      </c>
      <c r="Y407" t="s">
        <v>60</v>
      </c>
      <c r="Z407" t="s">
        <v>135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0.01</v>
      </c>
      <c r="AM407" s="2">
        <v>25.35</v>
      </c>
      <c r="AN407" s="2">
        <v>25.35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46062</v>
      </c>
      <c r="B408" t="s">
        <v>48</v>
      </c>
      <c r="C408">
        <v>649163</v>
      </c>
      <c r="D408">
        <v>2030380470</v>
      </c>
      <c r="E408" t="s">
        <v>431</v>
      </c>
      <c r="F408" t="s">
        <v>432</v>
      </c>
      <c r="G408" t="s">
        <v>51</v>
      </c>
      <c r="H408" t="s">
        <v>52</v>
      </c>
      <c r="I408" t="s">
        <v>363</v>
      </c>
      <c r="J408" t="s">
        <v>364</v>
      </c>
      <c r="K408">
        <v>650218</v>
      </c>
      <c r="L408" t="s">
        <v>246</v>
      </c>
      <c r="M408" t="s">
        <v>195</v>
      </c>
      <c r="N408" t="s">
        <v>57</v>
      </c>
      <c r="O408" s="1">
        <v>45877</v>
      </c>
      <c r="Q408" s="1">
        <v>46089</v>
      </c>
      <c r="R408" s="2">
        <v>27.11</v>
      </c>
      <c r="S408">
        <v>1</v>
      </c>
      <c r="T408" t="s">
        <v>58</v>
      </c>
      <c r="U408" t="s">
        <v>156</v>
      </c>
      <c r="V408" s="4">
        <v>0.375</v>
      </c>
      <c r="W408" s="2">
        <v>0</v>
      </c>
      <c r="X408">
        <v>0</v>
      </c>
      <c r="Y408" t="s">
        <v>60</v>
      </c>
      <c r="Z408" t="s">
        <v>135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10.17</v>
      </c>
      <c r="AN408" s="2">
        <v>10.17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46062</v>
      </c>
      <c r="B409" t="s">
        <v>48</v>
      </c>
      <c r="C409">
        <v>649163</v>
      </c>
      <c r="D409">
        <v>2030404320</v>
      </c>
      <c r="E409" t="s">
        <v>766</v>
      </c>
      <c r="F409" t="s">
        <v>767</v>
      </c>
      <c r="G409" t="s">
        <v>51</v>
      </c>
      <c r="H409" t="s">
        <v>309</v>
      </c>
      <c r="I409" t="s">
        <v>363</v>
      </c>
      <c r="J409" t="s">
        <v>364</v>
      </c>
      <c r="K409">
        <v>822865</v>
      </c>
      <c r="L409" t="s">
        <v>691</v>
      </c>
      <c r="M409" t="s">
        <v>692</v>
      </c>
      <c r="N409" t="s">
        <v>57</v>
      </c>
      <c r="O409" s="1">
        <v>45878</v>
      </c>
      <c r="Q409" s="1">
        <v>46090</v>
      </c>
      <c r="R409" s="2">
        <v>44.56</v>
      </c>
      <c r="S409">
        <v>1</v>
      </c>
      <c r="T409" t="s">
        <v>58</v>
      </c>
      <c r="U409" t="s">
        <v>156</v>
      </c>
      <c r="V409" s="4">
        <v>0.375</v>
      </c>
      <c r="W409" s="2">
        <v>0</v>
      </c>
      <c r="X409">
        <v>0</v>
      </c>
      <c r="Y409" t="s">
        <v>60</v>
      </c>
      <c r="Z409" t="s">
        <v>135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16.71</v>
      </c>
      <c r="AN409" s="2">
        <v>16.71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46062</v>
      </c>
      <c r="B410" t="s">
        <v>48</v>
      </c>
      <c r="C410">
        <v>649163</v>
      </c>
      <c r="D410">
        <v>2030406802</v>
      </c>
      <c r="E410" t="s">
        <v>768</v>
      </c>
      <c r="F410" t="s">
        <v>769</v>
      </c>
      <c r="G410" t="s">
        <v>51</v>
      </c>
      <c r="H410" t="s">
        <v>274</v>
      </c>
      <c r="I410" t="s">
        <v>363</v>
      </c>
      <c r="J410" t="s">
        <v>364</v>
      </c>
      <c r="K410">
        <v>796984</v>
      </c>
      <c r="L410" t="s">
        <v>491</v>
      </c>
      <c r="M410" t="s">
        <v>492</v>
      </c>
      <c r="N410" t="s">
        <v>57</v>
      </c>
      <c r="O410" s="1">
        <v>45878</v>
      </c>
      <c r="Q410" s="1">
        <v>46090</v>
      </c>
      <c r="R410" s="2">
        <v>47.28</v>
      </c>
      <c r="S410">
        <v>1</v>
      </c>
      <c r="T410" t="s">
        <v>58</v>
      </c>
      <c r="U410" t="s">
        <v>156</v>
      </c>
      <c r="V410" s="4">
        <v>0.375</v>
      </c>
      <c r="W410" s="2">
        <v>0</v>
      </c>
      <c r="X410">
        <v>0</v>
      </c>
      <c r="Y410" t="s">
        <v>60</v>
      </c>
      <c r="Z410" t="s">
        <v>135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17.73</v>
      </c>
      <c r="AN410" s="2">
        <v>17.73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46062</v>
      </c>
      <c r="B411" t="s">
        <v>48</v>
      </c>
      <c r="C411">
        <v>649163</v>
      </c>
      <c r="D411">
        <v>2030431211</v>
      </c>
      <c r="E411" t="s">
        <v>770</v>
      </c>
      <c r="F411" t="s">
        <v>771</v>
      </c>
      <c r="G411" t="s">
        <v>51</v>
      </c>
      <c r="H411" t="s">
        <v>66</v>
      </c>
      <c r="I411" t="s">
        <v>363</v>
      </c>
      <c r="J411" t="s">
        <v>364</v>
      </c>
      <c r="K411">
        <v>651818</v>
      </c>
      <c r="L411" t="s">
        <v>80</v>
      </c>
      <c r="M411" t="s">
        <v>81</v>
      </c>
      <c r="N411" t="s">
        <v>57</v>
      </c>
      <c r="O411" s="1">
        <v>45907</v>
      </c>
      <c r="Q411" s="1">
        <v>46088</v>
      </c>
      <c r="R411" s="2">
        <v>63.37</v>
      </c>
      <c r="S411">
        <v>1</v>
      </c>
      <c r="T411" t="s">
        <v>58</v>
      </c>
      <c r="U411" t="s">
        <v>156</v>
      </c>
      <c r="V411" s="4">
        <v>0.375</v>
      </c>
      <c r="W411" s="2">
        <v>0</v>
      </c>
      <c r="X411">
        <v>0</v>
      </c>
      <c r="Y411" t="s">
        <v>60</v>
      </c>
      <c r="Z411" t="s">
        <v>135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0.02</v>
      </c>
      <c r="AM411" s="2">
        <v>23.74</v>
      </c>
      <c r="AN411" s="2">
        <v>23.74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46062</v>
      </c>
      <c r="B412" t="s">
        <v>48</v>
      </c>
      <c r="C412">
        <v>649163</v>
      </c>
      <c r="D412">
        <v>2030447484</v>
      </c>
      <c r="E412" t="s">
        <v>772</v>
      </c>
      <c r="F412" t="s">
        <v>773</v>
      </c>
      <c r="G412" t="s">
        <v>51</v>
      </c>
      <c r="H412" t="s">
        <v>170</v>
      </c>
      <c r="I412" t="s">
        <v>363</v>
      </c>
      <c r="J412" t="s">
        <v>364</v>
      </c>
      <c r="K412">
        <v>753748</v>
      </c>
      <c r="L412" t="s">
        <v>74</v>
      </c>
      <c r="M412" t="s">
        <v>75</v>
      </c>
      <c r="N412" t="s">
        <v>57</v>
      </c>
      <c r="O412" s="1">
        <v>45882</v>
      </c>
      <c r="Q412" s="1">
        <v>46094</v>
      </c>
      <c r="R412" s="2">
        <v>73.17</v>
      </c>
      <c r="S412">
        <v>1</v>
      </c>
      <c r="T412" t="s">
        <v>58</v>
      </c>
      <c r="U412" t="s">
        <v>156</v>
      </c>
      <c r="V412" s="4">
        <v>0.375</v>
      </c>
      <c r="W412" s="2">
        <v>0</v>
      </c>
      <c r="X412">
        <v>0</v>
      </c>
      <c r="Y412" t="s">
        <v>60</v>
      </c>
      <c r="Z412" t="s">
        <v>135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27.44</v>
      </c>
      <c r="AN412" s="2">
        <v>27.44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46062</v>
      </c>
      <c r="B413" t="s">
        <v>48</v>
      </c>
      <c r="C413">
        <v>649163</v>
      </c>
      <c r="D413">
        <v>2030452963</v>
      </c>
      <c r="E413" t="s">
        <v>774</v>
      </c>
      <c r="F413" t="s">
        <v>240</v>
      </c>
      <c r="G413" t="s">
        <v>51</v>
      </c>
      <c r="H413" t="s">
        <v>274</v>
      </c>
      <c r="I413" t="s">
        <v>363</v>
      </c>
      <c r="J413" t="s">
        <v>364</v>
      </c>
      <c r="K413">
        <v>824082</v>
      </c>
      <c r="L413" t="s">
        <v>563</v>
      </c>
      <c r="M413" t="s">
        <v>564</v>
      </c>
      <c r="N413" t="s">
        <v>57</v>
      </c>
      <c r="O413" s="1">
        <v>45882</v>
      </c>
      <c r="Q413" s="1">
        <v>46094</v>
      </c>
      <c r="R413" s="2">
        <v>205.33</v>
      </c>
      <c r="S413">
        <v>1</v>
      </c>
      <c r="T413" t="s">
        <v>58</v>
      </c>
      <c r="U413" t="s">
        <v>156</v>
      </c>
      <c r="V413" s="4">
        <v>0.375</v>
      </c>
      <c r="W413" s="2">
        <v>0</v>
      </c>
      <c r="X413">
        <v>0</v>
      </c>
      <c r="Y413" t="s">
        <v>60</v>
      </c>
      <c r="Z413" t="s">
        <v>135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77</v>
      </c>
      <c r="AN413" s="2">
        <v>77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46062</v>
      </c>
      <c r="B414" t="s">
        <v>48</v>
      </c>
      <c r="C414">
        <v>649163</v>
      </c>
      <c r="D414">
        <v>2030455580</v>
      </c>
      <c r="E414" t="s">
        <v>775</v>
      </c>
      <c r="F414" t="s">
        <v>155</v>
      </c>
      <c r="G414" t="s">
        <v>51</v>
      </c>
      <c r="H414" t="s">
        <v>274</v>
      </c>
      <c r="I414" t="s">
        <v>363</v>
      </c>
      <c r="J414" t="s">
        <v>364</v>
      </c>
      <c r="K414">
        <v>816021</v>
      </c>
      <c r="L414" t="s">
        <v>275</v>
      </c>
      <c r="M414" t="s">
        <v>276</v>
      </c>
      <c r="N414" t="s">
        <v>57</v>
      </c>
      <c r="O414" s="1">
        <v>45882</v>
      </c>
      <c r="Q414" s="1">
        <v>46094</v>
      </c>
      <c r="R414" s="2">
        <v>160.85</v>
      </c>
      <c r="S414">
        <v>1</v>
      </c>
      <c r="T414" t="s">
        <v>58</v>
      </c>
      <c r="U414" t="s">
        <v>156</v>
      </c>
      <c r="V414" s="4">
        <v>0.375</v>
      </c>
      <c r="W414" s="2">
        <v>0</v>
      </c>
      <c r="X414">
        <v>0</v>
      </c>
      <c r="Y414" t="s">
        <v>60</v>
      </c>
      <c r="Z414" t="s">
        <v>135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60.32</v>
      </c>
      <c r="AN414" s="2">
        <v>60.32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46062</v>
      </c>
      <c r="B415" t="s">
        <v>48</v>
      </c>
      <c r="C415">
        <v>649163</v>
      </c>
      <c r="D415">
        <v>2030517072</v>
      </c>
      <c r="E415" t="s">
        <v>776</v>
      </c>
      <c r="F415" t="s">
        <v>777</v>
      </c>
      <c r="G415" t="s">
        <v>51</v>
      </c>
      <c r="H415" t="s">
        <v>112</v>
      </c>
      <c r="I415" t="s">
        <v>363</v>
      </c>
      <c r="J415" t="s">
        <v>364</v>
      </c>
      <c r="K415">
        <v>651818</v>
      </c>
      <c r="L415" t="s">
        <v>80</v>
      </c>
      <c r="M415" t="s">
        <v>81</v>
      </c>
      <c r="N415" t="s">
        <v>57</v>
      </c>
      <c r="O415" s="1">
        <v>45907</v>
      </c>
      <c r="Q415" s="1">
        <v>46088</v>
      </c>
      <c r="R415" s="2">
        <v>47.83</v>
      </c>
      <c r="S415">
        <v>1</v>
      </c>
      <c r="T415" t="s">
        <v>58</v>
      </c>
      <c r="U415" t="s">
        <v>156</v>
      </c>
      <c r="V415" s="4">
        <v>0.375</v>
      </c>
      <c r="W415" s="2">
        <v>0</v>
      </c>
      <c r="X415">
        <v>0</v>
      </c>
      <c r="Y415" t="s">
        <v>60</v>
      </c>
      <c r="Z415" t="s">
        <v>135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17.940000000000001</v>
      </c>
      <c r="AN415" s="2">
        <v>17.940000000000001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46062</v>
      </c>
      <c r="B416" t="s">
        <v>48</v>
      </c>
      <c r="C416">
        <v>649163</v>
      </c>
      <c r="D416">
        <v>2030518951</v>
      </c>
      <c r="E416" t="s">
        <v>778</v>
      </c>
      <c r="F416" t="s">
        <v>779</v>
      </c>
      <c r="G416" t="s">
        <v>51</v>
      </c>
      <c r="H416" t="s">
        <v>780</v>
      </c>
      <c r="I416" t="s">
        <v>363</v>
      </c>
      <c r="J416" t="s">
        <v>364</v>
      </c>
      <c r="K416">
        <v>651818</v>
      </c>
      <c r="L416" t="s">
        <v>80</v>
      </c>
      <c r="M416" t="s">
        <v>81</v>
      </c>
      <c r="N416" t="s">
        <v>57</v>
      </c>
      <c r="O416" s="1">
        <v>45907</v>
      </c>
      <c r="Q416" s="1">
        <v>46088</v>
      </c>
      <c r="R416" s="2">
        <v>48.69</v>
      </c>
      <c r="S416">
        <v>1</v>
      </c>
      <c r="T416" t="s">
        <v>58</v>
      </c>
      <c r="U416" t="s">
        <v>156</v>
      </c>
      <c r="V416" s="4">
        <v>0.375</v>
      </c>
      <c r="W416" s="2">
        <v>0</v>
      </c>
      <c r="X416">
        <v>0</v>
      </c>
      <c r="Y416" t="s">
        <v>60</v>
      </c>
      <c r="Z416" t="s">
        <v>135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18.260000000000002</v>
      </c>
      <c r="AN416" s="2">
        <v>18.260000000000002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46062</v>
      </c>
      <c r="B417" t="s">
        <v>48</v>
      </c>
      <c r="C417">
        <v>649163</v>
      </c>
      <c r="D417">
        <v>2030784685</v>
      </c>
      <c r="E417" t="s">
        <v>273</v>
      </c>
      <c r="F417" t="s">
        <v>781</v>
      </c>
      <c r="G417" t="s">
        <v>51</v>
      </c>
      <c r="H417" t="s">
        <v>71</v>
      </c>
      <c r="I417" t="s">
        <v>363</v>
      </c>
      <c r="J417" t="s">
        <v>364</v>
      </c>
      <c r="K417">
        <v>823350</v>
      </c>
      <c r="L417" t="s">
        <v>108</v>
      </c>
      <c r="M417" t="s">
        <v>394</v>
      </c>
      <c r="N417" t="s">
        <v>144</v>
      </c>
      <c r="O417" s="1">
        <v>45901</v>
      </c>
      <c r="P417" s="1">
        <v>46055</v>
      </c>
      <c r="Q417" s="1">
        <v>46082</v>
      </c>
      <c r="R417" s="2">
        <v>-182.37</v>
      </c>
      <c r="S417">
        <v>1</v>
      </c>
      <c r="T417" t="s">
        <v>58</v>
      </c>
      <c r="U417" t="s">
        <v>156</v>
      </c>
      <c r="V417" s="4">
        <v>0.375</v>
      </c>
      <c r="W417" s="2">
        <v>0</v>
      </c>
      <c r="X417">
        <v>-1</v>
      </c>
      <c r="Y417" t="s">
        <v>60</v>
      </c>
      <c r="Z417" t="s">
        <v>135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-68.39</v>
      </c>
      <c r="AN417" s="2">
        <v>-68.39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46062</v>
      </c>
      <c r="B418" t="s">
        <v>48</v>
      </c>
      <c r="C418">
        <v>649163</v>
      </c>
      <c r="D418">
        <v>2030966817</v>
      </c>
      <c r="E418" t="s">
        <v>782</v>
      </c>
      <c r="F418" t="s">
        <v>683</v>
      </c>
      <c r="G418" t="s">
        <v>51</v>
      </c>
      <c r="H418" t="s">
        <v>193</v>
      </c>
      <c r="I418" t="s">
        <v>363</v>
      </c>
      <c r="J418" t="s">
        <v>364</v>
      </c>
      <c r="K418">
        <v>823350</v>
      </c>
      <c r="L418" t="s">
        <v>108</v>
      </c>
      <c r="M418" t="s">
        <v>394</v>
      </c>
      <c r="N418" t="s">
        <v>57</v>
      </c>
      <c r="O418" s="1">
        <v>45910</v>
      </c>
      <c r="Q418" s="1">
        <v>46091</v>
      </c>
      <c r="R418" s="2">
        <v>61.74</v>
      </c>
      <c r="S418">
        <v>1</v>
      </c>
      <c r="T418" t="s">
        <v>58</v>
      </c>
      <c r="U418" t="s">
        <v>59</v>
      </c>
      <c r="V418" s="4">
        <v>0.375</v>
      </c>
      <c r="W418" s="2">
        <v>0</v>
      </c>
      <c r="X418">
        <v>0</v>
      </c>
      <c r="Y418" t="s">
        <v>60</v>
      </c>
      <c r="Z418" t="s">
        <v>135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23.15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46062</v>
      </c>
      <c r="B419" t="s">
        <v>48</v>
      </c>
      <c r="C419">
        <v>649163</v>
      </c>
      <c r="D419">
        <v>2030999705</v>
      </c>
      <c r="E419" t="s">
        <v>783</v>
      </c>
      <c r="F419" t="s">
        <v>784</v>
      </c>
      <c r="G419" t="s">
        <v>51</v>
      </c>
      <c r="H419" t="s">
        <v>112</v>
      </c>
      <c r="I419" t="s">
        <v>363</v>
      </c>
      <c r="J419" t="s">
        <v>364</v>
      </c>
      <c r="K419">
        <v>651818</v>
      </c>
      <c r="L419" t="s">
        <v>80</v>
      </c>
      <c r="M419" t="s">
        <v>81</v>
      </c>
      <c r="N419" t="s">
        <v>57</v>
      </c>
      <c r="O419" s="1">
        <v>45913</v>
      </c>
      <c r="Q419" s="1">
        <v>46094</v>
      </c>
      <c r="R419" s="2">
        <v>46.27</v>
      </c>
      <c r="S419">
        <v>1</v>
      </c>
      <c r="T419" t="s">
        <v>58</v>
      </c>
      <c r="U419" t="s">
        <v>59</v>
      </c>
      <c r="V419" s="4">
        <v>0.375</v>
      </c>
      <c r="W419" s="2">
        <v>0</v>
      </c>
      <c r="X419">
        <v>0</v>
      </c>
      <c r="Y419" t="s">
        <v>60</v>
      </c>
      <c r="Z419" t="s">
        <v>135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17.350000000000001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46062</v>
      </c>
      <c r="B420" t="s">
        <v>48</v>
      </c>
      <c r="C420">
        <v>649163</v>
      </c>
      <c r="D420">
        <v>2031017067</v>
      </c>
      <c r="E420" t="s">
        <v>583</v>
      </c>
      <c r="F420" t="s">
        <v>188</v>
      </c>
      <c r="G420" t="s">
        <v>51</v>
      </c>
      <c r="H420" t="s">
        <v>116</v>
      </c>
      <c r="I420" t="s">
        <v>363</v>
      </c>
      <c r="J420" t="s">
        <v>364</v>
      </c>
      <c r="K420">
        <v>877790</v>
      </c>
      <c r="L420" t="s">
        <v>132</v>
      </c>
      <c r="M420" t="s">
        <v>133</v>
      </c>
      <c r="N420" t="s">
        <v>57</v>
      </c>
      <c r="O420" s="1">
        <v>45913</v>
      </c>
      <c r="Q420" s="1">
        <v>46094</v>
      </c>
      <c r="R420" s="2">
        <v>58.15</v>
      </c>
      <c r="S420">
        <v>1</v>
      </c>
      <c r="T420" t="s">
        <v>58</v>
      </c>
      <c r="U420" t="s">
        <v>59</v>
      </c>
      <c r="V420" s="4">
        <v>0.375</v>
      </c>
      <c r="W420" s="2">
        <v>0</v>
      </c>
      <c r="X420">
        <v>0</v>
      </c>
      <c r="Y420" t="s">
        <v>60</v>
      </c>
      <c r="Z420" t="s">
        <v>135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21.81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46062</v>
      </c>
      <c r="B421" t="s">
        <v>48</v>
      </c>
      <c r="C421">
        <v>649163</v>
      </c>
      <c r="D421">
        <v>2031106899</v>
      </c>
      <c r="E421" t="s">
        <v>433</v>
      </c>
      <c r="F421" t="s">
        <v>434</v>
      </c>
      <c r="G421" t="s">
        <v>51</v>
      </c>
      <c r="H421" t="s">
        <v>90</v>
      </c>
      <c r="I421" t="s">
        <v>363</v>
      </c>
      <c r="J421" t="s">
        <v>364</v>
      </c>
      <c r="K421">
        <v>884595</v>
      </c>
      <c r="L421" t="s">
        <v>435</v>
      </c>
      <c r="M421" t="s">
        <v>436</v>
      </c>
      <c r="N421" t="s">
        <v>57</v>
      </c>
      <c r="O421" s="1">
        <v>45931</v>
      </c>
      <c r="Q421" s="1">
        <v>46082</v>
      </c>
      <c r="R421" s="2">
        <v>28.38</v>
      </c>
      <c r="S421">
        <v>1</v>
      </c>
      <c r="T421" t="s">
        <v>58</v>
      </c>
      <c r="U421" t="s">
        <v>59</v>
      </c>
      <c r="V421" s="4">
        <v>0.375</v>
      </c>
      <c r="W421" s="2">
        <v>0</v>
      </c>
      <c r="X421">
        <v>0</v>
      </c>
      <c r="Y421" t="s">
        <v>60</v>
      </c>
      <c r="Z421" t="s">
        <v>135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10.64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46062</v>
      </c>
      <c r="B422" t="s">
        <v>48</v>
      </c>
      <c r="C422">
        <v>649163</v>
      </c>
      <c r="D422">
        <v>2031190207</v>
      </c>
      <c r="E422" t="s">
        <v>785</v>
      </c>
      <c r="F422" t="s">
        <v>337</v>
      </c>
      <c r="G422" t="s">
        <v>51</v>
      </c>
      <c r="H422" t="s">
        <v>209</v>
      </c>
      <c r="I422" t="s">
        <v>363</v>
      </c>
      <c r="J422" t="s">
        <v>364</v>
      </c>
      <c r="K422">
        <v>823350</v>
      </c>
      <c r="L422" t="s">
        <v>108</v>
      </c>
      <c r="M422" t="s">
        <v>394</v>
      </c>
      <c r="N422" t="s">
        <v>57</v>
      </c>
      <c r="O422" s="1">
        <v>45925</v>
      </c>
      <c r="Q422" s="1">
        <v>46106</v>
      </c>
      <c r="R422" s="2">
        <v>63.74</v>
      </c>
      <c r="S422">
        <v>1</v>
      </c>
      <c r="T422" t="s">
        <v>58</v>
      </c>
      <c r="U422" t="s">
        <v>59</v>
      </c>
      <c r="V422" s="4">
        <v>0.375</v>
      </c>
      <c r="W422" s="2">
        <v>0</v>
      </c>
      <c r="X422">
        <v>0</v>
      </c>
      <c r="Y422" t="s">
        <v>60</v>
      </c>
      <c r="Z422" t="s">
        <v>135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23.9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46062</v>
      </c>
      <c r="B423" t="s">
        <v>48</v>
      </c>
      <c r="C423">
        <v>649163</v>
      </c>
      <c r="D423">
        <v>2031195330</v>
      </c>
      <c r="E423" t="s">
        <v>305</v>
      </c>
      <c r="F423" t="s">
        <v>240</v>
      </c>
      <c r="G423" t="s">
        <v>51</v>
      </c>
      <c r="H423" t="s">
        <v>90</v>
      </c>
      <c r="I423" t="s">
        <v>363</v>
      </c>
      <c r="J423" t="s">
        <v>364</v>
      </c>
      <c r="K423">
        <v>884595</v>
      </c>
      <c r="L423" t="s">
        <v>435</v>
      </c>
      <c r="M423" t="s">
        <v>436</v>
      </c>
      <c r="N423" t="s">
        <v>57</v>
      </c>
      <c r="O423" s="1">
        <v>45939</v>
      </c>
      <c r="Q423" s="1">
        <v>46090</v>
      </c>
      <c r="R423" s="2">
        <v>28.38</v>
      </c>
      <c r="S423">
        <v>1</v>
      </c>
      <c r="T423" t="s">
        <v>58</v>
      </c>
      <c r="U423" t="s">
        <v>59</v>
      </c>
      <c r="V423" s="4">
        <v>0.375</v>
      </c>
      <c r="W423" s="2">
        <v>0</v>
      </c>
      <c r="X423">
        <v>0</v>
      </c>
      <c r="Y423" t="s">
        <v>60</v>
      </c>
      <c r="Z423" t="s">
        <v>135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10.64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46062</v>
      </c>
      <c r="B424" t="s">
        <v>48</v>
      </c>
      <c r="C424">
        <v>649163</v>
      </c>
      <c r="D424">
        <v>2031247583</v>
      </c>
      <c r="E424" t="s">
        <v>786</v>
      </c>
      <c r="F424" t="s">
        <v>285</v>
      </c>
      <c r="G424" t="s">
        <v>51</v>
      </c>
      <c r="H424" t="s">
        <v>66</v>
      </c>
      <c r="I424" t="s">
        <v>363</v>
      </c>
      <c r="J424" t="s">
        <v>364</v>
      </c>
      <c r="K424">
        <v>651818</v>
      </c>
      <c r="L424" t="s">
        <v>80</v>
      </c>
      <c r="M424" t="s">
        <v>81</v>
      </c>
      <c r="N424" t="s">
        <v>57</v>
      </c>
      <c r="O424" s="1">
        <v>45936</v>
      </c>
      <c r="Q424" s="1">
        <v>46087</v>
      </c>
      <c r="R424" s="2">
        <v>149.87</v>
      </c>
      <c r="S424">
        <v>1</v>
      </c>
      <c r="T424" t="s">
        <v>58</v>
      </c>
      <c r="U424" t="s">
        <v>59</v>
      </c>
      <c r="V424" s="4">
        <v>0.375</v>
      </c>
      <c r="W424" s="2">
        <v>0</v>
      </c>
      <c r="X424">
        <v>0</v>
      </c>
      <c r="Y424" t="s">
        <v>60</v>
      </c>
      <c r="Z424" t="s">
        <v>135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56.2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46062</v>
      </c>
      <c r="B425" t="s">
        <v>48</v>
      </c>
      <c r="C425">
        <v>649163</v>
      </c>
      <c r="D425">
        <v>2031492462</v>
      </c>
      <c r="E425" t="s">
        <v>787</v>
      </c>
      <c r="F425" t="s">
        <v>201</v>
      </c>
      <c r="G425" t="s">
        <v>51</v>
      </c>
      <c r="H425" t="s">
        <v>71</v>
      </c>
      <c r="I425" t="s">
        <v>363</v>
      </c>
      <c r="J425" t="s">
        <v>364</v>
      </c>
      <c r="K425">
        <v>823350</v>
      </c>
      <c r="L425" t="s">
        <v>108</v>
      </c>
      <c r="M425" t="s">
        <v>394</v>
      </c>
      <c r="N425" t="s">
        <v>57</v>
      </c>
      <c r="O425" s="1">
        <v>45938</v>
      </c>
      <c r="Q425" s="1">
        <v>46089</v>
      </c>
      <c r="R425" s="2">
        <v>88.69</v>
      </c>
      <c r="S425">
        <v>1</v>
      </c>
      <c r="T425" t="s">
        <v>58</v>
      </c>
      <c r="U425" t="s">
        <v>59</v>
      </c>
      <c r="V425" s="4">
        <v>0.375</v>
      </c>
      <c r="W425" s="2">
        <v>0</v>
      </c>
      <c r="X425">
        <v>0</v>
      </c>
      <c r="Y425" t="s">
        <v>60</v>
      </c>
      <c r="Z425" t="s">
        <v>135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33.26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46062</v>
      </c>
      <c r="B426" t="s">
        <v>48</v>
      </c>
      <c r="C426">
        <v>649163</v>
      </c>
      <c r="D426">
        <v>2031526095</v>
      </c>
      <c r="E426" t="s">
        <v>788</v>
      </c>
      <c r="F426" t="s">
        <v>734</v>
      </c>
      <c r="G426" t="s">
        <v>51</v>
      </c>
      <c r="H426" t="s">
        <v>116</v>
      </c>
      <c r="I426" t="s">
        <v>363</v>
      </c>
      <c r="J426" t="s">
        <v>364</v>
      </c>
      <c r="K426">
        <v>877790</v>
      </c>
      <c r="L426" t="s">
        <v>132</v>
      </c>
      <c r="M426" t="s">
        <v>133</v>
      </c>
      <c r="N426" t="s">
        <v>57</v>
      </c>
      <c r="O426" s="1">
        <v>45939</v>
      </c>
      <c r="Q426" s="1">
        <v>46090</v>
      </c>
      <c r="R426" s="2">
        <v>48.15</v>
      </c>
      <c r="S426">
        <v>1</v>
      </c>
      <c r="T426" t="s">
        <v>58</v>
      </c>
      <c r="U426" t="s">
        <v>59</v>
      </c>
      <c r="V426" s="4">
        <v>0.375</v>
      </c>
      <c r="W426" s="2">
        <v>0</v>
      </c>
      <c r="X426">
        <v>0</v>
      </c>
      <c r="Y426" t="s">
        <v>60</v>
      </c>
      <c r="Z426" t="s">
        <v>135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18.059999999999999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46062</v>
      </c>
      <c r="B427" t="s">
        <v>48</v>
      </c>
      <c r="C427">
        <v>649163</v>
      </c>
      <c r="D427">
        <v>2032025081</v>
      </c>
      <c r="E427" t="s">
        <v>789</v>
      </c>
      <c r="F427" t="s">
        <v>602</v>
      </c>
      <c r="G427" t="s">
        <v>51</v>
      </c>
      <c r="H427" t="s">
        <v>87</v>
      </c>
      <c r="I427" t="s">
        <v>383</v>
      </c>
      <c r="J427" t="s">
        <v>384</v>
      </c>
      <c r="K427">
        <v>651818</v>
      </c>
      <c r="L427" t="s">
        <v>80</v>
      </c>
      <c r="M427" t="s">
        <v>81</v>
      </c>
      <c r="N427" t="s">
        <v>57</v>
      </c>
      <c r="O427" s="1">
        <v>46028</v>
      </c>
      <c r="Q427" s="1">
        <v>46087</v>
      </c>
      <c r="R427" s="2">
        <v>107.46</v>
      </c>
      <c r="S427">
        <v>1</v>
      </c>
      <c r="T427" t="s">
        <v>58</v>
      </c>
      <c r="U427" t="s">
        <v>59</v>
      </c>
      <c r="V427" s="3">
        <v>0.7</v>
      </c>
      <c r="W427" s="2">
        <v>0</v>
      </c>
      <c r="X427">
        <v>0</v>
      </c>
      <c r="Y427" t="s">
        <v>60</v>
      </c>
      <c r="Z427" t="s">
        <v>135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75.22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46062</v>
      </c>
      <c r="B428" t="s">
        <v>48</v>
      </c>
      <c r="C428">
        <v>649163</v>
      </c>
      <c r="D428">
        <v>2032033581</v>
      </c>
      <c r="E428" t="s">
        <v>790</v>
      </c>
      <c r="F428" t="s">
        <v>500</v>
      </c>
      <c r="G428" t="s">
        <v>51</v>
      </c>
      <c r="H428" t="s">
        <v>66</v>
      </c>
      <c r="I428" t="s">
        <v>383</v>
      </c>
      <c r="J428" t="s">
        <v>385</v>
      </c>
      <c r="K428">
        <v>839474</v>
      </c>
      <c r="L428" t="s">
        <v>334</v>
      </c>
      <c r="M428" t="s">
        <v>335</v>
      </c>
      <c r="N428" t="s">
        <v>57</v>
      </c>
      <c r="O428" s="1">
        <v>45968</v>
      </c>
      <c r="Q428" s="1">
        <v>46088</v>
      </c>
      <c r="R428" s="2">
        <v>44.71</v>
      </c>
      <c r="S428">
        <v>1</v>
      </c>
      <c r="T428" t="s">
        <v>58</v>
      </c>
      <c r="U428" t="s">
        <v>59</v>
      </c>
      <c r="V428" s="3">
        <v>0.9</v>
      </c>
      <c r="W428" s="2">
        <v>0</v>
      </c>
      <c r="X428">
        <v>0</v>
      </c>
      <c r="Y428" t="s">
        <v>60</v>
      </c>
      <c r="Z428" t="s">
        <v>135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40.24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46062</v>
      </c>
      <c r="B429" t="s">
        <v>48</v>
      </c>
      <c r="C429">
        <v>649163</v>
      </c>
      <c r="D429">
        <v>2032033829</v>
      </c>
      <c r="E429" t="s">
        <v>790</v>
      </c>
      <c r="F429" t="s">
        <v>298</v>
      </c>
      <c r="G429" t="s">
        <v>51</v>
      </c>
      <c r="H429" t="s">
        <v>66</v>
      </c>
      <c r="I429" t="s">
        <v>383</v>
      </c>
      <c r="J429" t="s">
        <v>385</v>
      </c>
      <c r="K429">
        <v>839474</v>
      </c>
      <c r="L429" t="s">
        <v>334</v>
      </c>
      <c r="M429" t="s">
        <v>335</v>
      </c>
      <c r="N429" t="s">
        <v>57</v>
      </c>
      <c r="O429" s="1">
        <v>45968</v>
      </c>
      <c r="Q429" s="1">
        <v>46088</v>
      </c>
      <c r="R429" s="2">
        <v>112.92</v>
      </c>
      <c r="S429">
        <v>1</v>
      </c>
      <c r="T429" t="s">
        <v>58</v>
      </c>
      <c r="U429" t="s">
        <v>59</v>
      </c>
      <c r="V429" s="3">
        <v>0.9</v>
      </c>
      <c r="W429" s="2">
        <v>0</v>
      </c>
      <c r="X429">
        <v>0</v>
      </c>
      <c r="Y429" t="s">
        <v>60</v>
      </c>
      <c r="Z429" t="s">
        <v>135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101.63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46062</v>
      </c>
      <c r="B430" t="s">
        <v>48</v>
      </c>
      <c r="C430">
        <v>649163</v>
      </c>
      <c r="D430">
        <v>2032038377</v>
      </c>
      <c r="E430" t="s">
        <v>791</v>
      </c>
      <c r="F430" t="s">
        <v>792</v>
      </c>
      <c r="G430" t="s">
        <v>51</v>
      </c>
      <c r="H430" t="s">
        <v>66</v>
      </c>
      <c r="I430" t="s">
        <v>383</v>
      </c>
      <c r="J430" t="s">
        <v>384</v>
      </c>
      <c r="K430">
        <v>839554</v>
      </c>
      <c r="L430" t="s">
        <v>793</v>
      </c>
      <c r="M430" t="s">
        <v>794</v>
      </c>
      <c r="N430" t="s">
        <v>144</v>
      </c>
      <c r="O430" s="1">
        <v>45968</v>
      </c>
      <c r="P430" s="1">
        <v>46062</v>
      </c>
      <c r="Q430" s="1">
        <v>46088</v>
      </c>
      <c r="R430" s="2">
        <v>-25.78</v>
      </c>
      <c r="S430">
        <v>1</v>
      </c>
      <c r="T430" t="s">
        <v>58</v>
      </c>
      <c r="U430" t="s">
        <v>59</v>
      </c>
      <c r="V430" s="3">
        <v>0.7</v>
      </c>
      <c r="W430" s="2">
        <v>0</v>
      </c>
      <c r="X430">
        <v>-1</v>
      </c>
      <c r="Y430" t="s">
        <v>60</v>
      </c>
      <c r="Z430" t="s">
        <v>135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-18.05</v>
      </c>
      <c r="AN430" s="2">
        <v>-18.05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46062</v>
      </c>
      <c r="B431" t="s">
        <v>48</v>
      </c>
      <c r="C431">
        <v>649163</v>
      </c>
      <c r="D431">
        <v>2032038860</v>
      </c>
      <c r="E431" t="s">
        <v>795</v>
      </c>
      <c r="F431" t="s">
        <v>176</v>
      </c>
      <c r="G431" t="s">
        <v>51</v>
      </c>
      <c r="H431" t="s">
        <v>66</v>
      </c>
      <c r="I431" t="s">
        <v>383</v>
      </c>
      <c r="J431" t="s">
        <v>384</v>
      </c>
      <c r="K431">
        <v>843573</v>
      </c>
      <c r="L431" t="s">
        <v>365</v>
      </c>
      <c r="M431" t="s">
        <v>366</v>
      </c>
      <c r="N431" t="s">
        <v>57</v>
      </c>
      <c r="O431" s="1">
        <v>45972</v>
      </c>
      <c r="Q431" s="1">
        <v>46092</v>
      </c>
      <c r="R431" s="2">
        <v>27.5</v>
      </c>
      <c r="S431">
        <v>1</v>
      </c>
      <c r="T431" t="s">
        <v>58</v>
      </c>
      <c r="U431" t="s">
        <v>59</v>
      </c>
      <c r="V431" s="3">
        <v>0.7</v>
      </c>
      <c r="W431" s="2">
        <v>0</v>
      </c>
      <c r="X431">
        <v>0</v>
      </c>
      <c r="Y431" t="s">
        <v>60</v>
      </c>
      <c r="Z431" t="s">
        <v>135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19.25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46062</v>
      </c>
      <c r="B432" t="s">
        <v>48</v>
      </c>
      <c r="C432">
        <v>649163</v>
      </c>
      <c r="D432">
        <v>2032057066</v>
      </c>
      <c r="E432" t="s">
        <v>796</v>
      </c>
      <c r="F432" t="s">
        <v>797</v>
      </c>
      <c r="G432" t="s">
        <v>51</v>
      </c>
      <c r="H432" t="s">
        <v>116</v>
      </c>
      <c r="I432" t="s">
        <v>383</v>
      </c>
      <c r="J432" t="s">
        <v>384</v>
      </c>
      <c r="K432">
        <v>812656</v>
      </c>
      <c r="L432" t="s">
        <v>740</v>
      </c>
      <c r="M432" t="s">
        <v>741</v>
      </c>
      <c r="N432" t="s">
        <v>57</v>
      </c>
      <c r="O432" s="1">
        <v>45969</v>
      </c>
      <c r="Q432" s="1">
        <v>46089</v>
      </c>
      <c r="R432" s="2">
        <v>17.899999999999999</v>
      </c>
      <c r="S432">
        <v>1</v>
      </c>
      <c r="T432" t="s">
        <v>58</v>
      </c>
      <c r="U432" t="s">
        <v>59</v>
      </c>
      <c r="V432" s="3">
        <v>0.7</v>
      </c>
      <c r="W432" s="2">
        <v>0</v>
      </c>
      <c r="X432">
        <v>0</v>
      </c>
      <c r="Y432" t="s">
        <v>60</v>
      </c>
      <c r="Z432" t="s">
        <v>135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12.53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46062</v>
      </c>
      <c r="B433" t="s">
        <v>48</v>
      </c>
      <c r="C433">
        <v>649163</v>
      </c>
      <c r="D433">
        <v>2032063038</v>
      </c>
      <c r="E433" t="s">
        <v>798</v>
      </c>
      <c r="F433" t="s">
        <v>120</v>
      </c>
      <c r="G433" t="s">
        <v>51</v>
      </c>
      <c r="H433" t="s">
        <v>309</v>
      </c>
      <c r="I433" t="s">
        <v>383</v>
      </c>
      <c r="J433" t="s">
        <v>385</v>
      </c>
      <c r="K433">
        <v>767312</v>
      </c>
      <c r="L433" t="s">
        <v>310</v>
      </c>
      <c r="M433" t="s">
        <v>311</v>
      </c>
      <c r="N433" t="s">
        <v>57</v>
      </c>
      <c r="O433" s="1">
        <v>45969</v>
      </c>
      <c r="Q433" s="1">
        <v>46089</v>
      </c>
      <c r="R433" s="2">
        <v>98.58</v>
      </c>
      <c r="S433">
        <v>1</v>
      </c>
      <c r="T433" t="s">
        <v>58</v>
      </c>
      <c r="U433" t="s">
        <v>59</v>
      </c>
      <c r="V433" s="3">
        <v>0.9</v>
      </c>
      <c r="W433" s="2">
        <v>0</v>
      </c>
      <c r="X433">
        <v>0</v>
      </c>
      <c r="Y433" t="s">
        <v>60</v>
      </c>
      <c r="Z433" t="s">
        <v>135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88.72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46062</v>
      </c>
      <c r="B434" t="s">
        <v>48</v>
      </c>
      <c r="C434">
        <v>649163</v>
      </c>
      <c r="D434">
        <v>2032063752</v>
      </c>
      <c r="E434" t="s">
        <v>799</v>
      </c>
      <c r="F434" t="s">
        <v>800</v>
      </c>
      <c r="G434" t="s">
        <v>51</v>
      </c>
      <c r="H434" t="s">
        <v>66</v>
      </c>
      <c r="I434" t="s">
        <v>383</v>
      </c>
      <c r="J434" t="s">
        <v>384</v>
      </c>
      <c r="K434">
        <v>807212</v>
      </c>
      <c r="L434" t="s">
        <v>801</v>
      </c>
      <c r="M434" t="s">
        <v>802</v>
      </c>
      <c r="N434" t="s">
        <v>57</v>
      </c>
      <c r="O434" s="1">
        <v>45969</v>
      </c>
      <c r="Q434" s="1">
        <v>46089</v>
      </c>
      <c r="R434" s="2">
        <v>19</v>
      </c>
      <c r="S434">
        <v>1</v>
      </c>
      <c r="T434" t="s">
        <v>58</v>
      </c>
      <c r="U434" t="s">
        <v>59</v>
      </c>
      <c r="V434" s="3">
        <v>0.7</v>
      </c>
      <c r="W434" s="2">
        <v>0</v>
      </c>
      <c r="X434">
        <v>0</v>
      </c>
      <c r="Y434" t="s">
        <v>60</v>
      </c>
      <c r="Z434" t="s">
        <v>135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13.3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46062</v>
      </c>
      <c r="B435" t="s">
        <v>48</v>
      </c>
      <c r="C435">
        <v>649163</v>
      </c>
      <c r="D435">
        <v>2032073740</v>
      </c>
      <c r="E435" t="s">
        <v>803</v>
      </c>
      <c r="F435" t="s">
        <v>804</v>
      </c>
      <c r="G435" t="s">
        <v>51</v>
      </c>
      <c r="H435" t="s">
        <v>66</v>
      </c>
      <c r="I435" t="s">
        <v>383</v>
      </c>
      <c r="J435" t="s">
        <v>384</v>
      </c>
      <c r="K435">
        <v>807212</v>
      </c>
      <c r="L435" t="s">
        <v>801</v>
      </c>
      <c r="M435" t="s">
        <v>802</v>
      </c>
      <c r="N435" t="s">
        <v>57</v>
      </c>
      <c r="O435" s="1">
        <v>45970</v>
      </c>
      <c r="Q435" s="1">
        <v>46090</v>
      </c>
      <c r="R435" s="2">
        <v>24.65</v>
      </c>
      <c r="S435">
        <v>1</v>
      </c>
      <c r="T435" t="s">
        <v>58</v>
      </c>
      <c r="U435" t="s">
        <v>59</v>
      </c>
      <c r="V435" s="3">
        <v>0.7</v>
      </c>
      <c r="W435" s="2">
        <v>0</v>
      </c>
      <c r="X435">
        <v>0</v>
      </c>
      <c r="Y435" t="s">
        <v>60</v>
      </c>
      <c r="Z435" t="s">
        <v>135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17.260000000000002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46062</v>
      </c>
      <c r="B436" t="s">
        <v>48</v>
      </c>
      <c r="C436">
        <v>649163</v>
      </c>
      <c r="D436">
        <v>2032075678</v>
      </c>
      <c r="E436" t="s">
        <v>805</v>
      </c>
      <c r="F436" t="s">
        <v>806</v>
      </c>
      <c r="G436" t="s">
        <v>51</v>
      </c>
      <c r="H436" t="s">
        <v>66</v>
      </c>
      <c r="I436" t="s">
        <v>383</v>
      </c>
      <c r="J436" t="s">
        <v>384</v>
      </c>
      <c r="K436">
        <v>807212</v>
      </c>
      <c r="L436" t="s">
        <v>801</v>
      </c>
      <c r="M436" t="s">
        <v>802</v>
      </c>
      <c r="N436" t="s">
        <v>57</v>
      </c>
      <c r="O436" s="1">
        <v>45970</v>
      </c>
      <c r="Q436" s="1">
        <v>46090</v>
      </c>
      <c r="R436" s="2">
        <v>11.5</v>
      </c>
      <c r="S436">
        <v>1</v>
      </c>
      <c r="T436" t="s">
        <v>58</v>
      </c>
      <c r="U436" t="s">
        <v>59</v>
      </c>
      <c r="V436" s="3">
        <v>0.7</v>
      </c>
      <c r="W436" s="2">
        <v>0</v>
      </c>
      <c r="X436">
        <v>0</v>
      </c>
      <c r="Y436" t="s">
        <v>60</v>
      </c>
      <c r="Z436" t="s">
        <v>135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8.0500000000000007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46062</v>
      </c>
      <c r="B437" t="s">
        <v>48</v>
      </c>
      <c r="C437">
        <v>649163</v>
      </c>
      <c r="D437">
        <v>2032077734</v>
      </c>
      <c r="E437" t="s">
        <v>807</v>
      </c>
      <c r="F437" t="s">
        <v>808</v>
      </c>
      <c r="G437" t="s">
        <v>51</v>
      </c>
      <c r="H437" t="s">
        <v>90</v>
      </c>
      <c r="I437" t="s">
        <v>383</v>
      </c>
      <c r="J437" t="s">
        <v>384</v>
      </c>
      <c r="K437">
        <v>822733</v>
      </c>
      <c r="L437" t="s">
        <v>442</v>
      </c>
      <c r="M437" t="s">
        <v>443</v>
      </c>
      <c r="N437" t="s">
        <v>57</v>
      </c>
      <c r="O437" s="1">
        <v>45972</v>
      </c>
      <c r="Q437" s="1">
        <v>46092</v>
      </c>
      <c r="R437" s="2">
        <v>89.52</v>
      </c>
      <c r="S437">
        <v>1</v>
      </c>
      <c r="T437" t="s">
        <v>58</v>
      </c>
      <c r="U437" t="s">
        <v>59</v>
      </c>
      <c r="V437" s="3">
        <v>0.7</v>
      </c>
      <c r="W437" s="2">
        <v>0</v>
      </c>
      <c r="X437">
        <v>0</v>
      </c>
      <c r="Y437" t="s">
        <v>60</v>
      </c>
      <c r="Z437" t="s">
        <v>135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62.66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46062</v>
      </c>
      <c r="B438" t="s">
        <v>48</v>
      </c>
      <c r="C438">
        <v>649163</v>
      </c>
      <c r="D438">
        <v>2032078149</v>
      </c>
      <c r="E438" t="s">
        <v>809</v>
      </c>
      <c r="F438" t="s">
        <v>810</v>
      </c>
      <c r="G438" t="s">
        <v>51</v>
      </c>
      <c r="H438" t="s">
        <v>66</v>
      </c>
      <c r="I438" t="s">
        <v>383</v>
      </c>
      <c r="J438" t="s">
        <v>384</v>
      </c>
      <c r="K438">
        <v>807212</v>
      </c>
      <c r="L438" t="s">
        <v>801</v>
      </c>
      <c r="M438" t="s">
        <v>802</v>
      </c>
      <c r="N438" t="s">
        <v>57</v>
      </c>
      <c r="O438" s="1">
        <v>45971</v>
      </c>
      <c r="Q438" s="1">
        <v>46091</v>
      </c>
      <c r="R438" s="2">
        <v>27.5</v>
      </c>
      <c r="S438">
        <v>1</v>
      </c>
      <c r="T438" t="s">
        <v>58</v>
      </c>
      <c r="U438" t="s">
        <v>59</v>
      </c>
      <c r="V438" s="3">
        <v>0.7</v>
      </c>
      <c r="W438" s="2">
        <v>0</v>
      </c>
      <c r="X438">
        <v>0</v>
      </c>
      <c r="Y438" t="s">
        <v>60</v>
      </c>
      <c r="Z438" t="s">
        <v>135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19.25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46062</v>
      </c>
      <c r="B439" t="s">
        <v>48</v>
      </c>
      <c r="C439">
        <v>649163</v>
      </c>
      <c r="D439">
        <v>2032082996</v>
      </c>
      <c r="E439" t="s">
        <v>311</v>
      </c>
      <c r="F439" t="s">
        <v>811</v>
      </c>
      <c r="G439" t="s">
        <v>51</v>
      </c>
      <c r="H439" t="s">
        <v>66</v>
      </c>
      <c r="I439" t="s">
        <v>383</v>
      </c>
      <c r="J439" t="s">
        <v>384</v>
      </c>
      <c r="K439">
        <v>651818</v>
      </c>
      <c r="L439" t="s">
        <v>80</v>
      </c>
      <c r="M439" t="s">
        <v>81</v>
      </c>
      <c r="N439" t="s">
        <v>57</v>
      </c>
      <c r="O439" s="1">
        <v>45997</v>
      </c>
      <c r="Q439" s="1">
        <v>46087</v>
      </c>
      <c r="R439" s="2">
        <v>61.08</v>
      </c>
      <c r="S439">
        <v>1</v>
      </c>
      <c r="T439" t="s">
        <v>58</v>
      </c>
      <c r="U439" t="s">
        <v>59</v>
      </c>
      <c r="V439" s="3">
        <v>0.7</v>
      </c>
      <c r="W439" s="2">
        <v>0</v>
      </c>
      <c r="X439">
        <v>0</v>
      </c>
      <c r="Y439" t="s">
        <v>60</v>
      </c>
      <c r="Z439" t="s">
        <v>135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42.76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46062</v>
      </c>
      <c r="B440" t="s">
        <v>48</v>
      </c>
      <c r="C440">
        <v>649163</v>
      </c>
      <c r="D440">
        <v>2032093460</v>
      </c>
      <c r="E440" t="s">
        <v>812</v>
      </c>
      <c r="F440" t="s">
        <v>188</v>
      </c>
      <c r="G440" t="s">
        <v>51</v>
      </c>
      <c r="H440" t="s">
        <v>66</v>
      </c>
      <c r="I440" t="s">
        <v>383</v>
      </c>
      <c r="J440" t="s">
        <v>384</v>
      </c>
      <c r="K440">
        <v>812782</v>
      </c>
      <c r="L440" t="s">
        <v>325</v>
      </c>
      <c r="M440" t="s">
        <v>326</v>
      </c>
      <c r="N440" t="s">
        <v>144</v>
      </c>
      <c r="O440" s="1">
        <v>46023</v>
      </c>
      <c r="P440" s="1">
        <v>46062</v>
      </c>
      <c r="Q440" s="1">
        <v>46082</v>
      </c>
      <c r="R440" s="2">
        <v>-118.88</v>
      </c>
      <c r="S440">
        <v>1</v>
      </c>
      <c r="T440" t="s">
        <v>58</v>
      </c>
      <c r="U440" t="s">
        <v>59</v>
      </c>
      <c r="V440" s="3">
        <v>0.7</v>
      </c>
      <c r="W440" s="2">
        <v>0</v>
      </c>
      <c r="X440">
        <v>-1</v>
      </c>
      <c r="Y440" t="s">
        <v>60</v>
      </c>
      <c r="Z440" t="s">
        <v>135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-83.22</v>
      </c>
      <c r="AN440" s="2">
        <v>-83.22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46062</v>
      </c>
      <c r="B441" t="s">
        <v>48</v>
      </c>
      <c r="C441">
        <v>649163</v>
      </c>
      <c r="D441">
        <v>2032095170</v>
      </c>
      <c r="E441" t="s">
        <v>813</v>
      </c>
      <c r="F441" t="s">
        <v>705</v>
      </c>
      <c r="G441" t="s">
        <v>51</v>
      </c>
      <c r="H441" t="s">
        <v>66</v>
      </c>
      <c r="I441" t="s">
        <v>383</v>
      </c>
      <c r="J441" t="s">
        <v>384</v>
      </c>
      <c r="K441">
        <v>824076</v>
      </c>
      <c r="L441" t="s">
        <v>340</v>
      </c>
      <c r="M441" t="s">
        <v>341</v>
      </c>
      <c r="N441" t="s">
        <v>57</v>
      </c>
      <c r="O441" s="1">
        <v>45972</v>
      </c>
      <c r="Q441" s="1">
        <v>46092</v>
      </c>
      <c r="R441" s="2">
        <v>59.4</v>
      </c>
      <c r="S441">
        <v>1</v>
      </c>
      <c r="T441" t="s">
        <v>58</v>
      </c>
      <c r="U441" t="s">
        <v>59</v>
      </c>
      <c r="V441" s="3">
        <v>0.7</v>
      </c>
      <c r="W441" s="2">
        <v>0</v>
      </c>
      <c r="X441">
        <v>0</v>
      </c>
      <c r="Y441" t="s">
        <v>60</v>
      </c>
      <c r="Z441" t="s">
        <v>135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41.58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46062</v>
      </c>
      <c r="B442" t="s">
        <v>48</v>
      </c>
      <c r="C442">
        <v>649163</v>
      </c>
      <c r="D442">
        <v>2032104992</v>
      </c>
      <c r="E442" t="s">
        <v>814</v>
      </c>
      <c r="F442" t="s">
        <v>799</v>
      </c>
      <c r="G442" t="s">
        <v>51</v>
      </c>
      <c r="H442" t="s">
        <v>66</v>
      </c>
      <c r="I442" t="s">
        <v>383</v>
      </c>
      <c r="J442" t="s">
        <v>384</v>
      </c>
      <c r="K442">
        <v>843573</v>
      </c>
      <c r="L442" t="s">
        <v>365</v>
      </c>
      <c r="M442" t="s">
        <v>366</v>
      </c>
      <c r="N442" t="s">
        <v>57</v>
      </c>
      <c r="O442" s="1">
        <v>46024</v>
      </c>
      <c r="Q442" s="1">
        <v>46083</v>
      </c>
      <c r="R442" s="2">
        <v>-11.5</v>
      </c>
      <c r="S442">
        <v>1</v>
      </c>
      <c r="T442" t="s">
        <v>58</v>
      </c>
      <c r="U442" t="s">
        <v>59</v>
      </c>
      <c r="V442" s="3">
        <v>0.7</v>
      </c>
      <c r="W442" s="2">
        <v>0</v>
      </c>
      <c r="X442">
        <v>-1</v>
      </c>
      <c r="Y442" t="s">
        <v>60</v>
      </c>
      <c r="Z442" t="s">
        <v>135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-8.0500000000000007</v>
      </c>
      <c r="AN442" s="2">
        <v>-8.0500000000000007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46062</v>
      </c>
      <c r="B443" t="s">
        <v>48</v>
      </c>
      <c r="C443">
        <v>649163</v>
      </c>
      <c r="D443">
        <v>2032111467</v>
      </c>
      <c r="E443" t="s">
        <v>815</v>
      </c>
      <c r="F443" t="s">
        <v>816</v>
      </c>
      <c r="G443" t="s">
        <v>51</v>
      </c>
      <c r="H443" t="s">
        <v>170</v>
      </c>
      <c r="I443" t="s">
        <v>383</v>
      </c>
      <c r="J443" t="s">
        <v>384</v>
      </c>
      <c r="K443">
        <v>897926</v>
      </c>
      <c r="L443" t="s">
        <v>817</v>
      </c>
      <c r="M443" t="s">
        <v>143</v>
      </c>
      <c r="N443" t="s">
        <v>57</v>
      </c>
      <c r="O443" s="1">
        <v>45973</v>
      </c>
      <c r="Q443" s="1">
        <v>46093</v>
      </c>
      <c r="R443" s="2">
        <v>29.79</v>
      </c>
      <c r="S443">
        <v>1</v>
      </c>
      <c r="T443" t="s">
        <v>58</v>
      </c>
      <c r="U443" t="s">
        <v>59</v>
      </c>
      <c r="V443" s="3">
        <v>0.7</v>
      </c>
      <c r="W443" s="2">
        <v>0</v>
      </c>
      <c r="X443">
        <v>0</v>
      </c>
      <c r="Y443" t="s">
        <v>60</v>
      </c>
      <c r="Z443" t="s">
        <v>135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20.85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46062</v>
      </c>
      <c r="B444" t="s">
        <v>48</v>
      </c>
      <c r="C444">
        <v>649163</v>
      </c>
      <c r="D444">
        <v>2032114433</v>
      </c>
      <c r="E444" t="s">
        <v>818</v>
      </c>
      <c r="F444" t="s">
        <v>819</v>
      </c>
      <c r="G444" t="s">
        <v>51</v>
      </c>
      <c r="H444" t="s">
        <v>66</v>
      </c>
      <c r="I444" t="s">
        <v>383</v>
      </c>
      <c r="J444" t="s">
        <v>385</v>
      </c>
      <c r="K444">
        <v>894525</v>
      </c>
      <c r="L444" t="s">
        <v>67</v>
      </c>
      <c r="M444" t="s">
        <v>68</v>
      </c>
      <c r="N444" t="s">
        <v>57</v>
      </c>
      <c r="O444" s="1">
        <v>45973</v>
      </c>
      <c r="Q444" s="1">
        <v>46093</v>
      </c>
      <c r="R444" s="2">
        <v>41.75</v>
      </c>
      <c r="S444">
        <v>1</v>
      </c>
      <c r="T444" t="s">
        <v>58</v>
      </c>
      <c r="U444" t="s">
        <v>59</v>
      </c>
      <c r="V444" s="3">
        <v>0.9</v>
      </c>
      <c r="W444" s="2">
        <v>0</v>
      </c>
      <c r="X444">
        <v>0</v>
      </c>
      <c r="Y444" t="s">
        <v>60</v>
      </c>
      <c r="Z444" t="s">
        <v>135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37.58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46062</v>
      </c>
      <c r="B445" t="s">
        <v>48</v>
      </c>
      <c r="C445">
        <v>649163</v>
      </c>
      <c r="D445">
        <v>2032114519</v>
      </c>
      <c r="E445" t="s">
        <v>818</v>
      </c>
      <c r="F445" t="s">
        <v>65</v>
      </c>
      <c r="G445" t="s">
        <v>51</v>
      </c>
      <c r="H445" t="s">
        <v>66</v>
      </c>
      <c r="I445" t="s">
        <v>383</v>
      </c>
      <c r="J445" t="s">
        <v>385</v>
      </c>
      <c r="K445">
        <v>894525</v>
      </c>
      <c r="L445" t="s">
        <v>67</v>
      </c>
      <c r="M445" t="s">
        <v>68</v>
      </c>
      <c r="N445" t="s">
        <v>57</v>
      </c>
      <c r="O445" s="1">
        <v>45973</v>
      </c>
      <c r="Q445" s="1">
        <v>46093</v>
      </c>
      <c r="R445" s="2">
        <v>56.75</v>
      </c>
      <c r="S445">
        <v>1</v>
      </c>
      <c r="T445" t="s">
        <v>58</v>
      </c>
      <c r="U445" t="s">
        <v>59</v>
      </c>
      <c r="V445" s="3">
        <v>0.9</v>
      </c>
      <c r="W445" s="2">
        <v>0</v>
      </c>
      <c r="X445">
        <v>0</v>
      </c>
      <c r="Y445" t="s">
        <v>60</v>
      </c>
      <c r="Z445" t="s">
        <v>135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51.08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46062</v>
      </c>
      <c r="B446" t="s">
        <v>48</v>
      </c>
      <c r="C446">
        <v>649163</v>
      </c>
      <c r="D446">
        <v>2032127344</v>
      </c>
      <c r="E446" t="s">
        <v>820</v>
      </c>
      <c r="F446" t="s">
        <v>581</v>
      </c>
      <c r="G446" t="s">
        <v>51</v>
      </c>
      <c r="H446" t="s">
        <v>84</v>
      </c>
      <c r="I446" t="s">
        <v>383</v>
      </c>
      <c r="J446" t="s">
        <v>384</v>
      </c>
      <c r="K446">
        <v>651818</v>
      </c>
      <c r="L446" t="s">
        <v>80</v>
      </c>
      <c r="M446" t="s">
        <v>81</v>
      </c>
      <c r="N446" t="s">
        <v>57</v>
      </c>
      <c r="O446" s="1">
        <v>46028</v>
      </c>
      <c r="Q446" s="1">
        <v>46087</v>
      </c>
      <c r="R446" s="2">
        <v>34</v>
      </c>
      <c r="S446">
        <v>1</v>
      </c>
      <c r="T446" t="s">
        <v>58</v>
      </c>
      <c r="U446" t="s">
        <v>59</v>
      </c>
      <c r="V446" s="3">
        <v>0.7</v>
      </c>
      <c r="W446" s="2">
        <v>0</v>
      </c>
      <c r="X446">
        <v>0</v>
      </c>
      <c r="Y446" t="s">
        <v>60</v>
      </c>
      <c r="Z446" t="s">
        <v>135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23.8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46062</v>
      </c>
      <c r="B447" t="s">
        <v>48</v>
      </c>
      <c r="C447">
        <v>649163</v>
      </c>
      <c r="D447">
        <v>2032129357</v>
      </c>
      <c r="E447" t="s">
        <v>821</v>
      </c>
      <c r="F447" t="s">
        <v>822</v>
      </c>
      <c r="G447" t="s">
        <v>51</v>
      </c>
      <c r="H447" t="s">
        <v>78</v>
      </c>
      <c r="I447" t="s">
        <v>383</v>
      </c>
      <c r="J447" t="s">
        <v>385</v>
      </c>
      <c r="K447">
        <v>651818</v>
      </c>
      <c r="L447" t="s">
        <v>80</v>
      </c>
      <c r="M447" t="s">
        <v>81</v>
      </c>
      <c r="N447" t="s">
        <v>57</v>
      </c>
      <c r="O447" s="1">
        <v>45997</v>
      </c>
      <c r="Q447" s="1">
        <v>46087</v>
      </c>
      <c r="R447" s="2">
        <v>146.88</v>
      </c>
      <c r="S447">
        <v>1</v>
      </c>
      <c r="T447" t="s">
        <v>58</v>
      </c>
      <c r="U447" t="s">
        <v>59</v>
      </c>
      <c r="V447" s="3">
        <v>0.9</v>
      </c>
      <c r="W447" s="2">
        <v>0</v>
      </c>
      <c r="X447">
        <v>0</v>
      </c>
      <c r="Y447" t="s">
        <v>60</v>
      </c>
      <c r="Z447" t="s">
        <v>135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132.19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46062</v>
      </c>
      <c r="B448" t="s">
        <v>48</v>
      </c>
      <c r="C448">
        <v>649163</v>
      </c>
      <c r="D448">
        <v>2032132336</v>
      </c>
      <c r="E448" t="s">
        <v>823</v>
      </c>
      <c r="F448" t="s">
        <v>537</v>
      </c>
      <c r="G448" t="s">
        <v>51</v>
      </c>
      <c r="H448" t="s">
        <v>170</v>
      </c>
      <c r="I448" t="s">
        <v>383</v>
      </c>
      <c r="J448" t="s">
        <v>384</v>
      </c>
      <c r="K448">
        <v>673059</v>
      </c>
      <c r="L448" t="s">
        <v>162</v>
      </c>
      <c r="M448" t="s">
        <v>180</v>
      </c>
      <c r="N448" t="s">
        <v>57</v>
      </c>
      <c r="O448" s="1">
        <v>45992</v>
      </c>
      <c r="Q448" s="1">
        <v>46082</v>
      </c>
      <c r="R448" s="2">
        <v>-29.79</v>
      </c>
      <c r="S448">
        <v>1</v>
      </c>
      <c r="T448" t="s">
        <v>58</v>
      </c>
      <c r="U448" t="s">
        <v>59</v>
      </c>
      <c r="V448" s="3">
        <v>0.7</v>
      </c>
      <c r="W448" s="2">
        <v>0</v>
      </c>
      <c r="X448">
        <v>-1</v>
      </c>
      <c r="Y448" t="s">
        <v>60</v>
      </c>
      <c r="Z448" t="s">
        <v>135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-20.85</v>
      </c>
      <c r="AN448" s="2">
        <v>-20.85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46062</v>
      </c>
      <c r="B449" t="s">
        <v>48</v>
      </c>
      <c r="C449">
        <v>649163</v>
      </c>
      <c r="D449">
        <v>2032132338</v>
      </c>
      <c r="E449" t="s">
        <v>823</v>
      </c>
      <c r="F449" t="s">
        <v>537</v>
      </c>
      <c r="G449" t="s">
        <v>51</v>
      </c>
      <c r="H449" t="s">
        <v>170</v>
      </c>
      <c r="I449" t="s">
        <v>383</v>
      </c>
      <c r="J449" t="s">
        <v>400</v>
      </c>
      <c r="K449">
        <v>673059</v>
      </c>
      <c r="L449" t="s">
        <v>162</v>
      </c>
      <c r="M449" t="s">
        <v>180</v>
      </c>
      <c r="N449" t="s">
        <v>57</v>
      </c>
      <c r="O449" s="1">
        <v>45992</v>
      </c>
      <c r="Q449" s="1">
        <v>46082</v>
      </c>
      <c r="R449" s="2">
        <v>-25.73</v>
      </c>
      <c r="S449">
        <v>1</v>
      </c>
      <c r="T449" t="s">
        <v>58</v>
      </c>
      <c r="U449" t="s">
        <v>59</v>
      </c>
      <c r="V449" s="3">
        <v>0.7</v>
      </c>
      <c r="W449" s="2">
        <v>0</v>
      </c>
      <c r="X449">
        <v>-1</v>
      </c>
      <c r="Y449" t="s">
        <v>60</v>
      </c>
      <c r="Z449" t="s">
        <v>135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-18.010000000000002</v>
      </c>
      <c r="AN449" s="2">
        <v>-18.010000000000002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46062</v>
      </c>
      <c r="B450" t="s">
        <v>48</v>
      </c>
      <c r="C450">
        <v>649163</v>
      </c>
      <c r="D450">
        <v>2032133137</v>
      </c>
      <c r="E450" t="s">
        <v>824</v>
      </c>
      <c r="F450" t="s">
        <v>240</v>
      </c>
      <c r="G450" t="s">
        <v>51</v>
      </c>
      <c r="H450" t="s">
        <v>66</v>
      </c>
      <c r="I450" t="s">
        <v>383</v>
      </c>
      <c r="J450" t="s">
        <v>384</v>
      </c>
      <c r="K450">
        <v>651818</v>
      </c>
      <c r="L450" t="s">
        <v>80</v>
      </c>
      <c r="M450" t="s">
        <v>81</v>
      </c>
      <c r="N450" t="s">
        <v>57</v>
      </c>
      <c r="O450" s="1">
        <v>46028</v>
      </c>
      <c r="Q450" s="1">
        <v>46087</v>
      </c>
      <c r="R450" s="2">
        <v>88.96</v>
      </c>
      <c r="S450">
        <v>1</v>
      </c>
      <c r="T450" t="s">
        <v>58</v>
      </c>
      <c r="U450" t="s">
        <v>59</v>
      </c>
      <c r="V450" s="3">
        <v>0.7</v>
      </c>
      <c r="W450" s="2">
        <v>0</v>
      </c>
      <c r="X450">
        <v>0</v>
      </c>
      <c r="Y450" t="s">
        <v>60</v>
      </c>
      <c r="Z450" t="s">
        <v>135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62.27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46062</v>
      </c>
      <c r="B451" t="s">
        <v>48</v>
      </c>
      <c r="C451">
        <v>649163</v>
      </c>
      <c r="D451">
        <v>2032134523</v>
      </c>
      <c r="E451" t="s">
        <v>825</v>
      </c>
      <c r="F451" t="s">
        <v>826</v>
      </c>
      <c r="G451" t="s">
        <v>51</v>
      </c>
      <c r="H451" t="s">
        <v>52</v>
      </c>
      <c r="I451" t="s">
        <v>383</v>
      </c>
      <c r="J451" t="s">
        <v>385</v>
      </c>
      <c r="K451">
        <v>702406</v>
      </c>
      <c r="L451" t="s">
        <v>630</v>
      </c>
      <c r="M451" t="s">
        <v>65</v>
      </c>
      <c r="N451" t="s">
        <v>57</v>
      </c>
      <c r="O451" s="1">
        <v>45974</v>
      </c>
      <c r="Q451" s="1">
        <v>46094</v>
      </c>
      <c r="R451" s="2">
        <v>65.25</v>
      </c>
      <c r="S451">
        <v>1</v>
      </c>
      <c r="T451" t="s">
        <v>58</v>
      </c>
      <c r="U451" t="s">
        <v>59</v>
      </c>
      <c r="V451" s="3">
        <v>0.9</v>
      </c>
      <c r="W451" s="2">
        <v>0</v>
      </c>
      <c r="X451">
        <v>0</v>
      </c>
      <c r="Y451" t="s">
        <v>60</v>
      </c>
      <c r="Z451" t="s">
        <v>135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58.72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46062</v>
      </c>
      <c r="B452" t="s">
        <v>48</v>
      </c>
      <c r="C452">
        <v>649163</v>
      </c>
      <c r="D452">
        <v>2032167859</v>
      </c>
      <c r="E452" t="s">
        <v>424</v>
      </c>
      <c r="F452" t="s">
        <v>349</v>
      </c>
      <c r="G452" t="s">
        <v>51</v>
      </c>
      <c r="H452" t="s">
        <v>397</v>
      </c>
      <c r="I452" t="s">
        <v>383</v>
      </c>
      <c r="J452" t="s">
        <v>384</v>
      </c>
      <c r="K452">
        <v>875334</v>
      </c>
      <c r="L452" t="s">
        <v>827</v>
      </c>
      <c r="M452" t="s">
        <v>828</v>
      </c>
      <c r="N452" t="s">
        <v>57</v>
      </c>
      <c r="O452" s="1">
        <v>45992</v>
      </c>
      <c r="Q452" s="1">
        <v>46082</v>
      </c>
      <c r="R452" s="2">
        <v>59.08</v>
      </c>
      <c r="S452">
        <v>1</v>
      </c>
      <c r="T452" t="s">
        <v>58</v>
      </c>
      <c r="U452" t="s">
        <v>59</v>
      </c>
      <c r="V452" s="3">
        <v>0.7</v>
      </c>
      <c r="W452" s="2">
        <v>0</v>
      </c>
      <c r="X452">
        <v>0</v>
      </c>
      <c r="Y452" t="s">
        <v>60</v>
      </c>
      <c r="Z452" t="s">
        <v>135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41.36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46062</v>
      </c>
      <c r="B453" t="s">
        <v>48</v>
      </c>
      <c r="C453">
        <v>649163</v>
      </c>
      <c r="D453">
        <v>2032196913</v>
      </c>
      <c r="E453" t="s">
        <v>829</v>
      </c>
      <c r="F453" t="s">
        <v>188</v>
      </c>
      <c r="G453" t="s">
        <v>51</v>
      </c>
      <c r="H453" t="s">
        <v>66</v>
      </c>
      <c r="I453" t="s">
        <v>383</v>
      </c>
      <c r="J453" t="s">
        <v>384</v>
      </c>
      <c r="K453">
        <v>824062</v>
      </c>
      <c r="L453" t="s">
        <v>569</v>
      </c>
      <c r="M453" t="s">
        <v>570</v>
      </c>
      <c r="N453" t="s">
        <v>57</v>
      </c>
      <c r="O453" s="1">
        <v>46023</v>
      </c>
      <c r="Q453" s="1">
        <v>46082</v>
      </c>
      <c r="R453" s="2">
        <v>-37.18</v>
      </c>
      <c r="S453">
        <v>1</v>
      </c>
      <c r="T453" t="s">
        <v>58</v>
      </c>
      <c r="U453" t="s">
        <v>59</v>
      </c>
      <c r="V453" s="3">
        <v>0.7</v>
      </c>
      <c r="W453" s="2">
        <v>0</v>
      </c>
      <c r="X453">
        <v>-1</v>
      </c>
      <c r="Y453" t="s">
        <v>60</v>
      </c>
      <c r="Z453" t="s">
        <v>135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-26.03</v>
      </c>
      <c r="AN453" s="2">
        <v>-26.03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46062</v>
      </c>
      <c r="B454" t="s">
        <v>48</v>
      </c>
      <c r="C454">
        <v>649163</v>
      </c>
      <c r="D454">
        <v>2032196916</v>
      </c>
      <c r="E454" t="s">
        <v>829</v>
      </c>
      <c r="F454" t="s">
        <v>188</v>
      </c>
      <c r="G454" t="s">
        <v>51</v>
      </c>
      <c r="H454" t="s">
        <v>66</v>
      </c>
      <c r="I454" t="s">
        <v>383</v>
      </c>
      <c r="J454" t="s">
        <v>385</v>
      </c>
      <c r="K454">
        <v>824062</v>
      </c>
      <c r="L454" t="s">
        <v>569</v>
      </c>
      <c r="M454" t="s">
        <v>570</v>
      </c>
      <c r="N454" t="s">
        <v>57</v>
      </c>
      <c r="O454" s="1">
        <v>46023</v>
      </c>
      <c r="Q454" s="1">
        <v>46082</v>
      </c>
      <c r="R454" s="2">
        <v>-83.63</v>
      </c>
      <c r="S454">
        <v>1</v>
      </c>
      <c r="T454" t="s">
        <v>58</v>
      </c>
      <c r="U454" t="s">
        <v>59</v>
      </c>
      <c r="V454" s="3">
        <v>0.9</v>
      </c>
      <c r="W454" s="2">
        <v>0</v>
      </c>
      <c r="X454">
        <v>-1</v>
      </c>
      <c r="Y454" t="s">
        <v>60</v>
      </c>
      <c r="Z454" t="s">
        <v>135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-75.27</v>
      </c>
      <c r="AN454" s="2">
        <v>-75.27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46062</v>
      </c>
      <c r="B455" t="s">
        <v>48</v>
      </c>
      <c r="C455">
        <v>649163</v>
      </c>
      <c r="D455">
        <v>2032201597</v>
      </c>
      <c r="E455" t="s">
        <v>328</v>
      </c>
      <c r="F455" t="s">
        <v>830</v>
      </c>
      <c r="G455" t="s">
        <v>51</v>
      </c>
      <c r="H455" t="s">
        <v>112</v>
      </c>
      <c r="I455" t="s">
        <v>383</v>
      </c>
      <c r="J455" t="s">
        <v>385</v>
      </c>
      <c r="K455">
        <v>651818</v>
      </c>
      <c r="L455" t="s">
        <v>80</v>
      </c>
      <c r="M455" t="s">
        <v>81</v>
      </c>
      <c r="N455" t="s">
        <v>57</v>
      </c>
      <c r="O455" s="1">
        <v>46001</v>
      </c>
      <c r="Q455" s="1">
        <v>46091</v>
      </c>
      <c r="R455" s="2">
        <v>85.42</v>
      </c>
      <c r="S455">
        <v>1</v>
      </c>
      <c r="T455" t="s">
        <v>58</v>
      </c>
      <c r="U455" t="s">
        <v>59</v>
      </c>
      <c r="V455" s="3">
        <v>0.9</v>
      </c>
      <c r="W455" s="2">
        <v>0</v>
      </c>
      <c r="X455">
        <v>0</v>
      </c>
      <c r="Y455" t="s">
        <v>60</v>
      </c>
      <c r="Z455" t="s">
        <v>135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76.88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46062</v>
      </c>
      <c r="B456" t="s">
        <v>48</v>
      </c>
      <c r="C456">
        <v>649163</v>
      </c>
      <c r="D456">
        <v>2032233383</v>
      </c>
      <c r="E456" t="s">
        <v>831</v>
      </c>
      <c r="F456" t="s">
        <v>832</v>
      </c>
      <c r="G456" t="s">
        <v>51</v>
      </c>
      <c r="H456" t="s">
        <v>147</v>
      </c>
      <c r="I456" t="s">
        <v>383</v>
      </c>
      <c r="J456" t="s">
        <v>384</v>
      </c>
      <c r="K456">
        <v>767312</v>
      </c>
      <c r="L456" t="s">
        <v>310</v>
      </c>
      <c r="M456" t="s">
        <v>311</v>
      </c>
      <c r="N456" t="s">
        <v>144</v>
      </c>
      <c r="O456" s="1">
        <v>46023</v>
      </c>
      <c r="P456" s="1">
        <v>46055</v>
      </c>
      <c r="Q456" s="1">
        <v>46082</v>
      </c>
      <c r="R456" s="2">
        <v>-271.44</v>
      </c>
      <c r="S456">
        <v>1</v>
      </c>
      <c r="T456" t="s">
        <v>58</v>
      </c>
      <c r="U456" t="s">
        <v>59</v>
      </c>
      <c r="V456" s="3">
        <v>0.7</v>
      </c>
      <c r="W456" s="2">
        <v>0</v>
      </c>
      <c r="X456">
        <v>-1</v>
      </c>
      <c r="Y456" t="s">
        <v>60</v>
      </c>
      <c r="Z456" t="s">
        <v>135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-190.01</v>
      </c>
      <c r="AN456" s="2">
        <v>-190.01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46062</v>
      </c>
      <c r="B457" t="s">
        <v>48</v>
      </c>
      <c r="C457">
        <v>649163</v>
      </c>
      <c r="D457">
        <v>2032233394</v>
      </c>
      <c r="E457" t="s">
        <v>833</v>
      </c>
      <c r="F457" t="s">
        <v>70</v>
      </c>
      <c r="G457" t="s">
        <v>51</v>
      </c>
      <c r="H457" t="s">
        <v>96</v>
      </c>
      <c r="I457" t="s">
        <v>383</v>
      </c>
      <c r="J457" t="s">
        <v>384</v>
      </c>
      <c r="K457">
        <v>875334</v>
      </c>
      <c r="L457" t="s">
        <v>827</v>
      </c>
      <c r="M457" t="s">
        <v>828</v>
      </c>
      <c r="N457" t="s">
        <v>57</v>
      </c>
      <c r="O457" s="1">
        <v>46023</v>
      </c>
      <c r="Q457" s="1">
        <v>46082</v>
      </c>
      <c r="R457" s="2">
        <v>21.08</v>
      </c>
      <c r="S457">
        <v>1</v>
      </c>
      <c r="T457" t="s">
        <v>58</v>
      </c>
      <c r="U457" t="s">
        <v>59</v>
      </c>
      <c r="V457" s="3">
        <v>0.7</v>
      </c>
      <c r="W457" s="2">
        <v>0</v>
      </c>
      <c r="X457">
        <v>0</v>
      </c>
      <c r="Y457" t="s">
        <v>60</v>
      </c>
      <c r="Z457" t="s">
        <v>135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14.76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46062</v>
      </c>
      <c r="B458" t="s">
        <v>48</v>
      </c>
      <c r="C458">
        <v>649163</v>
      </c>
      <c r="D458">
        <v>2032233871</v>
      </c>
      <c r="E458" t="s">
        <v>834</v>
      </c>
      <c r="F458" t="s">
        <v>486</v>
      </c>
      <c r="G458" t="s">
        <v>51</v>
      </c>
      <c r="H458" t="s">
        <v>333</v>
      </c>
      <c r="I458" t="s">
        <v>383</v>
      </c>
      <c r="J458" t="s">
        <v>384</v>
      </c>
      <c r="K458">
        <v>651818</v>
      </c>
      <c r="L458" t="s">
        <v>80</v>
      </c>
      <c r="M458" t="s">
        <v>81</v>
      </c>
      <c r="N458" t="s">
        <v>57</v>
      </c>
      <c r="O458" s="1">
        <v>45997</v>
      </c>
      <c r="Q458" s="1">
        <v>46087</v>
      </c>
      <c r="R458" s="2">
        <v>45.75</v>
      </c>
      <c r="S458">
        <v>1</v>
      </c>
      <c r="T458" t="s">
        <v>58</v>
      </c>
      <c r="U458" t="s">
        <v>59</v>
      </c>
      <c r="V458" s="3">
        <v>0.7</v>
      </c>
      <c r="W458" s="2">
        <v>0</v>
      </c>
      <c r="X458">
        <v>0</v>
      </c>
      <c r="Y458" t="s">
        <v>60</v>
      </c>
      <c r="Z458" t="s">
        <v>135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32.020000000000003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46062</v>
      </c>
      <c r="B459" t="s">
        <v>48</v>
      </c>
      <c r="C459">
        <v>649163</v>
      </c>
      <c r="D459">
        <v>2032234325</v>
      </c>
      <c r="E459" t="s">
        <v>835</v>
      </c>
      <c r="F459" t="s">
        <v>836</v>
      </c>
      <c r="G459" t="s">
        <v>51</v>
      </c>
      <c r="H459" t="s">
        <v>66</v>
      </c>
      <c r="I459" t="s">
        <v>383</v>
      </c>
      <c r="J459" t="s">
        <v>384</v>
      </c>
      <c r="K459">
        <v>768887</v>
      </c>
      <c r="L459" t="s">
        <v>295</v>
      </c>
      <c r="M459" t="s">
        <v>296</v>
      </c>
      <c r="N459" t="s">
        <v>57</v>
      </c>
      <c r="O459" s="1">
        <v>45980</v>
      </c>
      <c r="Q459" s="1">
        <v>46072</v>
      </c>
      <c r="R459" s="2">
        <v>-2.35</v>
      </c>
      <c r="S459">
        <v>1</v>
      </c>
      <c r="T459" t="s">
        <v>58</v>
      </c>
      <c r="U459" t="s">
        <v>59</v>
      </c>
      <c r="V459" s="3">
        <v>0.7</v>
      </c>
      <c r="W459" s="2">
        <v>0</v>
      </c>
      <c r="X459">
        <v>-1</v>
      </c>
      <c r="Y459" t="s">
        <v>60</v>
      </c>
      <c r="Z459" t="s">
        <v>135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-1.64</v>
      </c>
      <c r="AN459" s="2">
        <v>-1.64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46062</v>
      </c>
      <c r="B460" t="s">
        <v>48</v>
      </c>
      <c r="C460">
        <v>649163</v>
      </c>
      <c r="D460">
        <v>2032249187</v>
      </c>
      <c r="E460" t="s">
        <v>837</v>
      </c>
      <c r="F460" t="s">
        <v>838</v>
      </c>
      <c r="G460" t="s">
        <v>51</v>
      </c>
      <c r="H460" t="s">
        <v>84</v>
      </c>
      <c r="I460" t="s">
        <v>383</v>
      </c>
      <c r="J460" t="s">
        <v>384</v>
      </c>
      <c r="K460">
        <v>651818</v>
      </c>
      <c r="L460" t="s">
        <v>80</v>
      </c>
      <c r="M460" t="s">
        <v>81</v>
      </c>
      <c r="N460" t="s">
        <v>57</v>
      </c>
      <c r="O460" s="1">
        <v>46028</v>
      </c>
      <c r="Q460" s="1">
        <v>46087</v>
      </c>
      <c r="R460" s="2">
        <v>22</v>
      </c>
      <c r="S460">
        <v>1</v>
      </c>
      <c r="T460" t="s">
        <v>58</v>
      </c>
      <c r="U460" t="s">
        <v>59</v>
      </c>
      <c r="V460" s="3">
        <v>0.7</v>
      </c>
      <c r="W460" s="2">
        <v>0</v>
      </c>
      <c r="X460">
        <v>0</v>
      </c>
      <c r="Y460" t="s">
        <v>60</v>
      </c>
      <c r="Z460" t="s">
        <v>135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15.4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46062</v>
      </c>
      <c r="B461" t="s">
        <v>48</v>
      </c>
      <c r="C461">
        <v>649163</v>
      </c>
      <c r="D461">
        <v>2032349264</v>
      </c>
      <c r="E461" t="s">
        <v>839</v>
      </c>
      <c r="F461" t="s">
        <v>840</v>
      </c>
      <c r="G461" t="s">
        <v>51</v>
      </c>
      <c r="H461" t="s">
        <v>90</v>
      </c>
      <c r="I461" t="s">
        <v>383</v>
      </c>
      <c r="J461" t="s">
        <v>384</v>
      </c>
      <c r="K461">
        <v>753748</v>
      </c>
      <c r="L461" t="s">
        <v>74</v>
      </c>
      <c r="M461" t="s">
        <v>75</v>
      </c>
      <c r="N461" t="s">
        <v>57</v>
      </c>
      <c r="O461" s="1">
        <v>46023</v>
      </c>
      <c r="Q461" s="1">
        <v>46082</v>
      </c>
      <c r="R461" s="2">
        <v>56.91</v>
      </c>
      <c r="S461">
        <v>1</v>
      </c>
      <c r="T461" t="s">
        <v>58</v>
      </c>
      <c r="U461" t="s">
        <v>59</v>
      </c>
      <c r="V461" s="3">
        <v>0.7</v>
      </c>
      <c r="W461" s="2">
        <v>0</v>
      </c>
      <c r="X461">
        <v>0</v>
      </c>
      <c r="Y461" t="s">
        <v>60</v>
      </c>
      <c r="Z461" t="s">
        <v>135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39.840000000000003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46062</v>
      </c>
      <c r="B462" t="s">
        <v>48</v>
      </c>
      <c r="C462">
        <v>649163</v>
      </c>
      <c r="D462">
        <v>2032385813</v>
      </c>
      <c r="E462" t="s">
        <v>440</v>
      </c>
      <c r="F462" t="s">
        <v>441</v>
      </c>
      <c r="G462" t="s">
        <v>51</v>
      </c>
      <c r="H462" t="s">
        <v>140</v>
      </c>
      <c r="I462" t="s">
        <v>383</v>
      </c>
      <c r="J462" t="s">
        <v>385</v>
      </c>
      <c r="K462">
        <v>822733</v>
      </c>
      <c r="L462" t="s">
        <v>442</v>
      </c>
      <c r="M462" t="s">
        <v>443</v>
      </c>
      <c r="N462" t="s">
        <v>57</v>
      </c>
      <c r="O462" s="1">
        <v>46023</v>
      </c>
      <c r="Q462" s="1">
        <v>46082</v>
      </c>
      <c r="R462" s="2">
        <v>25.78</v>
      </c>
      <c r="S462">
        <v>1</v>
      </c>
      <c r="T462" t="s">
        <v>58</v>
      </c>
      <c r="U462" t="s">
        <v>59</v>
      </c>
      <c r="V462" s="3">
        <v>0.9</v>
      </c>
      <c r="W462" s="2">
        <v>0</v>
      </c>
      <c r="X462">
        <v>0</v>
      </c>
      <c r="Y462" t="s">
        <v>60</v>
      </c>
      <c r="Z462" t="s">
        <v>135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23.2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46062</v>
      </c>
      <c r="B463" t="s">
        <v>48</v>
      </c>
      <c r="C463">
        <v>649163</v>
      </c>
      <c r="D463">
        <v>2032450902</v>
      </c>
      <c r="E463" t="s">
        <v>841</v>
      </c>
      <c r="F463" t="s">
        <v>510</v>
      </c>
      <c r="G463" t="s">
        <v>51</v>
      </c>
      <c r="H463" t="s">
        <v>78</v>
      </c>
      <c r="I463" t="s">
        <v>383</v>
      </c>
      <c r="J463" t="s">
        <v>384</v>
      </c>
      <c r="K463">
        <v>767312</v>
      </c>
      <c r="L463" t="s">
        <v>310</v>
      </c>
      <c r="M463" t="s">
        <v>311</v>
      </c>
      <c r="N463" t="s">
        <v>144</v>
      </c>
      <c r="O463" s="1">
        <v>45993</v>
      </c>
      <c r="P463" s="1">
        <v>46055</v>
      </c>
      <c r="Q463" s="1">
        <v>46083</v>
      </c>
      <c r="R463" s="2">
        <v>-51.74</v>
      </c>
      <c r="S463">
        <v>1</v>
      </c>
      <c r="T463" t="s">
        <v>58</v>
      </c>
      <c r="U463" t="s">
        <v>59</v>
      </c>
      <c r="V463" s="3">
        <v>0.7</v>
      </c>
      <c r="W463" s="2">
        <v>0</v>
      </c>
      <c r="X463">
        <v>-1</v>
      </c>
      <c r="Y463" t="s">
        <v>60</v>
      </c>
      <c r="Z463" t="s">
        <v>135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-36.22</v>
      </c>
      <c r="AN463" s="2">
        <v>-36.22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46062</v>
      </c>
      <c r="B464" t="s">
        <v>48</v>
      </c>
      <c r="C464">
        <v>649163</v>
      </c>
      <c r="D464">
        <v>2032451714</v>
      </c>
      <c r="E464" t="s">
        <v>842</v>
      </c>
      <c r="F464" t="s">
        <v>742</v>
      </c>
      <c r="G464" t="s">
        <v>51</v>
      </c>
      <c r="H464" t="s">
        <v>353</v>
      </c>
      <c r="I464" t="s">
        <v>383</v>
      </c>
      <c r="J464" t="s">
        <v>384</v>
      </c>
      <c r="K464">
        <v>756418</v>
      </c>
      <c r="L464" t="s">
        <v>663</v>
      </c>
      <c r="M464" t="s">
        <v>639</v>
      </c>
      <c r="N464" t="s">
        <v>57</v>
      </c>
      <c r="O464" s="1">
        <v>45993</v>
      </c>
      <c r="Q464" s="1">
        <v>46083</v>
      </c>
      <c r="R464" s="2">
        <v>-34.340000000000003</v>
      </c>
      <c r="S464">
        <v>1</v>
      </c>
      <c r="T464" t="s">
        <v>58</v>
      </c>
      <c r="U464" t="s">
        <v>59</v>
      </c>
      <c r="V464" s="3">
        <v>0.7</v>
      </c>
      <c r="W464" s="2">
        <v>0</v>
      </c>
      <c r="X464">
        <v>-1</v>
      </c>
      <c r="Y464" t="s">
        <v>60</v>
      </c>
      <c r="Z464" t="s">
        <v>135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-24.04</v>
      </c>
      <c r="AN464" s="2">
        <v>-24.04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46062</v>
      </c>
      <c r="B465" t="s">
        <v>48</v>
      </c>
      <c r="C465">
        <v>649163</v>
      </c>
      <c r="D465">
        <v>2032456510</v>
      </c>
      <c r="E465" t="s">
        <v>412</v>
      </c>
      <c r="F465" t="s">
        <v>299</v>
      </c>
      <c r="G465" t="s">
        <v>51</v>
      </c>
      <c r="H465" t="s">
        <v>392</v>
      </c>
      <c r="I465" t="s">
        <v>383</v>
      </c>
      <c r="J465" t="s">
        <v>843</v>
      </c>
      <c r="K465">
        <v>902625</v>
      </c>
      <c r="L465" t="s">
        <v>405</v>
      </c>
      <c r="M465" t="s">
        <v>406</v>
      </c>
      <c r="N465" t="s">
        <v>57</v>
      </c>
      <c r="O465" s="1">
        <v>46023</v>
      </c>
      <c r="Q465" s="1">
        <v>46082</v>
      </c>
      <c r="R465" s="2">
        <v>-24.8</v>
      </c>
      <c r="S465">
        <v>1</v>
      </c>
      <c r="T465" t="s">
        <v>58</v>
      </c>
      <c r="U465" t="s">
        <v>59</v>
      </c>
      <c r="V465" s="3">
        <v>0.42</v>
      </c>
      <c r="W465" s="2">
        <v>0</v>
      </c>
      <c r="X465">
        <v>-1</v>
      </c>
      <c r="Y465" t="s">
        <v>60</v>
      </c>
      <c r="Z465" t="s">
        <v>135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-10.42</v>
      </c>
      <c r="AN465" s="2">
        <v>-10.42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46062</v>
      </c>
      <c r="B466" t="s">
        <v>48</v>
      </c>
      <c r="C466">
        <v>649163</v>
      </c>
      <c r="D466">
        <v>2032462073</v>
      </c>
      <c r="E466" t="s">
        <v>444</v>
      </c>
      <c r="F466" t="s">
        <v>445</v>
      </c>
      <c r="G466" t="s">
        <v>51</v>
      </c>
      <c r="H466" t="s">
        <v>237</v>
      </c>
      <c r="I466" t="s">
        <v>383</v>
      </c>
      <c r="J466" t="s">
        <v>384</v>
      </c>
      <c r="K466">
        <v>673059</v>
      </c>
      <c r="L466" t="s">
        <v>162</v>
      </c>
      <c r="M466" t="s">
        <v>180</v>
      </c>
      <c r="N466" t="s">
        <v>57</v>
      </c>
      <c r="O466" s="1">
        <v>46023</v>
      </c>
      <c r="Q466" s="1">
        <v>46082</v>
      </c>
      <c r="R466" s="2">
        <v>-26.32</v>
      </c>
      <c r="S466">
        <v>1</v>
      </c>
      <c r="T466" t="s">
        <v>58</v>
      </c>
      <c r="U466" t="s">
        <v>59</v>
      </c>
      <c r="V466" s="3">
        <v>0.7</v>
      </c>
      <c r="W466" s="2">
        <v>0</v>
      </c>
      <c r="X466">
        <v>-1</v>
      </c>
      <c r="Y466" t="s">
        <v>60</v>
      </c>
      <c r="Z466" t="s">
        <v>135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-18.420000000000002</v>
      </c>
      <c r="AN466" s="2">
        <v>-18.420000000000002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46062</v>
      </c>
      <c r="B467" t="s">
        <v>48</v>
      </c>
      <c r="C467">
        <v>649163</v>
      </c>
      <c r="D467">
        <v>2032465280</v>
      </c>
      <c r="E467" t="s">
        <v>589</v>
      </c>
      <c r="F467" t="s">
        <v>590</v>
      </c>
      <c r="G467" t="s">
        <v>51</v>
      </c>
      <c r="H467" t="s">
        <v>237</v>
      </c>
      <c r="I467" t="s">
        <v>383</v>
      </c>
      <c r="J467" t="s">
        <v>384</v>
      </c>
      <c r="K467">
        <v>751867</v>
      </c>
      <c r="L467" t="s">
        <v>239</v>
      </c>
      <c r="M467" t="s">
        <v>240</v>
      </c>
      <c r="N467" t="s">
        <v>57</v>
      </c>
      <c r="O467" s="1">
        <v>46023</v>
      </c>
      <c r="Q467" s="1">
        <v>46082</v>
      </c>
      <c r="R467" s="2">
        <v>23.28</v>
      </c>
      <c r="S467">
        <v>1</v>
      </c>
      <c r="T467" t="s">
        <v>58</v>
      </c>
      <c r="U467" t="s">
        <v>59</v>
      </c>
      <c r="V467" s="3">
        <v>0.7</v>
      </c>
      <c r="W467" s="2">
        <v>0</v>
      </c>
      <c r="X467">
        <v>0</v>
      </c>
      <c r="Y467" t="s">
        <v>60</v>
      </c>
      <c r="Z467" t="s">
        <v>135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16.3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46062</v>
      </c>
      <c r="B468" t="s">
        <v>48</v>
      </c>
      <c r="C468">
        <v>649163</v>
      </c>
      <c r="D468">
        <v>2032480604</v>
      </c>
      <c r="E468" t="s">
        <v>509</v>
      </c>
      <c r="F468" t="s">
        <v>492</v>
      </c>
      <c r="G468" t="s">
        <v>51</v>
      </c>
      <c r="H468" t="s">
        <v>392</v>
      </c>
      <c r="I468" t="s">
        <v>383</v>
      </c>
      <c r="J468" t="s">
        <v>400</v>
      </c>
      <c r="K468">
        <v>823068</v>
      </c>
      <c r="L468" t="s">
        <v>355</v>
      </c>
      <c r="M468" t="s">
        <v>356</v>
      </c>
      <c r="N468" t="s">
        <v>57</v>
      </c>
      <c r="O468" s="1">
        <v>45995</v>
      </c>
      <c r="Q468" s="1">
        <v>46085</v>
      </c>
      <c r="R468" s="2">
        <v>24.61</v>
      </c>
      <c r="S468">
        <v>1</v>
      </c>
      <c r="T468" t="s">
        <v>58</v>
      </c>
      <c r="U468" t="s">
        <v>59</v>
      </c>
      <c r="V468" s="3">
        <v>0.7</v>
      </c>
      <c r="W468" s="2">
        <v>0</v>
      </c>
      <c r="X468">
        <v>0</v>
      </c>
      <c r="Y468" t="s">
        <v>60</v>
      </c>
      <c r="Z468" t="s">
        <v>135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17.23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46062</v>
      </c>
      <c r="B469" t="s">
        <v>48</v>
      </c>
      <c r="C469">
        <v>649163</v>
      </c>
      <c r="D469">
        <v>2032480606</v>
      </c>
      <c r="E469" t="s">
        <v>509</v>
      </c>
      <c r="F469" t="s">
        <v>492</v>
      </c>
      <c r="G469" t="s">
        <v>51</v>
      </c>
      <c r="H469" t="s">
        <v>392</v>
      </c>
      <c r="I469" t="s">
        <v>383</v>
      </c>
      <c r="J469" t="s">
        <v>843</v>
      </c>
      <c r="K469">
        <v>823068</v>
      </c>
      <c r="L469" t="s">
        <v>355</v>
      </c>
      <c r="M469" t="s">
        <v>356</v>
      </c>
      <c r="N469" t="s">
        <v>57</v>
      </c>
      <c r="O469" s="1">
        <v>45995</v>
      </c>
      <c r="Q469" s="1">
        <v>46085</v>
      </c>
      <c r="R469" s="2">
        <v>38.85</v>
      </c>
      <c r="S469">
        <v>1</v>
      </c>
      <c r="T469" t="s">
        <v>58</v>
      </c>
      <c r="U469" t="s">
        <v>59</v>
      </c>
      <c r="V469" s="3">
        <v>0.42</v>
      </c>
      <c r="W469" s="2">
        <v>0</v>
      </c>
      <c r="X469">
        <v>0</v>
      </c>
      <c r="Y469" t="s">
        <v>60</v>
      </c>
      <c r="Z469" t="s">
        <v>135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16.32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46062</v>
      </c>
      <c r="B470" t="s">
        <v>48</v>
      </c>
      <c r="C470">
        <v>649163</v>
      </c>
      <c r="D470">
        <v>2032484276</v>
      </c>
      <c r="E470" t="s">
        <v>844</v>
      </c>
      <c r="F470" t="s">
        <v>845</v>
      </c>
      <c r="G470" t="s">
        <v>51</v>
      </c>
      <c r="H470" t="s">
        <v>66</v>
      </c>
      <c r="I470" t="s">
        <v>383</v>
      </c>
      <c r="J470" t="s">
        <v>384</v>
      </c>
      <c r="K470">
        <v>651818</v>
      </c>
      <c r="L470" t="s">
        <v>80</v>
      </c>
      <c r="M470" t="s">
        <v>81</v>
      </c>
      <c r="N470" t="s">
        <v>57</v>
      </c>
      <c r="O470" s="1">
        <v>46028</v>
      </c>
      <c r="Q470" s="1">
        <v>46087</v>
      </c>
      <c r="R470" s="2">
        <v>58.24</v>
      </c>
      <c r="S470">
        <v>1</v>
      </c>
      <c r="T470" t="s">
        <v>58</v>
      </c>
      <c r="U470" t="s">
        <v>59</v>
      </c>
      <c r="V470" s="3">
        <v>0.7</v>
      </c>
      <c r="W470" s="2">
        <v>0</v>
      </c>
      <c r="X470">
        <v>0</v>
      </c>
      <c r="Y470" t="s">
        <v>60</v>
      </c>
      <c r="Z470" t="s">
        <v>135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40.770000000000003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46062</v>
      </c>
      <c r="B471" t="s">
        <v>48</v>
      </c>
      <c r="C471">
        <v>649163</v>
      </c>
      <c r="D471">
        <v>2032489609</v>
      </c>
      <c r="E471" t="s">
        <v>846</v>
      </c>
      <c r="F471" t="s">
        <v>847</v>
      </c>
      <c r="G471" t="s">
        <v>51</v>
      </c>
      <c r="H471" t="s">
        <v>66</v>
      </c>
      <c r="I471" t="s">
        <v>383</v>
      </c>
      <c r="J471" t="s">
        <v>384</v>
      </c>
      <c r="K471">
        <v>884312</v>
      </c>
      <c r="L471" t="s">
        <v>848</v>
      </c>
      <c r="M471" t="s">
        <v>849</v>
      </c>
      <c r="N471" t="s">
        <v>57</v>
      </c>
      <c r="O471" s="1">
        <v>45999</v>
      </c>
      <c r="Q471" s="1">
        <v>46089</v>
      </c>
      <c r="R471" s="2">
        <v>41.29</v>
      </c>
      <c r="S471">
        <v>1</v>
      </c>
      <c r="T471" t="s">
        <v>58</v>
      </c>
      <c r="U471" t="s">
        <v>59</v>
      </c>
      <c r="V471" s="3">
        <v>0.7</v>
      </c>
      <c r="W471" s="2">
        <v>0</v>
      </c>
      <c r="X471">
        <v>0</v>
      </c>
      <c r="Y471" t="s">
        <v>60</v>
      </c>
      <c r="Z471" t="s">
        <v>135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28.9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46062</v>
      </c>
      <c r="B472" t="s">
        <v>48</v>
      </c>
      <c r="C472">
        <v>649163</v>
      </c>
      <c r="D472">
        <v>2032490949</v>
      </c>
      <c r="E472" t="s">
        <v>850</v>
      </c>
      <c r="F472" t="s">
        <v>851</v>
      </c>
      <c r="G472" t="s">
        <v>51</v>
      </c>
      <c r="H472" t="s">
        <v>90</v>
      </c>
      <c r="I472" t="s">
        <v>383</v>
      </c>
      <c r="J472" t="s">
        <v>384</v>
      </c>
      <c r="K472">
        <v>753748</v>
      </c>
      <c r="L472" t="s">
        <v>74</v>
      </c>
      <c r="M472" t="s">
        <v>75</v>
      </c>
      <c r="N472" t="s">
        <v>144</v>
      </c>
      <c r="O472" s="1">
        <v>46023</v>
      </c>
      <c r="P472" s="1">
        <v>46055</v>
      </c>
      <c r="Q472" s="1">
        <v>46082</v>
      </c>
      <c r="R472" s="2">
        <v>-178.32</v>
      </c>
      <c r="S472">
        <v>1</v>
      </c>
      <c r="T472" t="s">
        <v>58</v>
      </c>
      <c r="U472" t="s">
        <v>59</v>
      </c>
      <c r="V472" s="3">
        <v>0.7</v>
      </c>
      <c r="W472" s="2">
        <v>0</v>
      </c>
      <c r="X472">
        <v>-1</v>
      </c>
      <c r="Y472" t="s">
        <v>60</v>
      </c>
      <c r="Z472" t="s">
        <v>135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-124.82</v>
      </c>
      <c r="AN472" s="2">
        <v>-124.82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46062</v>
      </c>
      <c r="B473" t="s">
        <v>48</v>
      </c>
      <c r="C473">
        <v>649163</v>
      </c>
      <c r="D473">
        <v>2032519261</v>
      </c>
      <c r="E473" t="s">
        <v>852</v>
      </c>
      <c r="F473" t="s">
        <v>853</v>
      </c>
      <c r="G473" t="s">
        <v>51</v>
      </c>
      <c r="H473" t="s">
        <v>90</v>
      </c>
      <c r="I473" t="s">
        <v>383</v>
      </c>
      <c r="J473" t="s">
        <v>384</v>
      </c>
      <c r="K473">
        <v>651818</v>
      </c>
      <c r="L473" t="s">
        <v>80</v>
      </c>
      <c r="M473" t="s">
        <v>81</v>
      </c>
      <c r="N473" t="s">
        <v>57</v>
      </c>
      <c r="O473" s="1">
        <v>46028</v>
      </c>
      <c r="Q473" s="1">
        <v>46087</v>
      </c>
      <c r="R473" s="2">
        <v>106.79</v>
      </c>
      <c r="S473">
        <v>1</v>
      </c>
      <c r="T473" t="s">
        <v>58</v>
      </c>
      <c r="U473" t="s">
        <v>59</v>
      </c>
      <c r="V473" s="3">
        <v>0.7</v>
      </c>
      <c r="W473" s="2">
        <v>0</v>
      </c>
      <c r="X473">
        <v>0</v>
      </c>
      <c r="Y473" t="s">
        <v>60</v>
      </c>
      <c r="Z473" t="s">
        <v>135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74.75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46062</v>
      </c>
      <c r="B474" t="s">
        <v>48</v>
      </c>
      <c r="C474">
        <v>649163</v>
      </c>
      <c r="D474">
        <v>2032547051</v>
      </c>
      <c r="E474" t="s">
        <v>854</v>
      </c>
      <c r="F474" t="s">
        <v>855</v>
      </c>
      <c r="G474" t="s">
        <v>51</v>
      </c>
      <c r="H474" t="s">
        <v>90</v>
      </c>
      <c r="I474" t="s">
        <v>383</v>
      </c>
      <c r="J474" t="s">
        <v>384</v>
      </c>
      <c r="K474">
        <v>813184</v>
      </c>
      <c r="L474" t="s">
        <v>303</v>
      </c>
      <c r="M474" t="s">
        <v>304</v>
      </c>
      <c r="N474" t="s">
        <v>57</v>
      </c>
      <c r="O474" s="1">
        <v>45998</v>
      </c>
      <c r="Q474" s="1">
        <v>46088</v>
      </c>
      <c r="R474" s="2">
        <v>129.22</v>
      </c>
      <c r="S474">
        <v>1</v>
      </c>
      <c r="T474" t="s">
        <v>58</v>
      </c>
      <c r="U474" t="s">
        <v>59</v>
      </c>
      <c r="V474" s="3">
        <v>0.7</v>
      </c>
      <c r="W474" s="2">
        <v>0</v>
      </c>
      <c r="X474">
        <v>0</v>
      </c>
      <c r="Y474" t="s">
        <v>60</v>
      </c>
      <c r="Z474" t="s">
        <v>135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90.45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46062</v>
      </c>
      <c r="B475" t="s">
        <v>48</v>
      </c>
      <c r="C475">
        <v>649163</v>
      </c>
      <c r="D475">
        <v>2032547838</v>
      </c>
      <c r="E475" t="s">
        <v>856</v>
      </c>
      <c r="F475" t="s">
        <v>857</v>
      </c>
      <c r="G475" t="s">
        <v>51</v>
      </c>
      <c r="H475" t="s">
        <v>66</v>
      </c>
      <c r="I475" t="s">
        <v>383</v>
      </c>
      <c r="J475" t="s">
        <v>384</v>
      </c>
      <c r="K475">
        <v>930924</v>
      </c>
      <c r="L475" t="s">
        <v>275</v>
      </c>
      <c r="M475" t="s">
        <v>858</v>
      </c>
      <c r="N475" t="s">
        <v>57</v>
      </c>
      <c r="O475" s="1">
        <v>45999</v>
      </c>
      <c r="Q475" s="1">
        <v>46089</v>
      </c>
      <c r="R475" s="2">
        <v>34</v>
      </c>
      <c r="S475">
        <v>1</v>
      </c>
      <c r="T475" t="s">
        <v>58</v>
      </c>
      <c r="U475" t="s">
        <v>59</v>
      </c>
      <c r="V475" s="3">
        <v>0.7</v>
      </c>
      <c r="W475" s="2">
        <v>0</v>
      </c>
      <c r="X475">
        <v>0</v>
      </c>
      <c r="Y475" t="s">
        <v>60</v>
      </c>
      <c r="Z475" t="s">
        <v>135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23.8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46062</v>
      </c>
      <c r="B476" t="s">
        <v>48</v>
      </c>
      <c r="C476">
        <v>649163</v>
      </c>
      <c r="D476">
        <v>2032567799</v>
      </c>
      <c r="E476" t="s">
        <v>859</v>
      </c>
      <c r="F476" t="s">
        <v>860</v>
      </c>
      <c r="G476" t="s">
        <v>51</v>
      </c>
      <c r="H476" t="s">
        <v>78</v>
      </c>
      <c r="I476" t="s">
        <v>383</v>
      </c>
      <c r="J476" t="s">
        <v>384</v>
      </c>
      <c r="K476">
        <v>767312</v>
      </c>
      <c r="L476" t="s">
        <v>310</v>
      </c>
      <c r="M476" t="s">
        <v>311</v>
      </c>
      <c r="N476" t="s">
        <v>57</v>
      </c>
      <c r="O476" s="1">
        <v>46000</v>
      </c>
      <c r="Q476" s="1">
        <v>46090</v>
      </c>
      <c r="R476" s="2">
        <v>51.74</v>
      </c>
      <c r="S476">
        <v>1</v>
      </c>
      <c r="T476" t="s">
        <v>58</v>
      </c>
      <c r="U476" t="s">
        <v>59</v>
      </c>
      <c r="V476" s="3">
        <v>0.7</v>
      </c>
      <c r="W476" s="2">
        <v>0</v>
      </c>
      <c r="X476">
        <v>0</v>
      </c>
      <c r="Y476" t="s">
        <v>60</v>
      </c>
      <c r="Z476" t="s">
        <v>135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36.22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46062</v>
      </c>
      <c r="B477" t="s">
        <v>48</v>
      </c>
      <c r="C477">
        <v>649163</v>
      </c>
      <c r="D477">
        <v>2032569048</v>
      </c>
      <c r="E477" t="s">
        <v>861</v>
      </c>
      <c r="F477" t="s">
        <v>610</v>
      </c>
      <c r="G477" t="s">
        <v>51</v>
      </c>
      <c r="H477" t="s">
        <v>309</v>
      </c>
      <c r="I477" t="s">
        <v>383</v>
      </c>
      <c r="J477" t="s">
        <v>384</v>
      </c>
      <c r="K477">
        <v>767312</v>
      </c>
      <c r="L477" t="s">
        <v>310</v>
      </c>
      <c r="M477" t="s">
        <v>311</v>
      </c>
      <c r="N477" t="s">
        <v>57</v>
      </c>
      <c r="O477" s="1">
        <v>46004</v>
      </c>
      <c r="Q477" s="1">
        <v>46094</v>
      </c>
      <c r="R477" s="2">
        <v>167.54</v>
      </c>
      <c r="S477">
        <v>1</v>
      </c>
      <c r="T477" t="s">
        <v>58</v>
      </c>
      <c r="U477" t="s">
        <v>59</v>
      </c>
      <c r="V477" s="3">
        <v>0.7</v>
      </c>
      <c r="W477" s="2">
        <v>0</v>
      </c>
      <c r="X477">
        <v>0</v>
      </c>
      <c r="Y477" t="s">
        <v>60</v>
      </c>
      <c r="Z477" t="s">
        <v>135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117.28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46062</v>
      </c>
      <c r="B478" t="s">
        <v>48</v>
      </c>
      <c r="C478">
        <v>649163</v>
      </c>
      <c r="D478">
        <v>2032569049</v>
      </c>
      <c r="E478" t="s">
        <v>861</v>
      </c>
      <c r="F478" t="s">
        <v>610</v>
      </c>
      <c r="G478" t="s">
        <v>51</v>
      </c>
      <c r="H478" t="s">
        <v>309</v>
      </c>
      <c r="I478" t="s">
        <v>383</v>
      </c>
      <c r="J478" t="s">
        <v>385</v>
      </c>
      <c r="K478">
        <v>767312</v>
      </c>
      <c r="L478" t="s">
        <v>310</v>
      </c>
      <c r="M478" t="s">
        <v>311</v>
      </c>
      <c r="N478" t="s">
        <v>57</v>
      </c>
      <c r="O478" s="1">
        <v>46004</v>
      </c>
      <c r="Q478" s="1">
        <v>46094</v>
      </c>
      <c r="R478" s="2">
        <v>57.35</v>
      </c>
      <c r="S478">
        <v>1</v>
      </c>
      <c r="T478" t="s">
        <v>58</v>
      </c>
      <c r="U478" t="s">
        <v>59</v>
      </c>
      <c r="V478" s="3">
        <v>0.9</v>
      </c>
      <c r="W478" s="2">
        <v>0</v>
      </c>
      <c r="X478">
        <v>0</v>
      </c>
      <c r="Y478" t="s">
        <v>60</v>
      </c>
      <c r="Z478" t="s">
        <v>135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51.62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46062</v>
      </c>
      <c r="B479" t="s">
        <v>48</v>
      </c>
      <c r="C479">
        <v>649163</v>
      </c>
      <c r="D479">
        <v>2032570171</v>
      </c>
      <c r="E479" t="s">
        <v>594</v>
      </c>
      <c r="F479" t="s">
        <v>595</v>
      </c>
      <c r="G479" t="s">
        <v>51</v>
      </c>
      <c r="H479" t="s">
        <v>170</v>
      </c>
      <c r="I479" t="s">
        <v>383</v>
      </c>
      <c r="J479" t="s">
        <v>384</v>
      </c>
      <c r="K479">
        <v>767312</v>
      </c>
      <c r="L479" t="s">
        <v>310</v>
      </c>
      <c r="M479" t="s">
        <v>311</v>
      </c>
      <c r="N479" t="s">
        <v>57</v>
      </c>
      <c r="O479" s="1">
        <v>46001</v>
      </c>
      <c r="Q479" s="1">
        <v>46091</v>
      </c>
      <c r="R479" s="2">
        <v>22.83</v>
      </c>
      <c r="S479">
        <v>1</v>
      </c>
      <c r="T479" t="s">
        <v>58</v>
      </c>
      <c r="U479" t="s">
        <v>59</v>
      </c>
      <c r="V479" s="3">
        <v>0.7</v>
      </c>
      <c r="W479" s="2">
        <v>0</v>
      </c>
      <c r="X479">
        <v>0</v>
      </c>
      <c r="Y479" t="s">
        <v>60</v>
      </c>
      <c r="Z479" t="s">
        <v>135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15.98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46062</v>
      </c>
      <c r="B480" t="s">
        <v>48</v>
      </c>
      <c r="C480">
        <v>649163</v>
      </c>
      <c r="D480">
        <v>2032570316</v>
      </c>
      <c r="E480" t="s">
        <v>596</v>
      </c>
      <c r="F480" t="s">
        <v>176</v>
      </c>
      <c r="G480" t="s">
        <v>51</v>
      </c>
      <c r="H480" t="s">
        <v>66</v>
      </c>
      <c r="I480" t="s">
        <v>383</v>
      </c>
      <c r="J480" t="s">
        <v>384</v>
      </c>
      <c r="K480">
        <v>673059</v>
      </c>
      <c r="L480" t="s">
        <v>162</v>
      </c>
      <c r="M480" t="s">
        <v>180</v>
      </c>
      <c r="N480" t="s">
        <v>57</v>
      </c>
      <c r="O480" s="1">
        <v>46000</v>
      </c>
      <c r="Q480" s="1">
        <v>46090</v>
      </c>
      <c r="R480" s="2">
        <v>109.2</v>
      </c>
      <c r="S480">
        <v>1</v>
      </c>
      <c r="T480" t="s">
        <v>58</v>
      </c>
      <c r="U480" t="s">
        <v>59</v>
      </c>
      <c r="V480" s="3">
        <v>0.7</v>
      </c>
      <c r="W480" s="2">
        <v>0</v>
      </c>
      <c r="X480">
        <v>0</v>
      </c>
      <c r="Y480" t="s">
        <v>60</v>
      </c>
      <c r="Z480" t="s">
        <v>135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76.44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46062</v>
      </c>
      <c r="B481" t="s">
        <v>48</v>
      </c>
      <c r="C481">
        <v>649163</v>
      </c>
      <c r="D481">
        <v>2032571351</v>
      </c>
      <c r="E481" t="s">
        <v>164</v>
      </c>
      <c r="F481" t="s">
        <v>862</v>
      </c>
      <c r="G481" t="s">
        <v>51</v>
      </c>
      <c r="H481" t="s">
        <v>66</v>
      </c>
      <c r="I481" t="s">
        <v>383</v>
      </c>
      <c r="J481" t="s">
        <v>384</v>
      </c>
      <c r="K481">
        <v>893408</v>
      </c>
      <c r="L481" t="s">
        <v>599</v>
      </c>
      <c r="M481" t="s">
        <v>600</v>
      </c>
      <c r="N481" t="s">
        <v>57</v>
      </c>
      <c r="O481" s="1">
        <v>46000</v>
      </c>
      <c r="Q481" s="1">
        <v>46090</v>
      </c>
      <c r="R481" s="2">
        <v>102.7</v>
      </c>
      <c r="S481">
        <v>1</v>
      </c>
      <c r="T481" t="s">
        <v>58</v>
      </c>
      <c r="U481" t="s">
        <v>59</v>
      </c>
      <c r="V481" s="3">
        <v>0.7</v>
      </c>
      <c r="W481" s="2">
        <v>0</v>
      </c>
      <c r="X481">
        <v>0</v>
      </c>
      <c r="Y481" t="s">
        <v>60</v>
      </c>
      <c r="Z481" t="s">
        <v>135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71.89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46062</v>
      </c>
      <c r="B482" t="s">
        <v>48</v>
      </c>
      <c r="C482">
        <v>649163</v>
      </c>
      <c r="D482">
        <v>2032576894</v>
      </c>
      <c r="E482" t="s">
        <v>863</v>
      </c>
      <c r="F482" t="s">
        <v>864</v>
      </c>
      <c r="G482" t="s">
        <v>51</v>
      </c>
      <c r="H482" t="s">
        <v>52</v>
      </c>
      <c r="I482" t="s">
        <v>383</v>
      </c>
      <c r="J482" t="s">
        <v>385</v>
      </c>
      <c r="K482">
        <v>702406</v>
      </c>
      <c r="L482" t="s">
        <v>630</v>
      </c>
      <c r="M482" t="s">
        <v>65</v>
      </c>
      <c r="N482" t="s">
        <v>57</v>
      </c>
      <c r="O482" s="1">
        <v>46000</v>
      </c>
      <c r="Q482" s="1">
        <v>46090</v>
      </c>
      <c r="R482" s="2">
        <v>51.63</v>
      </c>
      <c r="S482">
        <v>1</v>
      </c>
      <c r="T482" t="s">
        <v>58</v>
      </c>
      <c r="U482" t="s">
        <v>59</v>
      </c>
      <c r="V482" s="3">
        <v>0.9</v>
      </c>
      <c r="W482" s="2">
        <v>0</v>
      </c>
      <c r="X482">
        <v>0</v>
      </c>
      <c r="Y482" t="s">
        <v>60</v>
      </c>
      <c r="Z482" t="s">
        <v>135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46.47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46062</v>
      </c>
      <c r="B483" t="s">
        <v>48</v>
      </c>
      <c r="C483">
        <v>649163</v>
      </c>
      <c r="D483">
        <v>2032586741</v>
      </c>
      <c r="E483" t="s">
        <v>865</v>
      </c>
      <c r="F483" t="s">
        <v>866</v>
      </c>
      <c r="G483" t="s">
        <v>51</v>
      </c>
      <c r="H483" t="s">
        <v>66</v>
      </c>
      <c r="I483" t="s">
        <v>383</v>
      </c>
      <c r="J483" t="s">
        <v>384</v>
      </c>
      <c r="K483">
        <v>823350</v>
      </c>
      <c r="L483" t="s">
        <v>108</v>
      </c>
      <c r="M483" t="s">
        <v>394</v>
      </c>
      <c r="N483" t="s">
        <v>144</v>
      </c>
      <c r="O483" s="1">
        <v>46023</v>
      </c>
      <c r="P483" s="1">
        <v>46055</v>
      </c>
      <c r="Q483" s="1">
        <v>46082</v>
      </c>
      <c r="R483" s="2">
        <v>-307.33999999999997</v>
      </c>
      <c r="S483">
        <v>1</v>
      </c>
      <c r="T483" t="s">
        <v>58</v>
      </c>
      <c r="U483" t="s">
        <v>59</v>
      </c>
      <c r="V483" s="3">
        <v>0.7</v>
      </c>
      <c r="W483" s="2">
        <v>0</v>
      </c>
      <c r="X483">
        <v>-1</v>
      </c>
      <c r="Y483" t="s">
        <v>60</v>
      </c>
      <c r="Z483" t="s">
        <v>135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-215.14</v>
      </c>
      <c r="AN483" s="2">
        <v>-215.14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46062</v>
      </c>
      <c r="B484" t="s">
        <v>48</v>
      </c>
      <c r="C484">
        <v>649163</v>
      </c>
      <c r="D484">
        <v>2032587808</v>
      </c>
      <c r="E484" t="s">
        <v>867</v>
      </c>
      <c r="F484" t="s">
        <v>537</v>
      </c>
      <c r="G484" t="s">
        <v>51</v>
      </c>
      <c r="H484" t="s">
        <v>52</v>
      </c>
      <c r="I484" t="s">
        <v>383</v>
      </c>
      <c r="J484" t="s">
        <v>400</v>
      </c>
      <c r="K484">
        <v>751867</v>
      </c>
      <c r="L484" t="s">
        <v>239</v>
      </c>
      <c r="M484" t="s">
        <v>240</v>
      </c>
      <c r="N484" t="s">
        <v>57</v>
      </c>
      <c r="O484" s="1">
        <v>46001</v>
      </c>
      <c r="Q484" s="1">
        <v>46091</v>
      </c>
      <c r="R484" s="2">
        <v>25.73</v>
      </c>
      <c r="S484">
        <v>1</v>
      </c>
      <c r="T484" t="s">
        <v>58</v>
      </c>
      <c r="U484" t="s">
        <v>59</v>
      </c>
      <c r="V484" s="3">
        <v>0.7</v>
      </c>
      <c r="W484" s="2">
        <v>0</v>
      </c>
      <c r="X484">
        <v>0</v>
      </c>
      <c r="Y484" t="s">
        <v>60</v>
      </c>
      <c r="Z484" t="s">
        <v>135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18.010000000000002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46062</v>
      </c>
      <c r="B485" t="s">
        <v>48</v>
      </c>
      <c r="C485">
        <v>649163</v>
      </c>
      <c r="D485">
        <v>2032592390</v>
      </c>
      <c r="E485" t="s">
        <v>868</v>
      </c>
      <c r="F485" t="s">
        <v>869</v>
      </c>
      <c r="G485" t="s">
        <v>51</v>
      </c>
      <c r="H485" t="s">
        <v>66</v>
      </c>
      <c r="I485" t="s">
        <v>383</v>
      </c>
      <c r="J485" t="s">
        <v>384</v>
      </c>
      <c r="K485">
        <v>893408</v>
      </c>
      <c r="L485" t="s">
        <v>599</v>
      </c>
      <c r="M485" t="s">
        <v>600</v>
      </c>
      <c r="N485" t="s">
        <v>57</v>
      </c>
      <c r="O485" s="1">
        <v>46001</v>
      </c>
      <c r="Q485" s="1">
        <v>46091</v>
      </c>
      <c r="R485" s="2">
        <v>59.4</v>
      </c>
      <c r="S485">
        <v>1</v>
      </c>
      <c r="T485" t="s">
        <v>58</v>
      </c>
      <c r="U485" t="s">
        <v>59</v>
      </c>
      <c r="V485" s="3">
        <v>0.7</v>
      </c>
      <c r="W485" s="2">
        <v>0</v>
      </c>
      <c r="X485">
        <v>0</v>
      </c>
      <c r="Y485" t="s">
        <v>60</v>
      </c>
      <c r="Z485" t="s">
        <v>135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41.58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46062</v>
      </c>
      <c r="B486" t="s">
        <v>48</v>
      </c>
      <c r="C486">
        <v>649163</v>
      </c>
      <c r="D486">
        <v>2032595799</v>
      </c>
      <c r="E486" t="s">
        <v>870</v>
      </c>
      <c r="F486" t="s">
        <v>871</v>
      </c>
      <c r="G486" t="s">
        <v>51</v>
      </c>
      <c r="H486" t="s">
        <v>66</v>
      </c>
      <c r="I486" t="s">
        <v>383</v>
      </c>
      <c r="J486" t="s">
        <v>384</v>
      </c>
      <c r="K486">
        <v>807212</v>
      </c>
      <c r="L486" t="s">
        <v>801</v>
      </c>
      <c r="M486" t="s">
        <v>802</v>
      </c>
      <c r="N486" t="s">
        <v>57</v>
      </c>
      <c r="O486" s="1">
        <v>46001</v>
      </c>
      <c r="Q486" s="1">
        <v>46091</v>
      </c>
      <c r="R486" s="2">
        <v>27.5</v>
      </c>
      <c r="S486">
        <v>1</v>
      </c>
      <c r="T486" t="s">
        <v>58</v>
      </c>
      <c r="U486" t="s">
        <v>59</v>
      </c>
      <c r="V486" s="3">
        <v>0.7</v>
      </c>
      <c r="W486" s="2">
        <v>0</v>
      </c>
      <c r="X486">
        <v>0</v>
      </c>
      <c r="Y486" t="s">
        <v>60</v>
      </c>
      <c r="Z486" t="s">
        <v>135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19.25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46062</v>
      </c>
      <c r="B487" t="s">
        <v>48</v>
      </c>
      <c r="C487">
        <v>649163</v>
      </c>
      <c r="D487">
        <v>2032597461</v>
      </c>
      <c r="E487" t="s">
        <v>872</v>
      </c>
      <c r="F487" t="s">
        <v>457</v>
      </c>
      <c r="G487" t="s">
        <v>51</v>
      </c>
      <c r="H487" t="s">
        <v>66</v>
      </c>
      <c r="I487" t="s">
        <v>383</v>
      </c>
      <c r="J487" t="s">
        <v>384</v>
      </c>
      <c r="K487">
        <v>843573</v>
      </c>
      <c r="L487" t="s">
        <v>365</v>
      </c>
      <c r="M487" t="s">
        <v>366</v>
      </c>
      <c r="N487" t="s">
        <v>57</v>
      </c>
      <c r="O487" s="1">
        <v>46001</v>
      </c>
      <c r="Q487" s="1">
        <v>46091</v>
      </c>
      <c r="R487" s="2">
        <v>52</v>
      </c>
      <c r="S487">
        <v>1</v>
      </c>
      <c r="T487" t="s">
        <v>58</v>
      </c>
      <c r="U487" t="s">
        <v>59</v>
      </c>
      <c r="V487" s="3">
        <v>0.7</v>
      </c>
      <c r="W487" s="2">
        <v>0</v>
      </c>
      <c r="X487">
        <v>0</v>
      </c>
      <c r="Y487" t="s">
        <v>60</v>
      </c>
      <c r="Z487" t="s">
        <v>135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36.4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46062</v>
      </c>
      <c r="B488" t="s">
        <v>48</v>
      </c>
      <c r="C488">
        <v>649163</v>
      </c>
      <c r="D488">
        <v>2032604912</v>
      </c>
      <c r="E488" t="s">
        <v>597</v>
      </c>
      <c r="F488" t="s">
        <v>598</v>
      </c>
      <c r="G488" t="s">
        <v>51</v>
      </c>
      <c r="H488" t="s">
        <v>193</v>
      </c>
      <c r="I488" t="s">
        <v>383</v>
      </c>
      <c r="J488" t="s">
        <v>385</v>
      </c>
      <c r="K488">
        <v>893408</v>
      </c>
      <c r="L488" t="s">
        <v>599</v>
      </c>
      <c r="M488" t="s">
        <v>600</v>
      </c>
      <c r="N488" t="s">
        <v>57</v>
      </c>
      <c r="O488" s="1">
        <v>46002</v>
      </c>
      <c r="Q488" s="1">
        <v>46092</v>
      </c>
      <c r="R488" s="2">
        <v>38.69</v>
      </c>
      <c r="S488">
        <v>1</v>
      </c>
      <c r="T488" t="s">
        <v>58</v>
      </c>
      <c r="U488" t="s">
        <v>59</v>
      </c>
      <c r="V488" s="3">
        <v>0.9</v>
      </c>
      <c r="W488" s="2">
        <v>0</v>
      </c>
      <c r="X488">
        <v>0</v>
      </c>
      <c r="Y488" t="s">
        <v>60</v>
      </c>
      <c r="Z488" t="s">
        <v>135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34.82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46062</v>
      </c>
      <c r="B489" t="s">
        <v>48</v>
      </c>
      <c r="C489">
        <v>649163</v>
      </c>
      <c r="D489">
        <v>2032605130</v>
      </c>
      <c r="E489" t="s">
        <v>873</v>
      </c>
      <c r="F489" t="s">
        <v>744</v>
      </c>
      <c r="G489" t="s">
        <v>51</v>
      </c>
      <c r="H489" t="s">
        <v>66</v>
      </c>
      <c r="I489" t="s">
        <v>383</v>
      </c>
      <c r="J489" t="s">
        <v>384</v>
      </c>
      <c r="K489">
        <v>856163</v>
      </c>
      <c r="L489" t="s">
        <v>108</v>
      </c>
      <c r="M489" t="s">
        <v>109</v>
      </c>
      <c r="N489" t="s">
        <v>57</v>
      </c>
      <c r="O489" s="1">
        <v>46002</v>
      </c>
      <c r="Q489" s="1">
        <v>46092</v>
      </c>
      <c r="R489" s="2">
        <v>49.8</v>
      </c>
      <c r="S489">
        <v>1</v>
      </c>
      <c r="T489" t="s">
        <v>58</v>
      </c>
      <c r="U489" t="s">
        <v>59</v>
      </c>
      <c r="V489" s="3">
        <v>0.7</v>
      </c>
      <c r="W489" s="2">
        <v>0</v>
      </c>
      <c r="X489">
        <v>0</v>
      </c>
      <c r="Y489" t="s">
        <v>60</v>
      </c>
      <c r="Z489" t="s">
        <v>135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34.86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46062</v>
      </c>
      <c r="B490" t="s">
        <v>48</v>
      </c>
      <c r="C490">
        <v>649163</v>
      </c>
      <c r="D490">
        <v>2032606968</v>
      </c>
      <c r="E490" t="s">
        <v>874</v>
      </c>
      <c r="F490" t="s">
        <v>875</v>
      </c>
      <c r="G490" t="s">
        <v>51</v>
      </c>
      <c r="H490" t="s">
        <v>90</v>
      </c>
      <c r="I490" t="s">
        <v>383</v>
      </c>
      <c r="J490" t="s">
        <v>384</v>
      </c>
      <c r="K490">
        <v>767312</v>
      </c>
      <c r="L490" t="s">
        <v>310</v>
      </c>
      <c r="M490" t="s">
        <v>311</v>
      </c>
      <c r="N490" t="s">
        <v>57</v>
      </c>
      <c r="O490" s="1">
        <v>46023</v>
      </c>
      <c r="Q490" s="1">
        <v>46082</v>
      </c>
      <c r="R490" s="2">
        <v>89.52</v>
      </c>
      <c r="S490">
        <v>1</v>
      </c>
      <c r="T490" t="s">
        <v>58</v>
      </c>
      <c r="U490" t="s">
        <v>59</v>
      </c>
      <c r="V490" s="3">
        <v>0.7</v>
      </c>
      <c r="W490" s="2">
        <v>0</v>
      </c>
      <c r="X490">
        <v>0</v>
      </c>
      <c r="Y490" t="s">
        <v>60</v>
      </c>
      <c r="Z490" t="s">
        <v>135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62.66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46062</v>
      </c>
      <c r="B491" t="s">
        <v>48</v>
      </c>
      <c r="C491">
        <v>649163</v>
      </c>
      <c r="D491">
        <v>2032607590</v>
      </c>
      <c r="E491" t="s">
        <v>876</v>
      </c>
      <c r="F491" t="s">
        <v>877</v>
      </c>
      <c r="G491" t="s">
        <v>51</v>
      </c>
      <c r="H491" t="s">
        <v>66</v>
      </c>
      <c r="I491" t="s">
        <v>383</v>
      </c>
      <c r="J491" t="s">
        <v>385</v>
      </c>
      <c r="K491">
        <v>820873</v>
      </c>
      <c r="L491" t="s">
        <v>319</v>
      </c>
      <c r="M491" t="s">
        <v>320</v>
      </c>
      <c r="N491" t="s">
        <v>57</v>
      </c>
      <c r="O491" s="1">
        <v>46002</v>
      </c>
      <c r="Q491" s="1">
        <v>46092</v>
      </c>
      <c r="R491" s="2">
        <v>44.88</v>
      </c>
      <c r="S491">
        <v>1</v>
      </c>
      <c r="T491" t="s">
        <v>58</v>
      </c>
      <c r="U491" t="s">
        <v>59</v>
      </c>
      <c r="V491" s="3">
        <v>0.9</v>
      </c>
      <c r="W491" s="2">
        <v>0</v>
      </c>
      <c r="X491">
        <v>0</v>
      </c>
      <c r="Y491" t="s">
        <v>60</v>
      </c>
      <c r="Z491" t="s">
        <v>135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40.39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46062</v>
      </c>
      <c r="B492" t="s">
        <v>48</v>
      </c>
      <c r="C492">
        <v>649163</v>
      </c>
      <c r="D492">
        <v>2032612599</v>
      </c>
      <c r="E492" t="s">
        <v>878</v>
      </c>
      <c r="F492" t="s">
        <v>879</v>
      </c>
      <c r="G492" t="s">
        <v>51</v>
      </c>
      <c r="H492" t="s">
        <v>66</v>
      </c>
      <c r="I492" t="s">
        <v>383</v>
      </c>
      <c r="J492" t="s">
        <v>384</v>
      </c>
      <c r="K492">
        <v>867497</v>
      </c>
      <c r="L492" t="s">
        <v>880</v>
      </c>
      <c r="M492" t="s">
        <v>881</v>
      </c>
      <c r="N492" t="s">
        <v>57</v>
      </c>
      <c r="O492" s="1">
        <v>46002</v>
      </c>
      <c r="Q492" s="1">
        <v>46092</v>
      </c>
      <c r="R492" s="2">
        <v>18.45</v>
      </c>
      <c r="S492">
        <v>1</v>
      </c>
      <c r="T492" t="s">
        <v>58</v>
      </c>
      <c r="U492" t="s">
        <v>59</v>
      </c>
      <c r="V492" s="3">
        <v>0.7</v>
      </c>
      <c r="W492" s="2">
        <v>0</v>
      </c>
      <c r="X492">
        <v>0</v>
      </c>
      <c r="Y492" t="s">
        <v>60</v>
      </c>
      <c r="Z492" t="s">
        <v>135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12.92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46062</v>
      </c>
      <c r="B493" t="s">
        <v>48</v>
      </c>
      <c r="C493">
        <v>649163</v>
      </c>
      <c r="D493">
        <v>2032617240</v>
      </c>
      <c r="E493" t="s">
        <v>882</v>
      </c>
      <c r="F493" t="s">
        <v>883</v>
      </c>
      <c r="G493" t="s">
        <v>51</v>
      </c>
      <c r="H493" t="s">
        <v>66</v>
      </c>
      <c r="I493" t="s">
        <v>383</v>
      </c>
      <c r="J493" t="s">
        <v>384</v>
      </c>
      <c r="K493">
        <v>806645</v>
      </c>
      <c r="L493" t="s">
        <v>344</v>
      </c>
      <c r="M493" t="s">
        <v>345</v>
      </c>
      <c r="N493" t="s">
        <v>144</v>
      </c>
      <c r="O493" s="1">
        <v>46023</v>
      </c>
      <c r="P493" s="1">
        <v>46055</v>
      </c>
      <c r="Q493" s="1">
        <v>46082</v>
      </c>
      <c r="R493" s="2">
        <v>-28</v>
      </c>
      <c r="S493">
        <v>1</v>
      </c>
      <c r="T493" t="s">
        <v>58</v>
      </c>
      <c r="U493" t="s">
        <v>59</v>
      </c>
      <c r="V493" s="3">
        <v>0.7</v>
      </c>
      <c r="W493" s="2">
        <v>0</v>
      </c>
      <c r="X493">
        <v>-1</v>
      </c>
      <c r="Y493" t="s">
        <v>60</v>
      </c>
      <c r="Z493" t="s">
        <v>135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-19.600000000000001</v>
      </c>
      <c r="AN493" s="2">
        <v>-19.600000000000001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46062</v>
      </c>
      <c r="B494" t="s">
        <v>48</v>
      </c>
      <c r="C494">
        <v>649163</v>
      </c>
      <c r="D494">
        <v>2032617279</v>
      </c>
      <c r="E494" t="s">
        <v>884</v>
      </c>
      <c r="F494" t="s">
        <v>885</v>
      </c>
      <c r="G494" t="s">
        <v>51</v>
      </c>
      <c r="H494" t="s">
        <v>886</v>
      </c>
      <c r="I494" t="s">
        <v>383</v>
      </c>
      <c r="J494" t="s">
        <v>384</v>
      </c>
      <c r="K494">
        <v>651818</v>
      </c>
      <c r="L494" t="s">
        <v>80</v>
      </c>
      <c r="M494" t="s">
        <v>81</v>
      </c>
      <c r="N494" t="s">
        <v>57</v>
      </c>
      <c r="O494" s="1">
        <v>46028</v>
      </c>
      <c r="Q494" s="1">
        <v>46087</v>
      </c>
      <c r="R494" s="2">
        <v>100</v>
      </c>
      <c r="S494">
        <v>1</v>
      </c>
      <c r="T494" t="s">
        <v>58</v>
      </c>
      <c r="U494" t="s">
        <v>59</v>
      </c>
      <c r="V494" s="3">
        <v>0.7</v>
      </c>
      <c r="W494" s="2">
        <v>0</v>
      </c>
      <c r="X494">
        <v>0</v>
      </c>
      <c r="Y494" t="s">
        <v>60</v>
      </c>
      <c r="Z494" t="s">
        <v>135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70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46062</v>
      </c>
      <c r="B495" t="s">
        <v>48</v>
      </c>
      <c r="C495">
        <v>649163</v>
      </c>
      <c r="D495">
        <v>2032621540</v>
      </c>
      <c r="E495" t="s">
        <v>887</v>
      </c>
      <c r="F495" t="s">
        <v>888</v>
      </c>
      <c r="G495" t="s">
        <v>51</v>
      </c>
      <c r="H495" t="s">
        <v>392</v>
      </c>
      <c r="I495" t="s">
        <v>383</v>
      </c>
      <c r="J495" t="s">
        <v>400</v>
      </c>
      <c r="K495">
        <v>823068</v>
      </c>
      <c r="L495" t="s">
        <v>355</v>
      </c>
      <c r="M495" t="s">
        <v>356</v>
      </c>
      <c r="N495" t="s">
        <v>57</v>
      </c>
      <c r="O495" s="1">
        <v>46003</v>
      </c>
      <c r="Q495" s="1">
        <v>46093</v>
      </c>
      <c r="R495" s="2">
        <v>24.61</v>
      </c>
      <c r="S495">
        <v>1</v>
      </c>
      <c r="T495" t="s">
        <v>58</v>
      </c>
      <c r="U495" t="s">
        <v>59</v>
      </c>
      <c r="V495" s="3">
        <v>0.7</v>
      </c>
      <c r="W495" s="2">
        <v>0</v>
      </c>
      <c r="X495">
        <v>0</v>
      </c>
      <c r="Y495" t="s">
        <v>60</v>
      </c>
      <c r="Z495" t="s">
        <v>135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17.23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46062</v>
      </c>
      <c r="B496" t="s">
        <v>48</v>
      </c>
      <c r="C496">
        <v>649163</v>
      </c>
      <c r="D496">
        <v>2032623369</v>
      </c>
      <c r="E496" t="s">
        <v>889</v>
      </c>
      <c r="F496" t="s">
        <v>762</v>
      </c>
      <c r="G496" t="s">
        <v>51</v>
      </c>
      <c r="H496" t="s">
        <v>353</v>
      </c>
      <c r="I496" t="s">
        <v>383</v>
      </c>
      <c r="J496" t="s">
        <v>384</v>
      </c>
      <c r="K496">
        <v>651818</v>
      </c>
      <c r="L496" t="s">
        <v>80</v>
      </c>
      <c r="M496" t="s">
        <v>81</v>
      </c>
      <c r="N496" t="s">
        <v>57</v>
      </c>
      <c r="O496" s="1">
        <v>46028</v>
      </c>
      <c r="Q496" s="1">
        <v>46087</v>
      </c>
      <c r="R496" s="2">
        <v>61.82</v>
      </c>
      <c r="S496">
        <v>1</v>
      </c>
      <c r="T496" t="s">
        <v>58</v>
      </c>
      <c r="U496" t="s">
        <v>59</v>
      </c>
      <c r="V496" s="3">
        <v>0.7</v>
      </c>
      <c r="W496" s="2">
        <v>0</v>
      </c>
      <c r="X496">
        <v>0</v>
      </c>
      <c r="Y496" t="s">
        <v>60</v>
      </c>
      <c r="Z496" t="s">
        <v>135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43.27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46062</v>
      </c>
      <c r="B497" t="s">
        <v>48</v>
      </c>
      <c r="C497">
        <v>649163</v>
      </c>
      <c r="D497">
        <v>2032623371</v>
      </c>
      <c r="E497" t="s">
        <v>889</v>
      </c>
      <c r="F497" t="s">
        <v>762</v>
      </c>
      <c r="G497" t="s">
        <v>51</v>
      </c>
      <c r="H497" t="s">
        <v>353</v>
      </c>
      <c r="I497" t="s">
        <v>383</v>
      </c>
      <c r="J497" t="s">
        <v>385</v>
      </c>
      <c r="K497">
        <v>651818</v>
      </c>
      <c r="L497" t="s">
        <v>80</v>
      </c>
      <c r="M497" t="s">
        <v>81</v>
      </c>
      <c r="N497" t="s">
        <v>57</v>
      </c>
      <c r="O497" s="1">
        <v>46028</v>
      </c>
      <c r="Q497" s="1">
        <v>46087</v>
      </c>
      <c r="R497" s="2">
        <v>280.5</v>
      </c>
      <c r="S497">
        <v>1</v>
      </c>
      <c r="T497" t="s">
        <v>58</v>
      </c>
      <c r="U497" t="s">
        <v>59</v>
      </c>
      <c r="V497" s="3">
        <v>0.9</v>
      </c>
      <c r="W497" s="2">
        <v>0</v>
      </c>
      <c r="X497">
        <v>0</v>
      </c>
      <c r="Y497" t="s">
        <v>60</v>
      </c>
      <c r="Z497" t="s">
        <v>135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252.45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46062</v>
      </c>
      <c r="B498" t="s">
        <v>48</v>
      </c>
      <c r="C498">
        <v>649163</v>
      </c>
      <c r="D498">
        <v>2032627613</v>
      </c>
      <c r="E498" t="s">
        <v>890</v>
      </c>
      <c r="F498" t="s">
        <v>891</v>
      </c>
      <c r="G498" t="s">
        <v>51</v>
      </c>
      <c r="H498" t="s">
        <v>274</v>
      </c>
      <c r="I498" t="s">
        <v>383</v>
      </c>
      <c r="J498" t="s">
        <v>384</v>
      </c>
      <c r="K498">
        <v>816021</v>
      </c>
      <c r="L498" t="s">
        <v>275</v>
      </c>
      <c r="M498" t="s">
        <v>276</v>
      </c>
      <c r="N498" t="s">
        <v>57</v>
      </c>
      <c r="O498" s="1">
        <v>46003</v>
      </c>
      <c r="Q498" s="1">
        <v>46093</v>
      </c>
      <c r="R498" s="2">
        <v>9.1</v>
      </c>
      <c r="S498">
        <v>1</v>
      </c>
      <c r="T498" t="s">
        <v>58</v>
      </c>
      <c r="U498" t="s">
        <v>59</v>
      </c>
      <c r="V498" s="3">
        <v>0.7</v>
      </c>
      <c r="W498" s="2">
        <v>0</v>
      </c>
      <c r="X498">
        <v>0</v>
      </c>
      <c r="Y498" t="s">
        <v>60</v>
      </c>
      <c r="Z498" t="s">
        <v>135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6.37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46062</v>
      </c>
      <c r="B499" t="s">
        <v>48</v>
      </c>
      <c r="C499">
        <v>649163</v>
      </c>
      <c r="D499">
        <v>2032634843</v>
      </c>
      <c r="E499" t="s">
        <v>892</v>
      </c>
      <c r="F499" t="s">
        <v>195</v>
      </c>
      <c r="G499" t="s">
        <v>51</v>
      </c>
      <c r="H499" t="s">
        <v>170</v>
      </c>
      <c r="I499" t="s">
        <v>383</v>
      </c>
      <c r="J499" t="s">
        <v>384</v>
      </c>
      <c r="K499">
        <v>867497</v>
      </c>
      <c r="L499" t="s">
        <v>880</v>
      </c>
      <c r="M499" t="s">
        <v>881</v>
      </c>
      <c r="N499" t="s">
        <v>57</v>
      </c>
      <c r="O499" s="1">
        <v>46003</v>
      </c>
      <c r="Q499" s="1">
        <v>46093</v>
      </c>
      <c r="R499" s="2">
        <v>57.27</v>
      </c>
      <c r="S499">
        <v>1</v>
      </c>
      <c r="T499" t="s">
        <v>58</v>
      </c>
      <c r="U499" t="s">
        <v>59</v>
      </c>
      <c r="V499" s="3">
        <v>0.7</v>
      </c>
      <c r="W499" s="2">
        <v>0</v>
      </c>
      <c r="X499">
        <v>0</v>
      </c>
      <c r="Y499" t="s">
        <v>60</v>
      </c>
      <c r="Z499" t="s">
        <v>135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40.090000000000003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46062</v>
      </c>
      <c r="B500" t="s">
        <v>48</v>
      </c>
      <c r="C500">
        <v>649163</v>
      </c>
      <c r="D500">
        <v>2032638602</v>
      </c>
      <c r="E500" t="s">
        <v>893</v>
      </c>
      <c r="F500" t="s">
        <v>236</v>
      </c>
      <c r="G500" t="s">
        <v>51</v>
      </c>
      <c r="H500" t="s">
        <v>66</v>
      </c>
      <c r="I500" t="s">
        <v>383</v>
      </c>
      <c r="J500" t="s">
        <v>384</v>
      </c>
      <c r="K500">
        <v>867497</v>
      </c>
      <c r="L500" t="s">
        <v>880</v>
      </c>
      <c r="M500" t="s">
        <v>881</v>
      </c>
      <c r="N500" t="s">
        <v>57</v>
      </c>
      <c r="O500" s="1">
        <v>46003</v>
      </c>
      <c r="Q500" s="1">
        <v>46093</v>
      </c>
      <c r="R500" s="2">
        <v>18.45</v>
      </c>
      <c r="S500">
        <v>1</v>
      </c>
      <c r="T500" t="s">
        <v>58</v>
      </c>
      <c r="U500" t="s">
        <v>59</v>
      </c>
      <c r="V500" s="3">
        <v>0.7</v>
      </c>
      <c r="W500" s="2">
        <v>0</v>
      </c>
      <c r="X500">
        <v>0</v>
      </c>
      <c r="Y500" t="s">
        <v>60</v>
      </c>
      <c r="Z500" t="s">
        <v>135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12.92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46062</v>
      </c>
      <c r="B501" t="s">
        <v>48</v>
      </c>
      <c r="C501">
        <v>649163</v>
      </c>
      <c r="D501">
        <v>2032645668</v>
      </c>
      <c r="E501" t="s">
        <v>894</v>
      </c>
      <c r="F501" t="s">
        <v>895</v>
      </c>
      <c r="G501" t="s">
        <v>51</v>
      </c>
      <c r="H501" t="s">
        <v>209</v>
      </c>
      <c r="I501" t="s">
        <v>383</v>
      </c>
      <c r="J501" t="s">
        <v>384</v>
      </c>
      <c r="K501">
        <v>813184</v>
      </c>
      <c r="L501" t="s">
        <v>303</v>
      </c>
      <c r="M501" t="s">
        <v>304</v>
      </c>
      <c r="N501" t="s">
        <v>57</v>
      </c>
      <c r="O501" s="1">
        <v>46004</v>
      </c>
      <c r="Q501" s="1">
        <v>46094</v>
      </c>
      <c r="R501" s="2">
        <v>27.18</v>
      </c>
      <c r="S501">
        <v>1</v>
      </c>
      <c r="T501" t="s">
        <v>58</v>
      </c>
      <c r="U501" t="s">
        <v>59</v>
      </c>
      <c r="V501" s="3">
        <v>0.7</v>
      </c>
      <c r="W501" s="2">
        <v>0</v>
      </c>
      <c r="X501">
        <v>0</v>
      </c>
      <c r="Y501" t="s">
        <v>60</v>
      </c>
      <c r="Z501" t="s">
        <v>135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19.03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46062</v>
      </c>
      <c r="B502" t="s">
        <v>48</v>
      </c>
      <c r="C502">
        <v>649163</v>
      </c>
      <c r="D502">
        <v>2032647790</v>
      </c>
      <c r="E502" t="s">
        <v>896</v>
      </c>
      <c r="F502" t="s">
        <v>897</v>
      </c>
      <c r="G502" t="s">
        <v>51</v>
      </c>
      <c r="H502" t="s">
        <v>71</v>
      </c>
      <c r="I502" t="s">
        <v>383</v>
      </c>
      <c r="J502" t="s">
        <v>384</v>
      </c>
      <c r="K502">
        <v>893408</v>
      </c>
      <c r="L502" t="s">
        <v>599</v>
      </c>
      <c r="M502" t="s">
        <v>600</v>
      </c>
      <c r="N502" t="s">
        <v>57</v>
      </c>
      <c r="O502" s="1">
        <v>46004</v>
      </c>
      <c r="Q502" s="1">
        <v>46094</v>
      </c>
      <c r="R502" s="2">
        <v>79.17</v>
      </c>
      <c r="S502">
        <v>1</v>
      </c>
      <c r="T502" t="s">
        <v>58</v>
      </c>
      <c r="U502" t="s">
        <v>59</v>
      </c>
      <c r="V502" s="3">
        <v>0.7</v>
      </c>
      <c r="W502" s="2">
        <v>0</v>
      </c>
      <c r="X502">
        <v>0</v>
      </c>
      <c r="Y502" t="s">
        <v>60</v>
      </c>
      <c r="Z502" t="s">
        <v>135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55.42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46062</v>
      </c>
      <c r="B503" t="s">
        <v>48</v>
      </c>
      <c r="C503">
        <v>649163</v>
      </c>
      <c r="D503">
        <v>2032650556</v>
      </c>
      <c r="E503" t="s">
        <v>725</v>
      </c>
      <c r="F503" t="s">
        <v>726</v>
      </c>
      <c r="G503" t="s">
        <v>51</v>
      </c>
      <c r="H503" t="s">
        <v>170</v>
      </c>
      <c r="I503" t="s">
        <v>383</v>
      </c>
      <c r="J503" t="s">
        <v>384</v>
      </c>
      <c r="K503">
        <v>806645</v>
      </c>
      <c r="L503" t="s">
        <v>344</v>
      </c>
      <c r="M503" t="s">
        <v>345</v>
      </c>
      <c r="N503" t="s">
        <v>57</v>
      </c>
      <c r="O503" s="1">
        <v>46004</v>
      </c>
      <c r="Q503" s="1">
        <v>46094</v>
      </c>
      <c r="R503" s="2">
        <v>33.979999999999997</v>
      </c>
      <c r="S503">
        <v>1</v>
      </c>
      <c r="T503" t="s">
        <v>58</v>
      </c>
      <c r="U503" t="s">
        <v>59</v>
      </c>
      <c r="V503" s="3">
        <v>0.7</v>
      </c>
      <c r="W503" s="2">
        <v>0</v>
      </c>
      <c r="X503">
        <v>0</v>
      </c>
      <c r="Y503" t="s">
        <v>60</v>
      </c>
      <c r="Z503" t="s">
        <v>135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23.79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46062</v>
      </c>
      <c r="B504" t="s">
        <v>48</v>
      </c>
      <c r="C504">
        <v>649163</v>
      </c>
      <c r="D504">
        <v>2032652629</v>
      </c>
      <c r="E504" t="s">
        <v>898</v>
      </c>
      <c r="F504" t="s">
        <v>705</v>
      </c>
      <c r="G504" t="s">
        <v>51</v>
      </c>
      <c r="H504" t="s">
        <v>209</v>
      </c>
      <c r="I504" t="s">
        <v>383</v>
      </c>
      <c r="J504" t="s">
        <v>384</v>
      </c>
      <c r="K504">
        <v>813184</v>
      </c>
      <c r="L504" t="s">
        <v>303</v>
      </c>
      <c r="M504" t="s">
        <v>304</v>
      </c>
      <c r="N504" t="s">
        <v>57</v>
      </c>
      <c r="O504" s="1">
        <v>46004</v>
      </c>
      <c r="Q504" s="1">
        <v>46094</v>
      </c>
      <c r="R504" s="2">
        <v>89.8</v>
      </c>
      <c r="S504">
        <v>1</v>
      </c>
      <c r="T504" t="s">
        <v>58</v>
      </c>
      <c r="U504" t="s">
        <v>59</v>
      </c>
      <c r="V504" s="3">
        <v>0.7</v>
      </c>
      <c r="W504" s="2">
        <v>0</v>
      </c>
      <c r="X504">
        <v>0</v>
      </c>
      <c r="Y504" t="s">
        <v>60</v>
      </c>
      <c r="Z504" t="s">
        <v>135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62.86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46062</v>
      </c>
      <c r="B505" t="s">
        <v>48</v>
      </c>
      <c r="C505">
        <v>649163</v>
      </c>
      <c r="D505">
        <v>2032657543</v>
      </c>
      <c r="E505" t="s">
        <v>899</v>
      </c>
      <c r="F505" t="s">
        <v>900</v>
      </c>
      <c r="G505" t="s">
        <v>51</v>
      </c>
      <c r="H505" t="s">
        <v>66</v>
      </c>
      <c r="I505" t="s">
        <v>383</v>
      </c>
      <c r="J505" t="s">
        <v>384</v>
      </c>
      <c r="K505">
        <v>806645</v>
      </c>
      <c r="L505" t="s">
        <v>344</v>
      </c>
      <c r="M505" t="s">
        <v>345</v>
      </c>
      <c r="N505" t="s">
        <v>57</v>
      </c>
      <c r="O505" s="1">
        <v>46004</v>
      </c>
      <c r="Q505" s="1">
        <v>46094</v>
      </c>
      <c r="R505" s="2">
        <v>58.24</v>
      </c>
      <c r="S505">
        <v>1</v>
      </c>
      <c r="T505" t="s">
        <v>58</v>
      </c>
      <c r="U505" t="s">
        <v>59</v>
      </c>
      <c r="V505" s="3">
        <v>0.7</v>
      </c>
      <c r="W505" s="2">
        <v>0</v>
      </c>
      <c r="X505">
        <v>0</v>
      </c>
      <c r="Y505" t="s">
        <v>60</v>
      </c>
      <c r="Z505" t="s">
        <v>135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40.770000000000003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46062</v>
      </c>
      <c r="B506" t="s">
        <v>48</v>
      </c>
      <c r="C506">
        <v>649163</v>
      </c>
      <c r="D506">
        <v>2032665457</v>
      </c>
      <c r="E506" t="s">
        <v>466</v>
      </c>
      <c r="F506" t="s">
        <v>722</v>
      </c>
      <c r="G506" t="s">
        <v>51</v>
      </c>
      <c r="H506" t="s">
        <v>90</v>
      </c>
      <c r="I506" t="s">
        <v>383</v>
      </c>
      <c r="J506" t="s">
        <v>384</v>
      </c>
      <c r="K506">
        <v>893408</v>
      </c>
      <c r="L506" t="s">
        <v>599</v>
      </c>
      <c r="M506" t="s">
        <v>600</v>
      </c>
      <c r="N506" t="s">
        <v>57</v>
      </c>
      <c r="O506" s="1">
        <v>46004</v>
      </c>
      <c r="Q506" s="1">
        <v>46094</v>
      </c>
      <c r="R506" s="2">
        <v>48.76</v>
      </c>
      <c r="S506">
        <v>1</v>
      </c>
      <c r="T506" t="s">
        <v>58</v>
      </c>
      <c r="U506" t="s">
        <v>59</v>
      </c>
      <c r="V506" s="3">
        <v>0.7</v>
      </c>
      <c r="W506" s="2">
        <v>0</v>
      </c>
      <c r="X506">
        <v>0</v>
      </c>
      <c r="Y506" t="s">
        <v>60</v>
      </c>
      <c r="Z506" t="s">
        <v>135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34.130000000000003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46062</v>
      </c>
      <c r="B507" t="s">
        <v>48</v>
      </c>
      <c r="C507">
        <v>649163</v>
      </c>
      <c r="D507">
        <v>2032667003</v>
      </c>
      <c r="E507" t="s">
        <v>901</v>
      </c>
      <c r="F507" t="s">
        <v>902</v>
      </c>
      <c r="G507" t="s">
        <v>51</v>
      </c>
      <c r="H507" t="s">
        <v>71</v>
      </c>
      <c r="I507" t="s">
        <v>383</v>
      </c>
      <c r="J507" t="s">
        <v>384</v>
      </c>
      <c r="K507">
        <v>856824</v>
      </c>
      <c r="L507" t="s">
        <v>126</v>
      </c>
      <c r="M507" t="s">
        <v>127</v>
      </c>
      <c r="N507" t="s">
        <v>57</v>
      </c>
      <c r="O507" s="1">
        <v>46004</v>
      </c>
      <c r="Q507" s="1">
        <v>46094</v>
      </c>
      <c r="R507" s="2">
        <v>143.38</v>
      </c>
      <c r="S507">
        <v>1</v>
      </c>
      <c r="T507" t="s">
        <v>58</v>
      </c>
      <c r="U507" t="s">
        <v>59</v>
      </c>
      <c r="V507" s="3">
        <v>0.7</v>
      </c>
      <c r="W507" s="2">
        <v>0</v>
      </c>
      <c r="X507">
        <v>0</v>
      </c>
      <c r="Y507" t="s">
        <v>60</v>
      </c>
      <c r="Z507" t="s">
        <v>135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100.37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46062</v>
      </c>
      <c r="B508" t="s">
        <v>48</v>
      </c>
      <c r="C508">
        <v>649163</v>
      </c>
      <c r="D508">
        <v>2032673929</v>
      </c>
      <c r="E508" t="s">
        <v>903</v>
      </c>
      <c r="F508" t="s">
        <v>904</v>
      </c>
      <c r="G508" t="s">
        <v>51</v>
      </c>
      <c r="H508" t="s">
        <v>66</v>
      </c>
      <c r="I508" t="s">
        <v>383</v>
      </c>
      <c r="J508" t="s">
        <v>384</v>
      </c>
      <c r="K508">
        <v>651818</v>
      </c>
      <c r="L508" t="s">
        <v>80</v>
      </c>
      <c r="M508" t="s">
        <v>81</v>
      </c>
      <c r="N508" t="s">
        <v>57</v>
      </c>
      <c r="O508" s="1">
        <v>46028</v>
      </c>
      <c r="Q508" s="1">
        <v>46087</v>
      </c>
      <c r="R508" s="2">
        <v>96</v>
      </c>
      <c r="S508">
        <v>1</v>
      </c>
      <c r="T508" t="s">
        <v>58</v>
      </c>
      <c r="U508" t="s">
        <v>59</v>
      </c>
      <c r="V508" s="3">
        <v>0.7</v>
      </c>
      <c r="W508" s="2">
        <v>0</v>
      </c>
      <c r="X508">
        <v>0</v>
      </c>
      <c r="Y508" t="s">
        <v>60</v>
      </c>
      <c r="Z508" t="s">
        <v>135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67.2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46062</v>
      </c>
      <c r="B509" t="s">
        <v>48</v>
      </c>
      <c r="C509">
        <v>649163</v>
      </c>
      <c r="D509">
        <v>2032674171</v>
      </c>
      <c r="E509" t="s">
        <v>903</v>
      </c>
      <c r="F509" t="s">
        <v>298</v>
      </c>
      <c r="G509" t="s">
        <v>51</v>
      </c>
      <c r="H509" t="s">
        <v>66</v>
      </c>
      <c r="I509" t="s">
        <v>383</v>
      </c>
      <c r="J509" t="s">
        <v>384</v>
      </c>
      <c r="K509">
        <v>651818</v>
      </c>
      <c r="L509" t="s">
        <v>80</v>
      </c>
      <c r="M509" t="s">
        <v>81</v>
      </c>
      <c r="N509" t="s">
        <v>57</v>
      </c>
      <c r="O509" s="1">
        <v>46028</v>
      </c>
      <c r="Q509" s="1">
        <v>46087</v>
      </c>
      <c r="R509" s="2">
        <v>49.8</v>
      </c>
      <c r="S509">
        <v>1</v>
      </c>
      <c r="T509" t="s">
        <v>58</v>
      </c>
      <c r="U509" t="s">
        <v>59</v>
      </c>
      <c r="V509" s="3">
        <v>0.7</v>
      </c>
      <c r="W509" s="2">
        <v>0</v>
      </c>
      <c r="X509">
        <v>0</v>
      </c>
      <c r="Y509" t="s">
        <v>60</v>
      </c>
      <c r="Z509" t="s">
        <v>135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34.86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46062</v>
      </c>
      <c r="B510" t="s">
        <v>48</v>
      </c>
      <c r="C510">
        <v>649163</v>
      </c>
      <c r="D510">
        <v>2032674294</v>
      </c>
      <c r="E510" t="s">
        <v>903</v>
      </c>
      <c r="F510" t="s">
        <v>883</v>
      </c>
      <c r="G510" t="s">
        <v>51</v>
      </c>
      <c r="H510" t="s">
        <v>66</v>
      </c>
      <c r="I510" t="s">
        <v>383</v>
      </c>
      <c r="J510" t="s">
        <v>384</v>
      </c>
      <c r="K510">
        <v>651818</v>
      </c>
      <c r="L510" t="s">
        <v>80</v>
      </c>
      <c r="M510" t="s">
        <v>81</v>
      </c>
      <c r="N510" t="s">
        <v>57</v>
      </c>
      <c r="O510" s="1">
        <v>46028</v>
      </c>
      <c r="Q510" s="1">
        <v>46087</v>
      </c>
      <c r="R510" s="2">
        <v>49.8</v>
      </c>
      <c r="S510">
        <v>1</v>
      </c>
      <c r="T510" t="s">
        <v>58</v>
      </c>
      <c r="U510" t="s">
        <v>59</v>
      </c>
      <c r="V510" s="3">
        <v>0.7</v>
      </c>
      <c r="W510" s="2">
        <v>0</v>
      </c>
      <c r="X510">
        <v>0</v>
      </c>
      <c r="Y510" t="s">
        <v>60</v>
      </c>
      <c r="Z510" t="s">
        <v>135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34.86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46062</v>
      </c>
      <c r="B511" t="s">
        <v>48</v>
      </c>
      <c r="C511">
        <v>649163</v>
      </c>
      <c r="D511">
        <v>2032686877</v>
      </c>
      <c r="E511" t="s">
        <v>905</v>
      </c>
      <c r="F511" t="s">
        <v>176</v>
      </c>
      <c r="G511" t="s">
        <v>51</v>
      </c>
      <c r="H511" t="s">
        <v>333</v>
      </c>
      <c r="I511" t="s">
        <v>383</v>
      </c>
      <c r="J511" t="s">
        <v>384</v>
      </c>
      <c r="K511">
        <v>822723</v>
      </c>
      <c r="L511" t="s">
        <v>906</v>
      </c>
      <c r="M511" t="s">
        <v>907</v>
      </c>
      <c r="N511" t="s">
        <v>144</v>
      </c>
      <c r="O511" s="1">
        <v>46023</v>
      </c>
      <c r="P511" s="1">
        <v>46062</v>
      </c>
      <c r="Q511" s="1">
        <v>46082</v>
      </c>
      <c r="R511" s="2">
        <v>-68</v>
      </c>
      <c r="S511">
        <v>1</v>
      </c>
      <c r="T511" t="s">
        <v>58</v>
      </c>
      <c r="U511" t="s">
        <v>59</v>
      </c>
      <c r="V511" s="3">
        <v>0.7</v>
      </c>
      <c r="W511" s="2">
        <v>0</v>
      </c>
      <c r="X511">
        <v>-1</v>
      </c>
      <c r="Y511" t="s">
        <v>60</v>
      </c>
      <c r="Z511" t="s">
        <v>135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-47.6</v>
      </c>
      <c r="AN511" s="2">
        <v>-47.6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46062</v>
      </c>
      <c r="B512" t="s">
        <v>48</v>
      </c>
      <c r="C512">
        <v>649163</v>
      </c>
      <c r="D512">
        <v>2032691817</v>
      </c>
      <c r="E512" t="s">
        <v>908</v>
      </c>
      <c r="F512" t="s">
        <v>592</v>
      </c>
      <c r="G512" t="s">
        <v>51</v>
      </c>
      <c r="H512" t="s">
        <v>96</v>
      </c>
      <c r="I512" t="s">
        <v>383</v>
      </c>
      <c r="J512" t="s">
        <v>384</v>
      </c>
      <c r="K512">
        <v>651818</v>
      </c>
      <c r="L512" t="s">
        <v>80</v>
      </c>
      <c r="M512" t="s">
        <v>81</v>
      </c>
      <c r="N512" t="s">
        <v>57</v>
      </c>
      <c r="O512" s="1">
        <v>46028</v>
      </c>
      <c r="Q512" s="1">
        <v>46087</v>
      </c>
      <c r="R512" s="2">
        <v>65.959999999999994</v>
      </c>
      <c r="S512">
        <v>1</v>
      </c>
      <c r="T512" t="s">
        <v>58</v>
      </c>
      <c r="U512" t="s">
        <v>59</v>
      </c>
      <c r="V512" s="3">
        <v>0.7</v>
      </c>
      <c r="W512" s="2">
        <v>0</v>
      </c>
      <c r="X512">
        <v>0</v>
      </c>
      <c r="Y512" t="s">
        <v>60</v>
      </c>
      <c r="Z512" t="s">
        <v>135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46.17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46062</v>
      </c>
      <c r="B513" t="s">
        <v>48</v>
      </c>
      <c r="C513">
        <v>649163</v>
      </c>
      <c r="D513">
        <v>2032701048</v>
      </c>
      <c r="E513" t="s">
        <v>909</v>
      </c>
      <c r="F513" t="s">
        <v>370</v>
      </c>
      <c r="G513" t="s">
        <v>51</v>
      </c>
      <c r="H513" t="s">
        <v>780</v>
      </c>
      <c r="I513" t="s">
        <v>383</v>
      </c>
      <c r="J513" t="s">
        <v>400</v>
      </c>
      <c r="K513">
        <v>651818</v>
      </c>
      <c r="L513" t="s">
        <v>80</v>
      </c>
      <c r="M513" t="s">
        <v>81</v>
      </c>
      <c r="N513" t="s">
        <v>57</v>
      </c>
      <c r="O513" s="1">
        <v>46028</v>
      </c>
      <c r="Q513" s="1">
        <v>46087</v>
      </c>
      <c r="R513" s="2">
        <v>71.27</v>
      </c>
      <c r="S513">
        <v>1</v>
      </c>
      <c r="T513" t="s">
        <v>58</v>
      </c>
      <c r="U513" t="s">
        <v>59</v>
      </c>
      <c r="V513" s="3">
        <v>0.7</v>
      </c>
      <c r="W513" s="2">
        <v>0</v>
      </c>
      <c r="X513">
        <v>0</v>
      </c>
      <c r="Y513" t="s">
        <v>60</v>
      </c>
      <c r="Z513" t="s">
        <v>135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49.89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46062</v>
      </c>
      <c r="B514" t="s">
        <v>48</v>
      </c>
      <c r="C514">
        <v>649163</v>
      </c>
      <c r="D514">
        <v>2032701049</v>
      </c>
      <c r="E514" t="s">
        <v>909</v>
      </c>
      <c r="F514" t="s">
        <v>370</v>
      </c>
      <c r="G514" t="s">
        <v>51</v>
      </c>
      <c r="H514" t="s">
        <v>780</v>
      </c>
      <c r="I514" t="s">
        <v>383</v>
      </c>
      <c r="J514" t="s">
        <v>385</v>
      </c>
      <c r="K514">
        <v>651818</v>
      </c>
      <c r="L514" t="s">
        <v>80</v>
      </c>
      <c r="M514" t="s">
        <v>81</v>
      </c>
      <c r="N514" t="s">
        <v>57</v>
      </c>
      <c r="O514" s="1">
        <v>46028</v>
      </c>
      <c r="Q514" s="1">
        <v>46087</v>
      </c>
      <c r="R514" s="2">
        <v>36.31</v>
      </c>
      <c r="S514">
        <v>1</v>
      </c>
      <c r="T514" t="s">
        <v>58</v>
      </c>
      <c r="U514" t="s">
        <v>59</v>
      </c>
      <c r="V514" s="3">
        <v>0.9</v>
      </c>
      <c r="W514" s="2">
        <v>0</v>
      </c>
      <c r="X514">
        <v>0</v>
      </c>
      <c r="Y514" t="s">
        <v>60</v>
      </c>
      <c r="Z514" t="s">
        <v>135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32.68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46062</v>
      </c>
      <c r="B515" t="s">
        <v>48</v>
      </c>
      <c r="C515">
        <v>649163</v>
      </c>
      <c r="D515">
        <v>2032702728</v>
      </c>
      <c r="E515" t="s">
        <v>324</v>
      </c>
      <c r="F515" t="s">
        <v>910</v>
      </c>
      <c r="G515" t="s">
        <v>51</v>
      </c>
      <c r="H515" t="s">
        <v>66</v>
      </c>
      <c r="I515" t="s">
        <v>383</v>
      </c>
      <c r="J515" t="s">
        <v>384</v>
      </c>
      <c r="K515">
        <v>768887</v>
      </c>
      <c r="L515" t="s">
        <v>295</v>
      </c>
      <c r="M515" t="s">
        <v>296</v>
      </c>
      <c r="N515" t="s">
        <v>144</v>
      </c>
      <c r="O515" s="1">
        <v>46023</v>
      </c>
      <c r="P515" s="1">
        <v>46055</v>
      </c>
      <c r="Q515" s="1">
        <v>46082</v>
      </c>
      <c r="R515" s="2">
        <v>-51.41</v>
      </c>
      <c r="S515">
        <v>1</v>
      </c>
      <c r="T515" t="s">
        <v>58</v>
      </c>
      <c r="U515" t="s">
        <v>59</v>
      </c>
      <c r="V515" s="3">
        <v>0.7</v>
      </c>
      <c r="W515" s="2">
        <v>0</v>
      </c>
      <c r="X515">
        <v>-1</v>
      </c>
      <c r="Y515" t="s">
        <v>60</v>
      </c>
      <c r="Z515" t="s">
        <v>135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-35.99</v>
      </c>
      <c r="AN515" s="2">
        <v>-35.99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46062</v>
      </c>
      <c r="B516" t="s">
        <v>48</v>
      </c>
      <c r="C516">
        <v>649163</v>
      </c>
      <c r="D516">
        <v>2032703008</v>
      </c>
      <c r="E516" t="s">
        <v>911</v>
      </c>
      <c r="F516" t="s">
        <v>912</v>
      </c>
      <c r="G516" t="s">
        <v>51</v>
      </c>
      <c r="H516" t="s">
        <v>353</v>
      </c>
      <c r="I516" t="s">
        <v>383</v>
      </c>
      <c r="J516" t="s">
        <v>384</v>
      </c>
      <c r="K516">
        <v>651818</v>
      </c>
      <c r="L516" t="s">
        <v>80</v>
      </c>
      <c r="M516" t="s">
        <v>81</v>
      </c>
      <c r="N516" t="s">
        <v>57</v>
      </c>
      <c r="O516" s="1">
        <v>46028</v>
      </c>
      <c r="Q516" s="1">
        <v>46087</v>
      </c>
      <c r="R516" s="2">
        <v>51.38</v>
      </c>
      <c r="S516">
        <v>1</v>
      </c>
      <c r="T516" t="s">
        <v>58</v>
      </c>
      <c r="U516" t="s">
        <v>59</v>
      </c>
      <c r="V516" s="3">
        <v>0.7</v>
      </c>
      <c r="W516" s="2">
        <v>0</v>
      </c>
      <c r="X516">
        <v>0</v>
      </c>
      <c r="Y516" t="s">
        <v>60</v>
      </c>
      <c r="Z516" t="s">
        <v>135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35.97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46062</v>
      </c>
      <c r="B517" t="s">
        <v>48</v>
      </c>
      <c r="C517">
        <v>649163</v>
      </c>
      <c r="D517">
        <v>2032703010</v>
      </c>
      <c r="E517" t="s">
        <v>911</v>
      </c>
      <c r="F517" t="s">
        <v>912</v>
      </c>
      <c r="G517" t="s">
        <v>51</v>
      </c>
      <c r="H517" t="s">
        <v>353</v>
      </c>
      <c r="I517" t="s">
        <v>383</v>
      </c>
      <c r="J517" t="s">
        <v>385</v>
      </c>
      <c r="K517">
        <v>651818</v>
      </c>
      <c r="L517" t="s">
        <v>80</v>
      </c>
      <c r="M517" t="s">
        <v>81</v>
      </c>
      <c r="N517" t="s">
        <v>57</v>
      </c>
      <c r="O517" s="1">
        <v>46028</v>
      </c>
      <c r="Q517" s="1">
        <v>46087</v>
      </c>
      <c r="R517" s="2">
        <v>29.25</v>
      </c>
      <c r="S517">
        <v>1</v>
      </c>
      <c r="T517" t="s">
        <v>58</v>
      </c>
      <c r="U517" t="s">
        <v>59</v>
      </c>
      <c r="V517" s="3">
        <v>0.9</v>
      </c>
      <c r="W517" s="2">
        <v>0</v>
      </c>
      <c r="X517">
        <v>0</v>
      </c>
      <c r="Y517" t="s">
        <v>60</v>
      </c>
      <c r="Z517" t="s">
        <v>135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26.32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46062</v>
      </c>
      <c r="B518" t="s">
        <v>48</v>
      </c>
      <c r="C518">
        <v>649163</v>
      </c>
      <c r="D518">
        <v>2032703289</v>
      </c>
      <c r="E518" t="s">
        <v>913</v>
      </c>
      <c r="F518" t="s">
        <v>466</v>
      </c>
      <c r="G518" t="s">
        <v>51</v>
      </c>
      <c r="H518" t="s">
        <v>90</v>
      </c>
      <c r="I518" t="s">
        <v>383</v>
      </c>
      <c r="J518" t="s">
        <v>384</v>
      </c>
      <c r="K518">
        <v>753748</v>
      </c>
      <c r="L518" t="s">
        <v>74</v>
      </c>
      <c r="M518" t="s">
        <v>75</v>
      </c>
      <c r="N518" t="s">
        <v>57</v>
      </c>
      <c r="O518" s="1">
        <v>46023</v>
      </c>
      <c r="Q518" s="1">
        <v>46082</v>
      </c>
      <c r="R518" s="2">
        <v>172.75</v>
      </c>
      <c r="S518">
        <v>1</v>
      </c>
      <c r="T518" t="s">
        <v>58</v>
      </c>
      <c r="U518" t="s">
        <v>59</v>
      </c>
      <c r="V518" s="3">
        <v>0.7</v>
      </c>
      <c r="W518" s="2">
        <v>0</v>
      </c>
      <c r="X518">
        <v>0</v>
      </c>
      <c r="Y518" t="s">
        <v>60</v>
      </c>
      <c r="Z518" t="s">
        <v>135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120.92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46062</v>
      </c>
      <c r="B519" t="s">
        <v>48</v>
      </c>
      <c r="C519">
        <v>649163</v>
      </c>
      <c r="D519">
        <v>2032706150</v>
      </c>
      <c r="E519" t="s">
        <v>914</v>
      </c>
      <c r="F519" t="s">
        <v>477</v>
      </c>
      <c r="G519" t="s">
        <v>51</v>
      </c>
      <c r="H519" t="s">
        <v>71</v>
      </c>
      <c r="I519" t="s">
        <v>383</v>
      </c>
      <c r="J519" t="s">
        <v>384</v>
      </c>
      <c r="K519">
        <v>753748</v>
      </c>
      <c r="L519" t="s">
        <v>74</v>
      </c>
      <c r="M519" t="s">
        <v>75</v>
      </c>
      <c r="N519" t="s">
        <v>144</v>
      </c>
      <c r="O519" s="1">
        <v>46023</v>
      </c>
      <c r="P519" s="1">
        <v>46055</v>
      </c>
      <c r="Q519" s="1">
        <v>46082</v>
      </c>
      <c r="R519" s="2">
        <v>-70.28</v>
      </c>
      <c r="S519">
        <v>1</v>
      </c>
      <c r="T519" t="s">
        <v>58</v>
      </c>
      <c r="U519" t="s">
        <v>59</v>
      </c>
      <c r="V519" s="3">
        <v>0.7</v>
      </c>
      <c r="W519" s="2">
        <v>0</v>
      </c>
      <c r="X519">
        <v>-1</v>
      </c>
      <c r="Y519" t="s">
        <v>60</v>
      </c>
      <c r="Z519" t="s">
        <v>135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-49.2</v>
      </c>
      <c r="AN519" s="2">
        <v>-49.2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46062</v>
      </c>
      <c r="B520" t="s">
        <v>48</v>
      </c>
      <c r="C520">
        <v>649163</v>
      </c>
      <c r="D520">
        <v>2032726020</v>
      </c>
      <c r="E520" t="s">
        <v>915</v>
      </c>
      <c r="F520" t="s">
        <v>741</v>
      </c>
      <c r="G520" t="s">
        <v>51</v>
      </c>
      <c r="H520" t="s">
        <v>96</v>
      </c>
      <c r="I520" t="s">
        <v>383</v>
      </c>
      <c r="J520" t="s">
        <v>384</v>
      </c>
      <c r="K520">
        <v>875334</v>
      </c>
      <c r="L520" t="s">
        <v>827</v>
      </c>
      <c r="M520" t="s">
        <v>828</v>
      </c>
      <c r="N520" t="s">
        <v>144</v>
      </c>
      <c r="O520" s="1">
        <v>46023</v>
      </c>
      <c r="P520" s="1">
        <v>46055</v>
      </c>
      <c r="Q520" s="1">
        <v>46082</v>
      </c>
      <c r="R520" s="2">
        <v>-29.16</v>
      </c>
      <c r="S520">
        <v>1</v>
      </c>
      <c r="T520" t="s">
        <v>58</v>
      </c>
      <c r="U520" t="s">
        <v>59</v>
      </c>
      <c r="V520" s="3">
        <v>0.7</v>
      </c>
      <c r="W520" s="2">
        <v>0</v>
      </c>
      <c r="X520">
        <v>-1</v>
      </c>
      <c r="Y520" t="s">
        <v>60</v>
      </c>
      <c r="Z520" t="s">
        <v>135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-20.41</v>
      </c>
      <c r="AN520" s="2">
        <v>-20.41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46062</v>
      </c>
      <c r="B521" t="s">
        <v>48</v>
      </c>
      <c r="C521">
        <v>649163</v>
      </c>
      <c r="D521">
        <v>2032750954</v>
      </c>
      <c r="E521" t="s">
        <v>865</v>
      </c>
      <c r="F521" t="s">
        <v>512</v>
      </c>
      <c r="G521" t="s">
        <v>51</v>
      </c>
      <c r="H521" t="s">
        <v>746</v>
      </c>
      <c r="I521" t="s">
        <v>383</v>
      </c>
      <c r="J521" t="s">
        <v>384</v>
      </c>
      <c r="K521">
        <v>651818</v>
      </c>
      <c r="L521" t="s">
        <v>80</v>
      </c>
      <c r="M521" t="s">
        <v>81</v>
      </c>
      <c r="N521" t="s">
        <v>144</v>
      </c>
      <c r="O521" s="1">
        <v>46023</v>
      </c>
      <c r="P521" s="1">
        <v>46055</v>
      </c>
      <c r="Q521" s="1">
        <v>46082</v>
      </c>
      <c r="R521" s="2">
        <v>-73.95</v>
      </c>
      <c r="S521">
        <v>1</v>
      </c>
      <c r="T521" t="s">
        <v>58</v>
      </c>
      <c r="U521" t="s">
        <v>59</v>
      </c>
      <c r="V521" s="3">
        <v>0.7</v>
      </c>
      <c r="W521" s="2">
        <v>0</v>
      </c>
      <c r="X521">
        <v>-1</v>
      </c>
      <c r="Y521" t="s">
        <v>60</v>
      </c>
      <c r="Z521" t="s">
        <v>135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-51.76</v>
      </c>
      <c r="AN521" s="2">
        <v>-51.76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46062</v>
      </c>
      <c r="B522" t="s">
        <v>48</v>
      </c>
      <c r="C522">
        <v>649163</v>
      </c>
      <c r="D522">
        <v>2032772449</v>
      </c>
      <c r="E522" t="s">
        <v>916</v>
      </c>
      <c r="F522" t="s">
        <v>120</v>
      </c>
      <c r="G522" t="s">
        <v>51</v>
      </c>
      <c r="H522" t="s">
        <v>87</v>
      </c>
      <c r="I522" t="s">
        <v>383</v>
      </c>
      <c r="J522" t="s">
        <v>384</v>
      </c>
      <c r="K522">
        <v>651818</v>
      </c>
      <c r="L522" t="s">
        <v>80</v>
      </c>
      <c r="M522" t="s">
        <v>81</v>
      </c>
      <c r="N522" t="s">
        <v>57</v>
      </c>
      <c r="O522" s="1">
        <v>46028</v>
      </c>
      <c r="Q522" s="1">
        <v>46087</v>
      </c>
      <c r="R522" s="2">
        <v>71.88</v>
      </c>
      <c r="S522">
        <v>1</v>
      </c>
      <c r="T522" t="s">
        <v>58</v>
      </c>
      <c r="U522" t="s">
        <v>59</v>
      </c>
      <c r="V522" s="3">
        <v>0.7</v>
      </c>
      <c r="W522" s="2">
        <v>0</v>
      </c>
      <c r="X522">
        <v>0</v>
      </c>
      <c r="Y522" t="s">
        <v>60</v>
      </c>
      <c r="Z522" t="s">
        <v>135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50.32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46062</v>
      </c>
      <c r="B523" t="s">
        <v>48</v>
      </c>
      <c r="C523">
        <v>649163</v>
      </c>
      <c r="D523">
        <v>2032808282</v>
      </c>
      <c r="E523" t="s">
        <v>917</v>
      </c>
      <c r="F523" t="s">
        <v>808</v>
      </c>
      <c r="G523" t="s">
        <v>51</v>
      </c>
      <c r="H523" t="s">
        <v>87</v>
      </c>
      <c r="I523" t="s">
        <v>383</v>
      </c>
      <c r="J523" t="s">
        <v>384</v>
      </c>
      <c r="K523">
        <v>651818</v>
      </c>
      <c r="L523" t="s">
        <v>80</v>
      </c>
      <c r="M523" t="s">
        <v>81</v>
      </c>
      <c r="N523" t="s">
        <v>57</v>
      </c>
      <c r="O523" s="1">
        <v>46028</v>
      </c>
      <c r="Q523" s="1">
        <v>46087</v>
      </c>
      <c r="R523" s="2">
        <v>78.400000000000006</v>
      </c>
      <c r="S523">
        <v>1</v>
      </c>
      <c r="T523" t="s">
        <v>58</v>
      </c>
      <c r="U523" t="s">
        <v>59</v>
      </c>
      <c r="V523" s="3">
        <v>0.7</v>
      </c>
      <c r="W523" s="2">
        <v>0</v>
      </c>
      <c r="X523">
        <v>0</v>
      </c>
      <c r="Y523" t="s">
        <v>60</v>
      </c>
      <c r="Z523" t="s">
        <v>135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54.88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46062</v>
      </c>
      <c r="B524" t="s">
        <v>48</v>
      </c>
      <c r="C524">
        <v>649163</v>
      </c>
      <c r="D524">
        <v>2032808284</v>
      </c>
      <c r="E524" t="s">
        <v>917</v>
      </c>
      <c r="F524" t="s">
        <v>808</v>
      </c>
      <c r="G524" t="s">
        <v>51</v>
      </c>
      <c r="H524" t="s">
        <v>87</v>
      </c>
      <c r="I524" t="s">
        <v>383</v>
      </c>
      <c r="J524" t="s">
        <v>385</v>
      </c>
      <c r="K524">
        <v>651818</v>
      </c>
      <c r="L524" t="s">
        <v>80</v>
      </c>
      <c r="M524" t="s">
        <v>81</v>
      </c>
      <c r="N524" t="s">
        <v>57</v>
      </c>
      <c r="O524" s="1">
        <v>46028</v>
      </c>
      <c r="Q524" s="1">
        <v>46087</v>
      </c>
      <c r="R524" s="2">
        <v>32.79</v>
      </c>
      <c r="S524">
        <v>1</v>
      </c>
      <c r="T524" t="s">
        <v>58</v>
      </c>
      <c r="U524" t="s">
        <v>59</v>
      </c>
      <c r="V524" s="3">
        <v>0.9</v>
      </c>
      <c r="W524" s="2">
        <v>0</v>
      </c>
      <c r="X524">
        <v>0</v>
      </c>
      <c r="Y524" t="s">
        <v>60</v>
      </c>
      <c r="Z524" t="s">
        <v>135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29.51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46062</v>
      </c>
      <c r="B525" t="s">
        <v>48</v>
      </c>
      <c r="C525">
        <v>649163</v>
      </c>
      <c r="D525">
        <v>2032809810</v>
      </c>
      <c r="E525" t="s">
        <v>918</v>
      </c>
      <c r="F525" t="s">
        <v>111</v>
      </c>
      <c r="G525" t="s">
        <v>51</v>
      </c>
      <c r="H525" t="s">
        <v>780</v>
      </c>
      <c r="I525" t="s">
        <v>383</v>
      </c>
      <c r="J525" t="s">
        <v>400</v>
      </c>
      <c r="K525">
        <v>651818</v>
      </c>
      <c r="L525" t="s">
        <v>80</v>
      </c>
      <c r="M525" t="s">
        <v>81</v>
      </c>
      <c r="N525" t="s">
        <v>57</v>
      </c>
      <c r="O525" s="1">
        <v>46028</v>
      </c>
      <c r="Q525" s="1">
        <v>46087</v>
      </c>
      <c r="R525" s="2">
        <v>21.44</v>
      </c>
      <c r="S525">
        <v>1</v>
      </c>
      <c r="T525" t="s">
        <v>58</v>
      </c>
      <c r="U525" t="s">
        <v>59</v>
      </c>
      <c r="V525" s="3">
        <v>0.7</v>
      </c>
      <c r="W525" s="2">
        <v>0</v>
      </c>
      <c r="X525">
        <v>0</v>
      </c>
      <c r="Y525" t="s">
        <v>60</v>
      </c>
      <c r="Z525" t="s">
        <v>135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15.01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46062</v>
      </c>
      <c r="B526" t="s">
        <v>48</v>
      </c>
      <c r="C526">
        <v>649163</v>
      </c>
      <c r="D526">
        <v>2032850725</v>
      </c>
      <c r="E526" t="s">
        <v>919</v>
      </c>
      <c r="F526" t="s">
        <v>920</v>
      </c>
      <c r="G526" t="s">
        <v>51</v>
      </c>
      <c r="H526" t="s">
        <v>90</v>
      </c>
      <c r="I526" t="s">
        <v>383</v>
      </c>
      <c r="J526" t="s">
        <v>384</v>
      </c>
      <c r="K526">
        <v>792847</v>
      </c>
      <c r="L526" t="s">
        <v>372</v>
      </c>
      <c r="M526" t="s">
        <v>373</v>
      </c>
      <c r="N526" t="s">
        <v>144</v>
      </c>
      <c r="O526" s="1">
        <v>46054</v>
      </c>
      <c r="P526" s="1">
        <v>46062</v>
      </c>
      <c r="Q526" s="1">
        <v>46082</v>
      </c>
      <c r="R526" s="2">
        <v>-48.76</v>
      </c>
      <c r="S526">
        <v>1</v>
      </c>
      <c r="T526" t="s">
        <v>58</v>
      </c>
      <c r="U526" t="s">
        <v>59</v>
      </c>
      <c r="V526" s="3">
        <v>0.7</v>
      </c>
      <c r="W526" s="2">
        <v>0</v>
      </c>
      <c r="X526">
        <v>-1</v>
      </c>
      <c r="Y526" t="s">
        <v>60</v>
      </c>
      <c r="Z526" t="s">
        <v>135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-34.130000000000003</v>
      </c>
      <c r="AN526" s="2">
        <v>-34.130000000000003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46062</v>
      </c>
      <c r="B527" t="s">
        <v>48</v>
      </c>
      <c r="C527">
        <v>649163</v>
      </c>
      <c r="D527">
        <v>2032854040</v>
      </c>
      <c r="E527" t="s">
        <v>921</v>
      </c>
      <c r="F527" t="s">
        <v>922</v>
      </c>
      <c r="G527" t="s">
        <v>51</v>
      </c>
      <c r="H527" t="s">
        <v>90</v>
      </c>
      <c r="I527" t="s">
        <v>383</v>
      </c>
      <c r="J527" t="s">
        <v>384</v>
      </c>
      <c r="K527">
        <v>875334</v>
      </c>
      <c r="L527" t="s">
        <v>827</v>
      </c>
      <c r="M527" t="s">
        <v>828</v>
      </c>
      <c r="N527" t="s">
        <v>144</v>
      </c>
      <c r="O527" s="1">
        <v>46023</v>
      </c>
      <c r="P527" s="1">
        <v>46055</v>
      </c>
      <c r="Q527" s="1">
        <v>46082</v>
      </c>
      <c r="R527" s="2">
        <v>-32.200000000000003</v>
      </c>
      <c r="S527">
        <v>1</v>
      </c>
      <c r="T527" t="s">
        <v>58</v>
      </c>
      <c r="U527" t="s">
        <v>59</v>
      </c>
      <c r="V527" s="3">
        <v>0.7</v>
      </c>
      <c r="W527" s="2">
        <v>0</v>
      </c>
      <c r="X527">
        <v>-1</v>
      </c>
      <c r="Y527" t="s">
        <v>60</v>
      </c>
      <c r="Z527" t="s">
        <v>135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-22.54</v>
      </c>
      <c r="AN527" s="2">
        <v>-22.54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46062</v>
      </c>
      <c r="B528" t="s">
        <v>48</v>
      </c>
      <c r="C528">
        <v>649163</v>
      </c>
      <c r="D528">
        <v>2032871805</v>
      </c>
      <c r="E528" t="s">
        <v>923</v>
      </c>
      <c r="F528" t="s">
        <v>924</v>
      </c>
      <c r="G528" t="s">
        <v>51</v>
      </c>
      <c r="H528" t="s">
        <v>170</v>
      </c>
      <c r="I528" t="s">
        <v>383</v>
      </c>
      <c r="J528" t="s">
        <v>384</v>
      </c>
      <c r="K528">
        <v>651818</v>
      </c>
      <c r="L528" t="s">
        <v>80</v>
      </c>
      <c r="M528" t="s">
        <v>81</v>
      </c>
      <c r="N528" t="s">
        <v>57</v>
      </c>
      <c r="O528" s="1">
        <v>46028</v>
      </c>
      <c r="Q528" s="1">
        <v>46087</v>
      </c>
      <c r="R528" s="2">
        <v>33.979999999999997</v>
      </c>
      <c r="S528">
        <v>1</v>
      </c>
      <c r="T528" t="s">
        <v>58</v>
      </c>
      <c r="U528" t="s">
        <v>59</v>
      </c>
      <c r="V528" s="3">
        <v>0.7</v>
      </c>
      <c r="W528" s="2">
        <v>0</v>
      </c>
      <c r="X528">
        <v>0</v>
      </c>
      <c r="Y528" t="s">
        <v>60</v>
      </c>
      <c r="Z528" t="s">
        <v>135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23.79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46062</v>
      </c>
      <c r="B529" t="s">
        <v>48</v>
      </c>
      <c r="C529">
        <v>649163</v>
      </c>
      <c r="D529">
        <v>2032913540</v>
      </c>
      <c r="E529" t="s">
        <v>925</v>
      </c>
      <c r="F529" t="s">
        <v>926</v>
      </c>
      <c r="G529" t="s">
        <v>51</v>
      </c>
      <c r="H529" t="s">
        <v>274</v>
      </c>
      <c r="I529" t="s">
        <v>383</v>
      </c>
      <c r="J529" t="s">
        <v>384</v>
      </c>
      <c r="K529">
        <v>753748</v>
      </c>
      <c r="L529" t="s">
        <v>74</v>
      </c>
      <c r="M529" t="s">
        <v>75</v>
      </c>
      <c r="N529" t="s">
        <v>57</v>
      </c>
      <c r="O529" s="1">
        <v>46034</v>
      </c>
      <c r="Q529" s="1">
        <v>46093</v>
      </c>
      <c r="R529" s="2">
        <v>29.2</v>
      </c>
      <c r="S529">
        <v>1</v>
      </c>
      <c r="T529" t="s">
        <v>58</v>
      </c>
      <c r="U529" t="s">
        <v>59</v>
      </c>
      <c r="V529" s="3">
        <v>0.7</v>
      </c>
      <c r="W529" s="2">
        <v>0</v>
      </c>
      <c r="X529">
        <v>0</v>
      </c>
      <c r="Y529" t="s">
        <v>60</v>
      </c>
      <c r="Z529" t="s">
        <v>135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20.440000000000001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46062</v>
      </c>
      <c r="B530" t="s">
        <v>48</v>
      </c>
      <c r="C530">
        <v>649163</v>
      </c>
      <c r="D530">
        <v>2032925641</v>
      </c>
      <c r="E530" t="s">
        <v>865</v>
      </c>
      <c r="F530" t="s">
        <v>927</v>
      </c>
      <c r="G530" t="s">
        <v>51</v>
      </c>
      <c r="H530" t="s">
        <v>66</v>
      </c>
      <c r="I530" t="s">
        <v>383</v>
      </c>
      <c r="J530" t="s">
        <v>384</v>
      </c>
      <c r="K530">
        <v>893408</v>
      </c>
      <c r="L530" t="s">
        <v>599</v>
      </c>
      <c r="M530" t="s">
        <v>600</v>
      </c>
      <c r="N530" t="s">
        <v>57</v>
      </c>
      <c r="O530" s="1">
        <v>46023</v>
      </c>
      <c r="Q530" s="1">
        <v>46082</v>
      </c>
      <c r="R530" s="2">
        <v>124.72</v>
      </c>
      <c r="S530">
        <v>1</v>
      </c>
      <c r="T530" t="s">
        <v>58</v>
      </c>
      <c r="U530" t="s">
        <v>59</v>
      </c>
      <c r="V530" s="3">
        <v>0.7</v>
      </c>
      <c r="W530" s="2">
        <v>0</v>
      </c>
      <c r="X530">
        <v>0</v>
      </c>
      <c r="Y530" t="s">
        <v>60</v>
      </c>
      <c r="Z530" t="s">
        <v>135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87.3</v>
      </c>
      <c r="AN530" s="2">
        <v>87.3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46062</v>
      </c>
      <c r="B531" t="s">
        <v>48</v>
      </c>
      <c r="C531">
        <v>649163</v>
      </c>
      <c r="D531">
        <v>2032937978</v>
      </c>
      <c r="E531" t="s">
        <v>928</v>
      </c>
      <c r="F531" t="s">
        <v>263</v>
      </c>
      <c r="G531" t="s">
        <v>51</v>
      </c>
      <c r="H531" t="s">
        <v>353</v>
      </c>
      <c r="I531" t="s">
        <v>383</v>
      </c>
      <c r="J531" t="s">
        <v>384</v>
      </c>
      <c r="K531">
        <v>651818</v>
      </c>
      <c r="L531" t="s">
        <v>80</v>
      </c>
      <c r="M531" t="s">
        <v>81</v>
      </c>
      <c r="N531" t="s">
        <v>57</v>
      </c>
      <c r="O531" s="1">
        <v>46027</v>
      </c>
      <c r="Q531" s="1">
        <v>46086</v>
      </c>
      <c r="R531" s="2">
        <v>30.68</v>
      </c>
      <c r="S531">
        <v>1</v>
      </c>
      <c r="T531" t="s">
        <v>58</v>
      </c>
      <c r="U531" t="s">
        <v>59</v>
      </c>
      <c r="V531" s="3">
        <v>0.7</v>
      </c>
      <c r="W531" s="2">
        <v>0</v>
      </c>
      <c r="X531">
        <v>0</v>
      </c>
      <c r="Y531" t="s">
        <v>60</v>
      </c>
      <c r="Z531" t="s">
        <v>135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21.48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46062</v>
      </c>
      <c r="B532" t="s">
        <v>48</v>
      </c>
      <c r="C532">
        <v>649163</v>
      </c>
      <c r="D532">
        <v>2032971963</v>
      </c>
      <c r="E532" t="s">
        <v>929</v>
      </c>
      <c r="F532" t="s">
        <v>930</v>
      </c>
      <c r="G532" t="s">
        <v>51</v>
      </c>
      <c r="H532" t="s">
        <v>66</v>
      </c>
      <c r="I532" t="s">
        <v>383</v>
      </c>
      <c r="J532" t="s">
        <v>384</v>
      </c>
      <c r="K532">
        <v>839554</v>
      </c>
      <c r="L532" t="s">
        <v>793</v>
      </c>
      <c r="M532" t="s">
        <v>794</v>
      </c>
      <c r="N532" t="s">
        <v>57</v>
      </c>
      <c r="O532" s="1">
        <v>46028</v>
      </c>
      <c r="Q532" s="1">
        <v>46087</v>
      </c>
      <c r="R532" s="2">
        <v>101.28</v>
      </c>
      <c r="S532">
        <v>1</v>
      </c>
      <c r="T532" t="s">
        <v>58</v>
      </c>
      <c r="U532" t="s">
        <v>59</v>
      </c>
      <c r="V532" s="3">
        <v>0.7</v>
      </c>
      <c r="W532" s="2">
        <v>0</v>
      </c>
      <c r="X532">
        <v>0</v>
      </c>
      <c r="Y532" t="s">
        <v>60</v>
      </c>
      <c r="Z532" t="s">
        <v>135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70.900000000000006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46062</v>
      </c>
      <c r="B533" t="s">
        <v>48</v>
      </c>
      <c r="C533">
        <v>649163</v>
      </c>
      <c r="D533">
        <v>2032991620</v>
      </c>
      <c r="E533" t="s">
        <v>931</v>
      </c>
      <c r="F533" t="s">
        <v>932</v>
      </c>
      <c r="G533" t="s">
        <v>51</v>
      </c>
      <c r="H533" t="s">
        <v>66</v>
      </c>
      <c r="I533" t="s">
        <v>383</v>
      </c>
      <c r="J533" t="s">
        <v>384</v>
      </c>
      <c r="K533">
        <v>843573</v>
      </c>
      <c r="L533" t="s">
        <v>365</v>
      </c>
      <c r="M533" t="s">
        <v>366</v>
      </c>
      <c r="N533" t="s">
        <v>57</v>
      </c>
      <c r="O533" s="1">
        <v>46029</v>
      </c>
      <c r="Q533" s="1">
        <v>46088</v>
      </c>
      <c r="R533" s="2">
        <v>45.68</v>
      </c>
      <c r="S533">
        <v>1</v>
      </c>
      <c r="T533" t="s">
        <v>58</v>
      </c>
      <c r="U533" t="s">
        <v>59</v>
      </c>
      <c r="V533" s="3">
        <v>0.7</v>
      </c>
      <c r="W533" s="2">
        <v>0</v>
      </c>
      <c r="X533">
        <v>0</v>
      </c>
      <c r="Y533" t="s">
        <v>60</v>
      </c>
      <c r="Z533" t="s">
        <v>135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31.98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46062</v>
      </c>
      <c r="B534" t="s">
        <v>48</v>
      </c>
      <c r="C534">
        <v>649163</v>
      </c>
      <c r="D534">
        <v>2032997622</v>
      </c>
      <c r="E534" t="s">
        <v>933</v>
      </c>
      <c r="F534" t="s">
        <v>464</v>
      </c>
      <c r="G534" t="s">
        <v>51</v>
      </c>
      <c r="H534" t="s">
        <v>274</v>
      </c>
      <c r="I534" t="s">
        <v>383</v>
      </c>
      <c r="J534" t="s">
        <v>384</v>
      </c>
      <c r="K534">
        <v>816021</v>
      </c>
      <c r="L534" t="s">
        <v>275</v>
      </c>
      <c r="M534" t="s">
        <v>276</v>
      </c>
      <c r="N534" t="s">
        <v>57</v>
      </c>
      <c r="O534" s="1">
        <v>46028</v>
      </c>
      <c r="Q534" s="1">
        <v>46087</v>
      </c>
      <c r="R534" s="2">
        <v>9.6999999999999993</v>
      </c>
      <c r="S534">
        <v>1</v>
      </c>
      <c r="T534" t="s">
        <v>58</v>
      </c>
      <c r="U534" t="s">
        <v>59</v>
      </c>
      <c r="V534" s="3">
        <v>0.7</v>
      </c>
      <c r="W534" s="2">
        <v>0</v>
      </c>
      <c r="X534">
        <v>0</v>
      </c>
      <c r="Y534" t="s">
        <v>60</v>
      </c>
      <c r="Z534" t="s">
        <v>135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6.79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46062</v>
      </c>
      <c r="B535" t="s">
        <v>48</v>
      </c>
      <c r="C535">
        <v>649163</v>
      </c>
      <c r="D535">
        <v>2033004230</v>
      </c>
      <c r="E535" t="s">
        <v>934</v>
      </c>
      <c r="F535" t="s">
        <v>653</v>
      </c>
      <c r="G535" t="s">
        <v>51</v>
      </c>
      <c r="H535" t="s">
        <v>170</v>
      </c>
      <c r="I535" t="s">
        <v>383</v>
      </c>
      <c r="J535" t="s">
        <v>384</v>
      </c>
      <c r="K535">
        <v>813184</v>
      </c>
      <c r="L535" t="s">
        <v>303</v>
      </c>
      <c r="M535" t="s">
        <v>304</v>
      </c>
      <c r="N535" t="s">
        <v>57</v>
      </c>
      <c r="O535" s="1">
        <v>46030</v>
      </c>
      <c r="Q535" s="1">
        <v>46089</v>
      </c>
      <c r="R535" s="2">
        <v>31.23</v>
      </c>
      <c r="S535">
        <v>1</v>
      </c>
      <c r="T535" t="s">
        <v>58</v>
      </c>
      <c r="U535" t="s">
        <v>59</v>
      </c>
      <c r="V535" s="3">
        <v>0.7</v>
      </c>
      <c r="W535" s="2">
        <v>0</v>
      </c>
      <c r="X535">
        <v>0</v>
      </c>
      <c r="Y535" t="s">
        <v>60</v>
      </c>
      <c r="Z535" t="s">
        <v>135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21.86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46062</v>
      </c>
      <c r="B536" t="s">
        <v>48</v>
      </c>
      <c r="C536">
        <v>649163</v>
      </c>
      <c r="D536">
        <v>2033010309</v>
      </c>
      <c r="E536" t="s">
        <v>935</v>
      </c>
      <c r="F536" t="s">
        <v>936</v>
      </c>
      <c r="G536" t="s">
        <v>51</v>
      </c>
      <c r="H536" t="s">
        <v>66</v>
      </c>
      <c r="I536" t="s">
        <v>383</v>
      </c>
      <c r="J536" t="s">
        <v>384</v>
      </c>
      <c r="K536">
        <v>823350</v>
      </c>
      <c r="L536" t="s">
        <v>108</v>
      </c>
      <c r="M536" t="s">
        <v>394</v>
      </c>
      <c r="N536" t="s">
        <v>57</v>
      </c>
      <c r="O536" s="1">
        <v>46032</v>
      </c>
      <c r="Q536" s="1">
        <v>46091</v>
      </c>
      <c r="R536" s="2">
        <v>61.25</v>
      </c>
      <c r="S536">
        <v>1</v>
      </c>
      <c r="T536" t="s">
        <v>58</v>
      </c>
      <c r="U536" t="s">
        <v>59</v>
      </c>
      <c r="V536" s="3">
        <v>0.7</v>
      </c>
      <c r="W536" s="2">
        <v>0</v>
      </c>
      <c r="X536">
        <v>0</v>
      </c>
      <c r="Y536" t="s">
        <v>60</v>
      </c>
      <c r="Z536" t="s">
        <v>135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42.88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46062</v>
      </c>
      <c r="B537" t="s">
        <v>48</v>
      </c>
      <c r="C537">
        <v>649163</v>
      </c>
      <c r="D537">
        <v>2033010310</v>
      </c>
      <c r="E537" t="s">
        <v>935</v>
      </c>
      <c r="F537" t="s">
        <v>936</v>
      </c>
      <c r="G537" t="s">
        <v>51</v>
      </c>
      <c r="H537" t="s">
        <v>66</v>
      </c>
      <c r="I537" t="s">
        <v>383</v>
      </c>
      <c r="J537" t="s">
        <v>385</v>
      </c>
      <c r="K537">
        <v>823350</v>
      </c>
      <c r="L537" t="s">
        <v>108</v>
      </c>
      <c r="M537" t="s">
        <v>394</v>
      </c>
      <c r="N537" t="s">
        <v>57</v>
      </c>
      <c r="O537" s="1">
        <v>46032</v>
      </c>
      <c r="Q537" s="1">
        <v>46091</v>
      </c>
      <c r="R537" s="2">
        <v>33.75</v>
      </c>
      <c r="S537">
        <v>1</v>
      </c>
      <c r="T537" t="s">
        <v>58</v>
      </c>
      <c r="U537" t="s">
        <v>59</v>
      </c>
      <c r="V537" s="3">
        <v>0.9</v>
      </c>
      <c r="W537" s="2">
        <v>0</v>
      </c>
      <c r="X537">
        <v>0</v>
      </c>
      <c r="Y537" t="s">
        <v>60</v>
      </c>
      <c r="Z537" t="s">
        <v>135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30.38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46062</v>
      </c>
      <c r="B538" t="s">
        <v>48</v>
      </c>
      <c r="C538">
        <v>649163</v>
      </c>
      <c r="D538">
        <v>2033018072</v>
      </c>
      <c r="E538" t="s">
        <v>937</v>
      </c>
      <c r="F538" t="s">
        <v>888</v>
      </c>
      <c r="G538" t="s">
        <v>51</v>
      </c>
      <c r="H538" t="s">
        <v>66</v>
      </c>
      <c r="I538" t="s">
        <v>383</v>
      </c>
      <c r="J538" t="s">
        <v>384</v>
      </c>
      <c r="K538">
        <v>813184</v>
      </c>
      <c r="L538" t="s">
        <v>303</v>
      </c>
      <c r="M538" t="s">
        <v>304</v>
      </c>
      <c r="N538" t="s">
        <v>57</v>
      </c>
      <c r="O538" s="1">
        <v>46029</v>
      </c>
      <c r="Q538" s="1">
        <v>46088</v>
      </c>
      <c r="R538" s="2">
        <v>11.5</v>
      </c>
      <c r="S538">
        <v>1</v>
      </c>
      <c r="T538" t="s">
        <v>58</v>
      </c>
      <c r="U538" t="s">
        <v>59</v>
      </c>
      <c r="V538" s="3">
        <v>0.7</v>
      </c>
      <c r="W538" s="2">
        <v>0</v>
      </c>
      <c r="X538">
        <v>0</v>
      </c>
      <c r="Y538" t="s">
        <v>60</v>
      </c>
      <c r="Z538" t="s">
        <v>135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8.0500000000000007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46062</v>
      </c>
      <c r="B539" t="s">
        <v>48</v>
      </c>
      <c r="C539">
        <v>649163</v>
      </c>
      <c r="D539">
        <v>2033029173</v>
      </c>
      <c r="E539" t="s">
        <v>618</v>
      </c>
      <c r="F539" t="s">
        <v>619</v>
      </c>
      <c r="G539" t="s">
        <v>51</v>
      </c>
      <c r="H539" t="s">
        <v>66</v>
      </c>
      <c r="I539" t="s">
        <v>383</v>
      </c>
      <c r="J539" t="s">
        <v>384</v>
      </c>
      <c r="K539">
        <v>824062</v>
      </c>
      <c r="L539" t="s">
        <v>569</v>
      </c>
      <c r="M539" t="s">
        <v>570</v>
      </c>
      <c r="N539" t="s">
        <v>57</v>
      </c>
      <c r="O539" s="1">
        <v>46030</v>
      </c>
      <c r="Q539" s="1">
        <v>46089</v>
      </c>
      <c r="R539" s="2">
        <v>22</v>
      </c>
      <c r="S539">
        <v>1</v>
      </c>
      <c r="T539" t="s">
        <v>58</v>
      </c>
      <c r="U539" t="s">
        <v>59</v>
      </c>
      <c r="V539" s="3">
        <v>0.7</v>
      </c>
      <c r="W539" s="2">
        <v>0</v>
      </c>
      <c r="X539">
        <v>0</v>
      </c>
      <c r="Y539" t="s">
        <v>60</v>
      </c>
      <c r="Z539" t="s">
        <v>135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15.4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46062</v>
      </c>
      <c r="B540" t="s">
        <v>48</v>
      </c>
      <c r="C540">
        <v>649163</v>
      </c>
      <c r="D540">
        <v>2033039874</v>
      </c>
      <c r="E540" t="s">
        <v>938</v>
      </c>
      <c r="F540" t="s">
        <v>939</v>
      </c>
      <c r="G540" t="s">
        <v>51</v>
      </c>
      <c r="H540" t="s">
        <v>66</v>
      </c>
      <c r="I540" t="s">
        <v>383</v>
      </c>
      <c r="J540" t="s">
        <v>384</v>
      </c>
      <c r="K540">
        <v>807212</v>
      </c>
      <c r="L540" t="s">
        <v>801</v>
      </c>
      <c r="M540" t="s">
        <v>802</v>
      </c>
      <c r="N540" t="s">
        <v>57</v>
      </c>
      <c r="O540" s="1">
        <v>46030</v>
      </c>
      <c r="Q540" s="1">
        <v>46089</v>
      </c>
      <c r="R540" s="2">
        <v>95.92</v>
      </c>
      <c r="S540">
        <v>1</v>
      </c>
      <c r="T540" t="s">
        <v>58</v>
      </c>
      <c r="U540" t="s">
        <v>59</v>
      </c>
      <c r="V540" s="3">
        <v>0.7</v>
      </c>
      <c r="W540" s="2">
        <v>0</v>
      </c>
      <c r="X540">
        <v>0</v>
      </c>
      <c r="Y540" t="s">
        <v>60</v>
      </c>
      <c r="Z540" t="s">
        <v>135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67.14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46062</v>
      </c>
      <c r="B541" t="s">
        <v>48</v>
      </c>
      <c r="C541">
        <v>649163</v>
      </c>
      <c r="D541">
        <v>2033040616</v>
      </c>
      <c r="E541" t="s">
        <v>940</v>
      </c>
      <c r="F541" t="s">
        <v>742</v>
      </c>
      <c r="G541" t="s">
        <v>51</v>
      </c>
      <c r="H541" t="s">
        <v>662</v>
      </c>
      <c r="I541" t="s">
        <v>383</v>
      </c>
      <c r="J541" t="s">
        <v>400</v>
      </c>
      <c r="K541">
        <v>933407</v>
      </c>
      <c r="L541" t="s">
        <v>941</v>
      </c>
      <c r="M541" t="s">
        <v>942</v>
      </c>
      <c r="N541" t="s">
        <v>57</v>
      </c>
      <c r="O541" s="1">
        <v>46031</v>
      </c>
      <c r="Q541" s="1">
        <v>46090</v>
      </c>
      <c r="R541" s="2">
        <v>25.73</v>
      </c>
      <c r="S541">
        <v>1</v>
      </c>
      <c r="T541" t="s">
        <v>58</v>
      </c>
      <c r="U541" t="s">
        <v>59</v>
      </c>
      <c r="V541" s="3">
        <v>0.7</v>
      </c>
      <c r="W541" s="2">
        <v>0</v>
      </c>
      <c r="X541">
        <v>0</v>
      </c>
      <c r="Y541" t="s">
        <v>60</v>
      </c>
      <c r="Z541" t="s">
        <v>135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18.010000000000002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46062</v>
      </c>
      <c r="B542" t="s">
        <v>48</v>
      </c>
      <c r="C542">
        <v>649163</v>
      </c>
      <c r="D542">
        <v>2033052911</v>
      </c>
      <c r="E542" t="s">
        <v>546</v>
      </c>
      <c r="F542" t="s">
        <v>943</v>
      </c>
      <c r="G542" t="s">
        <v>51</v>
      </c>
      <c r="H542" t="s">
        <v>750</v>
      </c>
      <c r="I542" t="s">
        <v>383</v>
      </c>
      <c r="J542" t="s">
        <v>384</v>
      </c>
      <c r="K542">
        <v>673059</v>
      </c>
      <c r="L542" t="s">
        <v>162</v>
      </c>
      <c r="M542" t="s">
        <v>180</v>
      </c>
      <c r="N542" t="s">
        <v>144</v>
      </c>
      <c r="O542" s="1">
        <v>46054</v>
      </c>
      <c r="P542" s="1">
        <v>46062</v>
      </c>
      <c r="Q542" s="1">
        <v>46082</v>
      </c>
      <c r="R542" s="2">
        <v>-38.1</v>
      </c>
      <c r="S542">
        <v>1</v>
      </c>
      <c r="T542" t="s">
        <v>58</v>
      </c>
      <c r="U542" t="s">
        <v>59</v>
      </c>
      <c r="V542" s="3">
        <v>0.7</v>
      </c>
      <c r="W542" s="2">
        <v>0</v>
      </c>
      <c r="X542">
        <v>-1</v>
      </c>
      <c r="Y542" t="s">
        <v>60</v>
      </c>
      <c r="Z542" t="s">
        <v>135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-26.67</v>
      </c>
      <c r="AN542" s="2">
        <v>-26.67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46062</v>
      </c>
      <c r="B543" t="s">
        <v>48</v>
      </c>
      <c r="C543">
        <v>649163</v>
      </c>
      <c r="D543">
        <v>2033053424</v>
      </c>
      <c r="E543" t="s">
        <v>944</v>
      </c>
      <c r="F543" t="s">
        <v>945</v>
      </c>
      <c r="G543" t="s">
        <v>51</v>
      </c>
      <c r="H543" t="s">
        <v>66</v>
      </c>
      <c r="I543" t="s">
        <v>383</v>
      </c>
      <c r="J543" t="s">
        <v>384</v>
      </c>
      <c r="K543">
        <v>806645</v>
      </c>
      <c r="L543" t="s">
        <v>344</v>
      </c>
      <c r="M543" t="s">
        <v>345</v>
      </c>
      <c r="N543" t="s">
        <v>57</v>
      </c>
      <c r="O543" s="1">
        <v>46031</v>
      </c>
      <c r="Q543" s="1">
        <v>46090</v>
      </c>
      <c r="R543" s="2">
        <v>124.72</v>
      </c>
      <c r="S543">
        <v>1</v>
      </c>
      <c r="T543" t="s">
        <v>58</v>
      </c>
      <c r="U543" t="s">
        <v>59</v>
      </c>
      <c r="V543" s="3">
        <v>0.7</v>
      </c>
      <c r="W543" s="2">
        <v>0</v>
      </c>
      <c r="X543">
        <v>0</v>
      </c>
      <c r="Y543" t="s">
        <v>60</v>
      </c>
      <c r="Z543" t="s">
        <v>135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87.3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46062</v>
      </c>
      <c r="B544" t="s">
        <v>48</v>
      </c>
      <c r="C544">
        <v>649163</v>
      </c>
      <c r="D544">
        <v>2033053632</v>
      </c>
      <c r="E544" t="s">
        <v>946</v>
      </c>
      <c r="F544" t="s">
        <v>947</v>
      </c>
      <c r="G544" t="s">
        <v>51</v>
      </c>
      <c r="H544" t="s">
        <v>140</v>
      </c>
      <c r="I544" t="s">
        <v>383</v>
      </c>
      <c r="J544" t="s">
        <v>384</v>
      </c>
      <c r="K544">
        <v>673059</v>
      </c>
      <c r="L544" t="s">
        <v>162</v>
      </c>
      <c r="M544" t="s">
        <v>180</v>
      </c>
      <c r="N544" t="s">
        <v>57</v>
      </c>
      <c r="O544" s="1">
        <v>46031</v>
      </c>
      <c r="Q544" s="1">
        <v>46090</v>
      </c>
      <c r="R544" s="2">
        <v>24</v>
      </c>
      <c r="S544">
        <v>1</v>
      </c>
      <c r="T544" t="s">
        <v>58</v>
      </c>
      <c r="U544" t="s">
        <v>59</v>
      </c>
      <c r="V544" s="3">
        <v>0.7</v>
      </c>
      <c r="W544" s="2">
        <v>0</v>
      </c>
      <c r="X544">
        <v>0</v>
      </c>
      <c r="Y544" t="s">
        <v>60</v>
      </c>
      <c r="Z544" t="s">
        <v>135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16.8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46062</v>
      </c>
      <c r="B545" t="s">
        <v>48</v>
      </c>
      <c r="C545">
        <v>649163</v>
      </c>
      <c r="D545">
        <v>2033055763</v>
      </c>
      <c r="E545" t="s">
        <v>948</v>
      </c>
      <c r="F545" t="s">
        <v>726</v>
      </c>
      <c r="G545" t="s">
        <v>51</v>
      </c>
      <c r="H545" t="s">
        <v>170</v>
      </c>
      <c r="I545" t="s">
        <v>383</v>
      </c>
      <c r="J545" t="s">
        <v>384</v>
      </c>
      <c r="K545">
        <v>878036</v>
      </c>
      <c r="L545" t="s">
        <v>949</v>
      </c>
      <c r="M545" t="s">
        <v>950</v>
      </c>
      <c r="N545" t="s">
        <v>57</v>
      </c>
      <c r="O545" s="1">
        <v>46031</v>
      </c>
      <c r="Q545" s="1">
        <v>46090</v>
      </c>
      <c r="R545" s="2">
        <v>27.46</v>
      </c>
      <c r="S545">
        <v>1</v>
      </c>
      <c r="T545" t="s">
        <v>58</v>
      </c>
      <c r="U545" t="s">
        <v>59</v>
      </c>
      <c r="V545" s="3">
        <v>0.7</v>
      </c>
      <c r="W545" s="2">
        <v>0</v>
      </c>
      <c r="X545">
        <v>0</v>
      </c>
      <c r="Y545" t="s">
        <v>60</v>
      </c>
      <c r="Z545" t="s">
        <v>135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19.22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46062</v>
      </c>
      <c r="B546" t="s">
        <v>48</v>
      </c>
      <c r="C546">
        <v>649163</v>
      </c>
      <c r="D546">
        <v>2033057659</v>
      </c>
      <c r="E546" t="s">
        <v>951</v>
      </c>
      <c r="F546" t="s">
        <v>492</v>
      </c>
      <c r="G546" t="s">
        <v>51</v>
      </c>
      <c r="H546" t="s">
        <v>71</v>
      </c>
      <c r="I546" t="s">
        <v>383</v>
      </c>
      <c r="J546" t="s">
        <v>384</v>
      </c>
      <c r="K546">
        <v>893408</v>
      </c>
      <c r="L546" t="s">
        <v>599</v>
      </c>
      <c r="M546" t="s">
        <v>600</v>
      </c>
      <c r="N546" t="s">
        <v>57</v>
      </c>
      <c r="O546" s="1">
        <v>46031</v>
      </c>
      <c r="Q546" s="1">
        <v>46090</v>
      </c>
      <c r="R546" s="2">
        <v>71.05</v>
      </c>
      <c r="S546">
        <v>1</v>
      </c>
      <c r="T546" t="s">
        <v>58</v>
      </c>
      <c r="U546" t="s">
        <v>59</v>
      </c>
      <c r="V546" s="3">
        <v>0.7</v>
      </c>
      <c r="W546" s="2">
        <v>0</v>
      </c>
      <c r="X546">
        <v>0</v>
      </c>
      <c r="Y546" t="s">
        <v>60</v>
      </c>
      <c r="Z546" t="s">
        <v>135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49.74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46062</v>
      </c>
      <c r="B547" t="s">
        <v>48</v>
      </c>
      <c r="C547">
        <v>649163</v>
      </c>
      <c r="D547">
        <v>2033064523</v>
      </c>
      <c r="E547" t="s">
        <v>136</v>
      </c>
      <c r="F547" t="s">
        <v>137</v>
      </c>
      <c r="G547" t="s">
        <v>51</v>
      </c>
      <c r="H547" t="s">
        <v>116</v>
      </c>
      <c r="I547" t="s">
        <v>383</v>
      </c>
      <c r="J547" t="s">
        <v>384</v>
      </c>
      <c r="K547">
        <v>877790</v>
      </c>
      <c r="L547" t="s">
        <v>132</v>
      </c>
      <c r="M547" t="s">
        <v>133</v>
      </c>
      <c r="N547" t="s">
        <v>57</v>
      </c>
      <c r="O547" s="1">
        <v>46032</v>
      </c>
      <c r="Q547" s="1">
        <v>46091</v>
      </c>
      <c r="R547" s="2">
        <v>10.18</v>
      </c>
      <c r="S547">
        <v>1</v>
      </c>
      <c r="T547" t="s">
        <v>58</v>
      </c>
      <c r="U547" t="s">
        <v>59</v>
      </c>
      <c r="V547" s="3">
        <v>0.7</v>
      </c>
      <c r="W547" s="2">
        <v>0</v>
      </c>
      <c r="X547">
        <v>0</v>
      </c>
      <c r="Y547" t="s">
        <v>60</v>
      </c>
      <c r="Z547" t="s">
        <v>135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7.13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46062</v>
      </c>
      <c r="B548" t="s">
        <v>48</v>
      </c>
      <c r="C548">
        <v>649163</v>
      </c>
      <c r="D548">
        <v>2033066815</v>
      </c>
      <c r="E548" t="s">
        <v>952</v>
      </c>
      <c r="F548" t="s">
        <v>457</v>
      </c>
      <c r="G548" t="s">
        <v>51</v>
      </c>
      <c r="H548" t="s">
        <v>66</v>
      </c>
      <c r="I548" t="s">
        <v>383</v>
      </c>
      <c r="J548" t="s">
        <v>384</v>
      </c>
      <c r="K548">
        <v>792847</v>
      </c>
      <c r="L548" t="s">
        <v>372</v>
      </c>
      <c r="M548" t="s">
        <v>373</v>
      </c>
      <c r="N548" t="s">
        <v>57</v>
      </c>
      <c r="O548" s="1">
        <v>46032</v>
      </c>
      <c r="Q548" s="1">
        <v>46091</v>
      </c>
      <c r="R548" s="2">
        <v>131.72</v>
      </c>
      <c r="S548">
        <v>1</v>
      </c>
      <c r="T548" t="s">
        <v>58</v>
      </c>
      <c r="U548" t="s">
        <v>59</v>
      </c>
      <c r="V548" s="3">
        <v>0.7</v>
      </c>
      <c r="W548" s="2">
        <v>0</v>
      </c>
      <c r="X548">
        <v>0</v>
      </c>
      <c r="Y548" t="s">
        <v>60</v>
      </c>
      <c r="Z548" t="s">
        <v>135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92.2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46062</v>
      </c>
      <c r="B549" t="s">
        <v>48</v>
      </c>
      <c r="C549">
        <v>649163</v>
      </c>
      <c r="D549">
        <v>2033071418</v>
      </c>
      <c r="E549" t="s">
        <v>914</v>
      </c>
      <c r="F549" t="s">
        <v>139</v>
      </c>
      <c r="G549" t="s">
        <v>51</v>
      </c>
      <c r="H549" t="s">
        <v>96</v>
      </c>
      <c r="I549" t="s">
        <v>383</v>
      </c>
      <c r="J549" t="s">
        <v>384</v>
      </c>
      <c r="K549">
        <v>651818</v>
      </c>
      <c r="L549" t="s">
        <v>80</v>
      </c>
      <c r="M549" t="s">
        <v>81</v>
      </c>
      <c r="N549" t="s">
        <v>57</v>
      </c>
      <c r="O549" s="1">
        <v>46034</v>
      </c>
      <c r="Q549" s="1">
        <v>46093</v>
      </c>
      <c r="R549" s="2">
        <v>32.979999999999997</v>
      </c>
      <c r="S549">
        <v>1</v>
      </c>
      <c r="T549" t="s">
        <v>58</v>
      </c>
      <c r="U549" t="s">
        <v>59</v>
      </c>
      <c r="V549" s="3">
        <v>0.7</v>
      </c>
      <c r="W549" s="2">
        <v>0</v>
      </c>
      <c r="X549">
        <v>0</v>
      </c>
      <c r="Y549" t="s">
        <v>60</v>
      </c>
      <c r="Z549" t="s">
        <v>135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23.09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46062</v>
      </c>
      <c r="B550" t="s">
        <v>48</v>
      </c>
      <c r="C550">
        <v>649163</v>
      </c>
      <c r="D550">
        <v>2033078760</v>
      </c>
      <c r="E550" t="s">
        <v>953</v>
      </c>
      <c r="F550" t="s">
        <v>466</v>
      </c>
      <c r="G550" t="s">
        <v>51</v>
      </c>
      <c r="H550" t="s">
        <v>274</v>
      </c>
      <c r="I550" t="s">
        <v>383</v>
      </c>
      <c r="J550" t="s">
        <v>384</v>
      </c>
      <c r="K550">
        <v>816021</v>
      </c>
      <c r="L550" t="s">
        <v>275</v>
      </c>
      <c r="M550" t="s">
        <v>276</v>
      </c>
      <c r="N550" t="s">
        <v>57</v>
      </c>
      <c r="O550" s="1">
        <v>46032</v>
      </c>
      <c r="Q550" s="1">
        <v>46091</v>
      </c>
      <c r="R550" s="2">
        <v>9.6999999999999993</v>
      </c>
      <c r="S550">
        <v>1</v>
      </c>
      <c r="T550" t="s">
        <v>58</v>
      </c>
      <c r="U550" t="s">
        <v>59</v>
      </c>
      <c r="V550" s="3">
        <v>0.7</v>
      </c>
      <c r="W550" s="2">
        <v>0</v>
      </c>
      <c r="X550">
        <v>0</v>
      </c>
      <c r="Y550" t="s">
        <v>60</v>
      </c>
      <c r="Z550" t="s">
        <v>135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6.79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46062</v>
      </c>
      <c r="B551" t="s">
        <v>48</v>
      </c>
      <c r="C551">
        <v>649163</v>
      </c>
      <c r="D551">
        <v>2033079879</v>
      </c>
      <c r="E551" t="s">
        <v>954</v>
      </c>
      <c r="F551" t="s">
        <v>373</v>
      </c>
      <c r="G551" t="s">
        <v>51</v>
      </c>
      <c r="H551" t="s">
        <v>66</v>
      </c>
      <c r="I551" t="s">
        <v>383</v>
      </c>
      <c r="J551" t="s">
        <v>384</v>
      </c>
      <c r="K551">
        <v>806645</v>
      </c>
      <c r="L551" t="s">
        <v>344</v>
      </c>
      <c r="M551" t="s">
        <v>345</v>
      </c>
      <c r="N551" t="s">
        <v>57</v>
      </c>
      <c r="O551" s="1">
        <v>46032</v>
      </c>
      <c r="Q551" s="1">
        <v>46091</v>
      </c>
      <c r="R551" s="2">
        <v>51</v>
      </c>
      <c r="S551">
        <v>1</v>
      </c>
      <c r="T551" t="s">
        <v>58</v>
      </c>
      <c r="U551" t="s">
        <v>59</v>
      </c>
      <c r="V551" s="3">
        <v>0.7</v>
      </c>
      <c r="W551" s="2">
        <v>0</v>
      </c>
      <c r="X551">
        <v>0</v>
      </c>
      <c r="Y551" t="s">
        <v>60</v>
      </c>
      <c r="Z551" t="s">
        <v>135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35.700000000000003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46062</v>
      </c>
      <c r="B552" t="s">
        <v>48</v>
      </c>
      <c r="C552">
        <v>649163</v>
      </c>
      <c r="D552">
        <v>2033086829</v>
      </c>
      <c r="E552" t="s">
        <v>955</v>
      </c>
      <c r="F552" t="s">
        <v>956</v>
      </c>
      <c r="G552" t="s">
        <v>51</v>
      </c>
      <c r="H552" t="s">
        <v>66</v>
      </c>
      <c r="I552" t="s">
        <v>383</v>
      </c>
      <c r="J552" t="s">
        <v>385</v>
      </c>
      <c r="K552">
        <v>807212</v>
      </c>
      <c r="L552" t="s">
        <v>801</v>
      </c>
      <c r="M552" t="s">
        <v>802</v>
      </c>
      <c r="N552" t="s">
        <v>57</v>
      </c>
      <c r="O552" s="1">
        <v>46033</v>
      </c>
      <c r="Q552" s="1">
        <v>46092</v>
      </c>
      <c r="R552" s="2">
        <v>16.73</v>
      </c>
      <c r="S552">
        <v>1</v>
      </c>
      <c r="T552" t="s">
        <v>58</v>
      </c>
      <c r="U552" t="s">
        <v>59</v>
      </c>
      <c r="V552" s="3">
        <v>0.9</v>
      </c>
      <c r="W552" s="2">
        <v>0</v>
      </c>
      <c r="X552">
        <v>0</v>
      </c>
      <c r="Y552" t="s">
        <v>60</v>
      </c>
      <c r="Z552" t="s">
        <v>135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15.06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46062</v>
      </c>
      <c r="B553" t="s">
        <v>48</v>
      </c>
      <c r="C553">
        <v>649163</v>
      </c>
      <c r="D553">
        <v>2033089392</v>
      </c>
      <c r="E553" t="s">
        <v>957</v>
      </c>
      <c r="F553" t="s">
        <v>512</v>
      </c>
      <c r="G553" t="s">
        <v>51</v>
      </c>
      <c r="H553" t="s">
        <v>274</v>
      </c>
      <c r="I553" t="s">
        <v>383</v>
      </c>
      <c r="J553" t="s">
        <v>384</v>
      </c>
      <c r="K553">
        <v>816021</v>
      </c>
      <c r="L553" t="s">
        <v>275</v>
      </c>
      <c r="M553" t="s">
        <v>276</v>
      </c>
      <c r="N553" t="s">
        <v>57</v>
      </c>
      <c r="O553" s="1">
        <v>46033</v>
      </c>
      <c r="Q553" s="1">
        <v>46092</v>
      </c>
      <c r="R553" s="2">
        <v>9.1</v>
      </c>
      <c r="S553">
        <v>1</v>
      </c>
      <c r="T553" t="s">
        <v>58</v>
      </c>
      <c r="U553" t="s">
        <v>59</v>
      </c>
      <c r="V553" s="3">
        <v>0.7</v>
      </c>
      <c r="W553" s="2">
        <v>0</v>
      </c>
      <c r="X553">
        <v>0</v>
      </c>
      <c r="Y553" t="s">
        <v>60</v>
      </c>
      <c r="Z553" t="s">
        <v>135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6.37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46062</v>
      </c>
      <c r="B554" t="s">
        <v>48</v>
      </c>
      <c r="C554">
        <v>649163</v>
      </c>
      <c r="D554">
        <v>2033089394</v>
      </c>
      <c r="E554" t="s">
        <v>957</v>
      </c>
      <c r="F554" t="s">
        <v>512</v>
      </c>
      <c r="G554" t="s">
        <v>51</v>
      </c>
      <c r="H554" t="s">
        <v>274</v>
      </c>
      <c r="I554" t="s">
        <v>383</v>
      </c>
      <c r="J554" t="s">
        <v>400</v>
      </c>
      <c r="K554">
        <v>816021</v>
      </c>
      <c r="L554" t="s">
        <v>275</v>
      </c>
      <c r="M554" t="s">
        <v>276</v>
      </c>
      <c r="N554" t="s">
        <v>57</v>
      </c>
      <c r="O554" s="1">
        <v>46033</v>
      </c>
      <c r="Q554" s="1">
        <v>46092</v>
      </c>
      <c r="R554" s="2">
        <v>6.3</v>
      </c>
      <c r="S554">
        <v>1</v>
      </c>
      <c r="T554" t="s">
        <v>58</v>
      </c>
      <c r="U554" t="s">
        <v>59</v>
      </c>
      <c r="V554" s="3">
        <v>0.7</v>
      </c>
      <c r="W554" s="2">
        <v>0</v>
      </c>
      <c r="X554">
        <v>0</v>
      </c>
      <c r="Y554" t="s">
        <v>60</v>
      </c>
      <c r="Z554" t="s">
        <v>135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4.41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46062</v>
      </c>
      <c r="B555" t="s">
        <v>48</v>
      </c>
      <c r="C555">
        <v>649163</v>
      </c>
      <c r="D555">
        <v>2033089935</v>
      </c>
      <c r="E555" t="s">
        <v>958</v>
      </c>
      <c r="F555" t="s">
        <v>240</v>
      </c>
      <c r="G555" t="s">
        <v>51</v>
      </c>
      <c r="H555" t="s">
        <v>392</v>
      </c>
      <c r="I555" t="s">
        <v>383</v>
      </c>
      <c r="J555" t="s">
        <v>400</v>
      </c>
      <c r="K555">
        <v>823068</v>
      </c>
      <c r="L555" t="s">
        <v>355</v>
      </c>
      <c r="M555" t="s">
        <v>356</v>
      </c>
      <c r="N555" t="s">
        <v>57</v>
      </c>
      <c r="O555" s="1">
        <v>46035</v>
      </c>
      <c r="Q555" s="1">
        <v>46094</v>
      </c>
      <c r="R555" s="2">
        <v>24.61</v>
      </c>
      <c r="S555">
        <v>1</v>
      </c>
      <c r="T555" t="s">
        <v>58</v>
      </c>
      <c r="U555" t="s">
        <v>59</v>
      </c>
      <c r="V555" s="3">
        <v>0.7</v>
      </c>
      <c r="W555" s="2">
        <v>0</v>
      </c>
      <c r="X555">
        <v>0</v>
      </c>
      <c r="Y555" t="s">
        <v>60</v>
      </c>
      <c r="Z555" t="s">
        <v>135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17.23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46062</v>
      </c>
      <c r="B556" t="s">
        <v>48</v>
      </c>
      <c r="C556">
        <v>649163</v>
      </c>
      <c r="D556">
        <v>2033107247</v>
      </c>
      <c r="E556" t="s">
        <v>959</v>
      </c>
      <c r="F556" t="s">
        <v>226</v>
      </c>
      <c r="G556" t="s">
        <v>51</v>
      </c>
      <c r="H556" t="s">
        <v>90</v>
      </c>
      <c r="I556" t="s">
        <v>383</v>
      </c>
      <c r="J556" t="s">
        <v>384</v>
      </c>
      <c r="K556">
        <v>875334</v>
      </c>
      <c r="L556" t="s">
        <v>827</v>
      </c>
      <c r="M556" t="s">
        <v>828</v>
      </c>
      <c r="N556" t="s">
        <v>57</v>
      </c>
      <c r="O556" s="1">
        <v>46035</v>
      </c>
      <c r="Q556" s="1">
        <v>46094</v>
      </c>
      <c r="R556" s="2">
        <v>196.06</v>
      </c>
      <c r="S556">
        <v>1</v>
      </c>
      <c r="T556" t="s">
        <v>58</v>
      </c>
      <c r="U556" t="s">
        <v>59</v>
      </c>
      <c r="V556" s="3">
        <v>0.7</v>
      </c>
      <c r="W556" s="2">
        <v>0</v>
      </c>
      <c r="X556">
        <v>0</v>
      </c>
      <c r="Y556" t="s">
        <v>60</v>
      </c>
      <c r="Z556" t="s">
        <v>135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137.24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46062</v>
      </c>
      <c r="B557" t="s">
        <v>48</v>
      </c>
      <c r="C557">
        <v>649163</v>
      </c>
      <c r="D557">
        <v>2033109903</v>
      </c>
      <c r="E557" t="s">
        <v>960</v>
      </c>
      <c r="F557" t="s">
        <v>961</v>
      </c>
      <c r="G557" t="s">
        <v>51</v>
      </c>
      <c r="H557" t="s">
        <v>274</v>
      </c>
      <c r="I557" t="s">
        <v>383</v>
      </c>
      <c r="J557" t="s">
        <v>384</v>
      </c>
      <c r="K557">
        <v>816021</v>
      </c>
      <c r="L557" t="s">
        <v>275</v>
      </c>
      <c r="M557" t="s">
        <v>276</v>
      </c>
      <c r="N557" t="s">
        <v>144</v>
      </c>
      <c r="O557" s="1">
        <v>46054</v>
      </c>
      <c r="P557" s="1">
        <v>46062</v>
      </c>
      <c r="Q557" s="1">
        <v>46082</v>
      </c>
      <c r="R557" s="2">
        <v>-9.6999999999999993</v>
      </c>
      <c r="S557">
        <v>1</v>
      </c>
      <c r="T557" t="s">
        <v>58</v>
      </c>
      <c r="U557" t="s">
        <v>962</v>
      </c>
      <c r="V557" s="3">
        <v>0.7</v>
      </c>
      <c r="W557" s="2">
        <v>0</v>
      </c>
      <c r="X557">
        <v>-1</v>
      </c>
      <c r="Y557" t="s">
        <v>60</v>
      </c>
      <c r="Z557" t="s">
        <v>135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-6.79</v>
      </c>
      <c r="AN557" s="2">
        <v>-6.79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46062</v>
      </c>
      <c r="B558" t="s">
        <v>48</v>
      </c>
      <c r="C558">
        <v>649163</v>
      </c>
      <c r="D558">
        <v>2033118932</v>
      </c>
      <c r="E558" t="s">
        <v>963</v>
      </c>
      <c r="F558" t="s">
        <v>964</v>
      </c>
      <c r="G558" t="s">
        <v>51</v>
      </c>
      <c r="H558" t="s">
        <v>71</v>
      </c>
      <c r="I558" t="s">
        <v>383</v>
      </c>
      <c r="J558" t="s">
        <v>384</v>
      </c>
      <c r="K558">
        <v>812994</v>
      </c>
      <c r="L558" t="s">
        <v>730</v>
      </c>
      <c r="M558" t="s">
        <v>731</v>
      </c>
      <c r="N558" t="s">
        <v>57</v>
      </c>
      <c r="O558" s="1">
        <v>46035</v>
      </c>
      <c r="Q558" s="1">
        <v>46094</v>
      </c>
      <c r="R558" s="2">
        <v>45.46</v>
      </c>
      <c r="S558">
        <v>1</v>
      </c>
      <c r="T558" t="s">
        <v>58</v>
      </c>
      <c r="U558" t="s">
        <v>59</v>
      </c>
      <c r="V558" s="3">
        <v>0.7</v>
      </c>
      <c r="W558" s="2">
        <v>0</v>
      </c>
      <c r="X558">
        <v>0</v>
      </c>
      <c r="Y558" t="s">
        <v>60</v>
      </c>
      <c r="Z558" t="s">
        <v>135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31.82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46062</v>
      </c>
      <c r="B559" t="s">
        <v>48</v>
      </c>
      <c r="C559">
        <v>649163</v>
      </c>
      <c r="D559">
        <v>2033126465</v>
      </c>
      <c r="E559" t="s">
        <v>965</v>
      </c>
      <c r="F559" t="s">
        <v>592</v>
      </c>
      <c r="G559" t="s">
        <v>51</v>
      </c>
      <c r="H559" t="s">
        <v>392</v>
      </c>
      <c r="I559" t="s">
        <v>383</v>
      </c>
      <c r="J559" t="s">
        <v>400</v>
      </c>
      <c r="K559">
        <v>823068</v>
      </c>
      <c r="L559" t="s">
        <v>355</v>
      </c>
      <c r="M559" t="s">
        <v>356</v>
      </c>
      <c r="N559" t="s">
        <v>144</v>
      </c>
      <c r="O559" s="1">
        <v>46054</v>
      </c>
      <c r="P559" s="1">
        <v>46062</v>
      </c>
      <c r="Q559" s="1">
        <v>46082</v>
      </c>
      <c r="R559" s="2">
        <v>-78.97</v>
      </c>
      <c r="S559">
        <v>1</v>
      </c>
      <c r="T559" t="s">
        <v>58</v>
      </c>
      <c r="U559" t="s">
        <v>59</v>
      </c>
      <c r="V559" s="3">
        <v>0.7</v>
      </c>
      <c r="W559" s="2">
        <v>0</v>
      </c>
      <c r="X559">
        <v>-1</v>
      </c>
      <c r="Y559" t="s">
        <v>60</v>
      </c>
      <c r="Z559" t="s">
        <v>135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-55.28</v>
      </c>
      <c r="AN559" s="2">
        <v>-55.28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46062</v>
      </c>
      <c r="B560" t="s">
        <v>48</v>
      </c>
      <c r="C560">
        <v>649163</v>
      </c>
      <c r="D560">
        <v>2033178394</v>
      </c>
      <c r="E560" t="s">
        <v>966</v>
      </c>
      <c r="F560" t="s">
        <v>967</v>
      </c>
      <c r="G560" t="s">
        <v>51</v>
      </c>
      <c r="H560" t="s">
        <v>353</v>
      </c>
      <c r="I560" t="s">
        <v>383</v>
      </c>
      <c r="J560" t="s">
        <v>384</v>
      </c>
      <c r="K560">
        <v>753748</v>
      </c>
      <c r="L560" t="s">
        <v>74</v>
      </c>
      <c r="M560" t="s">
        <v>75</v>
      </c>
      <c r="N560" t="s">
        <v>144</v>
      </c>
      <c r="O560" s="1">
        <v>46054</v>
      </c>
      <c r="P560" s="1">
        <v>46062</v>
      </c>
      <c r="Q560" s="1">
        <v>46082</v>
      </c>
      <c r="R560" s="2">
        <v>-32.33</v>
      </c>
      <c r="S560">
        <v>1</v>
      </c>
      <c r="T560" t="s">
        <v>58</v>
      </c>
      <c r="U560" t="s">
        <v>59</v>
      </c>
      <c r="V560" s="3">
        <v>0.7</v>
      </c>
      <c r="W560" s="2">
        <v>0</v>
      </c>
      <c r="X560">
        <v>-1</v>
      </c>
      <c r="Y560" t="s">
        <v>60</v>
      </c>
      <c r="Z560" t="s">
        <v>135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-22.63</v>
      </c>
      <c r="AN560" s="2">
        <v>-22.63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46062</v>
      </c>
      <c r="B561" t="s">
        <v>48</v>
      </c>
      <c r="C561">
        <v>649163</v>
      </c>
      <c r="D561">
        <v>2033246167</v>
      </c>
      <c r="E561" t="s">
        <v>968</v>
      </c>
      <c r="F561" t="s">
        <v>969</v>
      </c>
      <c r="G561" t="s">
        <v>51</v>
      </c>
      <c r="H561" t="s">
        <v>750</v>
      </c>
      <c r="I561" t="s">
        <v>383</v>
      </c>
      <c r="J561" t="s">
        <v>384</v>
      </c>
      <c r="K561">
        <v>753748</v>
      </c>
      <c r="L561" t="s">
        <v>74</v>
      </c>
      <c r="M561" t="s">
        <v>75</v>
      </c>
      <c r="N561" t="s">
        <v>144</v>
      </c>
      <c r="O561" s="1">
        <v>46054</v>
      </c>
      <c r="P561" s="1">
        <v>46062</v>
      </c>
      <c r="Q561" s="1">
        <v>46082</v>
      </c>
      <c r="R561" s="2">
        <v>-93.92</v>
      </c>
      <c r="S561">
        <v>1</v>
      </c>
      <c r="T561" t="s">
        <v>58</v>
      </c>
      <c r="U561" t="s">
        <v>59</v>
      </c>
      <c r="V561" s="3">
        <v>0.7</v>
      </c>
      <c r="W561" s="2">
        <v>0</v>
      </c>
      <c r="X561">
        <v>-1</v>
      </c>
      <c r="Y561" t="s">
        <v>60</v>
      </c>
      <c r="Z561" t="s">
        <v>135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-65.739999999999995</v>
      </c>
      <c r="AN561" s="2">
        <v>-65.739999999999995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46062</v>
      </c>
      <c r="B562" t="s">
        <v>48</v>
      </c>
      <c r="C562">
        <v>649163</v>
      </c>
      <c r="D562">
        <v>2033304950</v>
      </c>
      <c r="E562" t="s">
        <v>970</v>
      </c>
      <c r="F562" t="s">
        <v>891</v>
      </c>
      <c r="G562" t="s">
        <v>51</v>
      </c>
      <c r="H562" t="s">
        <v>971</v>
      </c>
      <c r="I562" t="s">
        <v>383</v>
      </c>
      <c r="J562" t="s">
        <v>384</v>
      </c>
      <c r="K562">
        <v>673059</v>
      </c>
      <c r="L562" t="s">
        <v>162</v>
      </c>
      <c r="M562" t="s">
        <v>180</v>
      </c>
      <c r="N562" t="s">
        <v>144</v>
      </c>
      <c r="O562" s="1">
        <v>46051</v>
      </c>
      <c r="P562" s="1">
        <v>46062</v>
      </c>
      <c r="Q562" s="1">
        <v>46081</v>
      </c>
      <c r="R562" s="2">
        <v>-97.85</v>
      </c>
      <c r="S562">
        <v>1</v>
      </c>
      <c r="T562" t="s">
        <v>58</v>
      </c>
      <c r="U562" t="s">
        <v>59</v>
      </c>
      <c r="V562" s="3">
        <v>0.7</v>
      </c>
      <c r="W562" s="2">
        <v>0</v>
      </c>
      <c r="X562">
        <v>-1</v>
      </c>
      <c r="Y562" t="s">
        <v>60</v>
      </c>
      <c r="Z562" t="s">
        <v>135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-68.5</v>
      </c>
      <c r="AN562" s="2">
        <v>-68.5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46062</v>
      </c>
      <c r="B563" t="s">
        <v>48</v>
      </c>
      <c r="C563">
        <v>649163</v>
      </c>
      <c r="D563">
        <v>2033397215</v>
      </c>
      <c r="E563" t="s">
        <v>620</v>
      </c>
      <c r="F563" t="s">
        <v>539</v>
      </c>
      <c r="G563" t="s">
        <v>51</v>
      </c>
      <c r="H563" t="s">
        <v>90</v>
      </c>
      <c r="I563" t="s">
        <v>383</v>
      </c>
      <c r="J563" t="s">
        <v>384</v>
      </c>
      <c r="K563">
        <v>902625</v>
      </c>
      <c r="L563" t="s">
        <v>405</v>
      </c>
      <c r="M563" t="s">
        <v>406</v>
      </c>
      <c r="N563" t="s">
        <v>144</v>
      </c>
      <c r="O563" s="1">
        <v>46052</v>
      </c>
      <c r="P563" s="1">
        <v>46062</v>
      </c>
      <c r="Q563" s="1">
        <v>46081</v>
      </c>
      <c r="R563" s="2">
        <v>-18.100000000000001</v>
      </c>
      <c r="S563">
        <v>1</v>
      </c>
      <c r="T563" t="s">
        <v>58</v>
      </c>
      <c r="U563" t="s">
        <v>59</v>
      </c>
      <c r="V563" s="3">
        <v>0.7</v>
      </c>
      <c r="W563" s="2">
        <v>0</v>
      </c>
      <c r="X563">
        <v>-1</v>
      </c>
      <c r="Y563" t="s">
        <v>60</v>
      </c>
      <c r="Z563" t="s">
        <v>135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-12.67</v>
      </c>
      <c r="AN563" s="2">
        <v>-12.67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46062</v>
      </c>
      <c r="B564" t="s">
        <v>48</v>
      </c>
      <c r="C564">
        <v>649163</v>
      </c>
      <c r="D564">
        <v>2033397216</v>
      </c>
      <c r="E564" t="s">
        <v>620</v>
      </c>
      <c r="F564" t="s">
        <v>539</v>
      </c>
      <c r="G564" t="s">
        <v>51</v>
      </c>
      <c r="H564" t="s">
        <v>90</v>
      </c>
      <c r="I564" t="s">
        <v>383</v>
      </c>
      <c r="J564" t="s">
        <v>843</v>
      </c>
      <c r="K564">
        <v>902625</v>
      </c>
      <c r="L564" t="s">
        <v>405</v>
      </c>
      <c r="M564" t="s">
        <v>406</v>
      </c>
      <c r="N564" t="s">
        <v>144</v>
      </c>
      <c r="O564" s="1">
        <v>46052</v>
      </c>
      <c r="P564" s="1">
        <v>46062</v>
      </c>
      <c r="Q564" s="1">
        <v>46081</v>
      </c>
      <c r="R564" s="2">
        <v>-29.5</v>
      </c>
      <c r="S564">
        <v>1</v>
      </c>
      <c r="T564" t="s">
        <v>58</v>
      </c>
      <c r="U564" t="s">
        <v>59</v>
      </c>
      <c r="V564" s="3">
        <v>0.42</v>
      </c>
      <c r="W564" s="2">
        <v>0</v>
      </c>
      <c r="X564">
        <v>-1</v>
      </c>
      <c r="Y564" t="s">
        <v>60</v>
      </c>
      <c r="Z564" t="s">
        <v>135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-12.39</v>
      </c>
      <c r="AN564" s="2">
        <v>-12.39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46062</v>
      </c>
      <c r="B565" t="s">
        <v>48</v>
      </c>
      <c r="C565">
        <v>649163</v>
      </c>
      <c r="D565">
        <v>2033434027</v>
      </c>
      <c r="E565" t="s">
        <v>972</v>
      </c>
      <c r="F565" t="s">
        <v>973</v>
      </c>
      <c r="G565" t="s">
        <v>51</v>
      </c>
      <c r="H565" t="s">
        <v>66</v>
      </c>
      <c r="I565" t="s">
        <v>383</v>
      </c>
      <c r="J565" t="s">
        <v>384</v>
      </c>
      <c r="K565">
        <v>812994</v>
      </c>
      <c r="L565" t="s">
        <v>730</v>
      </c>
      <c r="M565" t="s">
        <v>731</v>
      </c>
      <c r="N565" t="s">
        <v>144</v>
      </c>
      <c r="O565" s="1">
        <v>46054</v>
      </c>
      <c r="P565" s="1">
        <v>46062</v>
      </c>
      <c r="Q565" s="1">
        <v>46082</v>
      </c>
      <c r="R565" s="2">
        <v>-148.32</v>
      </c>
      <c r="S565">
        <v>1</v>
      </c>
      <c r="T565" t="s">
        <v>58</v>
      </c>
      <c r="U565" t="s">
        <v>59</v>
      </c>
      <c r="V565" s="3">
        <v>0.7</v>
      </c>
      <c r="W565" s="2">
        <v>0</v>
      </c>
      <c r="X565">
        <v>-1</v>
      </c>
      <c r="Y565" t="s">
        <v>60</v>
      </c>
      <c r="Z565" t="s">
        <v>135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-103.82</v>
      </c>
      <c r="AN565" s="2">
        <v>-103.82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46062</v>
      </c>
      <c r="B566" t="s">
        <v>48</v>
      </c>
      <c r="C566">
        <v>649163</v>
      </c>
      <c r="D566">
        <v>2024225541</v>
      </c>
      <c r="E566" t="s">
        <v>974</v>
      </c>
      <c r="F566" t="s">
        <v>975</v>
      </c>
      <c r="G566" t="s">
        <v>51</v>
      </c>
      <c r="H566" t="s">
        <v>288</v>
      </c>
      <c r="I566" t="s">
        <v>130</v>
      </c>
      <c r="J566" t="s">
        <v>976</v>
      </c>
      <c r="K566">
        <v>673059</v>
      </c>
      <c r="L566" t="s">
        <v>162</v>
      </c>
      <c r="M566" t="s">
        <v>180</v>
      </c>
      <c r="N566" t="s">
        <v>144</v>
      </c>
      <c r="O566" s="1">
        <v>45656</v>
      </c>
      <c r="P566" s="1">
        <v>46062</v>
      </c>
      <c r="Q566" s="1">
        <v>46081</v>
      </c>
      <c r="R566" s="2">
        <v>-309.55</v>
      </c>
      <c r="S566">
        <v>1</v>
      </c>
      <c r="T566" t="s">
        <v>58</v>
      </c>
      <c r="U566" t="s">
        <v>156</v>
      </c>
      <c r="V566" s="3">
        <v>0.28999999999999998</v>
      </c>
      <c r="W566" s="2">
        <v>0</v>
      </c>
      <c r="X566">
        <v>-1</v>
      </c>
      <c r="Y566" t="s">
        <v>157</v>
      </c>
      <c r="Z566" t="s">
        <v>135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-89.77</v>
      </c>
      <c r="AN566" s="2">
        <v>-89.77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46062</v>
      </c>
      <c r="B567" t="s">
        <v>48</v>
      </c>
      <c r="C567">
        <v>649163</v>
      </c>
      <c r="D567">
        <v>2030917276</v>
      </c>
      <c r="E567" t="s">
        <v>575</v>
      </c>
      <c r="F567" t="s">
        <v>576</v>
      </c>
      <c r="G567" t="s">
        <v>51</v>
      </c>
      <c r="H567" t="s">
        <v>140</v>
      </c>
      <c r="I567" t="s">
        <v>130</v>
      </c>
      <c r="J567" t="s">
        <v>141</v>
      </c>
      <c r="K567">
        <v>874230</v>
      </c>
      <c r="L567" t="s">
        <v>142</v>
      </c>
      <c r="M567" t="s">
        <v>143</v>
      </c>
      <c r="N567" t="s">
        <v>57</v>
      </c>
      <c r="O567" s="1">
        <v>45910</v>
      </c>
      <c r="Q567" s="1">
        <v>46091</v>
      </c>
      <c r="R567" s="2">
        <v>247.54</v>
      </c>
      <c r="S567">
        <v>1</v>
      </c>
      <c r="T567" t="s">
        <v>58</v>
      </c>
      <c r="U567" t="s">
        <v>156</v>
      </c>
      <c r="V567" s="3">
        <v>0.19</v>
      </c>
      <c r="W567" s="2">
        <v>0</v>
      </c>
      <c r="X567">
        <v>0</v>
      </c>
      <c r="Y567" t="s">
        <v>60</v>
      </c>
      <c r="Z567" t="s">
        <v>135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0.02</v>
      </c>
      <c r="AM567" s="2">
        <v>47.01</v>
      </c>
      <c r="AN567" s="2">
        <v>47.01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46062</v>
      </c>
      <c r="B568" t="s">
        <v>48</v>
      </c>
      <c r="C568">
        <v>649163</v>
      </c>
      <c r="D568">
        <v>2031017070</v>
      </c>
      <c r="E568" t="s">
        <v>583</v>
      </c>
      <c r="F568" t="s">
        <v>188</v>
      </c>
      <c r="G568" t="s">
        <v>51</v>
      </c>
      <c r="H568" t="s">
        <v>116</v>
      </c>
      <c r="I568" t="s">
        <v>130</v>
      </c>
      <c r="J568" t="s">
        <v>977</v>
      </c>
      <c r="K568">
        <v>877790</v>
      </c>
      <c r="L568" t="s">
        <v>132</v>
      </c>
      <c r="M568" t="s">
        <v>133</v>
      </c>
      <c r="N568" t="s">
        <v>57</v>
      </c>
      <c r="O568" s="1">
        <v>45913</v>
      </c>
      <c r="Q568" s="1">
        <v>46094</v>
      </c>
      <c r="R568" s="2">
        <v>262.94</v>
      </c>
      <c r="S568">
        <v>1</v>
      </c>
      <c r="T568" t="s">
        <v>58</v>
      </c>
      <c r="U568" t="s">
        <v>134</v>
      </c>
      <c r="V568" s="3">
        <v>0.19</v>
      </c>
      <c r="W568" s="2">
        <v>0</v>
      </c>
      <c r="X568">
        <v>0</v>
      </c>
      <c r="Y568" t="s">
        <v>60</v>
      </c>
      <c r="Z568" t="s">
        <v>135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49.96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46062</v>
      </c>
      <c r="B569" t="s">
        <v>48</v>
      </c>
      <c r="C569">
        <v>649163</v>
      </c>
      <c r="D569">
        <v>2031581263</v>
      </c>
      <c r="E569" t="s">
        <v>584</v>
      </c>
      <c r="F569" t="s">
        <v>585</v>
      </c>
      <c r="G569" t="s">
        <v>51</v>
      </c>
      <c r="H569" t="s">
        <v>397</v>
      </c>
      <c r="I569" t="s">
        <v>130</v>
      </c>
      <c r="J569" t="s">
        <v>148</v>
      </c>
      <c r="K569">
        <v>897073</v>
      </c>
      <c r="L569" t="s">
        <v>586</v>
      </c>
      <c r="M569" t="s">
        <v>587</v>
      </c>
      <c r="N569" t="s">
        <v>57</v>
      </c>
      <c r="O569" s="1">
        <v>45942</v>
      </c>
      <c r="Q569" s="1">
        <v>46093</v>
      </c>
      <c r="R569" s="2">
        <v>285.18</v>
      </c>
      <c r="S569">
        <v>1</v>
      </c>
      <c r="T569" t="s">
        <v>58</v>
      </c>
      <c r="U569" t="s">
        <v>134</v>
      </c>
      <c r="V569" s="3">
        <v>0.28999999999999998</v>
      </c>
      <c r="W569" s="2">
        <v>0</v>
      </c>
      <c r="X569">
        <v>0</v>
      </c>
      <c r="Y569" t="s">
        <v>60</v>
      </c>
      <c r="Z569" t="s">
        <v>135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82.7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46062</v>
      </c>
      <c r="B570" t="s">
        <v>48</v>
      </c>
      <c r="C570">
        <v>649163</v>
      </c>
      <c r="D570">
        <v>2031581264</v>
      </c>
      <c r="E570" t="s">
        <v>584</v>
      </c>
      <c r="F570" t="s">
        <v>585</v>
      </c>
      <c r="G570" t="s">
        <v>51</v>
      </c>
      <c r="H570" t="s">
        <v>397</v>
      </c>
      <c r="I570" t="s">
        <v>130</v>
      </c>
      <c r="J570" t="s">
        <v>978</v>
      </c>
      <c r="K570">
        <v>897073</v>
      </c>
      <c r="L570" t="s">
        <v>586</v>
      </c>
      <c r="M570" t="s">
        <v>587</v>
      </c>
      <c r="N570" t="s">
        <v>57</v>
      </c>
      <c r="O570" s="1">
        <v>45942</v>
      </c>
      <c r="Q570" s="1">
        <v>46093</v>
      </c>
      <c r="R570" s="2">
        <v>9.9499999999999993</v>
      </c>
      <c r="S570">
        <v>1</v>
      </c>
      <c r="T570" t="s">
        <v>58</v>
      </c>
      <c r="U570" t="s">
        <v>134</v>
      </c>
      <c r="V570" s="3">
        <v>0.28999999999999998</v>
      </c>
      <c r="W570" s="2">
        <v>0</v>
      </c>
      <c r="X570">
        <v>0</v>
      </c>
      <c r="Y570" t="s">
        <v>60</v>
      </c>
      <c r="Z570" t="s">
        <v>135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2.89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46062</v>
      </c>
      <c r="B571" t="s">
        <v>48</v>
      </c>
      <c r="C571">
        <v>649163</v>
      </c>
      <c r="D571">
        <v>2032474164</v>
      </c>
      <c r="E571" t="s">
        <v>979</v>
      </c>
      <c r="F571" t="s">
        <v>115</v>
      </c>
      <c r="G571" t="s">
        <v>51</v>
      </c>
      <c r="H571" t="s">
        <v>78</v>
      </c>
      <c r="I571" t="s">
        <v>130</v>
      </c>
      <c r="J571" t="s">
        <v>980</v>
      </c>
      <c r="K571">
        <v>651818</v>
      </c>
      <c r="L571" t="s">
        <v>80</v>
      </c>
      <c r="M571" t="s">
        <v>81</v>
      </c>
      <c r="N571" t="s">
        <v>144</v>
      </c>
      <c r="O571" s="1">
        <v>46023</v>
      </c>
      <c r="P571" s="1">
        <v>46055</v>
      </c>
      <c r="Q571" s="1">
        <v>46082</v>
      </c>
      <c r="R571" s="2">
        <v>-368.01</v>
      </c>
      <c r="S571">
        <v>1</v>
      </c>
      <c r="T571" t="s">
        <v>58</v>
      </c>
      <c r="U571" t="s">
        <v>149</v>
      </c>
      <c r="V571" s="3">
        <v>0.27</v>
      </c>
      <c r="W571" s="2">
        <v>0</v>
      </c>
      <c r="X571">
        <v>-1</v>
      </c>
      <c r="Y571" t="s">
        <v>60</v>
      </c>
      <c r="Z571" t="s">
        <v>135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-99.36</v>
      </c>
      <c r="AN571" s="2">
        <v>-99.36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46062</v>
      </c>
      <c r="B572" t="s">
        <v>48</v>
      </c>
      <c r="C572">
        <v>649163</v>
      </c>
      <c r="D572">
        <v>2032474165</v>
      </c>
      <c r="E572" t="s">
        <v>979</v>
      </c>
      <c r="F572" t="s">
        <v>115</v>
      </c>
      <c r="G572" t="s">
        <v>51</v>
      </c>
      <c r="H572" t="s">
        <v>78</v>
      </c>
      <c r="I572" t="s">
        <v>130</v>
      </c>
      <c r="J572" t="s">
        <v>981</v>
      </c>
      <c r="K572">
        <v>651818</v>
      </c>
      <c r="L572" t="s">
        <v>80</v>
      </c>
      <c r="M572" t="s">
        <v>81</v>
      </c>
      <c r="N572" t="s">
        <v>144</v>
      </c>
      <c r="O572" s="1">
        <v>46023</v>
      </c>
      <c r="P572" s="1">
        <v>46055</v>
      </c>
      <c r="Q572" s="1">
        <v>46082</v>
      </c>
      <c r="R572" s="2">
        <v>-6.77</v>
      </c>
      <c r="S572">
        <v>1</v>
      </c>
      <c r="T572" t="s">
        <v>58</v>
      </c>
      <c r="U572" t="s">
        <v>149</v>
      </c>
      <c r="V572" s="3">
        <v>0.27</v>
      </c>
      <c r="W572" s="2">
        <v>0</v>
      </c>
      <c r="X572">
        <v>-1</v>
      </c>
      <c r="Y572" t="s">
        <v>60</v>
      </c>
      <c r="Z572" t="s">
        <v>135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-1.83</v>
      </c>
      <c r="AN572" s="2">
        <v>-1.83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46062</v>
      </c>
      <c r="B573" t="s">
        <v>48</v>
      </c>
      <c r="C573">
        <v>649163</v>
      </c>
      <c r="D573">
        <v>2032562019</v>
      </c>
      <c r="E573" t="s">
        <v>593</v>
      </c>
      <c r="F573" t="s">
        <v>512</v>
      </c>
      <c r="G573" t="s">
        <v>51</v>
      </c>
      <c r="H573" t="s">
        <v>140</v>
      </c>
      <c r="I573" t="s">
        <v>130</v>
      </c>
      <c r="J573" t="s">
        <v>141</v>
      </c>
      <c r="K573">
        <v>874230</v>
      </c>
      <c r="L573" t="s">
        <v>142</v>
      </c>
      <c r="M573" t="s">
        <v>143</v>
      </c>
      <c r="N573" t="s">
        <v>144</v>
      </c>
      <c r="O573" s="1">
        <v>46023</v>
      </c>
      <c r="P573" s="1">
        <v>46055</v>
      </c>
      <c r="Q573" s="1">
        <v>46082</v>
      </c>
      <c r="R573" s="2">
        <v>-345.43</v>
      </c>
      <c r="S573">
        <v>1</v>
      </c>
      <c r="T573" t="s">
        <v>58</v>
      </c>
      <c r="U573" t="s">
        <v>134</v>
      </c>
      <c r="V573" s="3">
        <v>0.19</v>
      </c>
      <c r="W573" s="2">
        <v>0</v>
      </c>
      <c r="X573">
        <v>-1</v>
      </c>
      <c r="Y573" t="s">
        <v>60</v>
      </c>
      <c r="Z573" t="s">
        <v>135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-65.63</v>
      </c>
      <c r="AN573" s="2">
        <v>-65.63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46062</v>
      </c>
      <c r="B574" t="s">
        <v>48</v>
      </c>
      <c r="C574">
        <v>649163</v>
      </c>
      <c r="D574">
        <v>2032570168</v>
      </c>
      <c r="E574" t="s">
        <v>594</v>
      </c>
      <c r="F574" t="s">
        <v>595</v>
      </c>
      <c r="G574" t="s">
        <v>51</v>
      </c>
      <c r="H574" t="s">
        <v>170</v>
      </c>
      <c r="I574" t="s">
        <v>130</v>
      </c>
      <c r="J574" t="s">
        <v>148</v>
      </c>
      <c r="K574">
        <v>767312</v>
      </c>
      <c r="L574" t="s">
        <v>310</v>
      </c>
      <c r="M574" t="s">
        <v>311</v>
      </c>
      <c r="N574" t="s">
        <v>57</v>
      </c>
      <c r="O574" s="1">
        <v>46001</v>
      </c>
      <c r="Q574" s="1">
        <v>46091</v>
      </c>
      <c r="R574" s="2">
        <v>236.66</v>
      </c>
      <c r="S574">
        <v>1</v>
      </c>
      <c r="T574" t="s">
        <v>58</v>
      </c>
      <c r="U574" t="s">
        <v>149</v>
      </c>
      <c r="V574" s="3">
        <v>0.28999999999999998</v>
      </c>
      <c r="W574" s="2">
        <v>0</v>
      </c>
      <c r="X574">
        <v>0</v>
      </c>
      <c r="Y574" t="s">
        <v>60</v>
      </c>
      <c r="Z574" t="s">
        <v>135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68.63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46062</v>
      </c>
      <c r="B575" t="s">
        <v>48</v>
      </c>
      <c r="C575">
        <v>649163</v>
      </c>
      <c r="D575">
        <v>2032570169</v>
      </c>
      <c r="E575" t="s">
        <v>594</v>
      </c>
      <c r="F575" t="s">
        <v>595</v>
      </c>
      <c r="G575" t="s">
        <v>51</v>
      </c>
      <c r="H575" t="s">
        <v>170</v>
      </c>
      <c r="I575" t="s">
        <v>130</v>
      </c>
      <c r="J575" t="s">
        <v>978</v>
      </c>
      <c r="K575">
        <v>767312</v>
      </c>
      <c r="L575" t="s">
        <v>310</v>
      </c>
      <c r="M575" t="s">
        <v>311</v>
      </c>
      <c r="N575" t="s">
        <v>57</v>
      </c>
      <c r="O575" s="1">
        <v>46001</v>
      </c>
      <c r="Q575" s="1">
        <v>46091</v>
      </c>
      <c r="R575" s="2">
        <v>9.9499999999999993</v>
      </c>
      <c r="S575">
        <v>1</v>
      </c>
      <c r="T575" t="s">
        <v>58</v>
      </c>
      <c r="U575" t="s">
        <v>149</v>
      </c>
      <c r="V575" s="3">
        <v>0.28999999999999998</v>
      </c>
      <c r="W575" s="2">
        <v>0</v>
      </c>
      <c r="X575">
        <v>0</v>
      </c>
      <c r="Y575" t="s">
        <v>60</v>
      </c>
      <c r="Z575" t="s">
        <v>135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2.89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46062</v>
      </c>
      <c r="B576" t="s">
        <v>48</v>
      </c>
      <c r="C576">
        <v>649163</v>
      </c>
      <c r="D576">
        <v>2032570170</v>
      </c>
      <c r="E576" t="s">
        <v>594</v>
      </c>
      <c r="F576" t="s">
        <v>595</v>
      </c>
      <c r="G576" t="s">
        <v>51</v>
      </c>
      <c r="H576" t="s">
        <v>170</v>
      </c>
      <c r="I576" t="s">
        <v>130</v>
      </c>
      <c r="J576" t="s">
        <v>978</v>
      </c>
      <c r="K576">
        <v>767312</v>
      </c>
      <c r="L576" t="s">
        <v>310</v>
      </c>
      <c r="M576" t="s">
        <v>311</v>
      </c>
      <c r="N576" t="s">
        <v>57</v>
      </c>
      <c r="O576" s="1">
        <v>46001</v>
      </c>
      <c r="Q576" s="1">
        <v>46091</v>
      </c>
      <c r="R576" s="2">
        <v>5</v>
      </c>
      <c r="S576">
        <v>1</v>
      </c>
      <c r="T576" t="s">
        <v>58</v>
      </c>
      <c r="U576" t="s">
        <v>149</v>
      </c>
      <c r="V576" s="3">
        <v>0.28999999999999998</v>
      </c>
      <c r="W576" s="2">
        <v>0</v>
      </c>
      <c r="X576">
        <v>0</v>
      </c>
      <c r="Y576" t="s">
        <v>60</v>
      </c>
      <c r="Z576" t="s">
        <v>135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1.45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46062</v>
      </c>
      <c r="B577" t="s">
        <v>48</v>
      </c>
      <c r="C577">
        <v>649163</v>
      </c>
      <c r="D577">
        <v>2032981348</v>
      </c>
      <c r="E577" t="s">
        <v>222</v>
      </c>
      <c r="F577" t="s">
        <v>610</v>
      </c>
      <c r="G577" t="s">
        <v>51</v>
      </c>
      <c r="H577" t="s">
        <v>392</v>
      </c>
      <c r="I577" t="s">
        <v>130</v>
      </c>
      <c r="J577" t="s">
        <v>404</v>
      </c>
      <c r="K577">
        <v>902625</v>
      </c>
      <c r="L577" t="s">
        <v>405</v>
      </c>
      <c r="M577" t="s">
        <v>406</v>
      </c>
      <c r="N577" t="s">
        <v>57</v>
      </c>
      <c r="O577" s="1">
        <v>46028</v>
      </c>
      <c r="Q577" s="1">
        <v>46087</v>
      </c>
      <c r="R577" s="2">
        <v>222.35</v>
      </c>
      <c r="S577">
        <v>1</v>
      </c>
      <c r="T577" t="s">
        <v>58</v>
      </c>
      <c r="U577" t="s">
        <v>612</v>
      </c>
      <c r="V577" s="3">
        <v>0.27</v>
      </c>
      <c r="W577" s="2">
        <v>0</v>
      </c>
      <c r="X577">
        <v>0</v>
      </c>
      <c r="Y577" t="s">
        <v>60</v>
      </c>
      <c r="Z577" t="s">
        <v>135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60.03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46062</v>
      </c>
      <c r="B578" t="s">
        <v>48</v>
      </c>
      <c r="C578">
        <v>649163</v>
      </c>
      <c r="D578">
        <v>2032981349</v>
      </c>
      <c r="E578" t="s">
        <v>222</v>
      </c>
      <c r="F578" t="s">
        <v>610</v>
      </c>
      <c r="G578" t="s">
        <v>51</v>
      </c>
      <c r="H578" t="s">
        <v>392</v>
      </c>
      <c r="I578" t="s">
        <v>130</v>
      </c>
      <c r="J578" t="s">
        <v>409</v>
      </c>
      <c r="K578">
        <v>902625</v>
      </c>
      <c r="L578" t="s">
        <v>405</v>
      </c>
      <c r="M578" t="s">
        <v>406</v>
      </c>
      <c r="N578" t="s">
        <v>57</v>
      </c>
      <c r="O578" s="1">
        <v>46028</v>
      </c>
      <c r="Q578" s="1">
        <v>46087</v>
      </c>
      <c r="R578" s="2">
        <v>9.9499999999999993</v>
      </c>
      <c r="S578">
        <v>1</v>
      </c>
      <c r="T578" t="s">
        <v>58</v>
      </c>
      <c r="U578" t="s">
        <v>612</v>
      </c>
      <c r="V578" s="3">
        <v>0.27</v>
      </c>
      <c r="W578" s="2">
        <v>0</v>
      </c>
      <c r="X578">
        <v>0</v>
      </c>
      <c r="Y578" t="s">
        <v>60</v>
      </c>
      <c r="Z578" t="s">
        <v>135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2.69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46062</v>
      </c>
      <c r="B579" t="s">
        <v>48</v>
      </c>
      <c r="C579">
        <v>649163</v>
      </c>
      <c r="D579">
        <v>2032981350</v>
      </c>
      <c r="E579" t="s">
        <v>222</v>
      </c>
      <c r="F579" t="s">
        <v>610</v>
      </c>
      <c r="G579" t="s">
        <v>51</v>
      </c>
      <c r="H579" t="s">
        <v>392</v>
      </c>
      <c r="I579" t="s">
        <v>130</v>
      </c>
      <c r="J579" t="s">
        <v>409</v>
      </c>
      <c r="K579">
        <v>902625</v>
      </c>
      <c r="L579" t="s">
        <v>405</v>
      </c>
      <c r="M579" t="s">
        <v>406</v>
      </c>
      <c r="N579" t="s">
        <v>57</v>
      </c>
      <c r="O579" s="1">
        <v>46028</v>
      </c>
      <c r="Q579" s="1">
        <v>46087</v>
      </c>
      <c r="R579" s="2">
        <v>5</v>
      </c>
      <c r="S579">
        <v>1</v>
      </c>
      <c r="T579" t="s">
        <v>58</v>
      </c>
      <c r="U579" t="s">
        <v>612</v>
      </c>
      <c r="V579" s="3">
        <v>0.27</v>
      </c>
      <c r="W579" s="2">
        <v>0</v>
      </c>
      <c r="X579">
        <v>0</v>
      </c>
      <c r="Y579" t="s">
        <v>60</v>
      </c>
      <c r="Z579" t="s">
        <v>135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1.35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46062</v>
      </c>
      <c r="B580" t="s">
        <v>48</v>
      </c>
      <c r="C580">
        <v>649163</v>
      </c>
      <c r="D580">
        <v>2032984684</v>
      </c>
      <c r="E580" t="s">
        <v>613</v>
      </c>
      <c r="F580" t="s">
        <v>614</v>
      </c>
      <c r="G580" t="s">
        <v>51</v>
      </c>
      <c r="H580" t="s">
        <v>140</v>
      </c>
      <c r="I580" t="s">
        <v>130</v>
      </c>
      <c r="J580" t="s">
        <v>141</v>
      </c>
      <c r="K580">
        <v>874230</v>
      </c>
      <c r="L580" t="s">
        <v>142</v>
      </c>
      <c r="M580" t="s">
        <v>143</v>
      </c>
      <c r="N580" t="s">
        <v>57</v>
      </c>
      <c r="O580" s="1">
        <v>46028</v>
      </c>
      <c r="Q580" s="1">
        <v>46087</v>
      </c>
      <c r="R580" s="2">
        <v>275.07</v>
      </c>
      <c r="S580">
        <v>1</v>
      </c>
      <c r="T580" t="s">
        <v>58</v>
      </c>
      <c r="U580" t="s">
        <v>149</v>
      </c>
      <c r="V580" s="3">
        <v>0.19</v>
      </c>
      <c r="W580" s="2">
        <v>0</v>
      </c>
      <c r="X580">
        <v>0</v>
      </c>
      <c r="Y580" t="s">
        <v>60</v>
      </c>
      <c r="Z580" t="s">
        <v>135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52.26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46062</v>
      </c>
      <c r="B581" t="s">
        <v>48</v>
      </c>
      <c r="C581">
        <v>649163</v>
      </c>
      <c r="D581">
        <v>2033011866</v>
      </c>
      <c r="E581" t="s">
        <v>615</v>
      </c>
      <c r="F581" t="s">
        <v>250</v>
      </c>
      <c r="G581" t="s">
        <v>51</v>
      </c>
      <c r="H581" t="s">
        <v>116</v>
      </c>
      <c r="I581" t="s">
        <v>130</v>
      </c>
      <c r="J581" t="s">
        <v>982</v>
      </c>
      <c r="K581">
        <v>877790</v>
      </c>
      <c r="L581" t="s">
        <v>132</v>
      </c>
      <c r="M581" t="s">
        <v>133</v>
      </c>
      <c r="N581" t="s">
        <v>57</v>
      </c>
      <c r="O581" s="1">
        <v>46029</v>
      </c>
      <c r="Q581" s="1">
        <v>46088</v>
      </c>
      <c r="R581" s="2">
        <v>195.4</v>
      </c>
      <c r="S581">
        <v>1</v>
      </c>
      <c r="T581" t="s">
        <v>58</v>
      </c>
      <c r="U581" t="s">
        <v>149</v>
      </c>
      <c r="V581" s="3">
        <v>0.19</v>
      </c>
      <c r="W581" s="2">
        <v>0</v>
      </c>
      <c r="X581">
        <v>0</v>
      </c>
      <c r="Y581" t="s">
        <v>60</v>
      </c>
      <c r="Z581" t="s">
        <v>135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37.130000000000003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46062</v>
      </c>
      <c r="B582" t="s">
        <v>48</v>
      </c>
      <c r="C582">
        <v>649163</v>
      </c>
      <c r="D582">
        <v>2033012321</v>
      </c>
      <c r="E582" t="s">
        <v>616</v>
      </c>
      <c r="F582" t="s">
        <v>617</v>
      </c>
      <c r="G582" t="s">
        <v>51</v>
      </c>
      <c r="H582" t="s">
        <v>170</v>
      </c>
      <c r="I582" t="s">
        <v>130</v>
      </c>
      <c r="J582" t="s">
        <v>976</v>
      </c>
      <c r="K582">
        <v>650218</v>
      </c>
      <c r="L582" t="s">
        <v>246</v>
      </c>
      <c r="M582" t="s">
        <v>195</v>
      </c>
      <c r="N582" t="s">
        <v>57</v>
      </c>
      <c r="O582" s="1">
        <v>46029</v>
      </c>
      <c r="Q582" s="1">
        <v>46088</v>
      </c>
      <c r="R582" s="2">
        <v>194.94</v>
      </c>
      <c r="S582">
        <v>1</v>
      </c>
      <c r="T582" t="s">
        <v>58</v>
      </c>
      <c r="U582" t="s">
        <v>134</v>
      </c>
      <c r="V582" s="3">
        <v>0.28999999999999998</v>
      </c>
      <c r="W582" s="2">
        <v>0</v>
      </c>
      <c r="X582">
        <v>0</v>
      </c>
      <c r="Y582" t="s">
        <v>60</v>
      </c>
      <c r="Z582" t="s">
        <v>135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56.53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46062</v>
      </c>
      <c r="B583" t="s">
        <v>48</v>
      </c>
      <c r="C583">
        <v>649163</v>
      </c>
      <c r="D583">
        <v>2033020562</v>
      </c>
      <c r="E583" t="s">
        <v>718</v>
      </c>
      <c r="F583" t="s">
        <v>555</v>
      </c>
      <c r="G583" t="s">
        <v>51</v>
      </c>
      <c r="H583" t="s">
        <v>392</v>
      </c>
      <c r="I583" t="s">
        <v>130</v>
      </c>
      <c r="J583" t="s">
        <v>404</v>
      </c>
      <c r="K583">
        <v>902625</v>
      </c>
      <c r="L583" t="s">
        <v>405</v>
      </c>
      <c r="M583" t="s">
        <v>406</v>
      </c>
      <c r="N583" t="s">
        <v>57</v>
      </c>
      <c r="O583" s="1">
        <v>46029</v>
      </c>
      <c r="Q583" s="1">
        <v>46088</v>
      </c>
      <c r="R583" s="2">
        <v>375.94</v>
      </c>
      <c r="S583">
        <v>1</v>
      </c>
      <c r="T583" t="s">
        <v>58</v>
      </c>
      <c r="U583" t="s">
        <v>612</v>
      </c>
      <c r="V583" s="3">
        <v>0.27</v>
      </c>
      <c r="W583" s="2">
        <v>0</v>
      </c>
      <c r="X583">
        <v>0</v>
      </c>
      <c r="Y583" t="s">
        <v>60</v>
      </c>
      <c r="Z583" t="s">
        <v>135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101.5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46062</v>
      </c>
      <c r="B584" t="s">
        <v>48</v>
      </c>
      <c r="C584">
        <v>649163</v>
      </c>
      <c r="D584">
        <v>2033020563</v>
      </c>
      <c r="E584" t="s">
        <v>718</v>
      </c>
      <c r="F584" t="s">
        <v>555</v>
      </c>
      <c r="G584" t="s">
        <v>51</v>
      </c>
      <c r="H584" t="s">
        <v>392</v>
      </c>
      <c r="I584" t="s">
        <v>130</v>
      </c>
      <c r="J584" t="s">
        <v>409</v>
      </c>
      <c r="K584">
        <v>902625</v>
      </c>
      <c r="L584" t="s">
        <v>405</v>
      </c>
      <c r="M584" t="s">
        <v>406</v>
      </c>
      <c r="N584" t="s">
        <v>57</v>
      </c>
      <c r="O584" s="1">
        <v>46029</v>
      </c>
      <c r="Q584" s="1">
        <v>46088</v>
      </c>
      <c r="R584" s="2">
        <v>9.9499999999999993</v>
      </c>
      <c r="S584">
        <v>1</v>
      </c>
      <c r="T584" t="s">
        <v>58</v>
      </c>
      <c r="U584" t="s">
        <v>612</v>
      </c>
      <c r="V584" s="3">
        <v>0.27</v>
      </c>
      <c r="W584" s="2">
        <v>0</v>
      </c>
      <c r="X584">
        <v>0</v>
      </c>
      <c r="Y584" t="s">
        <v>60</v>
      </c>
      <c r="Z584" t="s">
        <v>135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2.69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46062</v>
      </c>
      <c r="B585" t="s">
        <v>48</v>
      </c>
      <c r="C585">
        <v>649163</v>
      </c>
      <c r="D585">
        <v>2033020564</v>
      </c>
      <c r="E585" t="s">
        <v>718</v>
      </c>
      <c r="F585" t="s">
        <v>555</v>
      </c>
      <c r="G585" t="s">
        <v>51</v>
      </c>
      <c r="H585" t="s">
        <v>392</v>
      </c>
      <c r="I585" t="s">
        <v>130</v>
      </c>
      <c r="J585" t="s">
        <v>409</v>
      </c>
      <c r="K585">
        <v>902625</v>
      </c>
      <c r="L585" t="s">
        <v>405</v>
      </c>
      <c r="M585" t="s">
        <v>406</v>
      </c>
      <c r="N585" t="s">
        <v>57</v>
      </c>
      <c r="O585" s="1">
        <v>46029</v>
      </c>
      <c r="Q585" s="1">
        <v>46088</v>
      </c>
      <c r="R585" s="2">
        <v>5</v>
      </c>
      <c r="S585">
        <v>1</v>
      </c>
      <c r="T585" t="s">
        <v>58</v>
      </c>
      <c r="U585" t="s">
        <v>612</v>
      </c>
      <c r="V585" s="3">
        <v>0.27</v>
      </c>
      <c r="W585" s="2">
        <v>0</v>
      </c>
      <c r="X585">
        <v>0</v>
      </c>
      <c r="Y585" t="s">
        <v>60</v>
      </c>
      <c r="Z585" t="s">
        <v>135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1.35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46062</v>
      </c>
      <c r="B586" t="s">
        <v>48</v>
      </c>
      <c r="C586">
        <v>649163</v>
      </c>
      <c r="D586">
        <v>2027064141</v>
      </c>
      <c r="E586" t="s">
        <v>983</v>
      </c>
      <c r="F586" t="s">
        <v>180</v>
      </c>
      <c r="G586" t="s">
        <v>51</v>
      </c>
      <c r="H586" t="s">
        <v>209</v>
      </c>
      <c r="I586" t="s">
        <v>72</v>
      </c>
      <c r="J586" t="s">
        <v>79</v>
      </c>
      <c r="K586">
        <v>673059</v>
      </c>
      <c r="L586" t="s">
        <v>162</v>
      </c>
      <c r="M586" t="s">
        <v>180</v>
      </c>
      <c r="N586" t="s">
        <v>57</v>
      </c>
      <c r="O586" s="1">
        <v>45700</v>
      </c>
      <c r="Q586" s="1">
        <v>46093</v>
      </c>
      <c r="R586" s="2">
        <v>94.38</v>
      </c>
      <c r="S586">
        <v>1</v>
      </c>
      <c r="T586" t="s">
        <v>58</v>
      </c>
      <c r="U586" t="s">
        <v>156</v>
      </c>
      <c r="V586" s="3">
        <v>0.1</v>
      </c>
      <c r="W586" s="2">
        <v>0</v>
      </c>
      <c r="X586">
        <v>0</v>
      </c>
      <c r="Y586" t="s">
        <v>157</v>
      </c>
      <c r="Z586" t="s">
        <v>135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9.44</v>
      </c>
      <c r="AN586" s="2">
        <v>9.44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46062</v>
      </c>
      <c r="B587" t="s">
        <v>48</v>
      </c>
      <c r="C587">
        <v>649163</v>
      </c>
      <c r="D587">
        <v>2027235546</v>
      </c>
      <c r="E587" t="s">
        <v>911</v>
      </c>
      <c r="F587" t="s">
        <v>984</v>
      </c>
      <c r="G587" t="s">
        <v>51</v>
      </c>
      <c r="H587" t="s">
        <v>353</v>
      </c>
      <c r="I587" t="s">
        <v>72</v>
      </c>
      <c r="J587" t="s">
        <v>79</v>
      </c>
      <c r="K587">
        <v>651818</v>
      </c>
      <c r="L587" t="s">
        <v>80</v>
      </c>
      <c r="M587" t="s">
        <v>81</v>
      </c>
      <c r="N587" t="s">
        <v>57</v>
      </c>
      <c r="O587" s="1">
        <v>45723</v>
      </c>
      <c r="Q587" s="1">
        <v>46088</v>
      </c>
      <c r="R587" s="2">
        <v>107.07</v>
      </c>
      <c r="S587">
        <v>1</v>
      </c>
      <c r="T587" t="s">
        <v>58</v>
      </c>
      <c r="U587" t="s">
        <v>156</v>
      </c>
      <c r="V587" s="3">
        <v>0.75</v>
      </c>
      <c r="W587" s="2">
        <v>0</v>
      </c>
      <c r="X587">
        <v>0</v>
      </c>
      <c r="Y587" t="s">
        <v>60</v>
      </c>
      <c r="Z587" t="s">
        <v>135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80.3</v>
      </c>
      <c r="AN587" s="2">
        <v>80.3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46062</v>
      </c>
      <c r="B588" t="s">
        <v>48</v>
      </c>
      <c r="C588">
        <v>649163</v>
      </c>
      <c r="D588">
        <v>2027298069</v>
      </c>
      <c r="E588" t="s">
        <v>985</v>
      </c>
      <c r="F588" t="s">
        <v>986</v>
      </c>
      <c r="G588" t="s">
        <v>51</v>
      </c>
      <c r="H588" t="s">
        <v>112</v>
      </c>
      <c r="I588" t="s">
        <v>72</v>
      </c>
      <c r="J588" t="s">
        <v>79</v>
      </c>
      <c r="K588">
        <v>651818</v>
      </c>
      <c r="L588" t="s">
        <v>80</v>
      </c>
      <c r="M588" t="s">
        <v>81</v>
      </c>
      <c r="N588" t="s">
        <v>57</v>
      </c>
      <c r="O588" s="1">
        <v>45723</v>
      </c>
      <c r="Q588" s="1">
        <v>46088</v>
      </c>
      <c r="R588" s="2">
        <v>45.28</v>
      </c>
      <c r="S588">
        <v>1</v>
      </c>
      <c r="T588" t="s">
        <v>58</v>
      </c>
      <c r="U588" t="s">
        <v>156</v>
      </c>
      <c r="V588" s="3">
        <v>0.75</v>
      </c>
      <c r="W588" s="2">
        <v>0</v>
      </c>
      <c r="X588">
        <v>0</v>
      </c>
      <c r="Y588" t="s">
        <v>60</v>
      </c>
      <c r="Z588" t="s">
        <v>135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33.96</v>
      </c>
      <c r="AN588" s="2">
        <v>33.96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46062</v>
      </c>
      <c r="B589" t="s">
        <v>48</v>
      </c>
      <c r="C589">
        <v>649163</v>
      </c>
      <c r="D589">
        <v>2027361177</v>
      </c>
      <c r="E589" t="s">
        <v>987</v>
      </c>
      <c r="F589" t="s">
        <v>988</v>
      </c>
      <c r="G589" t="s">
        <v>51</v>
      </c>
      <c r="H589" t="s">
        <v>78</v>
      </c>
      <c r="I589" t="s">
        <v>72</v>
      </c>
      <c r="J589" t="s">
        <v>79</v>
      </c>
      <c r="K589">
        <v>651818</v>
      </c>
      <c r="L589" t="s">
        <v>80</v>
      </c>
      <c r="M589" t="s">
        <v>81</v>
      </c>
      <c r="N589" t="s">
        <v>57</v>
      </c>
      <c r="O589" s="1">
        <v>45754</v>
      </c>
      <c r="Q589" s="1">
        <v>46088</v>
      </c>
      <c r="R589" s="2">
        <v>202.87</v>
      </c>
      <c r="S589">
        <v>1</v>
      </c>
      <c r="T589" t="s">
        <v>58</v>
      </c>
      <c r="U589" t="s">
        <v>156</v>
      </c>
      <c r="V589" s="3">
        <v>0.75</v>
      </c>
      <c r="W589" s="2">
        <v>0</v>
      </c>
      <c r="X589">
        <v>0</v>
      </c>
      <c r="Y589" t="s">
        <v>60</v>
      </c>
      <c r="Z589" t="s">
        <v>135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152.15</v>
      </c>
      <c r="AN589" s="2">
        <v>152.15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46062</v>
      </c>
      <c r="B590" t="s">
        <v>48</v>
      </c>
      <c r="C590">
        <v>649163</v>
      </c>
      <c r="D590">
        <v>2027429540</v>
      </c>
      <c r="E590" t="s">
        <v>989</v>
      </c>
      <c r="F590" t="s">
        <v>529</v>
      </c>
      <c r="G590" t="s">
        <v>51</v>
      </c>
      <c r="H590" t="s">
        <v>112</v>
      </c>
      <c r="I590" t="s">
        <v>72</v>
      </c>
      <c r="J590" t="s">
        <v>79</v>
      </c>
      <c r="K590">
        <v>651818</v>
      </c>
      <c r="L590" t="s">
        <v>80</v>
      </c>
      <c r="M590" t="s">
        <v>81</v>
      </c>
      <c r="N590" t="s">
        <v>57</v>
      </c>
      <c r="O590" s="1">
        <v>45723</v>
      </c>
      <c r="Q590" s="1">
        <v>46088</v>
      </c>
      <c r="R590" s="2">
        <v>161.83000000000001</v>
      </c>
      <c r="S590">
        <v>1</v>
      </c>
      <c r="T590" t="s">
        <v>58</v>
      </c>
      <c r="U590" t="s">
        <v>156</v>
      </c>
      <c r="V590" s="3">
        <v>0.75</v>
      </c>
      <c r="W590" s="2">
        <v>0</v>
      </c>
      <c r="X590">
        <v>0</v>
      </c>
      <c r="Y590" t="s">
        <v>60</v>
      </c>
      <c r="Z590" t="s">
        <v>135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121.37</v>
      </c>
      <c r="AN590" s="2">
        <v>121.37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46062</v>
      </c>
      <c r="B591" t="s">
        <v>48</v>
      </c>
      <c r="C591">
        <v>649163</v>
      </c>
      <c r="D591">
        <v>2027482814</v>
      </c>
      <c r="E591" t="s">
        <v>444</v>
      </c>
      <c r="F591" t="s">
        <v>298</v>
      </c>
      <c r="G591" t="s">
        <v>51</v>
      </c>
      <c r="H591" t="s">
        <v>112</v>
      </c>
      <c r="I591" t="s">
        <v>72</v>
      </c>
      <c r="J591" t="s">
        <v>79</v>
      </c>
      <c r="K591">
        <v>651818</v>
      </c>
      <c r="L591" t="s">
        <v>80</v>
      </c>
      <c r="M591" t="s">
        <v>81</v>
      </c>
      <c r="N591" t="s">
        <v>57</v>
      </c>
      <c r="O591" s="1">
        <v>45723</v>
      </c>
      <c r="Q591" s="1">
        <v>46088</v>
      </c>
      <c r="R591" s="2">
        <v>28.75</v>
      </c>
      <c r="S591">
        <v>1</v>
      </c>
      <c r="T591" t="s">
        <v>58</v>
      </c>
      <c r="U591" t="s">
        <v>156</v>
      </c>
      <c r="V591" s="3">
        <v>0.75</v>
      </c>
      <c r="W591" s="2">
        <v>0</v>
      </c>
      <c r="X591">
        <v>0</v>
      </c>
      <c r="Y591" t="s">
        <v>60</v>
      </c>
      <c r="Z591" t="s">
        <v>135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21.56</v>
      </c>
      <c r="AN591" s="2">
        <v>21.56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46062</v>
      </c>
      <c r="B592" t="s">
        <v>48</v>
      </c>
      <c r="C592">
        <v>649163</v>
      </c>
      <c r="D592">
        <v>2027501754</v>
      </c>
      <c r="E592" t="s">
        <v>990</v>
      </c>
      <c r="F592" t="s">
        <v>991</v>
      </c>
      <c r="G592" t="s">
        <v>51</v>
      </c>
      <c r="H592" t="s">
        <v>392</v>
      </c>
      <c r="I592" t="s">
        <v>72</v>
      </c>
      <c r="J592" t="s">
        <v>93</v>
      </c>
      <c r="K592">
        <v>652037</v>
      </c>
      <c r="L592" t="s">
        <v>171</v>
      </c>
      <c r="M592" t="s">
        <v>172</v>
      </c>
      <c r="N592" t="s">
        <v>57</v>
      </c>
      <c r="O592" s="1">
        <v>45718</v>
      </c>
      <c r="Q592" s="1">
        <v>46083</v>
      </c>
      <c r="R592" s="2">
        <v>38.07</v>
      </c>
      <c r="S592">
        <v>1</v>
      </c>
      <c r="T592" t="s">
        <v>58</v>
      </c>
      <c r="U592" t="s">
        <v>156</v>
      </c>
      <c r="V592" s="3">
        <v>0.9</v>
      </c>
      <c r="W592" s="2">
        <v>0</v>
      </c>
      <c r="X592">
        <v>0</v>
      </c>
      <c r="Y592" t="s">
        <v>60</v>
      </c>
      <c r="Z592" t="s">
        <v>135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34.26</v>
      </c>
      <c r="AN592" s="2">
        <v>34.26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46062</v>
      </c>
      <c r="B593" t="s">
        <v>48</v>
      </c>
      <c r="C593">
        <v>649163</v>
      </c>
      <c r="D593">
        <v>2027642345</v>
      </c>
      <c r="E593" t="s">
        <v>992</v>
      </c>
      <c r="F593" t="s">
        <v>370</v>
      </c>
      <c r="G593" t="s">
        <v>51</v>
      </c>
      <c r="H593" t="s">
        <v>780</v>
      </c>
      <c r="I593" t="s">
        <v>72</v>
      </c>
      <c r="J593" t="s">
        <v>93</v>
      </c>
      <c r="K593">
        <v>651818</v>
      </c>
      <c r="L593" t="s">
        <v>80</v>
      </c>
      <c r="M593" t="s">
        <v>81</v>
      </c>
      <c r="N593" t="s">
        <v>57</v>
      </c>
      <c r="O593" s="1">
        <v>45754</v>
      </c>
      <c r="Q593" s="1">
        <v>46088</v>
      </c>
      <c r="R593" s="2">
        <v>119.92</v>
      </c>
      <c r="S593">
        <v>1</v>
      </c>
      <c r="T593" t="s">
        <v>58</v>
      </c>
      <c r="U593" t="s">
        <v>156</v>
      </c>
      <c r="V593" s="3">
        <v>0.9</v>
      </c>
      <c r="W593" s="2">
        <v>0</v>
      </c>
      <c r="X593">
        <v>0</v>
      </c>
      <c r="Y593" t="s">
        <v>60</v>
      </c>
      <c r="Z593" t="s">
        <v>135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107.93</v>
      </c>
      <c r="AN593" s="2">
        <v>107.93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46062</v>
      </c>
      <c r="B594" t="s">
        <v>48</v>
      </c>
      <c r="C594">
        <v>649163</v>
      </c>
      <c r="D594">
        <v>2027859845</v>
      </c>
      <c r="E594" t="s">
        <v>993</v>
      </c>
      <c r="F594" t="s">
        <v>590</v>
      </c>
      <c r="G594" t="s">
        <v>51</v>
      </c>
      <c r="H594" t="s">
        <v>84</v>
      </c>
      <c r="I594" t="s">
        <v>72</v>
      </c>
      <c r="J594" t="s">
        <v>79</v>
      </c>
      <c r="K594">
        <v>651818</v>
      </c>
      <c r="L594" t="s">
        <v>80</v>
      </c>
      <c r="M594" t="s">
        <v>81</v>
      </c>
      <c r="N594" t="s">
        <v>57</v>
      </c>
      <c r="O594" s="1">
        <v>45754</v>
      </c>
      <c r="Q594" s="1">
        <v>46088</v>
      </c>
      <c r="R594" s="2">
        <v>154.30000000000001</v>
      </c>
      <c r="S594">
        <v>1</v>
      </c>
      <c r="T594" t="s">
        <v>58</v>
      </c>
      <c r="U594" t="s">
        <v>156</v>
      </c>
      <c r="V594" s="3">
        <v>0.75</v>
      </c>
      <c r="W594" s="2">
        <v>0</v>
      </c>
      <c r="X594">
        <v>0</v>
      </c>
      <c r="Y594" t="s">
        <v>60</v>
      </c>
      <c r="Z594" t="s">
        <v>135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115.72</v>
      </c>
      <c r="AN594" s="2">
        <v>115.72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46062</v>
      </c>
      <c r="B595" t="s">
        <v>48</v>
      </c>
      <c r="C595">
        <v>649163</v>
      </c>
      <c r="D595">
        <v>2027863478</v>
      </c>
      <c r="E595" t="s">
        <v>993</v>
      </c>
      <c r="F595" t="s">
        <v>994</v>
      </c>
      <c r="G595" t="s">
        <v>51</v>
      </c>
      <c r="H595" t="s">
        <v>84</v>
      </c>
      <c r="I595" t="s">
        <v>72</v>
      </c>
      <c r="J595" t="s">
        <v>79</v>
      </c>
      <c r="K595">
        <v>651818</v>
      </c>
      <c r="L595" t="s">
        <v>80</v>
      </c>
      <c r="M595" t="s">
        <v>81</v>
      </c>
      <c r="N595" t="s">
        <v>57</v>
      </c>
      <c r="O595" s="1">
        <v>45754</v>
      </c>
      <c r="Q595" s="1">
        <v>46088</v>
      </c>
      <c r="R595" s="2">
        <v>25</v>
      </c>
      <c r="S595">
        <v>1</v>
      </c>
      <c r="T595" t="s">
        <v>58</v>
      </c>
      <c r="U595" t="s">
        <v>156</v>
      </c>
      <c r="V595" s="3">
        <v>0.75</v>
      </c>
      <c r="W595" s="2">
        <v>0</v>
      </c>
      <c r="X595">
        <v>0</v>
      </c>
      <c r="Y595" t="s">
        <v>60</v>
      </c>
      <c r="Z595" t="s">
        <v>135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18.75</v>
      </c>
      <c r="AN595" s="2">
        <v>18.75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46062</v>
      </c>
      <c r="B596" t="s">
        <v>48</v>
      </c>
      <c r="C596">
        <v>649163</v>
      </c>
      <c r="D596">
        <v>2027887270</v>
      </c>
      <c r="E596" t="s">
        <v>995</v>
      </c>
      <c r="F596" t="s">
        <v>180</v>
      </c>
      <c r="G596" t="s">
        <v>51</v>
      </c>
      <c r="H596" t="s">
        <v>84</v>
      </c>
      <c r="I596" t="s">
        <v>72</v>
      </c>
      <c r="J596" t="s">
        <v>79</v>
      </c>
      <c r="K596">
        <v>651818</v>
      </c>
      <c r="L596" t="s">
        <v>80</v>
      </c>
      <c r="M596" t="s">
        <v>81</v>
      </c>
      <c r="N596" t="s">
        <v>57</v>
      </c>
      <c r="O596" s="1">
        <v>45754</v>
      </c>
      <c r="Q596" s="1">
        <v>46088</v>
      </c>
      <c r="R596" s="2">
        <v>88.8</v>
      </c>
      <c r="S596">
        <v>1</v>
      </c>
      <c r="T596" t="s">
        <v>58</v>
      </c>
      <c r="U596" t="s">
        <v>156</v>
      </c>
      <c r="V596" s="3">
        <v>0.75</v>
      </c>
      <c r="W596" s="2">
        <v>0</v>
      </c>
      <c r="X596">
        <v>0</v>
      </c>
      <c r="Y596" t="s">
        <v>60</v>
      </c>
      <c r="Z596" t="s">
        <v>135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66.599999999999994</v>
      </c>
      <c r="AN596" s="2">
        <v>66.599999999999994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46062</v>
      </c>
      <c r="B597" t="s">
        <v>48</v>
      </c>
      <c r="C597">
        <v>649163</v>
      </c>
      <c r="D597">
        <v>2028108470</v>
      </c>
      <c r="E597" t="s">
        <v>996</v>
      </c>
      <c r="F597" t="s">
        <v>997</v>
      </c>
      <c r="G597" t="s">
        <v>51</v>
      </c>
      <c r="H597" t="s">
        <v>66</v>
      </c>
      <c r="I597" t="s">
        <v>72</v>
      </c>
      <c r="J597" t="s">
        <v>79</v>
      </c>
      <c r="K597">
        <v>651818</v>
      </c>
      <c r="L597" t="s">
        <v>80</v>
      </c>
      <c r="M597" t="s">
        <v>81</v>
      </c>
      <c r="N597" t="s">
        <v>57</v>
      </c>
      <c r="O597" s="1">
        <v>45754</v>
      </c>
      <c r="Q597" s="1">
        <v>46088</v>
      </c>
      <c r="R597" s="2">
        <v>104.83</v>
      </c>
      <c r="S597">
        <v>1</v>
      </c>
      <c r="T597" t="s">
        <v>58</v>
      </c>
      <c r="U597" t="s">
        <v>156</v>
      </c>
      <c r="V597" s="3">
        <v>0.75</v>
      </c>
      <c r="W597" s="2">
        <v>0</v>
      </c>
      <c r="X597">
        <v>0</v>
      </c>
      <c r="Y597" t="s">
        <v>60</v>
      </c>
      <c r="Z597" t="s">
        <v>135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78.62</v>
      </c>
      <c r="AN597" s="2">
        <v>78.62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46062</v>
      </c>
      <c r="B598" t="s">
        <v>48</v>
      </c>
      <c r="C598">
        <v>649163</v>
      </c>
      <c r="D598">
        <v>2028248980</v>
      </c>
      <c r="E598" t="s">
        <v>998</v>
      </c>
      <c r="F598" t="s">
        <v>999</v>
      </c>
      <c r="G598" t="s">
        <v>51</v>
      </c>
      <c r="H598" t="s">
        <v>971</v>
      </c>
      <c r="I598" t="s">
        <v>72</v>
      </c>
      <c r="J598" t="s">
        <v>79</v>
      </c>
      <c r="K598">
        <v>651818</v>
      </c>
      <c r="L598" t="s">
        <v>80</v>
      </c>
      <c r="M598" t="s">
        <v>81</v>
      </c>
      <c r="N598" t="s">
        <v>57</v>
      </c>
      <c r="O598" s="1">
        <v>45784</v>
      </c>
      <c r="Q598" s="1">
        <v>46088</v>
      </c>
      <c r="R598" s="2">
        <v>316.83</v>
      </c>
      <c r="S598">
        <v>1</v>
      </c>
      <c r="T598" t="s">
        <v>58</v>
      </c>
      <c r="U598" t="s">
        <v>156</v>
      </c>
      <c r="V598" s="3">
        <v>0.75</v>
      </c>
      <c r="W598" s="2">
        <v>0</v>
      </c>
      <c r="X598">
        <v>0</v>
      </c>
      <c r="Y598" t="s">
        <v>60</v>
      </c>
      <c r="Z598" t="s">
        <v>135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237.62</v>
      </c>
      <c r="AN598" s="2">
        <v>237.62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46062</v>
      </c>
      <c r="B599" t="s">
        <v>48</v>
      </c>
      <c r="C599">
        <v>649163</v>
      </c>
      <c r="D599">
        <v>2028315761</v>
      </c>
      <c r="E599" t="s">
        <v>1000</v>
      </c>
      <c r="F599" t="s">
        <v>545</v>
      </c>
      <c r="G599" t="s">
        <v>51</v>
      </c>
      <c r="H599" t="s">
        <v>116</v>
      </c>
      <c r="I599" t="s">
        <v>72</v>
      </c>
      <c r="J599" t="s">
        <v>93</v>
      </c>
      <c r="K599">
        <v>673059</v>
      </c>
      <c r="L599" t="s">
        <v>162</v>
      </c>
      <c r="M599" t="s">
        <v>180</v>
      </c>
      <c r="N599" t="s">
        <v>144</v>
      </c>
      <c r="O599" s="1">
        <v>45778</v>
      </c>
      <c r="P599" s="1">
        <v>46055</v>
      </c>
      <c r="Q599" s="1">
        <v>46082</v>
      </c>
      <c r="R599" s="2">
        <v>-152.54</v>
      </c>
      <c r="S599">
        <v>1</v>
      </c>
      <c r="T599" t="s">
        <v>58</v>
      </c>
      <c r="U599" t="s">
        <v>156</v>
      </c>
      <c r="V599" s="3">
        <v>0.9</v>
      </c>
      <c r="W599" s="2">
        <v>0</v>
      </c>
      <c r="X599">
        <v>-1</v>
      </c>
      <c r="Y599" t="s">
        <v>60</v>
      </c>
      <c r="Z599" t="s">
        <v>135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-137.29</v>
      </c>
      <c r="AN599" s="2">
        <v>-137.29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46062</v>
      </c>
      <c r="B600" t="s">
        <v>48</v>
      </c>
      <c r="C600">
        <v>649163</v>
      </c>
      <c r="D600">
        <v>2028367117</v>
      </c>
      <c r="E600" t="s">
        <v>708</v>
      </c>
      <c r="F600" t="s">
        <v>709</v>
      </c>
      <c r="G600" t="s">
        <v>51</v>
      </c>
      <c r="H600" t="s">
        <v>397</v>
      </c>
      <c r="I600" t="s">
        <v>72</v>
      </c>
      <c r="J600" t="s">
        <v>93</v>
      </c>
      <c r="K600">
        <v>673059</v>
      </c>
      <c r="L600" t="s">
        <v>162</v>
      </c>
      <c r="M600" t="s">
        <v>180</v>
      </c>
      <c r="N600" t="s">
        <v>57</v>
      </c>
      <c r="O600" s="1">
        <v>45759</v>
      </c>
      <c r="Q600" s="1">
        <v>46093</v>
      </c>
      <c r="R600" s="2">
        <v>27.71</v>
      </c>
      <c r="S600">
        <v>1</v>
      </c>
      <c r="T600" t="s">
        <v>58</v>
      </c>
      <c r="U600" t="s">
        <v>156</v>
      </c>
      <c r="V600" s="3">
        <v>0.9</v>
      </c>
      <c r="W600" s="2">
        <v>0</v>
      </c>
      <c r="X600">
        <v>0</v>
      </c>
      <c r="Y600" t="s">
        <v>60</v>
      </c>
      <c r="Z600" t="s">
        <v>135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24.94</v>
      </c>
      <c r="AN600" s="2">
        <v>24.94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46062</v>
      </c>
      <c r="B601" t="s">
        <v>48</v>
      </c>
      <c r="C601">
        <v>649163</v>
      </c>
      <c r="D601">
        <v>2028379894</v>
      </c>
      <c r="E601" t="s">
        <v>710</v>
      </c>
      <c r="F601" t="s">
        <v>711</v>
      </c>
      <c r="G601" t="s">
        <v>51</v>
      </c>
      <c r="H601" t="s">
        <v>90</v>
      </c>
      <c r="I601" t="s">
        <v>72</v>
      </c>
      <c r="J601" t="s">
        <v>79</v>
      </c>
      <c r="K601">
        <v>822865</v>
      </c>
      <c r="L601" t="s">
        <v>691</v>
      </c>
      <c r="M601" t="s">
        <v>692</v>
      </c>
      <c r="N601" t="s">
        <v>57</v>
      </c>
      <c r="O601" s="1">
        <v>45760</v>
      </c>
      <c r="Q601" s="1">
        <v>46094</v>
      </c>
      <c r="R601" s="2">
        <v>81.099999999999994</v>
      </c>
      <c r="S601">
        <v>1</v>
      </c>
      <c r="T601" t="s">
        <v>58</v>
      </c>
      <c r="U601" t="s">
        <v>156</v>
      </c>
      <c r="V601" s="3">
        <v>0.75</v>
      </c>
      <c r="W601" s="2">
        <v>0</v>
      </c>
      <c r="X601">
        <v>0</v>
      </c>
      <c r="Y601" t="s">
        <v>60</v>
      </c>
      <c r="Z601" t="s">
        <v>135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60.82</v>
      </c>
      <c r="AN601" s="2">
        <v>60.82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46062</v>
      </c>
      <c r="B602" t="s">
        <v>48</v>
      </c>
      <c r="C602">
        <v>649163</v>
      </c>
      <c r="D602">
        <v>2028412598</v>
      </c>
      <c r="E602" t="s">
        <v>1001</v>
      </c>
      <c r="F602" t="s">
        <v>492</v>
      </c>
      <c r="G602" t="s">
        <v>51</v>
      </c>
      <c r="H602" t="s">
        <v>66</v>
      </c>
      <c r="I602" t="s">
        <v>72</v>
      </c>
      <c r="J602" t="s">
        <v>79</v>
      </c>
      <c r="K602">
        <v>651818</v>
      </c>
      <c r="L602" t="s">
        <v>80</v>
      </c>
      <c r="M602" t="s">
        <v>81</v>
      </c>
      <c r="N602" t="s">
        <v>57</v>
      </c>
      <c r="O602" s="1">
        <v>45784</v>
      </c>
      <c r="Q602" s="1">
        <v>46088</v>
      </c>
      <c r="R602" s="2">
        <v>125.83</v>
      </c>
      <c r="S602">
        <v>1</v>
      </c>
      <c r="T602" t="s">
        <v>58</v>
      </c>
      <c r="U602" t="s">
        <v>156</v>
      </c>
      <c r="V602" s="3">
        <v>0.75</v>
      </c>
      <c r="W602" s="2">
        <v>0</v>
      </c>
      <c r="X602">
        <v>0</v>
      </c>
      <c r="Y602" t="s">
        <v>60</v>
      </c>
      <c r="Z602" t="s">
        <v>135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94.37</v>
      </c>
      <c r="AN602" s="2">
        <v>94.37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46062</v>
      </c>
      <c r="B603" t="s">
        <v>48</v>
      </c>
      <c r="C603">
        <v>649163</v>
      </c>
      <c r="D603">
        <v>2028427595</v>
      </c>
      <c r="E603" t="s">
        <v>1002</v>
      </c>
      <c r="F603" t="s">
        <v>501</v>
      </c>
      <c r="G603" t="s">
        <v>51</v>
      </c>
      <c r="H603" t="s">
        <v>116</v>
      </c>
      <c r="I603" t="s">
        <v>72</v>
      </c>
      <c r="J603" t="s">
        <v>93</v>
      </c>
      <c r="K603">
        <v>753748</v>
      </c>
      <c r="L603" t="s">
        <v>74</v>
      </c>
      <c r="M603" t="s">
        <v>75</v>
      </c>
      <c r="N603" t="s">
        <v>144</v>
      </c>
      <c r="O603" s="1">
        <v>45778</v>
      </c>
      <c r="P603" s="1">
        <v>46055</v>
      </c>
      <c r="Q603" s="1">
        <v>46082</v>
      </c>
      <c r="R603" s="2">
        <v>-62.62</v>
      </c>
      <c r="S603">
        <v>1</v>
      </c>
      <c r="T603" t="s">
        <v>58</v>
      </c>
      <c r="U603" t="s">
        <v>156</v>
      </c>
      <c r="V603" s="3">
        <v>0.9</v>
      </c>
      <c r="W603" s="2">
        <v>0</v>
      </c>
      <c r="X603">
        <v>-1</v>
      </c>
      <c r="Y603" t="s">
        <v>60</v>
      </c>
      <c r="Z603" t="s">
        <v>135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-56.36</v>
      </c>
      <c r="AN603" s="2">
        <v>-56.36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46062</v>
      </c>
      <c r="B604" t="s">
        <v>48</v>
      </c>
      <c r="C604">
        <v>649163</v>
      </c>
      <c r="D604">
        <v>2028520984</v>
      </c>
      <c r="E604" t="s">
        <v>531</v>
      </c>
      <c r="F604" t="s">
        <v>712</v>
      </c>
      <c r="G604" t="s">
        <v>51</v>
      </c>
      <c r="H604" t="s">
        <v>66</v>
      </c>
      <c r="I604" t="s">
        <v>72</v>
      </c>
      <c r="J604" t="s">
        <v>93</v>
      </c>
      <c r="K604">
        <v>824062</v>
      </c>
      <c r="L604" t="s">
        <v>569</v>
      </c>
      <c r="M604" t="s">
        <v>570</v>
      </c>
      <c r="N604" t="s">
        <v>144</v>
      </c>
      <c r="O604" s="1">
        <v>45778</v>
      </c>
      <c r="P604" s="1">
        <v>46062</v>
      </c>
      <c r="Q604" s="1">
        <v>46082</v>
      </c>
      <c r="R604" s="2">
        <v>-63.31</v>
      </c>
      <c r="S604">
        <v>1</v>
      </c>
      <c r="T604" t="s">
        <v>58</v>
      </c>
      <c r="U604" t="s">
        <v>156</v>
      </c>
      <c r="V604" s="3">
        <v>0.9</v>
      </c>
      <c r="W604" s="2">
        <v>0</v>
      </c>
      <c r="X604">
        <v>-1</v>
      </c>
      <c r="Y604" t="s">
        <v>60</v>
      </c>
      <c r="Z604" t="s">
        <v>135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-56.98</v>
      </c>
      <c r="AN604" s="2">
        <v>-56.98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46062</v>
      </c>
      <c r="B605" t="s">
        <v>48</v>
      </c>
      <c r="C605">
        <v>649163</v>
      </c>
      <c r="D605">
        <v>2028549155</v>
      </c>
      <c r="E605" t="s">
        <v>995</v>
      </c>
      <c r="F605" t="s">
        <v>709</v>
      </c>
      <c r="G605" t="s">
        <v>51</v>
      </c>
      <c r="H605" t="s">
        <v>84</v>
      </c>
      <c r="I605" t="s">
        <v>72</v>
      </c>
      <c r="J605" t="s">
        <v>79</v>
      </c>
      <c r="K605">
        <v>651818</v>
      </c>
      <c r="L605" t="s">
        <v>80</v>
      </c>
      <c r="M605" t="s">
        <v>81</v>
      </c>
      <c r="N605" t="s">
        <v>57</v>
      </c>
      <c r="O605" s="1">
        <v>45784</v>
      </c>
      <c r="Q605" s="1">
        <v>46088</v>
      </c>
      <c r="R605" s="2">
        <v>31.75</v>
      </c>
      <c r="S605">
        <v>1</v>
      </c>
      <c r="T605" t="s">
        <v>58</v>
      </c>
      <c r="U605" t="s">
        <v>156</v>
      </c>
      <c r="V605" s="3">
        <v>0.75</v>
      </c>
      <c r="W605" s="2">
        <v>0</v>
      </c>
      <c r="X605">
        <v>0</v>
      </c>
      <c r="Y605" t="s">
        <v>60</v>
      </c>
      <c r="Z605" t="s">
        <v>135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23.81</v>
      </c>
      <c r="AN605" s="2">
        <v>23.81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46062</v>
      </c>
      <c r="B606" t="s">
        <v>48</v>
      </c>
      <c r="C606">
        <v>649163</v>
      </c>
      <c r="D606">
        <v>2028692689</v>
      </c>
      <c r="E606" t="s">
        <v>1003</v>
      </c>
      <c r="F606" t="s">
        <v>537</v>
      </c>
      <c r="G606" t="s">
        <v>51</v>
      </c>
      <c r="H606" t="s">
        <v>84</v>
      </c>
      <c r="I606" t="s">
        <v>72</v>
      </c>
      <c r="J606" t="s">
        <v>79</v>
      </c>
      <c r="K606">
        <v>651818</v>
      </c>
      <c r="L606" t="s">
        <v>80</v>
      </c>
      <c r="M606" t="s">
        <v>81</v>
      </c>
      <c r="N606" t="s">
        <v>57</v>
      </c>
      <c r="O606" s="1">
        <v>45784</v>
      </c>
      <c r="Q606" s="1">
        <v>46088</v>
      </c>
      <c r="R606" s="2">
        <v>72.38</v>
      </c>
      <c r="S606">
        <v>1</v>
      </c>
      <c r="T606" t="s">
        <v>58</v>
      </c>
      <c r="U606" t="s">
        <v>156</v>
      </c>
      <c r="V606" s="3">
        <v>0.75</v>
      </c>
      <c r="W606" s="2">
        <v>0</v>
      </c>
      <c r="X606">
        <v>0</v>
      </c>
      <c r="Y606" t="s">
        <v>60</v>
      </c>
      <c r="Z606" t="s">
        <v>135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54.28</v>
      </c>
      <c r="AN606" s="2">
        <v>54.28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46062</v>
      </c>
      <c r="B607" t="s">
        <v>48</v>
      </c>
      <c r="C607">
        <v>649163</v>
      </c>
      <c r="D607">
        <v>2028773699</v>
      </c>
      <c r="E607" t="s">
        <v>1004</v>
      </c>
      <c r="F607" t="s">
        <v>180</v>
      </c>
      <c r="G607" t="s">
        <v>51</v>
      </c>
      <c r="H607" t="s">
        <v>84</v>
      </c>
      <c r="I607" t="s">
        <v>72</v>
      </c>
      <c r="J607" t="s">
        <v>79</v>
      </c>
      <c r="K607">
        <v>651818</v>
      </c>
      <c r="L607" t="s">
        <v>80</v>
      </c>
      <c r="M607" t="s">
        <v>81</v>
      </c>
      <c r="N607" t="s">
        <v>57</v>
      </c>
      <c r="O607" s="1">
        <v>45815</v>
      </c>
      <c r="Q607" s="1">
        <v>46088</v>
      </c>
      <c r="R607" s="2">
        <v>123.55</v>
      </c>
      <c r="S607">
        <v>1</v>
      </c>
      <c r="T607" t="s">
        <v>58</v>
      </c>
      <c r="U607" t="s">
        <v>156</v>
      </c>
      <c r="V607" s="3">
        <v>0.75</v>
      </c>
      <c r="W607" s="2">
        <v>0</v>
      </c>
      <c r="X607">
        <v>0</v>
      </c>
      <c r="Y607" t="s">
        <v>60</v>
      </c>
      <c r="Z607" t="s">
        <v>135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92.66</v>
      </c>
      <c r="AN607" s="2">
        <v>92.66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46062</v>
      </c>
      <c r="B608" t="s">
        <v>48</v>
      </c>
      <c r="C608">
        <v>649163</v>
      </c>
      <c r="D608">
        <v>2028792969</v>
      </c>
      <c r="E608" t="s">
        <v>645</v>
      </c>
      <c r="F608" t="s">
        <v>188</v>
      </c>
      <c r="G608" t="s">
        <v>51</v>
      </c>
      <c r="H608" t="s">
        <v>66</v>
      </c>
      <c r="I608" t="s">
        <v>72</v>
      </c>
      <c r="J608" t="s">
        <v>79</v>
      </c>
      <c r="K608">
        <v>766747</v>
      </c>
      <c r="L608" t="s">
        <v>645</v>
      </c>
      <c r="M608" t="s">
        <v>188</v>
      </c>
      <c r="N608" t="s">
        <v>57</v>
      </c>
      <c r="O608" s="1">
        <v>45784</v>
      </c>
      <c r="Q608" s="1">
        <v>46088</v>
      </c>
      <c r="R608" s="2">
        <v>18.05</v>
      </c>
      <c r="S608">
        <v>1</v>
      </c>
      <c r="T608" t="s">
        <v>58</v>
      </c>
      <c r="U608" t="s">
        <v>156</v>
      </c>
      <c r="V608" s="3">
        <v>0.75</v>
      </c>
      <c r="W608" s="2">
        <v>0</v>
      </c>
      <c r="X608">
        <v>0</v>
      </c>
      <c r="Y608" t="s">
        <v>60</v>
      </c>
      <c r="Z608" t="s">
        <v>135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13.54</v>
      </c>
      <c r="AN608" s="2">
        <v>13.54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46062</v>
      </c>
      <c r="B609" t="s">
        <v>48</v>
      </c>
      <c r="C609">
        <v>649163</v>
      </c>
      <c r="D609">
        <v>2028803972</v>
      </c>
      <c r="E609" t="s">
        <v>737</v>
      </c>
      <c r="F609" t="s">
        <v>1005</v>
      </c>
      <c r="G609" t="s">
        <v>51</v>
      </c>
      <c r="H609" t="s">
        <v>90</v>
      </c>
      <c r="I609" t="s">
        <v>72</v>
      </c>
      <c r="J609" t="s">
        <v>93</v>
      </c>
      <c r="K609">
        <v>767312</v>
      </c>
      <c r="L609" t="s">
        <v>310</v>
      </c>
      <c r="M609" t="s">
        <v>311</v>
      </c>
      <c r="N609" t="s">
        <v>57</v>
      </c>
      <c r="O609" s="1">
        <v>45784</v>
      </c>
      <c r="Q609" s="1">
        <v>46088</v>
      </c>
      <c r="R609" s="2">
        <v>205.42</v>
      </c>
      <c r="S609">
        <v>1</v>
      </c>
      <c r="T609" t="s">
        <v>58</v>
      </c>
      <c r="U609" t="s">
        <v>156</v>
      </c>
      <c r="V609" s="3">
        <v>0.9</v>
      </c>
      <c r="W609" s="2">
        <v>0</v>
      </c>
      <c r="X609">
        <v>0</v>
      </c>
      <c r="Y609" t="s">
        <v>60</v>
      </c>
      <c r="Z609" t="s">
        <v>135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184.88</v>
      </c>
      <c r="AN609" s="2">
        <v>184.88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46062</v>
      </c>
      <c r="B610" t="s">
        <v>48</v>
      </c>
      <c r="C610">
        <v>649163</v>
      </c>
      <c r="D610">
        <v>2028859180</v>
      </c>
      <c r="E610" t="s">
        <v>1006</v>
      </c>
      <c r="F610" t="s">
        <v>302</v>
      </c>
      <c r="G610" t="s">
        <v>51</v>
      </c>
      <c r="H610" t="s">
        <v>780</v>
      </c>
      <c r="I610" t="s">
        <v>72</v>
      </c>
      <c r="J610" t="s">
        <v>93</v>
      </c>
      <c r="K610">
        <v>651818</v>
      </c>
      <c r="L610" t="s">
        <v>80</v>
      </c>
      <c r="M610" t="s">
        <v>81</v>
      </c>
      <c r="N610" t="s">
        <v>57</v>
      </c>
      <c r="O610" s="1">
        <v>45815</v>
      </c>
      <c r="Q610" s="1">
        <v>46088</v>
      </c>
      <c r="R610" s="2">
        <v>57.67</v>
      </c>
      <c r="S610">
        <v>1</v>
      </c>
      <c r="T610" t="s">
        <v>58</v>
      </c>
      <c r="U610" t="s">
        <v>156</v>
      </c>
      <c r="V610" s="3">
        <v>0.9</v>
      </c>
      <c r="W610" s="2">
        <v>0</v>
      </c>
      <c r="X610">
        <v>0</v>
      </c>
      <c r="Y610" t="s">
        <v>60</v>
      </c>
      <c r="Z610" t="s">
        <v>135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51.9</v>
      </c>
      <c r="AN610" s="2">
        <v>51.9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46062</v>
      </c>
      <c r="B611" t="s">
        <v>48</v>
      </c>
      <c r="C611">
        <v>649163</v>
      </c>
      <c r="D611">
        <v>2028960906</v>
      </c>
      <c r="E611" t="s">
        <v>727</v>
      </c>
      <c r="F611" t="s">
        <v>728</v>
      </c>
      <c r="G611" t="s">
        <v>51</v>
      </c>
      <c r="H611" t="s">
        <v>66</v>
      </c>
      <c r="I611" t="s">
        <v>72</v>
      </c>
      <c r="J611" t="s">
        <v>73</v>
      </c>
      <c r="K611">
        <v>856163</v>
      </c>
      <c r="L611" t="s">
        <v>108</v>
      </c>
      <c r="M611" t="s">
        <v>109</v>
      </c>
      <c r="N611" t="s">
        <v>57</v>
      </c>
      <c r="O611" s="1">
        <v>45809</v>
      </c>
      <c r="Q611" s="1">
        <v>46082</v>
      </c>
      <c r="R611" s="2">
        <v>13.57</v>
      </c>
      <c r="S611">
        <v>1</v>
      </c>
      <c r="T611" t="s">
        <v>58</v>
      </c>
      <c r="U611" t="s">
        <v>156</v>
      </c>
      <c r="V611" s="3">
        <v>0.75</v>
      </c>
      <c r="W611" s="2">
        <v>0</v>
      </c>
      <c r="X611">
        <v>0</v>
      </c>
      <c r="Y611" t="s">
        <v>60</v>
      </c>
      <c r="Z611" t="s">
        <v>135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10.18</v>
      </c>
      <c r="AN611" s="2">
        <v>10.18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46062</v>
      </c>
      <c r="B612" t="s">
        <v>48</v>
      </c>
      <c r="C612">
        <v>649163</v>
      </c>
      <c r="D612">
        <v>2029031424</v>
      </c>
      <c r="E612" t="s">
        <v>110</v>
      </c>
      <c r="F612" t="s">
        <v>1007</v>
      </c>
      <c r="G612" t="s">
        <v>51</v>
      </c>
      <c r="H612" t="s">
        <v>112</v>
      </c>
      <c r="I612" t="s">
        <v>72</v>
      </c>
      <c r="J612" t="s">
        <v>79</v>
      </c>
      <c r="K612">
        <v>651818</v>
      </c>
      <c r="L612" t="s">
        <v>80</v>
      </c>
      <c r="M612" t="s">
        <v>81</v>
      </c>
      <c r="N612" t="s">
        <v>144</v>
      </c>
      <c r="O612" s="1">
        <v>45815</v>
      </c>
      <c r="P612" s="1">
        <v>46062</v>
      </c>
      <c r="Q612" s="1">
        <v>46088</v>
      </c>
      <c r="R612" s="2">
        <v>-163.80000000000001</v>
      </c>
      <c r="S612">
        <v>1</v>
      </c>
      <c r="T612" t="s">
        <v>58</v>
      </c>
      <c r="U612" t="s">
        <v>156</v>
      </c>
      <c r="V612" s="3">
        <v>0.75</v>
      </c>
      <c r="W612" s="2">
        <v>0</v>
      </c>
      <c r="X612">
        <v>-1</v>
      </c>
      <c r="Y612" t="s">
        <v>60</v>
      </c>
      <c r="Z612" t="s">
        <v>135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-122.85</v>
      </c>
      <c r="AN612" s="2">
        <v>-122.85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46062</v>
      </c>
      <c r="B613" t="s">
        <v>48</v>
      </c>
      <c r="C613">
        <v>649163</v>
      </c>
      <c r="D613">
        <v>2029031424</v>
      </c>
      <c r="E613" t="s">
        <v>110</v>
      </c>
      <c r="F613" t="s">
        <v>1007</v>
      </c>
      <c r="G613" t="s">
        <v>51</v>
      </c>
      <c r="H613" t="s">
        <v>112</v>
      </c>
      <c r="I613" t="s">
        <v>72</v>
      </c>
      <c r="J613" t="s">
        <v>79</v>
      </c>
      <c r="K613">
        <v>651818</v>
      </c>
      <c r="L613" t="s">
        <v>80</v>
      </c>
      <c r="M613" t="s">
        <v>81</v>
      </c>
      <c r="N613" t="s">
        <v>144</v>
      </c>
      <c r="O613" s="1">
        <v>45815</v>
      </c>
      <c r="P613" s="1">
        <v>46062</v>
      </c>
      <c r="Q613" s="1">
        <v>46088</v>
      </c>
      <c r="R613" s="2">
        <v>163.80000000000001</v>
      </c>
      <c r="S613">
        <v>1</v>
      </c>
      <c r="T613" t="s">
        <v>58</v>
      </c>
      <c r="U613" t="s">
        <v>156</v>
      </c>
      <c r="V613" s="3">
        <v>0.75</v>
      </c>
      <c r="W613" s="2">
        <v>0</v>
      </c>
      <c r="X613">
        <v>0</v>
      </c>
      <c r="Y613" t="s">
        <v>60</v>
      </c>
      <c r="Z613" t="s">
        <v>135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122.85</v>
      </c>
      <c r="AN613" s="2">
        <v>122.85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46062</v>
      </c>
      <c r="B614" t="s">
        <v>48</v>
      </c>
      <c r="C614">
        <v>649163</v>
      </c>
      <c r="D614">
        <v>2029031424</v>
      </c>
      <c r="E614" t="s">
        <v>110</v>
      </c>
      <c r="F614" t="s">
        <v>1007</v>
      </c>
      <c r="G614" t="s">
        <v>51</v>
      </c>
      <c r="H614" t="s">
        <v>112</v>
      </c>
      <c r="I614" t="s">
        <v>72</v>
      </c>
      <c r="J614" t="s">
        <v>79</v>
      </c>
      <c r="K614">
        <v>651818</v>
      </c>
      <c r="L614" t="s">
        <v>80</v>
      </c>
      <c r="M614" t="s">
        <v>81</v>
      </c>
      <c r="N614" t="s">
        <v>144</v>
      </c>
      <c r="O614" s="1">
        <v>45815</v>
      </c>
      <c r="P614" s="1">
        <v>46062</v>
      </c>
      <c r="Q614" s="1">
        <v>46088</v>
      </c>
      <c r="R614" s="2">
        <v>-1233.9000000000001</v>
      </c>
      <c r="S614">
        <v>1</v>
      </c>
      <c r="T614" t="s">
        <v>58</v>
      </c>
      <c r="U614" t="s">
        <v>156</v>
      </c>
      <c r="V614" s="3">
        <v>0.75</v>
      </c>
      <c r="W614" s="2">
        <v>0</v>
      </c>
      <c r="X614">
        <v>-1</v>
      </c>
      <c r="Y614" t="s">
        <v>60</v>
      </c>
      <c r="Z614" t="s">
        <v>135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-925.42</v>
      </c>
      <c r="AN614" s="2">
        <v>-925.42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46062</v>
      </c>
      <c r="B615" t="s">
        <v>48</v>
      </c>
      <c r="C615">
        <v>649163</v>
      </c>
      <c r="D615">
        <v>2029169957</v>
      </c>
      <c r="E615" t="s">
        <v>1008</v>
      </c>
      <c r="F615" t="s">
        <v>197</v>
      </c>
      <c r="G615" t="s">
        <v>51</v>
      </c>
      <c r="H615" t="s">
        <v>397</v>
      </c>
      <c r="I615" t="s">
        <v>72</v>
      </c>
      <c r="J615" t="s">
        <v>93</v>
      </c>
      <c r="K615">
        <v>753748</v>
      </c>
      <c r="L615" t="s">
        <v>74</v>
      </c>
      <c r="M615" t="s">
        <v>75</v>
      </c>
      <c r="N615" t="s">
        <v>144</v>
      </c>
      <c r="O615" s="1">
        <v>45809</v>
      </c>
      <c r="P615" s="1">
        <v>46055</v>
      </c>
      <c r="Q615" s="1">
        <v>46082</v>
      </c>
      <c r="R615" s="2">
        <v>-487.2</v>
      </c>
      <c r="S615">
        <v>1</v>
      </c>
      <c r="T615" t="s">
        <v>58</v>
      </c>
      <c r="U615" t="s">
        <v>156</v>
      </c>
      <c r="V615" s="3">
        <v>0.9</v>
      </c>
      <c r="W615" s="2">
        <v>0</v>
      </c>
      <c r="X615">
        <v>-1</v>
      </c>
      <c r="Y615" t="s">
        <v>60</v>
      </c>
      <c r="Z615" t="s">
        <v>135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-438.48</v>
      </c>
      <c r="AN615" s="2">
        <v>-438.48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46062</v>
      </c>
      <c r="B616" t="s">
        <v>48</v>
      </c>
      <c r="C616">
        <v>649163</v>
      </c>
      <c r="D616">
        <v>2029275522</v>
      </c>
      <c r="E616" t="s">
        <v>733</v>
      </c>
      <c r="F616" t="s">
        <v>734</v>
      </c>
      <c r="G616" t="s">
        <v>51</v>
      </c>
      <c r="H616" t="s">
        <v>66</v>
      </c>
      <c r="I616" t="s">
        <v>72</v>
      </c>
      <c r="J616" t="s">
        <v>79</v>
      </c>
      <c r="K616">
        <v>821015</v>
      </c>
      <c r="L616" t="s">
        <v>735</v>
      </c>
      <c r="M616" t="s">
        <v>736</v>
      </c>
      <c r="N616" t="s">
        <v>57</v>
      </c>
      <c r="O616" s="1">
        <v>45815</v>
      </c>
      <c r="Q616" s="1">
        <v>46088</v>
      </c>
      <c r="R616" s="2">
        <v>76.8</v>
      </c>
      <c r="S616">
        <v>1</v>
      </c>
      <c r="T616" t="s">
        <v>58</v>
      </c>
      <c r="U616" t="s">
        <v>156</v>
      </c>
      <c r="V616" s="3">
        <v>0.75</v>
      </c>
      <c r="W616" s="2">
        <v>0</v>
      </c>
      <c r="X616">
        <v>0</v>
      </c>
      <c r="Y616" t="s">
        <v>60</v>
      </c>
      <c r="Z616" t="s">
        <v>135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57.6</v>
      </c>
      <c r="AN616" s="2">
        <v>57.6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46062</v>
      </c>
      <c r="B617" t="s">
        <v>48</v>
      </c>
      <c r="C617">
        <v>649163</v>
      </c>
      <c r="D617">
        <v>2029283860</v>
      </c>
      <c r="E617" t="s">
        <v>1009</v>
      </c>
      <c r="F617" t="s">
        <v>1010</v>
      </c>
      <c r="G617" t="s">
        <v>51</v>
      </c>
      <c r="H617" t="s">
        <v>392</v>
      </c>
      <c r="I617" t="s">
        <v>72</v>
      </c>
      <c r="J617" t="s">
        <v>93</v>
      </c>
      <c r="K617">
        <v>823068</v>
      </c>
      <c r="L617" t="s">
        <v>355</v>
      </c>
      <c r="M617" t="s">
        <v>356</v>
      </c>
      <c r="N617" t="s">
        <v>57</v>
      </c>
      <c r="O617" s="1">
        <v>45818</v>
      </c>
      <c r="Q617" s="1">
        <v>46091</v>
      </c>
      <c r="R617" s="2">
        <v>69.75</v>
      </c>
      <c r="S617">
        <v>1</v>
      </c>
      <c r="T617" t="s">
        <v>58</v>
      </c>
      <c r="U617" t="s">
        <v>156</v>
      </c>
      <c r="V617" s="3">
        <v>0.9</v>
      </c>
      <c r="W617" s="2">
        <v>0</v>
      </c>
      <c r="X617">
        <v>0</v>
      </c>
      <c r="Y617" t="s">
        <v>60</v>
      </c>
      <c r="Z617" t="s">
        <v>135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62.78</v>
      </c>
      <c r="AN617" s="2">
        <v>62.78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46062</v>
      </c>
      <c r="B618" t="s">
        <v>48</v>
      </c>
      <c r="C618">
        <v>649163</v>
      </c>
      <c r="D618">
        <v>2029501025</v>
      </c>
      <c r="E618" t="s">
        <v>545</v>
      </c>
      <c r="F618" t="s">
        <v>1011</v>
      </c>
      <c r="G618" t="s">
        <v>51</v>
      </c>
      <c r="H618" t="s">
        <v>78</v>
      </c>
      <c r="I618" t="s">
        <v>72</v>
      </c>
      <c r="J618" t="s">
        <v>79</v>
      </c>
      <c r="K618">
        <v>651818</v>
      </c>
      <c r="L618" t="s">
        <v>80</v>
      </c>
      <c r="M618" t="s">
        <v>81</v>
      </c>
      <c r="N618" t="s">
        <v>57</v>
      </c>
      <c r="O618" s="1">
        <v>45845</v>
      </c>
      <c r="Q618" s="1">
        <v>46088</v>
      </c>
      <c r="R618" s="2">
        <v>329.4</v>
      </c>
      <c r="S618">
        <v>1</v>
      </c>
      <c r="T618" t="s">
        <v>58</v>
      </c>
      <c r="U618" t="s">
        <v>156</v>
      </c>
      <c r="V618" s="3">
        <v>0.75</v>
      </c>
      <c r="W618" s="2">
        <v>0</v>
      </c>
      <c r="X618">
        <v>0</v>
      </c>
      <c r="Y618" t="s">
        <v>60</v>
      </c>
      <c r="Z618" t="s">
        <v>135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247.05</v>
      </c>
      <c r="AN618" s="2">
        <v>247.05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46062</v>
      </c>
      <c r="B619" t="s">
        <v>48</v>
      </c>
      <c r="C619">
        <v>649163</v>
      </c>
      <c r="D619">
        <v>2029531079</v>
      </c>
      <c r="E619" t="s">
        <v>1012</v>
      </c>
      <c r="F619" t="s">
        <v>1013</v>
      </c>
      <c r="G619" t="s">
        <v>51</v>
      </c>
      <c r="H619" t="s">
        <v>971</v>
      </c>
      <c r="I619" t="s">
        <v>72</v>
      </c>
      <c r="J619" t="s">
        <v>73</v>
      </c>
      <c r="K619">
        <v>673059</v>
      </c>
      <c r="L619" t="s">
        <v>162</v>
      </c>
      <c r="M619" t="s">
        <v>180</v>
      </c>
      <c r="N619" t="s">
        <v>57</v>
      </c>
      <c r="O619" s="1">
        <v>45847</v>
      </c>
      <c r="Q619" s="1">
        <v>46090</v>
      </c>
      <c r="R619" s="2">
        <v>82.36</v>
      </c>
      <c r="S619">
        <v>1</v>
      </c>
      <c r="T619" t="s">
        <v>58</v>
      </c>
      <c r="U619" t="s">
        <v>156</v>
      </c>
      <c r="V619" s="3">
        <v>0.75</v>
      </c>
      <c r="W619" s="2">
        <v>0</v>
      </c>
      <c r="X619">
        <v>0</v>
      </c>
      <c r="Y619" t="s">
        <v>60</v>
      </c>
      <c r="Z619" t="s">
        <v>135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61.77</v>
      </c>
      <c r="AN619" s="2">
        <v>61.77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46062</v>
      </c>
      <c r="B620" t="s">
        <v>48</v>
      </c>
      <c r="C620">
        <v>649163</v>
      </c>
      <c r="D620">
        <v>2029609655</v>
      </c>
      <c r="E620" t="s">
        <v>240</v>
      </c>
      <c r="F620" t="s">
        <v>305</v>
      </c>
      <c r="G620" t="s">
        <v>51</v>
      </c>
      <c r="H620" t="s">
        <v>90</v>
      </c>
      <c r="I620" t="s">
        <v>72</v>
      </c>
      <c r="J620" t="s">
        <v>73</v>
      </c>
      <c r="K620">
        <v>651818</v>
      </c>
      <c r="L620" t="s">
        <v>80</v>
      </c>
      <c r="M620" t="s">
        <v>81</v>
      </c>
      <c r="N620" t="s">
        <v>57</v>
      </c>
      <c r="O620" s="1">
        <v>45845</v>
      </c>
      <c r="Q620" s="1">
        <v>46088</v>
      </c>
      <c r="R620" s="2">
        <v>120.19</v>
      </c>
      <c r="S620">
        <v>1</v>
      </c>
      <c r="T620" t="s">
        <v>58</v>
      </c>
      <c r="U620" t="s">
        <v>156</v>
      </c>
      <c r="V620" s="3">
        <v>0.75</v>
      </c>
      <c r="W620" s="2">
        <v>0</v>
      </c>
      <c r="X620">
        <v>0</v>
      </c>
      <c r="Y620" t="s">
        <v>60</v>
      </c>
      <c r="Z620" t="s">
        <v>135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90.14</v>
      </c>
      <c r="AN620" s="2">
        <v>90.14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46062</v>
      </c>
      <c r="B621" t="s">
        <v>48</v>
      </c>
      <c r="C621">
        <v>649163</v>
      </c>
      <c r="D621">
        <v>2029842749</v>
      </c>
      <c r="E621" t="s">
        <v>1014</v>
      </c>
      <c r="F621" t="s">
        <v>1015</v>
      </c>
      <c r="G621" t="s">
        <v>51</v>
      </c>
      <c r="H621" t="s">
        <v>84</v>
      </c>
      <c r="I621" t="s">
        <v>72</v>
      </c>
      <c r="J621" t="s">
        <v>79</v>
      </c>
      <c r="K621">
        <v>651818</v>
      </c>
      <c r="L621" t="s">
        <v>80</v>
      </c>
      <c r="M621" t="s">
        <v>81</v>
      </c>
      <c r="N621" t="s">
        <v>57</v>
      </c>
      <c r="O621" s="1">
        <v>45876</v>
      </c>
      <c r="Q621" s="1">
        <v>46088</v>
      </c>
      <c r="R621" s="2">
        <v>191.89</v>
      </c>
      <c r="S621">
        <v>1</v>
      </c>
      <c r="T621" t="s">
        <v>58</v>
      </c>
      <c r="U621" t="s">
        <v>156</v>
      </c>
      <c r="V621" s="3">
        <v>0.75</v>
      </c>
      <c r="W621" s="2">
        <v>0</v>
      </c>
      <c r="X621">
        <v>0</v>
      </c>
      <c r="Y621" t="s">
        <v>60</v>
      </c>
      <c r="Z621" t="s">
        <v>135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143.91999999999999</v>
      </c>
      <c r="AN621" s="2">
        <v>143.91999999999999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46062</v>
      </c>
      <c r="B622" t="s">
        <v>48</v>
      </c>
      <c r="C622">
        <v>649163</v>
      </c>
      <c r="D622">
        <v>2029919053</v>
      </c>
      <c r="E622" t="s">
        <v>1016</v>
      </c>
      <c r="F622" t="s">
        <v>1017</v>
      </c>
      <c r="G622" t="s">
        <v>51</v>
      </c>
      <c r="H622" t="s">
        <v>886</v>
      </c>
      <c r="I622" t="s">
        <v>72</v>
      </c>
      <c r="J622" t="s">
        <v>79</v>
      </c>
      <c r="K622">
        <v>651818</v>
      </c>
      <c r="L622" t="s">
        <v>80</v>
      </c>
      <c r="M622" t="s">
        <v>81</v>
      </c>
      <c r="N622" t="s">
        <v>57</v>
      </c>
      <c r="O622" s="1">
        <v>45876</v>
      </c>
      <c r="Q622" s="1">
        <v>46088</v>
      </c>
      <c r="R622" s="2">
        <v>219.55</v>
      </c>
      <c r="S622">
        <v>1</v>
      </c>
      <c r="T622" t="s">
        <v>58</v>
      </c>
      <c r="U622" t="s">
        <v>156</v>
      </c>
      <c r="V622" s="3">
        <v>0.75</v>
      </c>
      <c r="W622" s="2">
        <v>0</v>
      </c>
      <c r="X622">
        <v>0</v>
      </c>
      <c r="Y622" t="s">
        <v>60</v>
      </c>
      <c r="Z622" t="s">
        <v>135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164.66</v>
      </c>
      <c r="AN622" s="2">
        <v>164.66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46062</v>
      </c>
      <c r="B623" t="s">
        <v>48</v>
      </c>
      <c r="C623">
        <v>649163</v>
      </c>
      <c r="D623">
        <v>2029955373</v>
      </c>
      <c r="E623" t="s">
        <v>759</v>
      </c>
      <c r="F623" t="s">
        <v>622</v>
      </c>
      <c r="G623" t="s">
        <v>51</v>
      </c>
      <c r="H623" t="s">
        <v>274</v>
      </c>
      <c r="I623" t="s">
        <v>72</v>
      </c>
      <c r="J623" t="s">
        <v>455</v>
      </c>
      <c r="K623">
        <v>824082</v>
      </c>
      <c r="L623" t="s">
        <v>563</v>
      </c>
      <c r="M623" t="s">
        <v>564</v>
      </c>
      <c r="N623" t="s">
        <v>144</v>
      </c>
      <c r="O623" s="1">
        <v>45853</v>
      </c>
      <c r="P623" s="1">
        <v>46062</v>
      </c>
      <c r="Q623" s="1">
        <v>46068</v>
      </c>
      <c r="R623" s="2">
        <v>-38.68</v>
      </c>
      <c r="S623">
        <v>1</v>
      </c>
      <c r="T623" t="s">
        <v>58</v>
      </c>
      <c r="U623" t="s">
        <v>156</v>
      </c>
      <c r="V623" s="3">
        <v>0.65</v>
      </c>
      <c r="W623" s="2">
        <v>0</v>
      </c>
      <c r="X623">
        <v>-1</v>
      </c>
      <c r="Y623" t="s">
        <v>60</v>
      </c>
      <c r="Z623" t="s">
        <v>135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-25.14</v>
      </c>
      <c r="AN623" s="2">
        <v>-25.14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46062</v>
      </c>
      <c r="B624" t="s">
        <v>48</v>
      </c>
      <c r="C624">
        <v>649163</v>
      </c>
      <c r="D624">
        <v>2029959146</v>
      </c>
      <c r="E624" t="s">
        <v>1018</v>
      </c>
      <c r="F624" t="s">
        <v>1019</v>
      </c>
      <c r="G624" t="s">
        <v>51</v>
      </c>
      <c r="H624" t="s">
        <v>87</v>
      </c>
      <c r="I624" t="s">
        <v>72</v>
      </c>
      <c r="J624" t="s">
        <v>79</v>
      </c>
      <c r="K624">
        <v>651818</v>
      </c>
      <c r="L624" t="s">
        <v>80</v>
      </c>
      <c r="M624" t="s">
        <v>81</v>
      </c>
      <c r="N624" t="s">
        <v>57</v>
      </c>
      <c r="O624" s="1">
        <v>45876</v>
      </c>
      <c r="Q624" s="1">
        <v>46088</v>
      </c>
      <c r="R624" s="2">
        <v>187</v>
      </c>
      <c r="S624">
        <v>1</v>
      </c>
      <c r="T624" t="s">
        <v>58</v>
      </c>
      <c r="U624" t="s">
        <v>156</v>
      </c>
      <c r="V624" s="3">
        <v>0.75</v>
      </c>
      <c r="W624" s="2">
        <v>0</v>
      </c>
      <c r="X624">
        <v>0</v>
      </c>
      <c r="Y624" t="s">
        <v>60</v>
      </c>
      <c r="Z624" t="s">
        <v>135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140.25</v>
      </c>
      <c r="AN624" s="2">
        <v>140.25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46062</v>
      </c>
      <c r="B625" t="s">
        <v>48</v>
      </c>
      <c r="C625">
        <v>649163</v>
      </c>
      <c r="D625">
        <v>2029963806</v>
      </c>
      <c r="E625" t="s">
        <v>302</v>
      </c>
      <c r="F625" t="s">
        <v>1020</v>
      </c>
      <c r="G625" t="s">
        <v>51</v>
      </c>
      <c r="H625" t="s">
        <v>780</v>
      </c>
      <c r="I625" t="s">
        <v>72</v>
      </c>
      <c r="J625" t="s">
        <v>93</v>
      </c>
      <c r="K625">
        <v>651818</v>
      </c>
      <c r="L625" t="s">
        <v>80</v>
      </c>
      <c r="M625" t="s">
        <v>81</v>
      </c>
      <c r="N625" t="s">
        <v>57</v>
      </c>
      <c r="O625" s="1">
        <v>45876</v>
      </c>
      <c r="Q625" s="1">
        <v>46088</v>
      </c>
      <c r="R625" s="2">
        <v>92.65</v>
      </c>
      <c r="S625">
        <v>1</v>
      </c>
      <c r="T625" t="s">
        <v>58</v>
      </c>
      <c r="U625" t="s">
        <v>156</v>
      </c>
      <c r="V625" s="3">
        <v>0.9</v>
      </c>
      <c r="W625" s="2">
        <v>0</v>
      </c>
      <c r="X625">
        <v>0</v>
      </c>
      <c r="Y625" t="s">
        <v>60</v>
      </c>
      <c r="Z625" t="s">
        <v>135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83.38</v>
      </c>
      <c r="AN625" s="2">
        <v>83.38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46062</v>
      </c>
      <c r="B626" t="s">
        <v>48</v>
      </c>
      <c r="C626">
        <v>649163</v>
      </c>
      <c r="D626">
        <v>2030013622</v>
      </c>
      <c r="E626" t="s">
        <v>847</v>
      </c>
      <c r="F626" t="s">
        <v>1021</v>
      </c>
      <c r="G626" t="s">
        <v>51</v>
      </c>
      <c r="H626" t="s">
        <v>87</v>
      </c>
      <c r="I626" t="s">
        <v>72</v>
      </c>
      <c r="J626" t="s">
        <v>79</v>
      </c>
      <c r="K626">
        <v>651818</v>
      </c>
      <c r="L626" t="s">
        <v>80</v>
      </c>
      <c r="M626" t="s">
        <v>81</v>
      </c>
      <c r="N626" t="s">
        <v>57</v>
      </c>
      <c r="O626" s="1">
        <v>45876</v>
      </c>
      <c r="Q626" s="1">
        <v>46088</v>
      </c>
      <c r="R626" s="2">
        <v>59.5</v>
      </c>
      <c r="S626">
        <v>1</v>
      </c>
      <c r="T626" t="s">
        <v>58</v>
      </c>
      <c r="U626" t="s">
        <v>156</v>
      </c>
      <c r="V626" s="3">
        <v>0.75</v>
      </c>
      <c r="W626" s="2">
        <v>0</v>
      </c>
      <c r="X626">
        <v>0</v>
      </c>
      <c r="Y626" t="s">
        <v>60</v>
      </c>
      <c r="Z626" t="s">
        <v>135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44.62</v>
      </c>
      <c r="AN626" s="2">
        <v>44.62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46062</v>
      </c>
      <c r="B627" t="s">
        <v>48</v>
      </c>
      <c r="C627">
        <v>649163</v>
      </c>
      <c r="D627">
        <v>2030047485</v>
      </c>
      <c r="E627" t="s">
        <v>115</v>
      </c>
      <c r="F627" t="s">
        <v>1022</v>
      </c>
      <c r="G627" t="s">
        <v>51</v>
      </c>
      <c r="H627" t="s">
        <v>87</v>
      </c>
      <c r="I627" t="s">
        <v>72</v>
      </c>
      <c r="J627" t="s">
        <v>79</v>
      </c>
      <c r="K627">
        <v>651818</v>
      </c>
      <c r="L627" t="s">
        <v>80</v>
      </c>
      <c r="M627" t="s">
        <v>81</v>
      </c>
      <c r="N627" t="s">
        <v>57</v>
      </c>
      <c r="O627" s="1">
        <v>45876</v>
      </c>
      <c r="Q627" s="1">
        <v>46088</v>
      </c>
      <c r="R627" s="2">
        <v>152.19999999999999</v>
      </c>
      <c r="S627">
        <v>1</v>
      </c>
      <c r="T627" t="s">
        <v>58</v>
      </c>
      <c r="U627" t="s">
        <v>156</v>
      </c>
      <c r="V627" s="3">
        <v>0.75</v>
      </c>
      <c r="W627" s="2">
        <v>0</v>
      </c>
      <c r="X627">
        <v>0</v>
      </c>
      <c r="Y627" t="s">
        <v>60</v>
      </c>
      <c r="Z627" t="s">
        <v>135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114.15</v>
      </c>
      <c r="AN627" s="2">
        <v>114.15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46062</v>
      </c>
      <c r="B628" t="s">
        <v>48</v>
      </c>
      <c r="C628">
        <v>649163</v>
      </c>
      <c r="D628">
        <v>2030090690</v>
      </c>
      <c r="E628" t="s">
        <v>741</v>
      </c>
      <c r="F628" t="s">
        <v>1023</v>
      </c>
      <c r="G628" t="s">
        <v>51</v>
      </c>
      <c r="H628" t="s">
        <v>96</v>
      </c>
      <c r="I628" t="s">
        <v>72</v>
      </c>
      <c r="J628" t="s">
        <v>79</v>
      </c>
      <c r="K628">
        <v>651818</v>
      </c>
      <c r="L628" t="s">
        <v>80</v>
      </c>
      <c r="M628" t="s">
        <v>81</v>
      </c>
      <c r="N628" t="s">
        <v>57</v>
      </c>
      <c r="O628" s="1">
        <v>45876</v>
      </c>
      <c r="Q628" s="1">
        <v>46088</v>
      </c>
      <c r="R628" s="2">
        <v>52.6</v>
      </c>
      <c r="S628">
        <v>1</v>
      </c>
      <c r="T628" t="s">
        <v>58</v>
      </c>
      <c r="U628" t="s">
        <v>156</v>
      </c>
      <c r="V628" s="3">
        <v>0.75</v>
      </c>
      <c r="W628" s="2">
        <v>0</v>
      </c>
      <c r="X628">
        <v>0</v>
      </c>
      <c r="Y628" t="s">
        <v>60</v>
      </c>
      <c r="Z628" t="s">
        <v>135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39.450000000000003</v>
      </c>
      <c r="AN628" s="2">
        <v>39.450000000000003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46062</v>
      </c>
      <c r="B629" t="s">
        <v>48</v>
      </c>
      <c r="C629">
        <v>649163</v>
      </c>
      <c r="D629">
        <v>2030189268</v>
      </c>
      <c r="E629" t="s">
        <v>760</v>
      </c>
      <c r="F629" t="s">
        <v>761</v>
      </c>
      <c r="G629" t="s">
        <v>51</v>
      </c>
      <c r="H629" t="s">
        <v>193</v>
      </c>
      <c r="I629" t="s">
        <v>72</v>
      </c>
      <c r="J629" t="s">
        <v>455</v>
      </c>
      <c r="K629">
        <v>651818</v>
      </c>
      <c r="L629" t="s">
        <v>80</v>
      </c>
      <c r="M629" t="s">
        <v>81</v>
      </c>
      <c r="N629" t="s">
        <v>57</v>
      </c>
      <c r="O629" s="1">
        <v>45876</v>
      </c>
      <c r="Q629" s="1">
        <v>46088</v>
      </c>
      <c r="R629" s="2">
        <v>24.4</v>
      </c>
      <c r="S629">
        <v>1</v>
      </c>
      <c r="T629" t="s">
        <v>58</v>
      </c>
      <c r="U629" t="s">
        <v>156</v>
      </c>
      <c r="V629" s="3">
        <v>0.65</v>
      </c>
      <c r="W629" s="2">
        <v>0</v>
      </c>
      <c r="X629">
        <v>0</v>
      </c>
      <c r="Y629" t="s">
        <v>60</v>
      </c>
      <c r="Z629" t="s">
        <v>135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15.86</v>
      </c>
      <c r="AN629" s="2">
        <v>15.86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46062</v>
      </c>
      <c r="B630" t="s">
        <v>48</v>
      </c>
      <c r="C630">
        <v>649163</v>
      </c>
      <c r="D630">
        <v>2030192141</v>
      </c>
      <c r="E630" t="s">
        <v>1024</v>
      </c>
      <c r="F630" t="s">
        <v>1025</v>
      </c>
      <c r="G630" t="s">
        <v>51</v>
      </c>
      <c r="H630" t="s">
        <v>84</v>
      </c>
      <c r="I630" t="s">
        <v>72</v>
      </c>
      <c r="J630" t="s">
        <v>73</v>
      </c>
      <c r="K630">
        <v>651818</v>
      </c>
      <c r="L630" t="s">
        <v>80</v>
      </c>
      <c r="M630" t="s">
        <v>81</v>
      </c>
      <c r="N630" t="s">
        <v>57</v>
      </c>
      <c r="O630" s="1">
        <v>45876</v>
      </c>
      <c r="Q630" s="1">
        <v>46088</v>
      </c>
      <c r="R630" s="2">
        <v>76.45</v>
      </c>
      <c r="S630">
        <v>1</v>
      </c>
      <c r="T630" t="s">
        <v>58</v>
      </c>
      <c r="U630" t="s">
        <v>156</v>
      </c>
      <c r="V630" s="3">
        <v>0.75</v>
      </c>
      <c r="W630" s="2">
        <v>0</v>
      </c>
      <c r="X630">
        <v>0</v>
      </c>
      <c r="Y630" t="s">
        <v>60</v>
      </c>
      <c r="Z630" t="s">
        <v>135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57.34</v>
      </c>
      <c r="AN630" s="2">
        <v>57.34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46062</v>
      </c>
      <c r="B631" t="s">
        <v>48</v>
      </c>
      <c r="C631">
        <v>649163</v>
      </c>
      <c r="D631">
        <v>2030228486</v>
      </c>
      <c r="E631" t="s">
        <v>773</v>
      </c>
      <c r="F631" t="s">
        <v>1026</v>
      </c>
      <c r="G631" t="s">
        <v>51</v>
      </c>
      <c r="H631" t="s">
        <v>90</v>
      </c>
      <c r="I631" t="s">
        <v>72</v>
      </c>
      <c r="J631" t="s">
        <v>73</v>
      </c>
      <c r="K631">
        <v>673059</v>
      </c>
      <c r="L631" t="s">
        <v>162</v>
      </c>
      <c r="M631" t="s">
        <v>180</v>
      </c>
      <c r="N631" t="s">
        <v>57</v>
      </c>
      <c r="O631" s="1">
        <v>45875</v>
      </c>
      <c r="Q631" s="1">
        <v>46087</v>
      </c>
      <c r="R631" s="2">
        <v>81.099999999999994</v>
      </c>
      <c r="S631">
        <v>1</v>
      </c>
      <c r="T631" t="s">
        <v>58</v>
      </c>
      <c r="U631" t="s">
        <v>156</v>
      </c>
      <c r="V631" s="3">
        <v>0.75</v>
      </c>
      <c r="W631" s="2">
        <v>0</v>
      </c>
      <c r="X631">
        <v>0</v>
      </c>
      <c r="Y631" t="s">
        <v>60</v>
      </c>
      <c r="Z631" t="s">
        <v>135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0.02</v>
      </c>
      <c r="AM631" s="2">
        <v>60.8</v>
      </c>
      <c r="AN631" s="2">
        <v>60.8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46062</v>
      </c>
      <c r="B632" t="s">
        <v>48</v>
      </c>
      <c r="C632">
        <v>649163</v>
      </c>
      <c r="D632">
        <v>2030317596</v>
      </c>
      <c r="E632" t="s">
        <v>1027</v>
      </c>
      <c r="F632" t="s">
        <v>551</v>
      </c>
      <c r="G632" t="s">
        <v>51</v>
      </c>
      <c r="H632" t="s">
        <v>66</v>
      </c>
      <c r="I632" t="s">
        <v>72</v>
      </c>
      <c r="J632" t="s">
        <v>73</v>
      </c>
      <c r="K632">
        <v>651818</v>
      </c>
      <c r="L632" t="s">
        <v>80</v>
      </c>
      <c r="M632" t="s">
        <v>81</v>
      </c>
      <c r="N632" t="s">
        <v>57</v>
      </c>
      <c r="O632" s="1">
        <v>45906</v>
      </c>
      <c r="Q632" s="1">
        <v>46087</v>
      </c>
      <c r="R632" s="2">
        <v>69.3</v>
      </c>
      <c r="S632">
        <v>1</v>
      </c>
      <c r="T632" t="s">
        <v>58</v>
      </c>
      <c r="U632" t="s">
        <v>156</v>
      </c>
      <c r="V632" s="3">
        <v>0.75</v>
      </c>
      <c r="W632" s="2">
        <v>0</v>
      </c>
      <c r="X632">
        <v>0</v>
      </c>
      <c r="Y632" t="s">
        <v>60</v>
      </c>
      <c r="Z632" t="s">
        <v>135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51.98</v>
      </c>
      <c r="AN632" s="2">
        <v>51.98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46062</v>
      </c>
      <c r="B633" t="s">
        <v>48</v>
      </c>
      <c r="C633">
        <v>649163</v>
      </c>
      <c r="D633">
        <v>2030329365</v>
      </c>
      <c r="E633" t="s">
        <v>460</v>
      </c>
      <c r="F633" t="s">
        <v>1028</v>
      </c>
      <c r="G633" t="s">
        <v>51</v>
      </c>
      <c r="H633" t="s">
        <v>392</v>
      </c>
      <c r="I633" t="s">
        <v>72</v>
      </c>
      <c r="J633" t="s">
        <v>93</v>
      </c>
      <c r="K633">
        <v>823068</v>
      </c>
      <c r="L633" t="s">
        <v>355</v>
      </c>
      <c r="M633" t="s">
        <v>356</v>
      </c>
      <c r="N633" t="s">
        <v>57</v>
      </c>
      <c r="O633" s="1">
        <v>45878</v>
      </c>
      <c r="Q633" s="1">
        <v>46090</v>
      </c>
      <c r="R633" s="2">
        <v>84.56</v>
      </c>
      <c r="S633">
        <v>1</v>
      </c>
      <c r="T633" t="s">
        <v>58</v>
      </c>
      <c r="U633" t="s">
        <v>156</v>
      </c>
      <c r="V633" s="3">
        <v>0.9</v>
      </c>
      <c r="W633" s="2">
        <v>0</v>
      </c>
      <c r="X633">
        <v>0</v>
      </c>
      <c r="Y633" t="s">
        <v>60</v>
      </c>
      <c r="Z633" t="s">
        <v>135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0.02</v>
      </c>
      <c r="AM633" s="2">
        <v>76.08</v>
      </c>
      <c r="AN633" s="2">
        <v>76.08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46062</v>
      </c>
      <c r="B634" t="s">
        <v>48</v>
      </c>
      <c r="C634">
        <v>649163</v>
      </c>
      <c r="D634">
        <v>2030336751</v>
      </c>
      <c r="E634" t="s">
        <v>1029</v>
      </c>
      <c r="F634" t="s">
        <v>1030</v>
      </c>
      <c r="G634" t="s">
        <v>51</v>
      </c>
      <c r="H634" t="s">
        <v>112</v>
      </c>
      <c r="I634" t="s">
        <v>72</v>
      </c>
      <c r="J634" t="s">
        <v>93</v>
      </c>
      <c r="K634">
        <v>651818</v>
      </c>
      <c r="L634" t="s">
        <v>80</v>
      </c>
      <c r="M634" t="s">
        <v>81</v>
      </c>
      <c r="N634" t="s">
        <v>57</v>
      </c>
      <c r="O634" s="1">
        <v>45906</v>
      </c>
      <c r="Q634" s="1">
        <v>46087</v>
      </c>
      <c r="R634" s="2">
        <v>216.41</v>
      </c>
      <c r="S634">
        <v>1</v>
      </c>
      <c r="T634" t="s">
        <v>58</v>
      </c>
      <c r="U634" t="s">
        <v>156</v>
      </c>
      <c r="V634" s="3">
        <v>0.9</v>
      </c>
      <c r="W634" s="2">
        <v>0</v>
      </c>
      <c r="X634">
        <v>0</v>
      </c>
      <c r="Y634" t="s">
        <v>60</v>
      </c>
      <c r="Z634" t="s">
        <v>135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194.77</v>
      </c>
      <c r="AN634" s="2">
        <v>194.77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46062</v>
      </c>
      <c r="B635" t="s">
        <v>48</v>
      </c>
      <c r="C635">
        <v>649163</v>
      </c>
      <c r="D635">
        <v>2030345987</v>
      </c>
      <c r="E635" t="s">
        <v>302</v>
      </c>
      <c r="F635" t="s">
        <v>1031</v>
      </c>
      <c r="G635" t="s">
        <v>51</v>
      </c>
      <c r="H635" t="s">
        <v>392</v>
      </c>
      <c r="I635" t="s">
        <v>72</v>
      </c>
      <c r="J635" t="s">
        <v>93</v>
      </c>
      <c r="K635">
        <v>823068</v>
      </c>
      <c r="L635" t="s">
        <v>355</v>
      </c>
      <c r="M635" t="s">
        <v>356</v>
      </c>
      <c r="N635" t="s">
        <v>57</v>
      </c>
      <c r="O635" s="1">
        <v>45876</v>
      </c>
      <c r="Q635" s="1">
        <v>46088</v>
      </c>
      <c r="R635" s="2">
        <v>51.46</v>
      </c>
      <c r="S635">
        <v>1</v>
      </c>
      <c r="T635" t="s">
        <v>58</v>
      </c>
      <c r="U635" t="s">
        <v>156</v>
      </c>
      <c r="V635" s="3">
        <v>0.9</v>
      </c>
      <c r="W635" s="2">
        <v>0</v>
      </c>
      <c r="X635">
        <v>0</v>
      </c>
      <c r="Y635" t="s">
        <v>60</v>
      </c>
      <c r="Z635" t="s">
        <v>135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0.02</v>
      </c>
      <c r="AM635" s="2">
        <v>46.29</v>
      </c>
      <c r="AN635" s="2">
        <v>46.29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46062</v>
      </c>
      <c r="B636" t="s">
        <v>48</v>
      </c>
      <c r="C636">
        <v>649163</v>
      </c>
      <c r="D636">
        <v>2030349979</v>
      </c>
      <c r="E636" t="s">
        <v>1032</v>
      </c>
      <c r="F636" t="s">
        <v>1033</v>
      </c>
      <c r="G636" t="s">
        <v>51</v>
      </c>
      <c r="H636" t="s">
        <v>84</v>
      </c>
      <c r="I636" t="s">
        <v>72</v>
      </c>
      <c r="J636" t="s">
        <v>93</v>
      </c>
      <c r="K636">
        <v>767312</v>
      </c>
      <c r="L636" t="s">
        <v>310</v>
      </c>
      <c r="M636" t="s">
        <v>311</v>
      </c>
      <c r="N636" t="s">
        <v>57</v>
      </c>
      <c r="O636" s="1">
        <v>45879</v>
      </c>
      <c r="Q636" s="1">
        <v>46091</v>
      </c>
      <c r="R636" s="2">
        <v>29.01</v>
      </c>
      <c r="S636">
        <v>1</v>
      </c>
      <c r="T636" t="s">
        <v>58</v>
      </c>
      <c r="U636" t="s">
        <v>156</v>
      </c>
      <c r="V636" s="3">
        <v>0.9</v>
      </c>
      <c r="W636" s="2">
        <v>0</v>
      </c>
      <c r="X636">
        <v>0</v>
      </c>
      <c r="Y636" t="s">
        <v>60</v>
      </c>
      <c r="Z636" t="s">
        <v>135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26.11</v>
      </c>
      <c r="AN636" s="2">
        <v>26.11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46062</v>
      </c>
      <c r="B637" t="s">
        <v>48</v>
      </c>
      <c r="C637">
        <v>649163</v>
      </c>
      <c r="D637">
        <v>2030366107</v>
      </c>
      <c r="E637" t="s">
        <v>798</v>
      </c>
      <c r="F637" t="s">
        <v>1034</v>
      </c>
      <c r="G637" t="s">
        <v>51</v>
      </c>
      <c r="H637" t="s">
        <v>90</v>
      </c>
      <c r="I637" t="s">
        <v>72</v>
      </c>
      <c r="J637" t="s">
        <v>93</v>
      </c>
      <c r="K637">
        <v>651818</v>
      </c>
      <c r="L637" t="s">
        <v>80</v>
      </c>
      <c r="M637" t="s">
        <v>81</v>
      </c>
      <c r="N637" t="s">
        <v>57</v>
      </c>
      <c r="O637" s="1">
        <v>45878</v>
      </c>
      <c r="Q637" s="1">
        <v>46090</v>
      </c>
      <c r="R637" s="2">
        <v>59.42</v>
      </c>
      <c r="S637">
        <v>1</v>
      </c>
      <c r="T637" t="s">
        <v>58</v>
      </c>
      <c r="U637" t="s">
        <v>156</v>
      </c>
      <c r="V637" s="3">
        <v>0.9</v>
      </c>
      <c r="W637" s="2">
        <v>0</v>
      </c>
      <c r="X637">
        <v>0</v>
      </c>
      <c r="Y637" t="s">
        <v>60</v>
      </c>
      <c r="Z637" t="s">
        <v>135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53.48</v>
      </c>
      <c r="AN637" s="2">
        <v>53.48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46062</v>
      </c>
      <c r="B638" t="s">
        <v>48</v>
      </c>
      <c r="C638">
        <v>649163</v>
      </c>
      <c r="D638">
        <v>2030386535</v>
      </c>
      <c r="E638" t="s">
        <v>1035</v>
      </c>
      <c r="F638" t="s">
        <v>1036</v>
      </c>
      <c r="G638" t="s">
        <v>51</v>
      </c>
      <c r="H638" t="s">
        <v>392</v>
      </c>
      <c r="I638" t="s">
        <v>72</v>
      </c>
      <c r="J638" t="s">
        <v>93</v>
      </c>
      <c r="K638">
        <v>652037</v>
      </c>
      <c r="L638" t="s">
        <v>171</v>
      </c>
      <c r="M638" t="s">
        <v>172</v>
      </c>
      <c r="N638" t="s">
        <v>57</v>
      </c>
      <c r="O638" s="1">
        <v>45878</v>
      </c>
      <c r="Q638" s="1">
        <v>46090</v>
      </c>
      <c r="R638" s="2">
        <v>124.88</v>
      </c>
      <c r="S638">
        <v>1</v>
      </c>
      <c r="T638" t="s">
        <v>58</v>
      </c>
      <c r="U638" t="s">
        <v>156</v>
      </c>
      <c r="V638" s="3">
        <v>0.9</v>
      </c>
      <c r="W638" s="2">
        <v>0</v>
      </c>
      <c r="X638">
        <v>0</v>
      </c>
      <c r="Y638" t="s">
        <v>60</v>
      </c>
      <c r="Z638" t="s">
        <v>135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0.01</v>
      </c>
      <c r="AM638" s="2">
        <v>112.38</v>
      </c>
      <c r="AN638" s="2">
        <v>112.38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46062</v>
      </c>
      <c r="B639" t="s">
        <v>48</v>
      </c>
      <c r="C639">
        <v>649163</v>
      </c>
      <c r="D639">
        <v>2030406801</v>
      </c>
      <c r="E639" t="s">
        <v>768</v>
      </c>
      <c r="F639" t="s">
        <v>769</v>
      </c>
      <c r="G639" t="s">
        <v>51</v>
      </c>
      <c r="H639" t="s">
        <v>274</v>
      </c>
      <c r="I639" t="s">
        <v>72</v>
      </c>
      <c r="J639" t="s">
        <v>73</v>
      </c>
      <c r="K639">
        <v>796984</v>
      </c>
      <c r="L639" t="s">
        <v>491</v>
      </c>
      <c r="M639" t="s">
        <v>492</v>
      </c>
      <c r="N639" t="s">
        <v>57</v>
      </c>
      <c r="O639" s="1">
        <v>45878</v>
      </c>
      <c r="Q639" s="1">
        <v>46090</v>
      </c>
      <c r="R639" s="2">
        <v>27.28</v>
      </c>
      <c r="S639">
        <v>1</v>
      </c>
      <c r="T639" t="s">
        <v>58</v>
      </c>
      <c r="U639" t="s">
        <v>156</v>
      </c>
      <c r="V639" s="3">
        <v>0.75</v>
      </c>
      <c r="W639" s="2">
        <v>0</v>
      </c>
      <c r="X639">
        <v>0</v>
      </c>
      <c r="Y639" t="s">
        <v>60</v>
      </c>
      <c r="Z639" t="s">
        <v>135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20.46</v>
      </c>
      <c r="AN639" s="2">
        <v>20.46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46062</v>
      </c>
      <c r="B640" t="s">
        <v>48</v>
      </c>
      <c r="C640">
        <v>649163</v>
      </c>
      <c r="D640">
        <v>2030435037</v>
      </c>
      <c r="E640" t="s">
        <v>1037</v>
      </c>
      <c r="F640" t="s">
        <v>1038</v>
      </c>
      <c r="G640" t="s">
        <v>51</v>
      </c>
      <c r="H640" t="s">
        <v>780</v>
      </c>
      <c r="I640" t="s">
        <v>72</v>
      </c>
      <c r="J640" t="s">
        <v>93</v>
      </c>
      <c r="K640">
        <v>651818</v>
      </c>
      <c r="L640" t="s">
        <v>80</v>
      </c>
      <c r="M640" t="s">
        <v>81</v>
      </c>
      <c r="N640" t="s">
        <v>57</v>
      </c>
      <c r="O640" s="1">
        <v>45907</v>
      </c>
      <c r="Q640" s="1">
        <v>46088</v>
      </c>
      <c r="R640" s="2">
        <v>87.13</v>
      </c>
      <c r="S640">
        <v>1</v>
      </c>
      <c r="T640" t="s">
        <v>58</v>
      </c>
      <c r="U640" t="s">
        <v>156</v>
      </c>
      <c r="V640" s="3">
        <v>0.9</v>
      </c>
      <c r="W640" s="2">
        <v>0</v>
      </c>
      <c r="X640">
        <v>0</v>
      </c>
      <c r="Y640" t="s">
        <v>60</v>
      </c>
      <c r="Z640" t="s">
        <v>135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78.42</v>
      </c>
      <c r="AN640" s="2">
        <v>78.42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46062</v>
      </c>
      <c r="B641" t="s">
        <v>48</v>
      </c>
      <c r="C641">
        <v>649163</v>
      </c>
      <c r="D641">
        <v>2030441006</v>
      </c>
      <c r="E641" t="s">
        <v>1039</v>
      </c>
      <c r="F641" t="s">
        <v>197</v>
      </c>
      <c r="G641" t="s">
        <v>51</v>
      </c>
      <c r="H641" t="s">
        <v>780</v>
      </c>
      <c r="I641" t="s">
        <v>72</v>
      </c>
      <c r="J641" t="s">
        <v>93</v>
      </c>
      <c r="K641">
        <v>651818</v>
      </c>
      <c r="L641" t="s">
        <v>80</v>
      </c>
      <c r="M641" t="s">
        <v>81</v>
      </c>
      <c r="N641" t="s">
        <v>57</v>
      </c>
      <c r="O641" s="1">
        <v>45907</v>
      </c>
      <c r="Q641" s="1">
        <v>46088</v>
      </c>
      <c r="R641" s="2">
        <v>101.93</v>
      </c>
      <c r="S641">
        <v>1</v>
      </c>
      <c r="T641" t="s">
        <v>58</v>
      </c>
      <c r="U641" t="s">
        <v>156</v>
      </c>
      <c r="V641" s="3">
        <v>0.9</v>
      </c>
      <c r="W641" s="2">
        <v>0</v>
      </c>
      <c r="X641">
        <v>0</v>
      </c>
      <c r="Y641" t="s">
        <v>60</v>
      </c>
      <c r="Z641" t="s">
        <v>135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91.74</v>
      </c>
      <c r="AN641" s="2">
        <v>91.74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46062</v>
      </c>
      <c r="B642" t="s">
        <v>48</v>
      </c>
      <c r="C642">
        <v>649163</v>
      </c>
      <c r="D642">
        <v>2030443828</v>
      </c>
      <c r="E642" t="s">
        <v>1040</v>
      </c>
      <c r="F642" t="s">
        <v>1041</v>
      </c>
      <c r="G642" t="s">
        <v>51</v>
      </c>
      <c r="H642" t="s">
        <v>87</v>
      </c>
      <c r="I642" t="s">
        <v>72</v>
      </c>
      <c r="J642" t="s">
        <v>93</v>
      </c>
      <c r="K642">
        <v>651818</v>
      </c>
      <c r="L642" t="s">
        <v>80</v>
      </c>
      <c r="M642" t="s">
        <v>81</v>
      </c>
      <c r="N642" t="s">
        <v>57</v>
      </c>
      <c r="O642" s="1">
        <v>45907</v>
      </c>
      <c r="Q642" s="1">
        <v>46088</v>
      </c>
      <c r="R642" s="2">
        <v>176.63</v>
      </c>
      <c r="S642">
        <v>1</v>
      </c>
      <c r="T642" t="s">
        <v>58</v>
      </c>
      <c r="U642" t="s">
        <v>156</v>
      </c>
      <c r="V642" s="3">
        <v>0.9</v>
      </c>
      <c r="W642" s="2">
        <v>0</v>
      </c>
      <c r="X642">
        <v>0</v>
      </c>
      <c r="Y642" t="s">
        <v>60</v>
      </c>
      <c r="Z642" t="s">
        <v>135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158.97</v>
      </c>
      <c r="AN642" s="2">
        <v>158.97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46062</v>
      </c>
      <c r="B643" t="s">
        <v>48</v>
      </c>
      <c r="C643">
        <v>649163</v>
      </c>
      <c r="D643">
        <v>2030455582</v>
      </c>
      <c r="E643" t="s">
        <v>775</v>
      </c>
      <c r="F643" t="s">
        <v>155</v>
      </c>
      <c r="G643" t="s">
        <v>51</v>
      </c>
      <c r="H643" t="s">
        <v>274</v>
      </c>
      <c r="I643" t="s">
        <v>72</v>
      </c>
      <c r="J643" t="s">
        <v>455</v>
      </c>
      <c r="K643">
        <v>816021</v>
      </c>
      <c r="L643" t="s">
        <v>275</v>
      </c>
      <c r="M643" t="s">
        <v>276</v>
      </c>
      <c r="N643" t="s">
        <v>57</v>
      </c>
      <c r="O643" s="1">
        <v>45882</v>
      </c>
      <c r="Q643" s="1">
        <v>46094</v>
      </c>
      <c r="R643" s="2">
        <v>29.88</v>
      </c>
      <c r="S643">
        <v>1</v>
      </c>
      <c r="T643" t="s">
        <v>58</v>
      </c>
      <c r="U643" t="s">
        <v>156</v>
      </c>
      <c r="V643" s="3">
        <v>0.65</v>
      </c>
      <c r="W643" s="2">
        <v>0</v>
      </c>
      <c r="X643">
        <v>0</v>
      </c>
      <c r="Y643" t="s">
        <v>60</v>
      </c>
      <c r="Z643" t="s">
        <v>135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0.01</v>
      </c>
      <c r="AM643" s="2">
        <v>19.41</v>
      </c>
      <c r="AN643" s="2">
        <v>19.41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46062</v>
      </c>
      <c r="B644" t="s">
        <v>48</v>
      </c>
      <c r="C644">
        <v>649163</v>
      </c>
      <c r="D644">
        <v>2030477513</v>
      </c>
      <c r="E644" t="s">
        <v>1042</v>
      </c>
      <c r="F644" t="s">
        <v>1043</v>
      </c>
      <c r="G644" t="s">
        <v>51</v>
      </c>
      <c r="H644" t="s">
        <v>84</v>
      </c>
      <c r="I644" t="s">
        <v>72</v>
      </c>
      <c r="J644" t="s">
        <v>79</v>
      </c>
      <c r="K644">
        <v>651818</v>
      </c>
      <c r="L644" t="s">
        <v>80</v>
      </c>
      <c r="M644" t="s">
        <v>81</v>
      </c>
      <c r="N644" t="s">
        <v>57</v>
      </c>
      <c r="O644" s="1">
        <v>45906</v>
      </c>
      <c r="Q644" s="1">
        <v>46087</v>
      </c>
      <c r="R644" s="2">
        <v>24.48</v>
      </c>
      <c r="S644">
        <v>1</v>
      </c>
      <c r="T644" t="s">
        <v>58</v>
      </c>
      <c r="U644" t="s">
        <v>156</v>
      </c>
      <c r="V644" s="3">
        <v>0.75</v>
      </c>
      <c r="W644" s="2">
        <v>0</v>
      </c>
      <c r="X644">
        <v>0</v>
      </c>
      <c r="Y644" t="s">
        <v>60</v>
      </c>
      <c r="Z644" t="s">
        <v>135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18.36</v>
      </c>
      <c r="AN644" s="2">
        <v>18.36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46062</v>
      </c>
      <c r="B645" t="s">
        <v>48</v>
      </c>
      <c r="C645">
        <v>649163</v>
      </c>
      <c r="D645">
        <v>2030517071</v>
      </c>
      <c r="E645" t="s">
        <v>776</v>
      </c>
      <c r="F645" t="s">
        <v>777</v>
      </c>
      <c r="G645" t="s">
        <v>51</v>
      </c>
      <c r="H645" t="s">
        <v>112</v>
      </c>
      <c r="I645" t="s">
        <v>72</v>
      </c>
      <c r="J645" t="s">
        <v>79</v>
      </c>
      <c r="K645">
        <v>651818</v>
      </c>
      <c r="L645" t="s">
        <v>80</v>
      </c>
      <c r="M645" t="s">
        <v>81</v>
      </c>
      <c r="N645" t="s">
        <v>57</v>
      </c>
      <c r="O645" s="1">
        <v>45907</v>
      </c>
      <c r="Q645" s="1">
        <v>46088</v>
      </c>
      <c r="R645" s="2">
        <v>41.58</v>
      </c>
      <c r="S645">
        <v>1</v>
      </c>
      <c r="T645" t="s">
        <v>58</v>
      </c>
      <c r="U645" t="s">
        <v>156</v>
      </c>
      <c r="V645" s="3">
        <v>0.75</v>
      </c>
      <c r="W645" s="2">
        <v>0</v>
      </c>
      <c r="X645">
        <v>0</v>
      </c>
      <c r="Y645" t="s">
        <v>60</v>
      </c>
      <c r="Z645" t="s">
        <v>135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0.02</v>
      </c>
      <c r="AM645" s="2">
        <v>31.16</v>
      </c>
      <c r="AN645" s="2">
        <v>31.16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46062</v>
      </c>
      <c r="B646" t="s">
        <v>48</v>
      </c>
      <c r="C646">
        <v>649163</v>
      </c>
      <c r="D646">
        <v>2030518950</v>
      </c>
      <c r="E646" t="s">
        <v>778</v>
      </c>
      <c r="F646" t="s">
        <v>779</v>
      </c>
      <c r="G646" t="s">
        <v>51</v>
      </c>
      <c r="H646" t="s">
        <v>780</v>
      </c>
      <c r="I646" t="s">
        <v>72</v>
      </c>
      <c r="J646" t="s">
        <v>93</v>
      </c>
      <c r="K646">
        <v>651818</v>
      </c>
      <c r="L646" t="s">
        <v>80</v>
      </c>
      <c r="M646" t="s">
        <v>81</v>
      </c>
      <c r="N646" t="s">
        <v>57</v>
      </c>
      <c r="O646" s="1">
        <v>45907</v>
      </c>
      <c r="Q646" s="1">
        <v>46088</v>
      </c>
      <c r="R646" s="2">
        <v>68.25</v>
      </c>
      <c r="S646">
        <v>1</v>
      </c>
      <c r="T646" t="s">
        <v>58</v>
      </c>
      <c r="U646" t="s">
        <v>156</v>
      </c>
      <c r="V646" s="3">
        <v>0.9</v>
      </c>
      <c r="W646" s="2">
        <v>0</v>
      </c>
      <c r="X646">
        <v>0</v>
      </c>
      <c r="Y646" t="s">
        <v>60</v>
      </c>
      <c r="Z646" t="s">
        <v>135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0.02</v>
      </c>
      <c r="AM646" s="2">
        <v>61.4</v>
      </c>
      <c r="AN646" s="2">
        <v>61.4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46062</v>
      </c>
      <c r="B647" t="s">
        <v>48</v>
      </c>
      <c r="C647">
        <v>649163</v>
      </c>
      <c r="D647">
        <v>2030678711</v>
      </c>
      <c r="E647" t="s">
        <v>1044</v>
      </c>
      <c r="F647" t="s">
        <v>1045</v>
      </c>
      <c r="G647" t="s">
        <v>51</v>
      </c>
      <c r="H647" t="s">
        <v>66</v>
      </c>
      <c r="I647" t="s">
        <v>72</v>
      </c>
      <c r="J647" t="s">
        <v>93</v>
      </c>
      <c r="K647">
        <v>651818</v>
      </c>
      <c r="L647" t="s">
        <v>80</v>
      </c>
      <c r="M647" t="s">
        <v>81</v>
      </c>
      <c r="N647" t="s">
        <v>57</v>
      </c>
      <c r="O647" s="1">
        <v>45906</v>
      </c>
      <c r="Q647" s="1">
        <v>46087</v>
      </c>
      <c r="R647" s="2">
        <v>87.08</v>
      </c>
      <c r="S647">
        <v>1</v>
      </c>
      <c r="T647" t="s">
        <v>58</v>
      </c>
      <c r="U647" t="s">
        <v>156</v>
      </c>
      <c r="V647" s="3">
        <v>0.9</v>
      </c>
      <c r="W647" s="2">
        <v>0</v>
      </c>
      <c r="X647">
        <v>0</v>
      </c>
      <c r="Y647" t="s">
        <v>60</v>
      </c>
      <c r="Z647" t="s">
        <v>135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0.01</v>
      </c>
      <c r="AM647" s="2">
        <v>78.36</v>
      </c>
      <c r="AN647" s="2">
        <v>78.36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46062</v>
      </c>
      <c r="B648" t="s">
        <v>48</v>
      </c>
      <c r="C648">
        <v>649163</v>
      </c>
      <c r="D648">
        <v>2030820713</v>
      </c>
      <c r="E648" t="s">
        <v>1046</v>
      </c>
      <c r="F648" t="s">
        <v>1047</v>
      </c>
      <c r="G648" t="s">
        <v>51</v>
      </c>
      <c r="H648" t="s">
        <v>78</v>
      </c>
      <c r="I648" t="s">
        <v>72</v>
      </c>
      <c r="J648" t="s">
        <v>93</v>
      </c>
      <c r="K648">
        <v>651818</v>
      </c>
      <c r="L648" t="s">
        <v>80</v>
      </c>
      <c r="M648" t="s">
        <v>81</v>
      </c>
      <c r="N648" t="s">
        <v>144</v>
      </c>
      <c r="O648" s="1">
        <v>45936</v>
      </c>
      <c r="P648" s="1">
        <v>46062</v>
      </c>
      <c r="Q648" s="1">
        <v>46087</v>
      </c>
      <c r="R648" s="2">
        <v>61.25</v>
      </c>
      <c r="S648">
        <v>1</v>
      </c>
      <c r="T648" t="s">
        <v>58</v>
      </c>
      <c r="U648" t="s">
        <v>59</v>
      </c>
      <c r="V648" s="3">
        <v>0.9</v>
      </c>
      <c r="W648" s="2">
        <v>0</v>
      </c>
      <c r="X648">
        <v>0</v>
      </c>
      <c r="Y648" t="s">
        <v>60</v>
      </c>
      <c r="Z648" t="s">
        <v>135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55.12</v>
      </c>
      <c r="AN648" s="2">
        <v>55.12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46062</v>
      </c>
      <c r="B649" t="s">
        <v>48</v>
      </c>
      <c r="C649">
        <v>649163</v>
      </c>
      <c r="D649">
        <v>2030917278</v>
      </c>
      <c r="E649" t="s">
        <v>575</v>
      </c>
      <c r="F649" t="s">
        <v>576</v>
      </c>
      <c r="G649" t="s">
        <v>51</v>
      </c>
      <c r="H649" t="s">
        <v>140</v>
      </c>
      <c r="I649" t="s">
        <v>72</v>
      </c>
      <c r="J649" t="s">
        <v>73</v>
      </c>
      <c r="K649">
        <v>874230</v>
      </c>
      <c r="L649" t="s">
        <v>142</v>
      </c>
      <c r="M649" t="s">
        <v>143</v>
      </c>
      <c r="N649" t="s">
        <v>57</v>
      </c>
      <c r="O649" s="1">
        <v>45910</v>
      </c>
      <c r="Q649" s="1">
        <v>46091</v>
      </c>
      <c r="R649" s="2">
        <v>32.380000000000003</v>
      </c>
      <c r="S649">
        <v>1</v>
      </c>
      <c r="T649" t="s">
        <v>58</v>
      </c>
      <c r="U649" t="s">
        <v>156</v>
      </c>
      <c r="V649" s="3">
        <v>0.75</v>
      </c>
      <c r="W649" s="2">
        <v>0</v>
      </c>
      <c r="X649">
        <v>0</v>
      </c>
      <c r="Y649" t="s">
        <v>60</v>
      </c>
      <c r="Z649" t="s">
        <v>135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0.02</v>
      </c>
      <c r="AM649" s="2">
        <v>24.26</v>
      </c>
      <c r="AN649" s="2">
        <v>24.26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46062</v>
      </c>
      <c r="B650" t="s">
        <v>48</v>
      </c>
      <c r="C650">
        <v>649163</v>
      </c>
      <c r="D650">
        <v>2030933673</v>
      </c>
      <c r="E650" t="s">
        <v>577</v>
      </c>
      <c r="F650" t="s">
        <v>578</v>
      </c>
      <c r="G650" t="s">
        <v>51</v>
      </c>
      <c r="H650" t="s">
        <v>392</v>
      </c>
      <c r="I650" t="s">
        <v>72</v>
      </c>
      <c r="J650" t="s">
        <v>93</v>
      </c>
      <c r="K650">
        <v>823068</v>
      </c>
      <c r="L650" t="s">
        <v>355</v>
      </c>
      <c r="M650" t="s">
        <v>356</v>
      </c>
      <c r="N650" t="s">
        <v>57</v>
      </c>
      <c r="O650" s="1">
        <v>45909</v>
      </c>
      <c r="Q650" s="1">
        <v>46090</v>
      </c>
      <c r="R650" s="2">
        <v>76.5</v>
      </c>
      <c r="S650">
        <v>1</v>
      </c>
      <c r="T650" t="s">
        <v>58</v>
      </c>
      <c r="U650" t="s">
        <v>59</v>
      </c>
      <c r="V650" s="3">
        <v>0.9</v>
      </c>
      <c r="W650" s="2">
        <v>0</v>
      </c>
      <c r="X650">
        <v>0</v>
      </c>
      <c r="Y650" t="s">
        <v>60</v>
      </c>
      <c r="Z650" t="s">
        <v>135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68.849999999999994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46062</v>
      </c>
      <c r="B651" t="s">
        <v>48</v>
      </c>
      <c r="C651">
        <v>649163</v>
      </c>
      <c r="D651">
        <v>2030945124</v>
      </c>
      <c r="E651" t="s">
        <v>580</v>
      </c>
      <c r="F651" t="s">
        <v>581</v>
      </c>
      <c r="G651" t="s">
        <v>51</v>
      </c>
      <c r="H651" t="s">
        <v>66</v>
      </c>
      <c r="I651" t="s">
        <v>72</v>
      </c>
      <c r="J651" t="s">
        <v>73</v>
      </c>
      <c r="K651">
        <v>820873</v>
      </c>
      <c r="L651" t="s">
        <v>319</v>
      </c>
      <c r="M651" t="s">
        <v>320</v>
      </c>
      <c r="N651" t="s">
        <v>57</v>
      </c>
      <c r="O651" s="1">
        <v>45909</v>
      </c>
      <c r="Q651" s="1">
        <v>46090</v>
      </c>
      <c r="R651" s="2">
        <v>47.13</v>
      </c>
      <c r="S651">
        <v>1</v>
      </c>
      <c r="T651" t="s">
        <v>58</v>
      </c>
      <c r="U651" t="s">
        <v>59</v>
      </c>
      <c r="V651" s="3">
        <v>0.75</v>
      </c>
      <c r="W651" s="2">
        <v>0</v>
      </c>
      <c r="X651">
        <v>0</v>
      </c>
      <c r="Y651" t="s">
        <v>60</v>
      </c>
      <c r="Z651" t="s">
        <v>135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35.35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46062</v>
      </c>
      <c r="B652" t="s">
        <v>48</v>
      </c>
      <c r="C652">
        <v>649163</v>
      </c>
      <c r="D652">
        <v>2030948466</v>
      </c>
      <c r="E652" t="s">
        <v>1048</v>
      </c>
      <c r="F652" t="s">
        <v>1049</v>
      </c>
      <c r="G652" t="s">
        <v>51</v>
      </c>
      <c r="H652" t="s">
        <v>90</v>
      </c>
      <c r="I652" t="s">
        <v>72</v>
      </c>
      <c r="J652" t="s">
        <v>93</v>
      </c>
      <c r="K652">
        <v>651818</v>
      </c>
      <c r="L652" t="s">
        <v>80</v>
      </c>
      <c r="M652" t="s">
        <v>81</v>
      </c>
      <c r="N652" t="s">
        <v>57</v>
      </c>
      <c r="O652" s="1">
        <v>45936</v>
      </c>
      <c r="Q652" s="1">
        <v>46087</v>
      </c>
      <c r="R652" s="2">
        <v>180.92</v>
      </c>
      <c r="S652">
        <v>1</v>
      </c>
      <c r="T652" t="s">
        <v>58</v>
      </c>
      <c r="U652" t="s">
        <v>59</v>
      </c>
      <c r="V652" s="3">
        <v>0.9</v>
      </c>
      <c r="W652" s="2">
        <v>0</v>
      </c>
      <c r="X652">
        <v>0</v>
      </c>
      <c r="Y652" t="s">
        <v>60</v>
      </c>
      <c r="Z652" t="s">
        <v>135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162.83000000000001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46062</v>
      </c>
      <c r="B653" t="s">
        <v>48</v>
      </c>
      <c r="C653">
        <v>649163</v>
      </c>
      <c r="D653">
        <v>2030951715</v>
      </c>
      <c r="E653" t="s">
        <v>1050</v>
      </c>
      <c r="F653" t="s">
        <v>500</v>
      </c>
      <c r="G653" t="s">
        <v>51</v>
      </c>
      <c r="H653" t="s">
        <v>392</v>
      </c>
      <c r="I653" t="s">
        <v>72</v>
      </c>
      <c r="J653" t="s">
        <v>93</v>
      </c>
      <c r="K653">
        <v>652037</v>
      </c>
      <c r="L653" t="s">
        <v>171</v>
      </c>
      <c r="M653" t="s">
        <v>172</v>
      </c>
      <c r="N653" t="s">
        <v>57</v>
      </c>
      <c r="O653" s="1">
        <v>45910</v>
      </c>
      <c r="Q653" s="1">
        <v>46091</v>
      </c>
      <c r="R653" s="2">
        <v>38.67</v>
      </c>
      <c r="S653">
        <v>1</v>
      </c>
      <c r="T653" t="s">
        <v>58</v>
      </c>
      <c r="U653" t="s">
        <v>59</v>
      </c>
      <c r="V653" s="3">
        <v>0.9</v>
      </c>
      <c r="W653" s="2">
        <v>0</v>
      </c>
      <c r="X653">
        <v>0</v>
      </c>
      <c r="Y653" t="s">
        <v>60</v>
      </c>
      <c r="Z653" t="s">
        <v>135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34.799999999999997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46062</v>
      </c>
      <c r="B654" t="s">
        <v>48</v>
      </c>
      <c r="C654">
        <v>649163</v>
      </c>
      <c r="D654">
        <v>2030963809</v>
      </c>
      <c r="E654" t="s">
        <v>534</v>
      </c>
      <c r="F654" t="s">
        <v>1051</v>
      </c>
      <c r="G654" t="s">
        <v>51</v>
      </c>
      <c r="H654" t="s">
        <v>170</v>
      </c>
      <c r="I654" t="s">
        <v>72</v>
      </c>
      <c r="J654" t="s">
        <v>73</v>
      </c>
      <c r="K654">
        <v>673059</v>
      </c>
      <c r="L654" t="s">
        <v>162</v>
      </c>
      <c r="M654" t="s">
        <v>180</v>
      </c>
      <c r="N654" t="s">
        <v>57</v>
      </c>
      <c r="O654" s="1">
        <v>45910</v>
      </c>
      <c r="Q654" s="1">
        <v>46091</v>
      </c>
      <c r="R654" s="2">
        <v>74.290000000000006</v>
      </c>
      <c r="S654">
        <v>1</v>
      </c>
      <c r="T654" t="s">
        <v>58</v>
      </c>
      <c r="U654" t="s">
        <v>59</v>
      </c>
      <c r="V654" s="3">
        <v>0.75</v>
      </c>
      <c r="W654" s="2">
        <v>0</v>
      </c>
      <c r="X654">
        <v>0</v>
      </c>
      <c r="Y654" t="s">
        <v>60</v>
      </c>
      <c r="Z654" t="s">
        <v>135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55.72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46062</v>
      </c>
      <c r="B655" t="s">
        <v>48</v>
      </c>
      <c r="C655">
        <v>649163</v>
      </c>
      <c r="D655">
        <v>2031017069</v>
      </c>
      <c r="E655" t="s">
        <v>583</v>
      </c>
      <c r="F655" t="s">
        <v>188</v>
      </c>
      <c r="G655" t="s">
        <v>51</v>
      </c>
      <c r="H655" t="s">
        <v>116</v>
      </c>
      <c r="I655" t="s">
        <v>72</v>
      </c>
      <c r="J655" t="s">
        <v>93</v>
      </c>
      <c r="K655">
        <v>877790</v>
      </c>
      <c r="L655" t="s">
        <v>132</v>
      </c>
      <c r="M655" t="s">
        <v>133</v>
      </c>
      <c r="N655" t="s">
        <v>57</v>
      </c>
      <c r="O655" s="1">
        <v>45913</v>
      </c>
      <c r="Q655" s="1">
        <v>46094</v>
      </c>
      <c r="R655" s="2">
        <v>55</v>
      </c>
      <c r="S655">
        <v>1</v>
      </c>
      <c r="T655" t="s">
        <v>58</v>
      </c>
      <c r="U655" t="s">
        <v>59</v>
      </c>
      <c r="V655" s="3">
        <v>0.9</v>
      </c>
      <c r="W655" s="2">
        <v>0</v>
      </c>
      <c r="X655">
        <v>0</v>
      </c>
      <c r="Y655" t="s">
        <v>60</v>
      </c>
      <c r="Z655" t="s">
        <v>135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49.5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46062</v>
      </c>
      <c r="B656" t="s">
        <v>48</v>
      </c>
      <c r="C656">
        <v>649163</v>
      </c>
      <c r="D656">
        <v>2031190209</v>
      </c>
      <c r="E656" t="s">
        <v>785</v>
      </c>
      <c r="F656" t="s">
        <v>337</v>
      </c>
      <c r="G656" t="s">
        <v>51</v>
      </c>
      <c r="H656" t="s">
        <v>209</v>
      </c>
      <c r="I656" t="s">
        <v>72</v>
      </c>
      <c r="J656" t="s">
        <v>73</v>
      </c>
      <c r="K656">
        <v>823350</v>
      </c>
      <c r="L656" t="s">
        <v>108</v>
      </c>
      <c r="M656" t="s">
        <v>394</v>
      </c>
      <c r="N656" t="s">
        <v>57</v>
      </c>
      <c r="O656" s="1">
        <v>45925</v>
      </c>
      <c r="Q656" s="1">
        <v>46106</v>
      </c>
      <c r="R656" s="2">
        <v>80.8</v>
      </c>
      <c r="S656">
        <v>1</v>
      </c>
      <c r="T656" t="s">
        <v>58</v>
      </c>
      <c r="U656" t="s">
        <v>59</v>
      </c>
      <c r="V656" s="3">
        <v>0.75</v>
      </c>
      <c r="W656" s="2">
        <v>0</v>
      </c>
      <c r="X656">
        <v>0</v>
      </c>
      <c r="Y656" t="s">
        <v>60</v>
      </c>
      <c r="Z656" t="s">
        <v>135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60.6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46062</v>
      </c>
      <c r="B657" t="s">
        <v>48</v>
      </c>
      <c r="C657">
        <v>649163</v>
      </c>
      <c r="D657">
        <v>2031247582</v>
      </c>
      <c r="E657" t="s">
        <v>786</v>
      </c>
      <c r="F657" t="s">
        <v>285</v>
      </c>
      <c r="G657" t="s">
        <v>51</v>
      </c>
      <c r="H657" t="s">
        <v>66</v>
      </c>
      <c r="I657" t="s">
        <v>72</v>
      </c>
      <c r="J657" t="s">
        <v>93</v>
      </c>
      <c r="K657">
        <v>651818</v>
      </c>
      <c r="L657" t="s">
        <v>80</v>
      </c>
      <c r="M657" t="s">
        <v>81</v>
      </c>
      <c r="N657" t="s">
        <v>57</v>
      </c>
      <c r="O657" s="1">
        <v>45936</v>
      </c>
      <c r="Q657" s="1">
        <v>46087</v>
      </c>
      <c r="R657" s="2">
        <v>135.33000000000001</v>
      </c>
      <c r="S657">
        <v>1</v>
      </c>
      <c r="T657" t="s">
        <v>58</v>
      </c>
      <c r="U657" t="s">
        <v>59</v>
      </c>
      <c r="V657" s="3">
        <v>0.9</v>
      </c>
      <c r="W657" s="2">
        <v>0</v>
      </c>
      <c r="X657">
        <v>0</v>
      </c>
      <c r="Y657" t="s">
        <v>60</v>
      </c>
      <c r="Z657" t="s">
        <v>135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121.8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46062</v>
      </c>
      <c r="B658" t="s">
        <v>48</v>
      </c>
      <c r="C658">
        <v>649163</v>
      </c>
      <c r="D658">
        <v>2031270408</v>
      </c>
      <c r="E658" t="s">
        <v>1052</v>
      </c>
      <c r="F658" t="s">
        <v>102</v>
      </c>
      <c r="G658" t="s">
        <v>51</v>
      </c>
      <c r="H658" t="s">
        <v>84</v>
      </c>
      <c r="I658" t="s">
        <v>72</v>
      </c>
      <c r="J658" t="s">
        <v>73</v>
      </c>
      <c r="K658">
        <v>651818</v>
      </c>
      <c r="L658" t="s">
        <v>80</v>
      </c>
      <c r="M658" t="s">
        <v>81</v>
      </c>
      <c r="N658" t="s">
        <v>57</v>
      </c>
      <c r="O658" s="1">
        <v>45941</v>
      </c>
      <c r="Q658" s="1">
        <v>46092</v>
      </c>
      <c r="R658" s="2">
        <v>85.15</v>
      </c>
      <c r="S658">
        <v>1</v>
      </c>
      <c r="T658" t="s">
        <v>58</v>
      </c>
      <c r="U658" t="s">
        <v>59</v>
      </c>
      <c r="V658" s="3">
        <v>0.75</v>
      </c>
      <c r="W658" s="2">
        <v>0</v>
      </c>
      <c r="X658">
        <v>0</v>
      </c>
      <c r="Y658" t="s">
        <v>60</v>
      </c>
      <c r="Z658" t="s">
        <v>135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63.86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46062</v>
      </c>
      <c r="B659" t="s">
        <v>48</v>
      </c>
      <c r="C659">
        <v>649163</v>
      </c>
      <c r="D659">
        <v>2031290289</v>
      </c>
      <c r="E659" t="s">
        <v>1053</v>
      </c>
      <c r="F659" t="s">
        <v>1054</v>
      </c>
      <c r="G659" t="s">
        <v>51</v>
      </c>
      <c r="H659" t="s">
        <v>66</v>
      </c>
      <c r="I659" t="s">
        <v>72</v>
      </c>
      <c r="J659" t="s">
        <v>93</v>
      </c>
      <c r="K659">
        <v>651818</v>
      </c>
      <c r="L659" t="s">
        <v>80</v>
      </c>
      <c r="M659" t="s">
        <v>81</v>
      </c>
      <c r="N659" t="s">
        <v>57</v>
      </c>
      <c r="O659" s="1">
        <v>45936</v>
      </c>
      <c r="Q659" s="1">
        <v>46087</v>
      </c>
      <c r="R659" s="2">
        <v>260.01</v>
      </c>
      <c r="S659">
        <v>1</v>
      </c>
      <c r="T659" t="s">
        <v>58</v>
      </c>
      <c r="U659" t="s">
        <v>59</v>
      </c>
      <c r="V659" s="3">
        <v>0.9</v>
      </c>
      <c r="W659" s="2">
        <v>0</v>
      </c>
      <c r="X659">
        <v>0</v>
      </c>
      <c r="Y659" t="s">
        <v>60</v>
      </c>
      <c r="Z659" t="s">
        <v>135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234.01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46062</v>
      </c>
      <c r="B660" t="s">
        <v>48</v>
      </c>
      <c r="C660">
        <v>649163</v>
      </c>
      <c r="D660">
        <v>2031320896</v>
      </c>
      <c r="E660" t="s">
        <v>1055</v>
      </c>
      <c r="F660" t="s">
        <v>457</v>
      </c>
      <c r="G660" t="s">
        <v>51</v>
      </c>
      <c r="H660" t="s">
        <v>84</v>
      </c>
      <c r="I660" t="s">
        <v>72</v>
      </c>
      <c r="J660" t="s">
        <v>79</v>
      </c>
      <c r="K660">
        <v>651818</v>
      </c>
      <c r="L660" t="s">
        <v>80</v>
      </c>
      <c r="M660" t="s">
        <v>81</v>
      </c>
      <c r="N660" t="s">
        <v>57</v>
      </c>
      <c r="O660" s="1">
        <v>45936</v>
      </c>
      <c r="Q660" s="1">
        <v>46087</v>
      </c>
      <c r="R660" s="2">
        <v>125.45</v>
      </c>
      <c r="S660">
        <v>1</v>
      </c>
      <c r="T660" t="s">
        <v>58</v>
      </c>
      <c r="U660" t="s">
        <v>59</v>
      </c>
      <c r="V660" s="3">
        <v>0.75</v>
      </c>
      <c r="W660" s="2">
        <v>0</v>
      </c>
      <c r="X660">
        <v>0</v>
      </c>
      <c r="Y660" t="s">
        <v>60</v>
      </c>
      <c r="Z660" t="s">
        <v>135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94.09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46062</v>
      </c>
      <c r="B661" t="s">
        <v>48</v>
      </c>
      <c r="C661">
        <v>649163</v>
      </c>
      <c r="D661">
        <v>2031346769</v>
      </c>
      <c r="E661" t="s">
        <v>1056</v>
      </c>
      <c r="F661" t="s">
        <v>1057</v>
      </c>
      <c r="G661" t="s">
        <v>51</v>
      </c>
      <c r="H661" t="s">
        <v>392</v>
      </c>
      <c r="I661" t="s">
        <v>72</v>
      </c>
      <c r="J661" t="s">
        <v>93</v>
      </c>
      <c r="K661">
        <v>823068</v>
      </c>
      <c r="L661" t="s">
        <v>355</v>
      </c>
      <c r="M661" t="s">
        <v>356</v>
      </c>
      <c r="N661" t="s">
        <v>57</v>
      </c>
      <c r="O661" s="1">
        <v>45931</v>
      </c>
      <c r="Q661" s="1">
        <v>46082</v>
      </c>
      <c r="R661" s="2">
        <v>28.88</v>
      </c>
      <c r="S661">
        <v>1</v>
      </c>
      <c r="T661" t="s">
        <v>58</v>
      </c>
      <c r="U661" t="s">
        <v>59</v>
      </c>
      <c r="V661" s="3">
        <v>0.9</v>
      </c>
      <c r="W661" s="2">
        <v>0</v>
      </c>
      <c r="X661">
        <v>0</v>
      </c>
      <c r="Y661" t="s">
        <v>60</v>
      </c>
      <c r="Z661" t="s">
        <v>135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25.99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46062</v>
      </c>
      <c r="B662" t="s">
        <v>48</v>
      </c>
      <c r="C662">
        <v>649163</v>
      </c>
      <c r="D662">
        <v>2031418071</v>
      </c>
      <c r="E662" t="s">
        <v>1058</v>
      </c>
      <c r="F662" t="s">
        <v>75</v>
      </c>
      <c r="G662" t="s">
        <v>51</v>
      </c>
      <c r="H662" t="s">
        <v>780</v>
      </c>
      <c r="I662" t="s">
        <v>72</v>
      </c>
      <c r="J662" t="s">
        <v>93</v>
      </c>
      <c r="K662">
        <v>651818</v>
      </c>
      <c r="L662" t="s">
        <v>80</v>
      </c>
      <c r="M662" t="s">
        <v>81</v>
      </c>
      <c r="N662" t="s">
        <v>57</v>
      </c>
      <c r="O662" s="1">
        <v>45971</v>
      </c>
      <c r="Q662" s="1">
        <v>46091</v>
      </c>
      <c r="R662" s="2">
        <v>178.58</v>
      </c>
      <c r="S662">
        <v>1</v>
      </c>
      <c r="T662" t="s">
        <v>58</v>
      </c>
      <c r="U662" t="s">
        <v>59</v>
      </c>
      <c r="V662" s="3">
        <v>0.9</v>
      </c>
      <c r="W662" s="2">
        <v>0</v>
      </c>
      <c r="X662">
        <v>0</v>
      </c>
      <c r="Y662" t="s">
        <v>60</v>
      </c>
      <c r="Z662" t="s">
        <v>135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160.72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46062</v>
      </c>
      <c r="B663" t="s">
        <v>48</v>
      </c>
      <c r="C663">
        <v>649163</v>
      </c>
      <c r="D663">
        <v>2031492464</v>
      </c>
      <c r="E663" t="s">
        <v>787</v>
      </c>
      <c r="F663" t="s">
        <v>201</v>
      </c>
      <c r="G663" t="s">
        <v>51</v>
      </c>
      <c r="H663" t="s">
        <v>71</v>
      </c>
      <c r="I663" t="s">
        <v>72</v>
      </c>
      <c r="J663" t="s">
        <v>73</v>
      </c>
      <c r="K663">
        <v>823350</v>
      </c>
      <c r="L663" t="s">
        <v>108</v>
      </c>
      <c r="M663" t="s">
        <v>394</v>
      </c>
      <c r="N663" t="s">
        <v>57</v>
      </c>
      <c r="O663" s="1">
        <v>45938</v>
      </c>
      <c r="Q663" s="1">
        <v>46089</v>
      </c>
      <c r="R663" s="2">
        <v>71.63</v>
      </c>
      <c r="S663">
        <v>1</v>
      </c>
      <c r="T663" t="s">
        <v>58</v>
      </c>
      <c r="U663" t="s">
        <v>59</v>
      </c>
      <c r="V663" s="3">
        <v>0.75</v>
      </c>
      <c r="W663" s="2">
        <v>0</v>
      </c>
      <c r="X663">
        <v>0</v>
      </c>
      <c r="Y663" t="s">
        <v>60</v>
      </c>
      <c r="Z663" t="s">
        <v>135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53.72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46062</v>
      </c>
      <c r="B664" t="s">
        <v>48</v>
      </c>
      <c r="C664">
        <v>649163</v>
      </c>
      <c r="D664">
        <v>2031523387</v>
      </c>
      <c r="E664" t="s">
        <v>1059</v>
      </c>
      <c r="F664" t="s">
        <v>302</v>
      </c>
      <c r="G664" t="s">
        <v>51</v>
      </c>
      <c r="H664" t="s">
        <v>274</v>
      </c>
      <c r="I664" t="s">
        <v>72</v>
      </c>
      <c r="J664" t="s">
        <v>455</v>
      </c>
      <c r="K664">
        <v>816021</v>
      </c>
      <c r="L664" t="s">
        <v>275</v>
      </c>
      <c r="M664" t="s">
        <v>276</v>
      </c>
      <c r="N664" t="s">
        <v>57</v>
      </c>
      <c r="O664" s="1">
        <v>45939</v>
      </c>
      <c r="Q664" s="1">
        <v>46090</v>
      </c>
      <c r="R664" s="2">
        <v>63.48</v>
      </c>
      <c r="S664">
        <v>1</v>
      </c>
      <c r="T664" t="s">
        <v>58</v>
      </c>
      <c r="U664" t="s">
        <v>59</v>
      </c>
      <c r="V664" s="3">
        <v>0.65</v>
      </c>
      <c r="W664" s="2">
        <v>0</v>
      </c>
      <c r="X664">
        <v>0</v>
      </c>
      <c r="Y664" t="s">
        <v>60</v>
      </c>
      <c r="Z664" t="s">
        <v>135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41.26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46062</v>
      </c>
      <c r="B665" t="s">
        <v>48</v>
      </c>
      <c r="C665">
        <v>649163</v>
      </c>
      <c r="D665">
        <v>2031620271</v>
      </c>
      <c r="E665" t="s">
        <v>1060</v>
      </c>
      <c r="F665" t="s">
        <v>1061</v>
      </c>
      <c r="G665" t="s">
        <v>51</v>
      </c>
      <c r="H665" t="s">
        <v>90</v>
      </c>
      <c r="I665" t="s">
        <v>72</v>
      </c>
      <c r="J665" t="s">
        <v>73</v>
      </c>
      <c r="K665">
        <v>651818</v>
      </c>
      <c r="L665" t="s">
        <v>80</v>
      </c>
      <c r="M665" t="s">
        <v>81</v>
      </c>
      <c r="N665" t="s">
        <v>57</v>
      </c>
      <c r="O665" s="1">
        <v>45971</v>
      </c>
      <c r="Q665" s="1">
        <v>46091</v>
      </c>
      <c r="R665" s="2">
        <v>60.28</v>
      </c>
      <c r="S665">
        <v>1</v>
      </c>
      <c r="T665" t="s">
        <v>58</v>
      </c>
      <c r="U665" t="s">
        <v>59</v>
      </c>
      <c r="V665" s="3">
        <v>0.75</v>
      </c>
      <c r="W665" s="2">
        <v>0</v>
      </c>
      <c r="X665">
        <v>0</v>
      </c>
      <c r="Y665" t="s">
        <v>60</v>
      </c>
      <c r="Z665" t="s">
        <v>135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45.21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46062</v>
      </c>
      <c r="B666" t="s">
        <v>48</v>
      </c>
      <c r="C666">
        <v>649163</v>
      </c>
      <c r="D666">
        <v>2031713686</v>
      </c>
      <c r="E666" t="s">
        <v>1062</v>
      </c>
      <c r="F666" t="s">
        <v>1063</v>
      </c>
      <c r="G666" t="s">
        <v>51</v>
      </c>
      <c r="H666" t="s">
        <v>392</v>
      </c>
      <c r="I666" t="s">
        <v>72</v>
      </c>
      <c r="J666" t="s">
        <v>93</v>
      </c>
      <c r="K666">
        <v>823068</v>
      </c>
      <c r="L666" t="s">
        <v>355</v>
      </c>
      <c r="M666" t="s">
        <v>356</v>
      </c>
      <c r="N666" t="s">
        <v>57</v>
      </c>
      <c r="O666" s="1">
        <v>45969</v>
      </c>
      <c r="Q666" s="1">
        <v>46089</v>
      </c>
      <c r="R666" s="2">
        <v>119.44</v>
      </c>
      <c r="S666">
        <v>1</v>
      </c>
      <c r="T666" t="s">
        <v>58</v>
      </c>
      <c r="U666" t="s">
        <v>59</v>
      </c>
      <c r="V666" s="3">
        <v>0.9</v>
      </c>
      <c r="W666" s="2">
        <v>0</v>
      </c>
      <c r="X666">
        <v>0</v>
      </c>
      <c r="Y666" t="s">
        <v>60</v>
      </c>
      <c r="Z666" t="s">
        <v>135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107.5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46062</v>
      </c>
      <c r="B667" t="s">
        <v>48</v>
      </c>
      <c r="C667">
        <v>649163</v>
      </c>
      <c r="D667">
        <v>2031825054</v>
      </c>
      <c r="E667" t="s">
        <v>1064</v>
      </c>
      <c r="F667" t="s">
        <v>551</v>
      </c>
      <c r="G667" t="s">
        <v>51</v>
      </c>
      <c r="H667" t="s">
        <v>87</v>
      </c>
      <c r="I667" t="s">
        <v>72</v>
      </c>
      <c r="J667" t="s">
        <v>79</v>
      </c>
      <c r="K667">
        <v>651818</v>
      </c>
      <c r="L667" t="s">
        <v>80</v>
      </c>
      <c r="M667" t="s">
        <v>81</v>
      </c>
      <c r="N667" t="s">
        <v>57</v>
      </c>
      <c r="O667" s="1">
        <v>45967</v>
      </c>
      <c r="Q667" s="1">
        <v>46087</v>
      </c>
      <c r="R667" s="2">
        <v>108.2</v>
      </c>
      <c r="S667">
        <v>1</v>
      </c>
      <c r="T667" t="s">
        <v>58</v>
      </c>
      <c r="U667" t="s">
        <v>59</v>
      </c>
      <c r="V667" s="3">
        <v>0.75</v>
      </c>
      <c r="W667" s="2">
        <v>0</v>
      </c>
      <c r="X667">
        <v>0</v>
      </c>
      <c r="Y667" t="s">
        <v>60</v>
      </c>
      <c r="Z667" t="s">
        <v>135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81.150000000000006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46062</v>
      </c>
      <c r="B668" t="s">
        <v>48</v>
      </c>
      <c r="C668">
        <v>649163</v>
      </c>
      <c r="D668">
        <v>2031978324</v>
      </c>
      <c r="E668" t="s">
        <v>1065</v>
      </c>
      <c r="F668" t="s">
        <v>1066</v>
      </c>
      <c r="G668" t="s">
        <v>51</v>
      </c>
      <c r="H668" t="s">
        <v>886</v>
      </c>
      <c r="I668" t="s">
        <v>72</v>
      </c>
      <c r="J668" t="s">
        <v>73</v>
      </c>
      <c r="K668">
        <v>651818</v>
      </c>
      <c r="L668" t="s">
        <v>80</v>
      </c>
      <c r="M668" t="s">
        <v>81</v>
      </c>
      <c r="N668" t="s">
        <v>57</v>
      </c>
      <c r="O668" s="1">
        <v>46028</v>
      </c>
      <c r="Q668" s="1">
        <v>46087</v>
      </c>
      <c r="R668" s="2">
        <v>85.87</v>
      </c>
      <c r="S668">
        <v>1</v>
      </c>
      <c r="T668" t="s">
        <v>58</v>
      </c>
      <c r="U668" t="s">
        <v>59</v>
      </c>
      <c r="V668" s="3">
        <v>0.75</v>
      </c>
      <c r="W668" s="2">
        <v>0</v>
      </c>
      <c r="X668">
        <v>0</v>
      </c>
      <c r="Y668" t="s">
        <v>60</v>
      </c>
      <c r="Z668" t="s">
        <v>135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64.400000000000006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46062</v>
      </c>
      <c r="B669" t="s">
        <v>48</v>
      </c>
      <c r="C669">
        <v>649163</v>
      </c>
      <c r="D669">
        <v>2032010096</v>
      </c>
      <c r="E669" t="s">
        <v>1067</v>
      </c>
      <c r="F669" t="s">
        <v>561</v>
      </c>
      <c r="G669" t="s">
        <v>51</v>
      </c>
      <c r="H669" t="s">
        <v>66</v>
      </c>
      <c r="I669" t="s">
        <v>72</v>
      </c>
      <c r="J669" t="s">
        <v>73</v>
      </c>
      <c r="K669">
        <v>673059</v>
      </c>
      <c r="L669" t="s">
        <v>162</v>
      </c>
      <c r="M669" t="s">
        <v>180</v>
      </c>
      <c r="N669" t="s">
        <v>57</v>
      </c>
      <c r="O669" s="1">
        <v>45967</v>
      </c>
      <c r="Q669" s="1">
        <v>46087</v>
      </c>
      <c r="R669" s="2">
        <v>108.28</v>
      </c>
      <c r="S669">
        <v>1</v>
      </c>
      <c r="T669" t="s">
        <v>58</v>
      </c>
      <c r="U669" t="s">
        <v>59</v>
      </c>
      <c r="V669" s="3">
        <v>0.75</v>
      </c>
      <c r="W669" s="2">
        <v>0</v>
      </c>
      <c r="X669">
        <v>0</v>
      </c>
      <c r="Y669" t="s">
        <v>60</v>
      </c>
      <c r="Z669" t="s">
        <v>135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81.209999999999994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46062</v>
      </c>
      <c r="B670" t="s">
        <v>48</v>
      </c>
      <c r="C670">
        <v>649163</v>
      </c>
      <c r="D670">
        <v>2032016199</v>
      </c>
      <c r="E670" t="s">
        <v>402</v>
      </c>
      <c r="F670" t="s">
        <v>1068</v>
      </c>
      <c r="G670" t="s">
        <v>51</v>
      </c>
      <c r="H670" t="s">
        <v>87</v>
      </c>
      <c r="I670" t="s">
        <v>72</v>
      </c>
      <c r="J670" t="s">
        <v>79</v>
      </c>
      <c r="K670">
        <v>651818</v>
      </c>
      <c r="L670" t="s">
        <v>80</v>
      </c>
      <c r="M670" t="s">
        <v>81</v>
      </c>
      <c r="N670" t="s">
        <v>57</v>
      </c>
      <c r="O670" s="1">
        <v>46028</v>
      </c>
      <c r="Q670" s="1">
        <v>46087</v>
      </c>
      <c r="R670" s="2">
        <v>148.44999999999999</v>
      </c>
      <c r="S670">
        <v>1</v>
      </c>
      <c r="T670" t="s">
        <v>58</v>
      </c>
      <c r="U670" t="s">
        <v>59</v>
      </c>
      <c r="V670" s="3">
        <v>0.75</v>
      </c>
      <c r="W670" s="2">
        <v>0</v>
      </c>
      <c r="X670">
        <v>0</v>
      </c>
      <c r="Y670" t="s">
        <v>60</v>
      </c>
      <c r="Z670" t="s">
        <v>135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111.34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46062</v>
      </c>
      <c r="B671" t="s">
        <v>48</v>
      </c>
      <c r="C671">
        <v>649163</v>
      </c>
      <c r="D671">
        <v>2032021876</v>
      </c>
      <c r="E671" t="s">
        <v>1069</v>
      </c>
      <c r="F671" t="s">
        <v>1070</v>
      </c>
      <c r="G671" t="s">
        <v>51</v>
      </c>
      <c r="H671" t="s">
        <v>274</v>
      </c>
      <c r="I671" t="s">
        <v>72</v>
      </c>
      <c r="J671" t="s">
        <v>455</v>
      </c>
      <c r="K671">
        <v>816021</v>
      </c>
      <c r="L671" t="s">
        <v>275</v>
      </c>
      <c r="M671" t="s">
        <v>276</v>
      </c>
      <c r="N671" t="s">
        <v>57</v>
      </c>
      <c r="O671" s="1">
        <v>45968</v>
      </c>
      <c r="Q671" s="1">
        <v>46088</v>
      </c>
      <c r="R671" s="2">
        <v>72.03</v>
      </c>
      <c r="S671">
        <v>1</v>
      </c>
      <c r="T671" t="s">
        <v>58</v>
      </c>
      <c r="U671" t="s">
        <v>59</v>
      </c>
      <c r="V671" s="3">
        <v>0.65</v>
      </c>
      <c r="W671" s="2">
        <v>0</v>
      </c>
      <c r="X671">
        <v>0</v>
      </c>
      <c r="Y671" t="s">
        <v>60</v>
      </c>
      <c r="Z671" t="s">
        <v>135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46.82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46062</v>
      </c>
      <c r="B672" t="s">
        <v>48</v>
      </c>
      <c r="C672">
        <v>649163</v>
      </c>
      <c r="D672">
        <v>2032025082</v>
      </c>
      <c r="E672" t="s">
        <v>789</v>
      </c>
      <c r="F672" t="s">
        <v>602</v>
      </c>
      <c r="G672" t="s">
        <v>51</v>
      </c>
      <c r="H672" t="s">
        <v>87</v>
      </c>
      <c r="I672" t="s">
        <v>72</v>
      </c>
      <c r="J672" t="s">
        <v>73</v>
      </c>
      <c r="K672">
        <v>651818</v>
      </c>
      <c r="L672" t="s">
        <v>80</v>
      </c>
      <c r="M672" t="s">
        <v>81</v>
      </c>
      <c r="N672" t="s">
        <v>57</v>
      </c>
      <c r="O672" s="1">
        <v>46028</v>
      </c>
      <c r="Q672" s="1">
        <v>46087</v>
      </c>
      <c r="R672" s="2">
        <v>65</v>
      </c>
      <c r="S672">
        <v>1</v>
      </c>
      <c r="T672" t="s">
        <v>58</v>
      </c>
      <c r="U672" t="s">
        <v>59</v>
      </c>
      <c r="V672" s="3">
        <v>0.75</v>
      </c>
      <c r="W672" s="2">
        <v>0</v>
      </c>
      <c r="X672">
        <v>0</v>
      </c>
      <c r="Y672" t="s">
        <v>60</v>
      </c>
      <c r="Z672" t="s">
        <v>135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48.75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46062</v>
      </c>
      <c r="B673" t="s">
        <v>48</v>
      </c>
      <c r="C673">
        <v>649163</v>
      </c>
      <c r="D673">
        <v>2032099302</v>
      </c>
      <c r="E673" t="s">
        <v>1071</v>
      </c>
      <c r="F673" t="s">
        <v>1072</v>
      </c>
      <c r="G673" t="s">
        <v>51</v>
      </c>
      <c r="H673" t="s">
        <v>1073</v>
      </c>
      <c r="I673" t="s">
        <v>72</v>
      </c>
      <c r="J673" t="s">
        <v>73</v>
      </c>
      <c r="K673">
        <v>856824</v>
      </c>
      <c r="L673" t="s">
        <v>126</v>
      </c>
      <c r="M673" t="s">
        <v>127</v>
      </c>
      <c r="N673" t="s">
        <v>57</v>
      </c>
      <c r="O673" s="1">
        <v>45972</v>
      </c>
      <c r="Q673" s="1">
        <v>46092</v>
      </c>
      <c r="R673" s="2">
        <v>47.86</v>
      </c>
      <c r="S673">
        <v>1</v>
      </c>
      <c r="T673" t="s">
        <v>58</v>
      </c>
      <c r="U673" t="s">
        <v>59</v>
      </c>
      <c r="V673" s="3">
        <v>0.75</v>
      </c>
      <c r="W673" s="2">
        <v>0</v>
      </c>
      <c r="X673">
        <v>0</v>
      </c>
      <c r="Y673" t="s">
        <v>60</v>
      </c>
      <c r="Z673" t="s">
        <v>135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35.9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46062</v>
      </c>
      <c r="B674" t="s">
        <v>48</v>
      </c>
      <c r="C674">
        <v>649163</v>
      </c>
      <c r="D674">
        <v>2032127345</v>
      </c>
      <c r="E674" t="s">
        <v>820</v>
      </c>
      <c r="F674" t="s">
        <v>581</v>
      </c>
      <c r="G674" t="s">
        <v>51</v>
      </c>
      <c r="H674" t="s">
        <v>84</v>
      </c>
      <c r="I674" t="s">
        <v>72</v>
      </c>
      <c r="J674" t="s">
        <v>73</v>
      </c>
      <c r="K674">
        <v>651818</v>
      </c>
      <c r="L674" t="s">
        <v>80</v>
      </c>
      <c r="M674" t="s">
        <v>81</v>
      </c>
      <c r="N674" t="s">
        <v>57</v>
      </c>
      <c r="O674" s="1">
        <v>46028</v>
      </c>
      <c r="Q674" s="1">
        <v>46087</v>
      </c>
      <c r="R674" s="2">
        <v>101.38</v>
      </c>
      <c r="S674">
        <v>1</v>
      </c>
      <c r="T674" t="s">
        <v>58</v>
      </c>
      <c r="U674" t="s">
        <v>59</v>
      </c>
      <c r="V674" s="3">
        <v>0.75</v>
      </c>
      <c r="W674" s="2">
        <v>0</v>
      </c>
      <c r="X674">
        <v>0</v>
      </c>
      <c r="Y674" t="s">
        <v>60</v>
      </c>
      <c r="Z674" t="s">
        <v>135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76.040000000000006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46062</v>
      </c>
      <c r="B675" t="s">
        <v>48</v>
      </c>
      <c r="C675">
        <v>649163</v>
      </c>
      <c r="D675">
        <v>2032132337</v>
      </c>
      <c r="E675" t="s">
        <v>823</v>
      </c>
      <c r="F675" t="s">
        <v>537</v>
      </c>
      <c r="G675" t="s">
        <v>51</v>
      </c>
      <c r="H675" t="s">
        <v>170</v>
      </c>
      <c r="I675" t="s">
        <v>72</v>
      </c>
      <c r="J675" t="s">
        <v>455</v>
      </c>
      <c r="K675">
        <v>673059</v>
      </c>
      <c r="L675" t="s">
        <v>162</v>
      </c>
      <c r="M675" t="s">
        <v>180</v>
      </c>
      <c r="N675" t="s">
        <v>57</v>
      </c>
      <c r="O675" s="1">
        <v>45992</v>
      </c>
      <c r="Q675" s="1">
        <v>46082</v>
      </c>
      <c r="R675" s="2">
        <v>-21.21</v>
      </c>
      <c r="S675">
        <v>1</v>
      </c>
      <c r="T675" t="s">
        <v>58</v>
      </c>
      <c r="U675" t="s">
        <v>59</v>
      </c>
      <c r="V675" s="3">
        <v>0.65</v>
      </c>
      <c r="W675" s="2">
        <v>0</v>
      </c>
      <c r="X675">
        <v>-1</v>
      </c>
      <c r="Y675" t="s">
        <v>60</v>
      </c>
      <c r="Z675" t="s">
        <v>135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-13.79</v>
      </c>
      <c r="AN675" s="2">
        <v>-13.79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46062</v>
      </c>
      <c r="B676" t="s">
        <v>48</v>
      </c>
      <c r="C676">
        <v>649163</v>
      </c>
      <c r="D676">
        <v>2032133138</v>
      </c>
      <c r="E676" t="s">
        <v>824</v>
      </c>
      <c r="F676" t="s">
        <v>240</v>
      </c>
      <c r="G676" t="s">
        <v>51</v>
      </c>
      <c r="H676" t="s">
        <v>66</v>
      </c>
      <c r="I676" t="s">
        <v>72</v>
      </c>
      <c r="J676" t="s">
        <v>73</v>
      </c>
      <c r="K676">
        <v>651818</v>
      </c>
      <c r="L676" t="s">
        <v>80</v>
      </c>
      <c r="M676" t="s">
        <v>81</v>
      </c>
      <c r="N676" t="s">
        <v>57</v>
      </c>
      <c r="O676" s="1">
        <v>46028</v>
      </c>
      <c r="Q676" s="1">
        <v>46087</v>
      </c>
      <c r="R676" s="2">
        <v>57.97</v>
      </c>
      <c r="S676">
        <v>1</v>
      </c>
      <c r="T676" t="s">
        <v>58</v>
      </c>
      <c r="U676" t="s">
        <v>59</v>
      </c>
      <c r="V676" s="3">
        <v>0.75</v>
      </c>
      <c r="W676" s="2">
        <v>0</v>
      </c>
      <c r="X676">
        <v>0</v>
      </c>
      <c r="Y676" t="s">
        <v>60</v>
      </c>
      <c r="Z676" t="s">
        <v>135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43.48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46062</v>
      </c>
      <c r="B677" t="s">
        <v>48</v>
      </c>
      <c r="C677">
        <v>649163</v>
      </c>
      <c r="D677">
        <v>2032135721</v>
      </c>
      <c r="E677" t="s">
        <v>1074</v>
      </c>
      <c r="F677" t="s">
        <v>1075</v>
      </c>
      <c r="G677" t="s">
        <v>51</v>
      </c>
      <c r="H677" t="s">
        <v>1073</v>
      </c>
      <c r="I677" t="s">
        <v>72</v>
      </c>
      <c r="J677" t="s">
        <v>73</v>
      </c>
      <c r="K677">
        <v>856824</v>
      </c>
      <c r="L677" t="s">
        <v>126</v>
      </c>
      <c r="M677" t="s">
        <v>127</v>
      </c>
      <c r="N677" t="s">
        <v>57</v>
      </c>
      <c r="O677" s="1">
        <v>45974</v>
      </c>
      <c r="Q677" s="1">
        <v>46094</v>
      </c>
      <c r="R677" s="2">
        <v>65.56</v>
      </c>
      <c r="S677">
        <v>1</v>
      </c>
      <c r="T677" t="s">
        <v>58</v>
      </c>
      <c r="U677" t="s">
        <v>59</v>
      </c>
      <c r="V677" s="3">
        <v>0.75</v>
      </c>
      <c r="W677" s="2">
        <v>0</v>
      </c>
      <c r="X677">
        <v>0</v>
      </c>
      <c r="Y677" t="s">
        <v>60</v>
      </c>
      <c r="Z677" t="s">
        <v>135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49.17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46062</v>
      </c>
      <c r="B678" t="s">
        <v>48</v>
      </c>
      <c r="C678">
        <v>649163</v>
      </c>
      <c r="D678">
        <v>2032196914</v>
      </c>
      <c r="E678" t="s">
        <v>829</v>
      </c>
      <c r="F678" t="s">
        <v>188</v>
      </c>
      <c r="G678" t="s">
        <v>51</v>
      </c>
      <c r="H678" t="s">
        <v>66</v>
      </c>
      <c r="I678" t="s">
        <v>72</v>
      </c>
      <c r="J678" t="s">
        <v>73</v>
      </c>
      <c r="K678">
        <v>824062</v>
      </c>
      <c r="L678" t="s">
        <v>569</v>
      </c>
      <c r="M678" t="s">
        <v>570</v>
      </c>
      <c r="N678" t="s">
        <v>57</v>
      </c>
      <c r="O678" s="1">
        <v>46023</v>
      </c>
      <c r="Q678" s="1">
        <v>46082</v>
      </c>
      <c r="R678" s="2">
        <v>-96.65</v>
      </c>
      <c r="S678">
        <v>1</v>
      </c>
      <c r="T678" t="s">
        <v>58</v>
      </c>
      <c r="U678" t="s">
        <v>59</v>
      </c>
      <c r="V678" s="3">
        <v>0.75</v>
      </c>
      <c r="W678" s="2">
        <v>0</v>
      </c>
      <c r="X678">
        <v>-1</v>
      </c>
      <c r="Y678" t="s">
        <v>60</v>
      </c>
      <c r="Z678" t="s">
        <v>135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-72.489999999999995</v>
      </c>
      <c r="AN678" s="2">
        <v>-72.489999999999995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46062</v>
      </c>
      <c r="B679" t="s">
        <v>48</v>
      </c>
      <c r="C679">
        <v>649163</v>
      </c>
      <c r="D679">
        <v>2032249188</v>
      </c>
      <c r="E679" t="s">
        <v>837</v>
      </c>
      <c r="F679" t="s">
        <v>838</v>
      </c>
      <c r="G679" t="s">
        <v>51</v>
      </c>
      <c r="H679" t="s">
        <v>84</v>
      </c>
      <c r="I679" t="s">
        <v>72</v>
      </c>
      <c r="J679" t="s">
        <v>79</v>
      </c>
      <c r="K679">
        <v>651818</v>
      </c>
      <c r="L679" t="s">
        <v>80</v>
      </c>
      <c r="M679" t="s">
        <v>81</v>
      </c>
      <c r="N679" t="s">
        <v>57</v>
      </c>
      <c r="O679" s="1">
        <v>46028</v>
      </c>
      <c r="Q679" s="1">
        <v>46087</v>
      </c>
      <c r="R679" s="2">
        <v>26.73</v>
      </c>
      <c r="S679">
        <v>1</v>
      </c>
      <c r="T679" t="s">
        <v>58</v>
      </c>
      <c r="U679" t="s">
        <v>59</v>
      </c>
      <c r="V679" s="3">
        <v>0.75</v>
      </c>
      <c r="W679" s="2">
        <v>0</v>
      </c>
      <c r="X679">
        <v>0</v>
      </c>
      <c r="Y679" t="s">
        <v>60</v>
      </c>
      <c r="Z679" t="s">
        <v>135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20.05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46062</v>
      </c>
      <c r="B680" t="s">
        <v>48</v>
      </c>
      <c r="C680">
        <v>649163</v>
      </c>
      <c r="D680">
        <v>2032349265</v>
      </c>
      <c r="E680" t="s">
        <v>839</v>
      </c>
      <c r="F680" t="s">
        <v>840</v>
      </c>
      <c r="G680" t="s">
        <v>51</v>
      </c>
      <c r="H680" t="s">
        <v>90</v>
      </c>
      <c r="I680" t="s">
        <v>72</v>
      </c>
      <c r="J680" t="s">
        <v>73</v>
      </c>
      <c r="K680">
        <v>753748</v>
      </c>
      <c r="L680" t="s">
        <v>74</v>
      </c>
      <c r="M680" t="s">
        <v>75</v>
      </c>
      <c r="N680" t="s">
        <v>57</v>
      </c>
      <c r="O680" s="1">
        <v>46023</v>
      </c>
      <c r="Q680" s="1">
        <v>46082</v>
      </c>
      <c r="R680" s="2">
        <v>49.93</v>
      </c>
      <c r="S680">
        <v>1</v>
      </c>
      <c r="T680" t="s">
        <v>58</v>
      </c>
      <c r="U680" t="s">
        <v>59</v>
      </c>
      <c r="V680" s="3">
        <v>0.75</v>
      </c>
      <c r="W680" s="2">
        <v>0</v>
      </c>
      <c r="X680">
        <v>0</v>
      </c>
      <c r="Y680" t="s">
        <v>60</v>
      </c>
      <c r="Z680" t="s">
        <v>135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37.450000000000003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46062</v>
      </c>
      <c r="B681" t="s">
        <v>48</v>
      </c>
      <c r="C681">
        <v>649163</v>
      </c>
      <c r="D681">
        <v>2032480605</v>
      </c>
      <c r="E681" t="s">
        <v>509</v>
      </c>
      <c r="F681" t="s">
        <v>492</v>
      </c>
      <c r="G681" t="s">
        <v>51</v>
      </c>
      <c r="H681" t="s">
        <v>392</v>
      </c>
      <c r="I681" t="s">
        <v>72</v>
      </c>
      <c r="J681" t="s">
        <v>93</v>
      </c>
      <c r="K681">
        <v>823068</v>
      </c>
      <c r="L681" t="s">
        <v>355</v>
      </c>
      <c r="M681" t="s">
        <v>356</v>
      </c>
      <c r="N681" t="s">
        <v>57</v>
      </c>
      <c r="O681" s="1">
        <v>45995</v>
      </c>
      <c r="Q681" s="1">
        <v>46085</v>
      </c>
      <c r="R681" s="2">
        <v>41.03</v>
      </c>
      <c r="S681">
        <v>1</v>
      </c>
      <c r="T681" t="s">
        <v>58</v>
      </c>
      <c r="U681" t="s">
        <v>59</v>
      </c>
      <c r="V681" s="3">
        <v>0.9</v>
      </c>
      <c r="W681" s="2">
        <v>0</v>
      </c>
      <c r="X681">
        <v>0</v>
      </c>
      <c r="Y681" t="s">
        <v>60</v>
      </c>
      <c r="Z681" t="s">
        <v>135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36.93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46062</v>
      </c>
      <c r="B682" t="s">
        <v>48</v>
      </c>
      <c r="C682">
        <v>649163</v>
      </c>
      <c r="D682">
        <v>2032484277</v>
      </c>
      <c r="E682" t="s">
        <v>844</v>
      </c>
      <c r="F682" t="s">
        <v>845</v>
      </c>
      <c r="G682" t="s">
        <v>51</v>
      </c>
      <c r="H682" t="s">
        <v>66</v>
      </c>
      <c r="I682" t="s">
        <v>72</v>
      </c>
      <c r="J682" t="s">
        <v>79</v>
      </c>
      <c r="K682">
        <v>651818</v>
      </c>
      <c r="L682" t="s">
        <v>80</v>
      </c>
      <c r="M682" t="s">
        <v>81</v>
      </c>
      <c r="N682" t="s">
        <v>57</v>
      </c>
      <c r="O682" s="1">
        <v>46028</v>
      </c>
      <c r="Q682" s="1">
        <v>46087</v>
      </c>
      <c r="R682" s="2">
        <v>31.2</v>
      </c>
      <c r="S682">
        <v>1</v>
      </c>
      <c r="T682" t="s">
        <v>58</v>
      </c>
      <c r="U682" t="s">
        <v>59</v>
      </c>
      <c r="V682" s="3">
        <v>0.75</v>
      </c>
      <c r="W682" s="2">
        <v>0</v>
      </c>
      <c r="X682">
        <v>0</v>
      </c>
      <c r="Y682" t="s">
        <v>60</v>
      </c>
      <c r="Z682" t="s">
        <v>135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23.4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46062</v>
      </c>
      <c r="B683" t="s">
        <v>48</v>
      </c>
      <c r="C683">
        <v>649163</v>
      </c>
      <c r="D683">
        <v>2032490948</v>
      </c>
      <c r="E683" t="s">
        <v>850</v>
      </c>
      <c r="F683" t="s">
        <v>851</v>
      </c>
      <c r="G683" t="s">
        <v>51</v>
      </c>
      <c r="H683" t="s">
        <v>90</v>
      </c>
      <c r="I683" t="s">
        <v>72</v>
      </c>
      <c r="J683" t="s">
        <v>73</v>
      </c>
      <c r="K683">
        <v>753748</v>
      </c>
      <c r="L683" t="s">
        <v>74</v>
      </c>
      <c r="M683" t="s">
        <v>75</v>
      </c>
      <c r="N683" t="s">
        <v>144</v>
      </c>
      <c r="O683" s="1">
        <v>46023</v>
      </c>
      <c r="P683" s="1">
        <v>46055</v>
      </c>
      <c r="Q683" s="1">
        <v>46082</v>
      </c>
      <c r="R683" s="2">
        <v>-104.66</v>
      </c>
      <c r="S683">
        <v>1</v>
      </c>
      <c r="T683" t="s">
        <v>58</v>
      </c>
      <c r="U683" t="s">
        <v>59</v>
      </c>
      <c r="V683" s="3">
        <v>0.75</v>
      </c>
      <c r="W683" s="2">
        <v>0</v>
      </c>
      <c r="X683">
        <v>-1</v>
      </c>
      <c r="Y683" t="s">
        <v>60</v>
      </c>
      <c r="Z683" t="s">
        <v>135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-78.5</v>
      </c>
      <c r="AN683" s="2">
        <v>-78.5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46062</v>
      </c>
      <c r="B684" t="s">
        <v>48</v>
      </c>
      <c r="C684">
        <v>649163</v>
      </c>
      <c r="D684">
        <v>2032548721</v>
      </c>
      <c r="E684" t="s">
        <v>1076</v>
      </c>
      <c r="F684" t="s">
        <v>1077</v>
      </c>
      <c r="G684" t="s">
        <v>51</v>
      </c>
      <c r="H684" t="s">
        <v>274</v>
      </c>
      <c r="I684" t="s">
        <v>72</v>
      </c>
      <c r="J684" t="s">
        <v>73</v>
      </c>
      <c r="K684">
        <v>816021</v>
      </c>
      <c r="L684" t="s">
        <v>275</v>
      </c>
      <c r="M684" t="s">
        <v>276</v>
      </c>
      <c r="N684" t="s">
        <v>57</v>
      </c>
      <c r="O684" s="1">
        <v>45998</v>
      </c>
      <c r="Q684" s="1">
        <v>46088</v>
      </c>
      <c r="R684" s="2">
        <v>7</v>
      </c>
      <c r="S684">
        <v>1</v>
      </c>
      <c r="T684" t="s">
        <v>58</v>
      </c>
      <c r="U684" t="s">
        <v>59</v>
      </c>
      <c r="V684" s="3">
        <v>0.75</v>
      </c>
      <c r="W684" s="2">
        <v>0</v>
      </c>
      <c r="X684">
        <v>0</v>
      </c>
      <c r="Y684" t="s">
        <v>60</v>
      </c>
      <c r="Z684" t="s">
        <v>135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5.25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46062</v>
      </c>
      <c r="B685" t="s">
        <v>48</v>
      </c>
      <c r="C685">
        <v>649163</v>
      </c>
      <c r="D685">
        <v>2032567800</v>
      </c>
      <c r="E685" t="s">
        <v>859</v>
      </c>
      <c r="F685" t="s">
        <v>860</v>
      </c>
      <c r="G685" t="s">
        <v>51</v>
      </c>
      <c r="H685" t="s">
        <v>78</v>
      </c>
      <c r="I685" t="s">
        <v>72</v>
      </c>
      <c r="J685" t="s">
        <v>93</v>
      </c>
      <c r="K685">
        <v>767312</v>
      </c>
      <c r="L685" t="s">
        <v>310</v>
      </c>
      <c r="M685" t="s">
        <v>311</v>
      </c>
      <c r="N685" t="s">
        <v>57</v>
      </c>
      <c r="O685" s="1">
        <v>46000</v>
      </c>
      <c r="Q685" s="1">
        <v>46090</v>
      </c>
      <c r="R685" s="2">
        <v>92.46</v>
      </c>
      <c r="S685">
        <v>1</v>
      </c>
      <c r="T685" t="s">
        <v>58</v>
      </c>
      <c r="U685" t="s">
        <v>59</v>
      </c>
      <c r="V685" s="3">
        <v>0.9</v>
      </c>
      <c r="W685" s="2">
        <v>0</v>
      </c>
      <c r="X685">
        <v>0</v>
      </c>
      <c r="Y685" t="s">
        <v>60</v>
      </c>
      <c r="Z685" t="s">
        <v>135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83.21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46062</v>
      </c>
      <c r="B686" t="s">
        <v>48</v>
      </c>
      <c r="C686">
        <v>649163</v>
      </c>
      <c r="D686">
        <v>2032570317</v>
      </c>
      <c r="E686" t="s">
        <v>596</v>
      </c>
      <c r="F686" t="s">
        <v>176</v>
      </c>
      <c r="G686" t="s">
        <v>51</v>
      </c>
      <c r="H686" t="s">
        <v>66</v>
      </c>
      <c r="I686" t="s">
        <v>72</v>
      </c>
      <c r="J686" t="s">
        <v>93</v>
      </c>
      <c r="K686">
        <v>673059</v>
      </c>
      <c r="L686" t="s">
        <v>162</v>
      </c>
      <c r="M686" t="s">
        <v>180</v>
      </c>
      <c r="N686" t="s">
        <v>57</v>
      </c>
      <c r="O686" s="1">
        <v>46000</v>
      </c>
      <c r="Q686" s="1">
        <v>46090</v>
      </c>
      <c r="R686" s="2">
        <v>85.16</v>
      </c>
      <c r="S686">
        <v>1</v>
      </c>
      <c r="T686" t="s">
        <v>58</v>
      </c>
      <c r="U686" t="s">
        <v>59</v>
      </c>
      <c r="V686" s="3">
        <v>0.9</v>
      </c>
      <c r="W686" s="2">
        <v>0</v>
      </c>
      <c r="X686">
        <v>0</v>
      </c>
      <c r="Y686" t="s">
        <v>60</v>
      </c>
      <c r="Z686" t="s">
        <v>135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76.64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46062</v>
      </c>
      <c r="B687" t="s">
        <v>48</v>
      </c>
      <c r="C687">
        <v>649163</v>
      </c>
      <c r="D687">
        <v>2032586742</v>
      </c>
      <c r="E687" t="s">
        <v>865</v>
      </c>
      <c r="F687" t="s">
        <v>866</v>
      </c>
      <c r="G687" t="s">
        <v>51</v>
      </c>
      <c r="H687" t="s">
        <v>66</v>
      </c>
      <c r="I687" t="s">
        <v>72</v>
      </c>
      <c r="J687" t="s">
        <v>73</v>
      </c>
      <c r="K687">
        <v>823350</v>
      </c>
      <c r="L687" t="s">
        <v>108</v>
      </c>
      <c r="M687" t="s">
        <v>394</v>
      </c>
      <c r="N687" t="s">
        <v>144</v>
      </c>
      <c r="O687" s="1">
        <v>46023</v>
      </c>
      <c r="P687" s="1">
        <v>46055</v>
      </c>
      <c r="Q687" s="1">
        <v>46082</v>
      </c>
      <c r="R687" s="2">
        <v>-73.72</v>
      </c>
      <c r="S687">
        <v>1</v>
      </c>
      <c r="T687" t="s">
        <v>58</v>
      </c>
      <c r="U687" t="s">
        <v>59</v>
      </c>
      <c r="V687" s="3">
        <v>0.75</v>
      </c>
      <c r="W687" s="2">
        <v>0</v>
      </c>
      <c r="X687">
        <v>-1</v>
      </c>
      <c r="Y687" t="s">
        <v>60</v>
      </c>
      <c r="Z687" t="s">
        <v>135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-55.29</v>
      </c>
      <c r="AN687" s="2">
        <v>-55.29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46062</v>
      </c>
      <c r="B688" t="s">
        <v>48</v>
      </c>
      <c r="C688">
        <v>649163</v>
      </c>
      <c r="D688">
        <v>2032597462</v>
      </c>
      <c r="E688" t="s">
        <v>872</v>
      </c>
      <c r="F688" t="s">
        <v>457</v>
      </c>
      <c r="G688" t="s">
        <v>51</v>
      </c>
      <c r="H688" t="s">
        <v>66</v>
      </c>
      <c r="I688" t="s">
        <v>72</v>
      </c>
      <c r="J688" t="s">
        <v>73</v>
      </c>
      <c r="K688">
        <v>843573</v>
      </c>
      <c r="L688" t="s">
        <v>365</v>
      </c>
      <c r="M688" t="s">
        <v>366</v>
      </c>
      <c r="N688" t="s">
        <v>57</v>
      </c>
      <c r="O688" s="1">
        <v>46001</v>
      </c>
      <c r="Q688" s="1">
        <v>46091</v>
      </c>
      <c r="R688" s="2">
        <v>64.3</v>
      </c>
      <c r="S688">
        <v>1</v>
      </c>
      <c r="T688" t="s">
        <v>58</v>
      </c>
      <c r="U688" t="s">
        <v>59</v>
      </c>
      <c r="V688" s="3">
        <v>0.75</v>
      </c>
      <c r="W688" s="2">
        <v>0</v>
      </c>
      <c r="X688">
        <v>0</v>
      </c>
      <c r="Y688" t="s">
        <v>60</v>
      </c>
      <c r="Z688" t="s">
        <v>135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48.22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46062</v>
      </c>
      <c r="B689" t="s">
        <v>48</v>
      </c>
      <c r="C689">
        <v>649163</v>
      </c>
      <c r="D689">
        <v>2032616558</v>
      </c>
      <c r="E689" t="s">
        <v>447</v>
      </c>
      <c r="F689" t="s">
        <v>75</v>
      </c>
      <c r="G689" t="s">
        <v>51</v>
      </c>
      <c r="H689" t="s">
        <v>193</v>
      </c>
      <c r="I689" t="s">
        <v>72</v>
      </c>
      <c r="J689" t="s">
        <v>93</v>
      </c>
      <c r="K689">
        <v>822733</v>
      </c>
      <c r="L689" t="s">
        <v>442</v>
      </c>
      <c r="M689" t="s">
        <v>443</v>
      </c>
      <c r="N689" t="s">
        <v>57</v>
      </c>
      <c r="O689" s="1">
        <v>46029</v>
      </c>
      <c r="Q689" s="1">
        <v>46088</v>
      </c>
      <c r="R689" s="2">
        <v>29.85</v>
      </c>
      <c r="S689">
        <v>1</v>
      </c>
      <c r="T689" t="s">
        <v>58</v>
      </c>
      <c r="U689" t="s">
        <v>59</v>
      </c>
      <c r="V689" s="3">
        <v>0.9</v>
      </c>
      <c r="W689" s="2">
        <v>0</v>
      </c>
      <c r="X689">
        <v>0</v>
      </c>
      <c r="Y689" t="s">
        <v>60</v>
      </c>
      <c r="Z689" t="s">
        <v>135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26.86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46062</v>
      </c>
      <c r="B690" t="s">
        <v>48</v>
      </c>
      <c r="C690">
        <v>649163</v>
      </c>
      <c r="D690">
        <v>2032617280</v>
      </c>
      <c r="E690" t="s">
        <v>884</v>
      </c>
      <c r="F690" t="s">
        <v>885</v>
      </c>
      <c r="G690" t="s">
        <v>51</v>
      </c>
      <c r="H690" t="s">
        <v>886</v>
      </c>
      <c r="I690" t="s">
        <v>72</v>
      </c>
      <c r="J690" t="s">
        <v>73</v>
      </c>
      <c r="K690">
        <v>651818</v>
      </c>
      <c r="L690" t="s">
        <v>80</v>
      </c>
      <c r="M690" t="s">
        <v>81</v>
      </c>
      <c r="N690" t="s">
        <v>57</v>
      </c>
      <c r="O690" s="1">
        <v>46028</v>
      </c>
      <c r="Q690" s="1">
        <v>46087</v>
      </c>
      <c r="R690" s="2">
        <v>55.36</v>
      </c>
      <c r="S690">
        <v>1</v>
      </c>
      <c r="T690" t="s">
        <v>58</v>
      </c>
      <c r="U690" t="s">
        <v>59</v>
      </c>
      <c r="V690" s="3">
        <v>0.75</v>
      </c>
      <c r="W690" s="2">
        <v>0</v>
      </c>
      <c r="X690">
        <v>0</v>
      </c>
      <c r="Y690" t="s">
        <v>60</v>
      </c>
      <c r="Z690" t="s">
        <v>135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41.52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46062</v>
      </c>
      <c r="B691" t="s">
        <v>48</v>
      </c>
      <c r="C691">
        <v>649163</v>
      </c>
      <c r="D691">
        <v>2032623370</v>
      </c>
      <c r="E691" t="s">
        <v>889</v>
      </c>
      <c r="F691" t="s">
        <v>762</v>
      </c>
      <c r="G691" t="s">
        <v>51</v>
      </c>
      <c r="H691" t="s">
        <v>353</v>
      </c>
      <c r="I691" t="s">
        <v>72</v>
      </c>
      <c r="J691" t="s">
        <v>73</v>
      </c>
      <c r="K691">
        <v>651818</v>
      </c>
      <c r="L691" t="s">
        <v>80</v>
      </c>
      <c r="M691" t="s">
        <v>81</v>
      </c>
      <c r="N691" t="s">
        <v>57</v>
      </c>
      <c r="O691" s="1">
        <v>46028</v>
      </c>
      <c r="Q691" s="1">
        <v>46087</v>
      </c>
      <c r="R691" s="2">
        <v>71.53</v>
      </c>
      <c r="S691">
        <v>1</v>
      </c>
      <c r="T691" t="s">
        <v>58</v>
      </c>
      <c r="U691" t="s">
        <v>59</v>
      </c>
      <c r="V691" s="3">
        <v>0.75</v>
      </c>
      <c r="W691" s="2">
        <v>0</v>
      </c>
      <c r="X691">
        <v>0</v>
      </c>
      <c r="Y691" t="s">
        <v>60</v>
      </c>
      <c r="Z691" t="s">
        <v>135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53.65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46062</v>
      </c>
      <c r="B692" t="s">
        <v>48</v>
      </c>
      <c r="C692">
        <v>649163</v>
      </c>
      <c r="D692">
        <v>2032627614</v>
      </c>
      <c r="E692" t="s">
        <v>890</v>
      </c>
      <c r="F692" t="s">
        <v>891</v>
      </c>
      <c r="G692" t="s">
        <v>51</v>
      </c>
      <c r="H692" t="s">
        <v>274</v>
      </c>
      <c r="I692" t="s">
        <v>72</v>
      </c>
      <c r="J692" t="s">
        <v>73</v>
      </c>
      <c r="K692">
        <v>816021</v>
      </c>
      <c r="L692" t="s">
        <v>275</v>
      </c>
      <c r="M692" t="s">
        <v>276</v>
      </c>
      <c r="N692" t="s">
        <v>57</v>
      </c>
      <c r="O692" s="1">
        <v>46003</v>
      </c>
      <c r="Q692" s="1">
        <v>46093</v>
      </c>
      <c r="R692" s="2">
        <v>69.11</v>
      </c>
      <c r="S692">
        <v>1</v>
      </c>
      <c r="T692" t="s">
        <v>58</v>
      </c>
      <c r="U692" t="s">
        <v>59</v>
      </c>
      <c r="V692" s="3">
        <v>0.75</v>
      </c>
      <c r="W692" s="2">
        <v>0</v>
      </c>
      <c r="X692">
        <v>0</v>
      </c>
      <c r="Y692" t="s">
        <v>60</v>
      </c>
      <c r="Z692" t="s">
        <v>135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51.83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46062</v>
      </c>
      <c r="B693" t="s">
        <v>48</v>
      </c>
      <c r="C693">
        <v>649163</v>
      </c>
      <c r="D693">
        <v>2032652630</v>
      </c>
      <c r="E693" t="s">
        <v>898</v>
      </c>
      <c r="F693" t="s">
        <v>705</v>
      </c>
      <c r="G693" t="s">
        <v>51</v>
      </c>
      <c r="H693" t="s">
        <v>209</v>
      </c>
      <c r="I693" t="s">
        <v>72</v>
      </c>
      <c r="J693" t="s">
        <v>73</v>
      </c>
      <c r="K693">
        <v>813184</v>
      </c>
      <c r="L693" t="s">
        <v>303</v>
      </c>
      <c r="M693" t="s">
        <v>304</v>
      </c>
      <c r="N693" t="s">
        <v>57</v>
      </c>
      <c r="O693" s="1">
        <v>46004</v>
      </c>
      <c r="Q693" s="1">
        <v>46094</v>
      </c>
      <c r="R693" s="2">
        <v>46.28</v>
      </c>
      <c r="S693">
        <v>1</v>
      </c>
      <c r="T693" t="s">
        <v>58</v>
      </c>
      <c r="U693" t="s">
        <v>59</v>
      </c>
      <c r="V693" s="3">
        <v>0.75</v>
      </c>
      <c r="W693" s="2">
        <v>0</v>
      </c>
      <c r="X693">
        <v>0</v>
      </c>
      <c r="Y693" t="s">
        <v>60</v>
      </c>
      <c r="Z693" t="s">
        <v>135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34.71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46062</v>
      </c>
      <c r="B694" t="s">
        <v>48</v>
      </c>
      <c r="C694">
        <v>649163</v>
      </c>
      <c r="D694">
        <v>2032667004</v>
      </c>
      <c r="E694" t="s">
        <v>901</v>
      </c>
      <c r="F694" t="s">
        <v>902</v>
      </c>
      <c r="G694" t="s">
        <v>51</v>
      </c>
      <c r="H694" t="s">
        <v>71</v>
      </c>
      <c r="I694" t="s">
        <v>72</v>
      </c>
      <c r="J694" t="s">
        <v>73</v>
      </c>
      <c r="K694">
        <v>856824</v>
      </c>
      <c r="L694" t="s">
        <v>126</v>
      </c>
      <c r="M694" t="s">
        <v>127</v>
      </c>
      <c r="N694" t="s">
        <v>57</v>
      </c>
      <c r="O694" s="1">
        <v>46004</v>
      </c>
      <c r="Q694" s="1">
        <v>46094</v>
      </c>
      <c r="R694" s="2">
        <v>66.52</v>
      </c>
      <c r="S694">
        <v>1</v>
      </c>
      <c r="T694" t="s">
        <v>58</v>
      </c>
      <c r="U694" t="s">
        <v>59</v>
      </c>
      <c r="V694" s="3">
        <v>0.75</v>
      </c>
      <c r="W694" s="2">
        <v>0</v>
      </c>
      <c r="X694">
        <v>0</v>
      </c>
      <c r="Y694" t="s">
        <v>60</v>
      </c>
      <c r="Z694" t="s">
        <v>135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49.89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46062</v>
      </c>
      <c r="B695" t="s">
        <v>48</v>
      </c>
      <c r="C695">
        <v>649163</v>
      </c>
      <c r="D695">
        <v>2032673930</v>
      </c>
      <c r="E695" t="s">
        <v>903</v>
      </c>
      <c r="F695" t="s">
        <v>904</v>
      </c>
      <c r="G695" t="s">
        <v>51</v>
      </c>
      <c r="H695" t="s">
        <v>66</v>
      </c>
      <c r="I695" t="s">
        <v>72</v>
      </c>
      <c r="J695" t="s">
        <v>79</v>
      </c>
      <c r="K695">
        <v>651818</v>
      </c>
      <c r="L695" t="s">
        <v>80</v>
      </c>
      <c r="M695" t="s">
        <v>81</v>
      </c>
      <c r="N695" t="s">
        <v>57</v>
      </c>
      <c r="O695" s="1">
        <v>46028</v>
      </c>
      <c r="Q695" s="1">
        <v>46087</v>
      </c>
      <c r="R695" s="2">
        <v>110</v>
      </c>
      <c r="S695">
        <v>1</v>
      </c>
      <c r="T695" t="s">
        <v>58</v>
      </c>
      <c r="U695" t="s">
        <v>59</v>
      </c>
      <c r="V695" s="3">
        <v>0.75</v>
      </c>
      <c r="W695" s="2">
        <v>0</v>
      </c>
      <c r="X695">
        <v>0</v>
      </c>
      <c r="Y695" t="s">
        <v>60</v>
      </c>
      <c r="Z695" t="s">
        <v>135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82.5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46062</v>
      </c>
      <c r="B696" t="s">
        <v>48</v>
      </c>
      <c r="C696">
        <v>649163</v>
      </c>
      <c r="D696">
        <v>2032674172</v>
      </c>
      <c r="E696" t="s">
        <v>903</v>
      </c>
      <c r="F696" t="s">
        <v>298</v>
      </c>
      <c r="G696" t="s">
        <v>51</v>
      </c>
      <c r="H696" t="s">
        <v>66</v>
      </c>
      <c r="I696" t="s">
        <v>72</v>
      </c>
      <c r="J696" t="s">
        <v>73</v>
      </c>
      <c r="K696">
        <v>651818</v>
      </c>
      <c r="L696" t="s">
        <v>80</v>
      </c>
      <c r="M696" t="s">
        <v>81</v>
      </c>
      <c r="N696" t="s">
        <v>57</v>
      </c>
      <c r="O696" s="1">
        <v>46028</v>
      </c>
      <c r="Q696" s="1">
        <v>46087</v>
      </c>
      <c r="R696" s="2">
        <v>13.15</v>
      </c>
      <c r="S696">
        <v>1</v>
      </c>
      <c r="T696" t="s">
        <v>58</v>
      </c>
      <c r="U696" t="s">
        <v>59</v>
      </c>
      <c r="V696" s="3">
        <v>0.75</v>
      </c>
      <c r="W696" s="2">
        <v>0</v>
      </c>
      <c r="X696">
        <v>0</v>
      </c>
      <c r="Y696" t="s">
        <v>60</v>
      </c>
      <c r="Z696" t="s">
        <v>135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9.86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46062</v>
      </c>
      <c r="B697" t="s">
        <v>48</v>
      </c>
      <c r="C697">
        <v>649163</v>
      </c>
      <c r="D697">
        <v>2032674295</v>
      </c>
      <c r="E697" t="s">
        <v>903</v>
      </c>
      <c r="F697" t="s">
        <v>883</v>
      </c>
      <c r="G697" t="s">
        <v>51</v>
      </c>
      <c r="H697" t="s">
        <v>66</v>
      </c>
      <c r="I697" t="s">
        <v>72</v>
      </c>
      <c r="J697" t="s">
        <v>73</v>
      </c>
      <c r="K697">
        <v>651818</v>
      </c>
      <c r="L697" t="s">
        <v>80</v>
      </c>
      <c r="M697" t="s">
        <v>81</v>
      </c>
      <c r="N697" t="s">
        <v>57</v>
      </c>
      <c r="O697" s="1">
        <v>46028</v>
      </c>
      <c r="Q697" s="1">
        <v>46087</v>
      </c>
      <c r="R697" s="2">
        <v>13.15</v>
      </c>
      <c r="S697">
        <v>1</v>
      </c>
      <c r="T697" t="s">
        <v>58</v>
      </c>
      <c r="U697" t="s">
        <v>59</v>
      </c>
      <c r="V697" s="3">
        <v>0.75</v>
      </c>
      <c r="W697" s="2">
        <v>0</v>
      </c>
      <c r="X697">
        <v>0</v>
      </c>
      <c r="Y697" t="s">
        <v>60</v>
      </c>
      <c r="Z697" t="s">
        <v>135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9.86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46062</v>
      </c>
      <c r="B698" t="s">
        <v>48</v>
      </c>
      <c r="C698">
        <v>649163</v>
      </c>
      <c r="D698">
        <v>2032691818</v>
      </c>
      <c r="E698" t="s">
        <v>908</v>
      </c>
      <c r="F698" t="s">
        <v>592</v>
      </c>
      <c r="G698" t="s">
        <v>51</v>
      </c>
      <c r="H698" t="s">
        <v>96</v>
      </c>
      <c r="I698" t="s">
        <v>72</v>
      </c>
      <c r="J698" t="s">
        <v>79</v>
      </c>
      <c r="K698">
        <v>651818</v>
      </c>
      <c r="L698" t="s">
        <v>80</v>
      </c>
      <c r="M698" t="s">
        <v>81</v>
      </c>
      <c r="N698" t="s">
        <v>57</v>
      </c>
      <c r="O698" s="1">
        <v>46028</v>
      </c>
      <c r="Q698" s="1">
        <v>46087</v>
      </c>
      <c r="R698" s="2">
        <v>98.81</v>
      </c>
      <c r="S698">
        <v>1</v>
      </c>
      <c r="T698" t="s">
        <v>58</v>
      </c>
      <c r="U698" t="s">
        <v>59</v>
      </c>
      <c r="V698" s="3">
        <v>0.75</v>
      </c>
      <c r="W698" s="2">
        <v>0</v>
      </c>
      <c r="X698">
        <v>0</v>
      </c>
      <c r="Y698" t="s">
        <v>60</v>
      </c>
      <c r="Z698" t="s">
        <v>135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74.11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46062</v>
      </c>
      <c r="B699" t="s">
        <v>48</v>
      </c>
      <c r="C699">
        <v>649163</v>
      </c>
      <c r="D699">
        <v>2032701050</v>
      </c>
      <c r="E699" t="s">
        <v>909</v>
      </c>
      <c r="F699" t="s">
        <v>370</v>
      </c>
      <c r="G699" t="s">
        <v>51</v>
      </c>
      <c r="H699" t="s">
        <v>780</v>
      </c>
      <c r="I699" t="s">
        <v>72</v>
      </c>
      <c r="J699" t="s">
        <v>93</v>
      </c>
      <c r="K699">
        <v>651818</v>
      </c>
      <c r="L699" t="s">
        <v>80</v>
      </c>
      <c r="M699" t="s">
        <v>81</v>
      </c>
      <c r="N699" t="s">
        <v>57</v>
      </c>
      <c r="O699" s="1">
        <v>46028</v>
      </c>
      <c r="Q699" s="1">
        <v>46087</v>
      </c>
      <c r="R699" s="2">
        <v>30.02</v>
      </c>
      <c r="S699">
        <v>1</v>
      </c>
      <c r="T699" t="s">
        <v>58</v>
      </c>
      <c r="U699" t="s">
        <v>59</v>
      </c>
      <c r="V699" s="3">
        <v>0.9</v>
      </c>
      <c r="W699" s="2">
        <v>0</v>
      </c>
      <c r="X699">
        <v>0</v>
      </c>
      <c r="Y699" t="s">
        <v>60</v>
      </c>
      <c r="Z699" t="s">
        <v>135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27.02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46062</v>
      </c>
      <c r="B700" t="s">
        <v>48</v>
      </c>
      <c r="C700">
        <v>649163</v>
      </c>
      <c r="D700">
        <v>2032703009</v>
      </c>
      <c r="E700" t="s">
        <v>911</v>
      </c>
      <c r="F700" t="s">
        <v>912</v>
      </c>
      <c r="G700" t="s">
        <v>51</v>
      </c>
      <c r="H700" t="s">
        <v>353</v>
      </c>
      <c r="I700" t="s">
        <v>72</v>
      </c>
      <c r="J700" t="s">
        <v>79</v>
      </c>
      <c r="K700">
        <v>651818</v>
      </c>
      <c r="L700" t="s">
        <v>80</v>
      </c>
      <c r="M700" t="s">
        <v>81</v>
      </c>
      <c r="N700" t="s">
        <v>57</v>
      </c>
      <c r="O700" s="1">
        <v>46028</v>
      </c>
      <c r="Q700" s="1">
        <v>46087</v>
      </c>
      <c r="R700" s="2">
        <v>15.42</v>
      </c>
      <c r="S700">
        <v>1</v>
      </c>
      <c r="T700" t="s">
        <v>58</v>
      </c>
      <c r="U700" t="s">
        <v>59</v>
      </c>
      <c r="V700" s="3">
        <v>0.75</v>
      </c>
      <c r="W700" s="2">
        <v>0</v>
      </c>
      <c r="X700">
        <v>0</v>
      </c>
      <c r="Y700" t="s">
        <v>60</v>
      </c>
      <c r="Z700" t="s">
        <v>135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11.56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46062</v>
      </c>
      <c r="B701" t="s">
        <v>48</v>
      </c>
      <c r="C701">
        <v>649163</v>
      </c>
      <c r="D701">
        <v>2032703288</v>
      </c>
      <c r="E701" t="s">
        <v>913</v>
      </c>
      <c r="F701" t="s">
        <v>466</v>
      </c>
      <c r="G701" t="s">
        <v>51</v>
      </c>
      <c r="H701" t="s">
        <v>90</v>
      </c>
      <c r="I701" t="s">
        <v>72</v>
      </c>
      <c r="J701" t="s">
        <v>73</v>
      </c>
      <c r="K701">
        <v>753748</v>
      </c>
      <c r="L701" t="s">
        <v>74</v>
      </c>
      <c r="M701" t="s">
        <v>75</v>
      </c>
      <c r="N701" t="s">
        <v>57</v>
      </c>
      <c r="O701" s="1">
        <v>46023</v>
      </c>
      <c r="Q701" s="1">
        <v>46082</v>
      </c>
      <c r="R701" s="2">
        <v>74.11</v>
      </c>
      <c r="S701">
        <v>1</v>
      </c>
      <c r="T701" t="s">
        <v>58</v>
      </c>
      <c r="U701" t="s">
        <v>59</v>
      </c>
      <c r="V701" s="3">
        <v>0.75</v>
      </c>
      <c r="W701" s="2">
        <v>0</v>
      </c>
      <c r="X701">
        <v>0</v>
      </c>
      <c r="Y701" t="s">
        <v>60</v>
      </c>
      <c r="Z701" t="s">
        <v>135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55.58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46062</v>
      </c>
      <c r="B702" t="s">
        <v>48</v>
      </c>
      <c r="C702">
        <v>649163</v>
      </c>
      <c r="D702">
        <v>2032706151</v>
      </c>
      <c r="E702" t="s">
        <v>914</v>
      </c>
      <c r="F702" t="s">
        <v>477</v>
      </c>
      <c r="G702" t="s">
        <v>51</v>
      </c>
      <c r="H702" t="s">
        <v>71</v>
      </c>
      <c r="I702" t="s">
        <v>72</v>
      </c>
      <c r="J702" t="s">
        <v>93</v>
      </c>
      <c r="K702">
        <v>753748</v>
      </c>
      <c r="L702" t="s">
        <v>74</v>
      </c>
      <c r="M702" t="s">
        <v>75</v>
      </c>
      <c r="N702" t="s">
        <v>144</v>
      </c>
      <c r="O702" s="1">
        <v>46023</v>
      </c>
      <c r="P702" s="1">
        <v>46055</v>
      </c>
      <c r="Q702" s="1">
        <v>46082</v>
      </c>
      <c r="R702" s="2">
        <v>-148.22999999999999</v>
      </c>
      <c r="S702">
        <v>1</v>
      </c>
      <c r="T702" t="s">
        <v>58</v>
      </c>
      <c r="U702" t="s">
        <v>59</v>
      </c>
      <c r="V702" s="3">
        <v>0.9</v>
      </c>
      <c r="W702" s="2">
        <v>0</v>
      </c>
      <c r="X702">
        <v>-1</v>
      </c>
      <c r="Y702" t="s">
        <v>60</v>
      </c>
      <c r="Z702" t="s">
        <v>135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-133.41</v>
      </c>
      <c r="AN702" s="2">
        <v>-133.41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46062</v>
      </c>
      <c r="B703" t="s">
        <v>48</v>
      </c>
      <c r="C703">
        <v>649163</v>
      </c>
      <c r="D703">
        <v>2032750953</v>
      </c>
      <c r="E703" t="s">
        <v>865</v>
      </c>
      <c r="F703" t="s">
        <v>512</v>
      </c>
      <c r="G703" t="s">
        <v>51</v>
      </c>
      <c r="H703" t="s">
        <v>746</v>
      </c>
      <c r="I703" t="s">
        <v>72</v>
      </c>
      <c r="J703" t="s">
        <v>73</v>
      </c>
      <c r="K703">
        <v>651818</v>
      </c>
      <c r="L703" t="s">
        <v>80</v>
      </c>
      <c r="M703" t="s">
        <v>81</v>
      </c>
      <c r="N703" t="s">
        <v>144</v>
      </c>
      <c r="O703" s="1">
        <v>46023</v>
      </c>
      <c r="P703" s="1">
        <v>46055</v>
      </c>
      <c r="Q703" s="1">
        <v>46082</v>
      </c>
      <c r="R703" s="2">
        <v>-69.45</v>
      </c>
      <c r="S703">
        <v>1</v>
      </c>
      <c r="T703" t="s">
        <v>58</v>
      </c>
      <c r="U703" t="s">
        <v>59</v>
      </c>
      <c r="V703" s="3">
        <v>0.75</v>
      </c>
      <c r="W703" s="2">
        <v>0</v>
      </c>
      <c r="X703">
        <v>-1</v>
      </c>
      <c r="Y703" t="s">
        <v>60</v>
      </c>
      <c r="Z703" t="s">
        <v>135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-52.09</v>
      </c>
      <c r="AN703" s="2">
        <v>-52.09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46062</v>
      </c>
      <c r="B704" t="s">
        <v>48</v>
      </c>
      <c r="C704">
        <v>649163</v>
      </c>
      <c r="D704">
        <v>2032772450</v>
      </c>
      <c r="E704" t="s">
        <v>916</v>
      </c>
      <c r="F704" t="s">
        <v>120</v>
      </c>
      <c r="G704" t="s">
        <v>51</v>
      </c>
      <c r="H704" t="s">
        <v>87</v>
      </c>
      <c r="I704" t="s">
        <v>72</v>
      </c>
      <c r="J704" t="s">
        <v>73</v>
      </c>
      <c r="K704">
        <v>651818</v>
      </c>
      <c r="L704" t="s">
        <v>80</v>
      </c>
      <c r="M704" t="s">
        <v>81</v>
      </c>
      <c r="N704" t="s">
        <v>57</v>
      </c>
      <c r="O704" s="1">
        <v>46028</v>
      </c>
      <c r="Q704" s="1">
        <v>46087</v>
      </c>
      <c r="R704" s="2">
        <v>162.88</v>
      </c>
      <c r="S704">
        <v>1</v>
      </c>
      <c r="T704" t="s">
        <v>58</v>
      </c>
      <c r="U704" t="s">
        <v>59</v>
      </c>
      <c r="V704" s="3">
        <v>0.75</v>
      </c>
      <c r="W704" s="2">
        <v>0</v>
      </c>
      <c r="X704">
        <v>0</v>
      </c>
      <c r="Y704" t="s">
        <v>60</v>
      </c>
      <c r="Z704" t="s">
        <v>135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122.16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46062</v>
      </c>
      <c r="B705" t="s">
        <v>48</v>
      </c>
      <c r="C705">
        <v>649163</v>
      </c>
      <c r="D705">
        <v>2032808283</v>
      </c>
      <c r="E705" t="s">
        <v>917</v>
      </c>
      <c r="F705" t="s">
        <v>808</v>
      </c>
      <c r="G705" t="s">
        <v>51</v>
      </c>
      <c r="H705" t="s">
        <v>87</v>
      </c>
      <c r="I705" t="s">
        <v>72</v>
      </c>
      <c r="J705" t="s">
        <v>79</v>
      </c>
      <c r="K705">
        <v>651818</v>
      </c>
      <c r="L705" t="s">
        <v>80</v>
      </c>
      <c r="M705" t="s">
        <v>81</v>
      </c>
      <c r="N705" t="s">
        <v>57</v>
      </c>
      <c r="O705" s="1">
        <v>46028</v>
      </c>
      <c r="Q705" s="1">
        <v>46087</v>
      </c>
      <c r="R705" s="2">
        <v>84.55</v>
      </c>
      <c r="S705">
        <v>1</v>
      </c>
      <c r="T705" t="s">
        <v>58</v>
      </c>
      <c r="U705" t="s">
        <v>59</v>
      </c>
      <c r="V705" s="3">
        <v>0.75</v>
      </c>
      <c r="W705" s="2">
        <v>0</v>
      </c>
      <c r="X705">
        <v>0</v>
      </c>
      <c r="Y705" t="s">
        <v>60</v>
      </c>
      <c r="Z705" t="s">
        <v>135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63.41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46062</v>
      </c>
      <c r="B706" t="s">
        <v>48</v>
      </c>
      <c r="C706">
        <v>649163</v>
      </c>
      <c r="D706">
        <v>2032871806</v>
      </c>
      <c r="E706" t="s">
        <v>923</v>
      </c>
      <c r="F706" t="s">
        <v>924</v>
      </c>
      <c r="G706" t="s">
        <v>51</v>
      </c>
      <c r="H706" t="s">
        <v>170</v>
      </c>
      <c r="I706" t="s">
        <v>72</v>
      </c>
      <c r="J706" t="s">
        <v>455</v>
      </c>
      <c r="K706">
        <v>651818</v>
      </c>
      <c r="L706" t="s">
        <v>80</v>
      </c>
      <c r="M706" t="s">
        <v>81</v>
      </c>
      <c r="N706" t="s">
        <v>57</v>
      </c>
      <c r="O706" s="1">
        <v>46028</v>
      </c>
      <c r="Q706" s="1">
        <v>46087</v>
      </c>
      <c r="R706" s="2">
        <v>115.56</v>
      </c>
      <c r="S706">
        <v>1</v>
      </c>
      <c r="T706" t="s">
        <v>58</v>
      </c>
      <c r="U706" t="s">
        <v>59</v>
      </c>
      <c r="V706" s="3">
        <v>0.65</v>
      </c>
      <c r="W706" s="2">
        <v>0</v>
      </c>
      <c r="X706">
        <v>0</v>
      </c>
      <c r="Y706" t="s">
        <v>60</v>
      </c>
      <c r="Z706" t="s">
        <v>135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75.11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46062</v>
      </c>
      <c r="B707" t="s">
        <v>48</v>
      </c>
      <c r="C707">
        <v>649163</v>
      </c>
      <c r="D707">
        <v>2032913539</v>
      </c>
      <c r="E707" t="s">
        <v>925</v>
      </c>
      <c r="F707" t="s">
        <v>926</v>
      </c>
      <c r="G707" t="s">
        <v>51</v>
      </c>
      <c r="H707" t="s">
        <v>274</v>
      </c>
      <c r="I707" t="s">
        <v>72</v>
      </c>
      <c r="J707" t="s">
        <v>73</v>
      </c>
      <c r="K707">
        <v>753748</v>
      </c>
      <c r="L707" t="s">
        <v>74</v>
      </c>
      <c r="M707" t="s">
        <v>75</v>
      </c>
      <c r="N707" t="s">
        <v>57</v>
      </c>
      <c r="O707" s="1">
        <v>46034</v>
      </c>
      <c r="Q707" s="1">
        <v>46093</v>
      </c>
      <c r="R707" s="2">
        <v>101.2</v>
      </c>
      <c r="S707">
        <v>1</v>
      </c>
      <c r="T707" t="s">
        <v>58</v>
      </c>
      <c r="U707" t="s">
        <v>59</v>
      </c>
      <c r="V707" s="3">
        <v>0.75</v>
      </c>
      <c r="W707" s="2">
        <v>0</v>
      </c>
      <c r="X707">
        <v>0</v>
      </c>
      <c r="Y707" t="s">
        <v>60</v>
      </c>
      <c r="Z707" t="s">
        <v>135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75.900000000000006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46062</v>
      </c>
      <c r="B708" t="s">
        <v>48</v>
      </c>
      <c r="C708">
        <v>649163</v>
      </c>
      <c r="D708">
        <v>2032937977</v>
      </c>
      <c r="E708" t="s">
        <v>928</v>
      </c>
      <c r="F708" t="s">
        <v>263</v>
      </c>
      <c r="G708" t="s">
        <v>51</v>
      </c>
      <c r="H708" t="s">
        <v>353</v>
      </c>
      <c r="I708" t="s">
        <v>72</v>
      </c>
      <c r="J708" t="s">
        <v>73</v>
      </c>
      <c r="K708">
        <v>651818</v>
      </c>
      <c r="L708" t="s">
        <v>80</v>
      </c>
      <c r="M708" t="s">
        <v>81</v>
      </c>
      <c r="N708" t="s">
        <v>57</v>
      </c>
      <c r="O708" s="1">
        <v>46027</v>
      </c>
      <c r="Q708" s="1">
        <v>46086</v>
      </c>
      <c r="R708" s="2">
        <v>59.64</v>
      </c>
      <c r="S708">
        <v>1</v>
      </c>
      <c r="T708" t="s">
        <v>58</v>
      </c>
      <c r="U708" t="s">
        <v>59</v>
      </c>
      <c r="V708" s="3">
        <v>0.75</v>
      </c>
      <c r="W708" s="2">
        <v>0</v>
      </c>
      <c r="X708">
        <v>0</v>
      </c>
      <c r="Y708" t="s">
        <v>60</v>
      </c>
      <c r="Z708" t="s">
        <v>135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44.73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46062</v>
      </c>
      <c r="B709" t="s">
        <v>48</v>
      </c>
      <c r="C709">
        <v>649163</v>
      </c>
      <c r="D709">
        <v>2032997623</v>
      </c>
      <c r="E709" t="s">
        <v>933</v>
      </c>
      <c r="F709" t="s">
        <v>464</v>
      </c>
      <c r="G709" t="s">
        <v>51</v>
      </c>
      <c r="H709" t="s">
        <v>274</v>
      </c>
      <c r="I709" t="s">
        <v>72</v>
      </c>
      <c r="J709" t="s">
        <v>73</v>
      </c>
      <c r="K709">
        <v>816021</v>
      </c>
      <c r="L709" t="s">
        <v>275</v>
      </c>
      <c r="M709" t="s">
        <v>276</v>
      </c>
      <c r="N709" t="s">
        <v>57</v>
      </c>
      <c r="O709" s="1">
        <v>46028</v>
      </c>
      <c r="Q709" s="1">
        <v>46087</v>
      </c>
      <c r="R709" s="2">
        <v>7.39</v>
      </c>
      <c r="S709">
        <v>1</v>
      </c>
      <c r="T709" t="s">
        <v>58</v>
      </c>
      <c r="U709" t="s">
        <v>59</v>
      </c>
      <c r="V709" s="3">
        <v>0.75</v>
      </c>
      <c r="W709" s="2">
        <v>0</v>
      </c>
      <c r="X709">
        <v>0</v>
      </c>
      <c r="Y709" t="s">
        <v>60</v>
      </c>
      <c r="Z709" t="s">
        <v>135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5.54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46062</v>
      </c>
      <c r="B710" t="s">
        <v>48</v>
      </c>
      <c r="C710">
        <v>649163</v>
      </c>
      <c r="D710">
        <v>2033004231</v>
      </c>
      <c r="E710" t="s">
        <v>934</v>
      </c>
      <c r="F710" t="s">
        <v>653</v>
      </c>
      <c r="G710" t="s">
        <v>51</v>
      </c>
      <c r="H710" t="s">
        <v>170</v>
      </c>
      <c r="I710" t="s">
        <v>72</v>
      </c>
      <c r="J710" t="s">
        <v>73</v>
      </c>
      <c r="K710">
        <v>813184</v>
      </c>
      <c r="L710" t="s">
        <v>303</v>
      </c>
      <c r="M710" t="s">
        <v>304</v>
      </c>
      <c r="N710" t="s">
        <v>57</v>
      </c>
      <c r="O710" s="1">
        <v>46030</v>
      </c>
      <c r="Q710" s="1">
        <v>46089</v>
      </c>
      <c r="R710" s="2">
        <v>21.19</v>
      </c>
      <c r="S710">
        <v>1</v>
      </c>
      <c r="T710" t="s">
        <v>58</v>
      </c>
      <c r="U710" t="s">
        <v>59</v>
      </c>
      <c r="V710" s="3">
        <v>0.75</v>
      </c>
      <c r="W710" s="2">
        <v>0</v>
      </c>
      <c r="X710">
        <v>0</v>
      </c>
      <c r="Y710" t="s">
        <v>60</v>
      </c>
      <c r="Z710" t="s">
        <v>135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15.89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46062</v>
      </c>
      <c r="B711" t="s">
        <v>48</v>
      </c>
      <c r="C711">
        <v>649163</v>
      </c>
      <c r="D711">
        <v>2033008055</v>
      </c>
      <c r="E711" t="s">
        <v>1078</v>
      </c>
      <c r="F711" t="s">
        <v>302</v>
      </c>
      <c r="G711" t="s">
        <v>51</v>
      </c>
      <c r="H711" t="s">
        <v>1073</v>
      </c>
      <c r="I711" t="s">
        <v>72</v>
      </c>
      <c r="J711" t="s">
        <v>73</v>
      </c>
      <c r="K711">
        <v>856824</v>
      </c>
      <c r="L711" t="s">
        <v>126</v>
      </c>
      <c r="M711" t="s">
        <v>127</v>
      </c>
      <c r="N711" t="s">
        <v>57</v>
      </c>
      <c r="O711" s="1">
        <v>46029</v>
      </c>
      <c r="Q711" s="1">
        <v>46088</v>
      </c>
      <c r="R711" s="2">
        <v>18.940000000000001</v>
      </c>
      <c r="S711">
        <v>1</v>
      </c>
      <c r="T711" t="s">
        <v>58</v>
      </c>
      <c r="U711" t="s">
        <v>59</v>
      </c>
      <c r="V711" s="3">
        <v>0.75</v>
      </c>
      <c r="W711" s="2">
        <v>0</v>
      </c>
      <c r="X711">
        <v>0</v>
      </c>
      <c r="Y711" t="s">
        <v>60</v>
      </c>
      <c r="Z711" t="s">
        <v>135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14.2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46062</v>
      </c>
      <c r="B712" t="s">
        <v>48</v>
      </c>
      <c r="C712">
        <v>649163</v>
      </c>
      <c r="D712">
        <v>2033010311</v>
      </c>
      <c r="E712" t="s">
        <v>935</v>
      </c>
      <c r="F712" t="s">
        <v>936</v>
      </c>
      <c r="G712" t="s">
        <v>51</v>
      </c>
      <c r="H712" t="s">
        <v>66</v>
      </c>
      <c r="I712" t="s">
        <v>72</v>
      </c>
      <c r="J712" t="s">
        <v>73</v>
      </c>
      <c r="K712">
        <v>823350</v>
      </c>
      <c r="L712" t="s">
        <v>108</v>
      </c>
      <c r="M712" t="s">
        <v>394</v>
      </c>
      <c r="N712" t="s">
        <v>57</v>
      </c>
      <c r="O712" s="1">
        <v>46032</v>
      </c>
      <c r="Q712" s="1">
        <v>46091</v>
      </c>
      <c r="R712" s="2">
        <v>17.41</v>
      </c>
      <c r="S712">
        <v>1</v>
      </c>
      <c r="T712" t="s">
        <v>58</v>
      </c>
      <c r="U712" t="s">
        <v>59</v>
      </c>
      <c r="V712" s="3">
        <v>0.75</v>
      </c>
      <c r="W712" s="2">
        <v>0</v>
      </c>
      <c r="X712">
        <v>0</v>
      </c>
      <c r="Y712" t="s">
        <v>60</v>
      </c>
      <c r="Z712" t="s">
        <v>135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13.06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46062</v>
      </c>
      <c r="B713" t="s">
        <v>48</v>
      </c>
      <c r="C713">
        <v>649163</v>
      </c>
      <c r="D713">
        <v>2033029174</v>
      </c>
      <c r="E713" t="s">
        <v>618</v>
      </c>
      <c r="F713" t="s">
        <v>619</v>
      </c>
      <c r="G713" t="s">
        <v>51</v>
      </c>
      <c r="H713" t="s">
        <v>66</v>
      </c>
      <c r="I713" t="s">
        <v>72</v>
      </c>
      <c r="J713" t="s">
        <v>93</v>
      </c>
      <c r="K713">
        <v>824062</v>
      </c>
      <c r="L713" t="s">
        <v>569</v>
      </c>
      <c r="M713" t="s">
        <v>570</v>
      </c>
      <c r="N713" t="s">
        <v>57</v>
      </c>
      <c r="O713" s="1">
        <v>46030</v>
      </c>
      <c r="Q713" s="1">
        <v>46089</v>
      </c>
      <c r="R713" s="2">
        <v>43.66</v>
      </c>
      <c r="S713">
        <v>1</v>
      </c>
      <c r="T713" t="s">
        <v>58</v>
      </c>
      <c r="U713" t="s">
        <v>59</v>
      </c>
      <c r="V713" s="3">
        <v>0.9</v>
      </c>
      <c r="W713" s="2">
        <v>0</v>
      </c>
      <c r="X713">
        <v>0</v>
      </c>
      <c r="Y713" t="s">
        <v>60</v>
      </c>
      <c r="Z713" t="s">
        <v>135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39.29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46062</v>
      </c>
      <c r="B714" t="s">
        <v>48</v>
      </c>
      <c r="C714">
        <v>649163</v>
      </c>
      <c r="D714">
        <v>2033052910</v>
      </c>
      <c r="E714" t="s">
        <v>546</v>
      </c>
      <c r="F714" t="s">
        <v>943</v>
      </c>
      <c r="G714" t="s">
        <v>51</v>
      </c>
      <c r="H714" t="s">
        <v>750</v>
      </c>
      <c r="I714" t="s">
        <v>72</v>
      </c>
      <c r="J714" t="s">
        <v>73</v>
      </c>
      <c r="K714">
        <v>673059</v>
      </c>
      <c r="L714" t="s">
        <v>162</v>
      </c>
      <c r="M714" t="s">
        <v>180</v>
      </c>
      <c r="N714" t="s">
        <v>144</v>
      </c>
      <c r="O714" s="1">
        <v>46054</v>
      </c>
      <c r="P714" s="1">
        <v>46062</v>
      </c>
      <c r="Q714" s="1">
        <v>46082</v>
      </c>
      <c r="R714" s="2">
        <v>-67.63</v>
      </c>
      <c r="S714">
        <v>1</v>
      </c>
      <c r="T714" t="s">
        <v>58</v>
      </c>
      <c r="U714" t="s">
        <v>59</v>
      </c>
      <c r="V714" s="3">
        <v>0.75</v>
      </c>
      <c r="W714" s="2">
        <v>0</v>
      </c>
      <c r="X714">
        <v>-1</v>
      </c>
      <c r="Y714" t="s">
        <v>60</v>
      </c>
      <c r="Z714" t="s">
        <v>135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-50.72</v>
      </c>
      <c r="AN714" s="2">
        <v>-50.72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46062</v>
      </c>
      <c r="B715" t="s">
        <v>48</v>
      </c>
      <c r="C715">
        <v>649163</v>
      </c>
      <c r="D715">
        <v>2033053631</v>
      </c>
      <c r="E715" t="s">
        <v>946</v>
      </c>
      <c r="F715" t="s">
        <v>947</v>
      </c>
      <c r="G715" t="s">
        <v>51</v>
      </c>
      <c r="H715" t="s">
        <v>140</v>
      </c>
      <c r="I715" t="s">
        <v>72</v>
      </c>
      <c r="J715" t="s">
        <v>73</v>
      </c>
      <c r="K715">
        <v>673059</v>
      </c>
      <c r="L715" t="s">
        <v>162</v>
      </c>
      <c r="M715" t="s">
        <v>180</v>
      </c>
      <c r="N715" t="s">
        <v>57</v>
      </c>
      <c r="O715" s="1">
        <v>46031</v>
      </c>
      <c r="Q715" s="1">
        <v>46090</v>
      </c>
      <c r="R715" s="2">
        <v>32.03</v>
      </c>
      <c r="S715">
        <v>1</v>
      </c>
      <c r="T715" t="s">
        <v>58</v>
      </c>
      <c r="U715" t="s">
        <v>59</v>
      </c>
      <c r="V715" s="3">
        <v>0.75</v>
      </c>
      <c r="W715" s="2">
        <v>0</v>
      </c>
      <c r="X715">
        <v>0</v>
      </c>
      <c r="Y715" t="s">
        <v>60</v>
      </c>
      <c r="Z715" t="s">
        <v>135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24.02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46062</v>
      </c>
      <c r="B716" t="s">
        <v>48</v>
      </c>
      <c r="C716">
        <v>649163</v>
      </c>
      <c r="D716">
        <v>2033066816</v>
      </c>
      <c r="E716" t="s">
        <v>952</v>
      </c>
      <c r="F716" t="s">
        <v>457</v>
      </c>
      <c r="G716" t="s">
        <v>51</v>
      </c>
      <c r="H716" t="s">
        <v>66</v>
      </c>
      <c r="I716" t="s">
        <v>72</v>
      </c>
      <c r="J716" t="s">
        <v>73</v>
      </c>
      <c r="K716">
        <v>792847</v>
      </c>
      <c r="L716" t="s">
        <v>372</v>
      </c>
      <c r="M716" t="s">
        <v>373</v>
      </c>
      <c r="N716" t="s">
        <v>57</v>
      </c>
      <c r="O716" s="1">
        <v>46032</v>
      </c>
      <c r="Q716" s="1">
        <v>46091</v>
      </c>
      <c r="R716" s="2">
        <v>62.85</v>
      </c>
      <c r="S716">
        <v>1</v>
      </c>
      <c r="T716" t="s">
        <v>58</v>
      </c>
      <c r="U716" t="s">
        <v>59</v>
      </c>
      <c r="V716" s="3">
        <v>0.75</v>
      </c>
      <c r="W716" s="2">
        <v>0</v>
      </c>
      <c r="X716">
        <v>0</v>
      </c>
      <c r="Y716" t="s">
        <v>60</v>
      </c>
      <c r="Z716" t="s">
        <v>135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47.14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46062</v>
      </c>
      <c r="B717" t="s">
        <v>48</v>
      </c>
      <c r="C717">
        <v>649163</v>
      </c>
      <c r="D717">
        <v>2033071419</v>
      </c>
      <c r="E717" t="s">
        <v>914</v>
      </c>
      <c r="F717" t="s">
        <v>139</v>
      </c>
      <c r="G717" t="s">
        <v>51</v>
      </c>
      <c r="H717" t="s">
        <v>96</v>
      </c>
      <c r="I717" t="s">
        <v>72</v>
      </c>
      <c r="J717" t="s">
        <v>79</v>
      </c>
      <c r="K717">
        <v>651818</v>
      </c>
      <c r="L717" t="s">
        <v>80</v>
      </c>
      <c r="M717" t="s">
        <v>81</v>
      </c>
      <c r="N717" t="s">
        <v>57</v>
      </c>
      <c r="O717" s="1">
        <v>46034</v>
      </c>
      <c r="Q717" s="1">
        <v>46093</v>
      </c>
      <c r="R717" s="2">
        <v>302.35000000000002</v>
      </c>
      <c r="S717">
        <v>1</v>
      </c>
      <c r="T717" t="s">
        <v>58</v>
      </c>
      <c r="U717" t="s">
        <v>59</v>
      </c>
      <c r="V717" s="3">
        <v>0.75</v>
      </c>
      <c r="W717" s="2">
        <v>0</v>
      </c>
      <c r="X717">
        <v>0</v>
      </c>
      <c r="Y717" t="s">
        <v>60</v>
      </c>
      <c r="Z717" t="s">
        <v>135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226.76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46062</v>
      </c>
      <c r="B718" t="s">
        <v>48</v>
      </c>
      <c r="C718">
        <v>649163</v>
      </c>
      <c r="D718">
        <v>2033078761</v>
      </c>
      <c r="E718" t="s">
        <v>953</v>
      </c>
      <c r="F718" t="s">
        <v>466</v>
      </c>
      <c r="G718" t="s">
        <v>51</v>
      </c>
      <c r="H718" t="s">
        <v>274</v>
      </c>
      <c r="I718" t="s">
        <v>72</v>
      </c>
      <c r="J718" t="s">
        <v>73</v>
      </c>
      <c r="K718">
        <v>816021</v>
      </c>
      <c r="L718" t="s">
        <v>275</v>
      </c>
      <c r="M718" t="s">
        <v>276</v>
      </c>
      <c r="N718" t="s">
        <v>57</v>
      </c>
      <c r="O718" s="1">
        <v>46032</v>
      </c>
      <c r="Q718" s="1">
        <v>46091</v>
      </c>
      <c r="R718" s="2">
        <v>34.479999999999997</v>
      </c>
      <c r="S718">
        <v>1</v>
      </c>
      <c r="T718" t="s">
        <v>58</v>
      </c>
      <c r="U718" t="s">
        <v>59</v>
      </c>
      <c r="V718" s="3">
        <v>0.75</v>
      </c>
      <c r="W718" s="2">
        <v>0</v>
      </c>
      <c r="X718">
        <v>0</v>
      </c>
      <c r="Y718" t="s">
        <v>60</v>
      </c>
      <c r="Z718" t="s">
        <v>135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25.86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46062</v>
      </c>
      <c r="B719" t="s">
        <v>48</v>
      </c>
      <c r="C719">
        <v>649163</v>
      </c>
      <c r="D719">
        <v>2033089393</v>
      </c>
      <c r="E719" t="s">
        <v>957</v>
      </c>
      <c r="F719" t="s">
        <v>512</v>
      </c>
      <c r="G719" t="s">
        <v>51</v>
      </c>
      <c r="H719" t="s">
        <v>274</v>
      </c>
      <c r="I719" t="s">
        <v>72</v>
      </c>
      <c r="J719" t="s">
        <v>73</v>
      </c>
      <c r="K719">
        <v>816021</v>
      </c>
      <c r="L719" t="s">
        <v>275</v>
      </c>
      <c r="M719" t="s">
        <v>276</v>
      </c>
      <c r="N719" t="s">
        <v>57</v>
      </c>
      <c r="O719" s="1">
        <v>46033</v>
      </c>
      <c r="Q719" s="1">
        <v>46092</v>
      </c>
      <c r="R719" s="2">
        <v>11.26</v>
      </c>
      <c r="S719">
        <v>1</v>
      </c>
      <c r="T719" t="s">
        <v>58</v>
      </c>
      <c r="U719" t="s">
        <v>59</v>
      </c>
      <c r="V719" s="3">
        <v>0.75</v>
      </c>
      <c r="W719" s="2">
        <v>0</v>
      </c>
      <c r="X719">
        <v>0</v>
      </c>
      <c r="Y719" t="s">
        <v>60</v>
      </c>
      <c r="Z719" t="s">
        <v>135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8.44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46062</v>
      </c>
      <c r="B720" t="s">
        <v>48</v>
      </c>
      <c r="C720">
        <v>649163</v>
      </c>
      <c r="D720">
        <v>2033089936</v>
      </c>
      <c r="E720" t="s">
        <v>958</v>
      </c>
      <c r="F720" t="s">
        <v>240</v>
      </c>
      <c r="G720" t="s">
        <v>51</v>
      </c>
      <c r="H720" t="s">
        <v>392</v>
      </c>
      <c r="I720" t="s">
        <v>72</v>
      </c>
      <c r="J720" t="s">
        <v>93</v>
      </c>
      <c r="K720">
        <v>823068</v>
      </c>
      <c r="L720" t="s">
        <v>355</v>
      </c>
      <c r="M720" t="s">
        <v>356</v>
      </c>
      <c r="N720" t="s">
        <v>57</v>
      </c>
      <c r="O720" s="1">
        <v>46035</v>
      </c>
      <c r="Q720" s="1">
        <v>46094</v>
      </c>
      <c r="R720" s="2">
        <v>165.12</v>
      </c>
      <c r="S720">
        <v>1</v>
      </c>
      <c r="T720" t="s">
        <v>58</v>
      </c>
      <c r="U720" t="s">
        <v>59</v>
      </c>
      <c r="V720" s="3">
        <v>0.9</v>
      </c>
      <c r="W720" s="2">
        <v>0</v>
      </c>
      <c r="X720">
        <v>0</v>
      </c>
      <c r="Y720" t="s">
        <v>60</v>
      </c>
      <c r="Z720" t="s">
        <v>135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148.61000000000001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46062</v>
      </c>
      <c r="B721" t="s">
        <v>48</v>
      </c>
      <c r="C721">
        <v>649163</v>
      </c>
      <c r="D721">
        <v>2033106166</v>
      </c>
      <c r="E721" t="s">
        <v>1079</v>
      </c>
      <c r="F721" t="s">
        <v>1080</v>
      </c>
      <c r="G721" t="s">
        <v>51</v>
      </c>
      <c r="H721" t="s">
        <v>71</v>
      </c>
      <c r="I721" t="s">
        <v>72</v>
      </c>
      <c r="J721" t="s">
        <v>93</v>
      </c>
      <c r="K721">
        <v>753748</v>
      </c>
      <c r="L721" t="s">
        <v>74</v>
      </c>
      <c r="M721" t="s">
        <v>75</v>
      </c>
      <c r="N721" t="s">
        <v>57</v>
      </c>
      <c r="O721" s="1">
        <v>46035</v>
      </c>
      <c r="Q721" s="1">
        <v>46094</v>
      </c>
      <c r="R721" s="2">
        <v>152.33000000000001</v>
      </c>
      <c r="S721">
        <v>1</v>
      </c>
      <c r="T721" t="s">
        <v>58</v>
      </c>
      <c r="U721" t="s">
        <v>59</v>
      </c>
      <c r="V721" s="3">
        <v>0.9</v>
      </c>
      <c r="W721" s="2">
        <v>0</v>
      </c>
      <c r="X721">
        <v>0</v>
      </c>
      <c r="Y721" t="s">
        <v>60</v>
      </c>
      <c r="Z721" t="s">
        <v>135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137.1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46062</v>
      </c>
      <c r="B722" t="s">
        <v>48</v>
      </c>
      <c r="C722">
        <v>649163</v>
      </c>
      <c r="D722">
        <v>2033115853</v>
      </c>
      <c r="E722" t="s">
        <v>145</v>
      </c>
      <c r="F722" t="s">
        <v>146</v>
      </c>
      <c r="G722" t="s">
        <v>51</v>
      </c>
      <c r="H722" t="s">
        <v>147</v>
      </c>
      <c r="I722" t="s">
        <v>72</v>
      </c>
      <c r="J722" t="s">
        <v>73</v>
      </c>
      <c r="K722">
        <v>753748</v>
      </c>
      <c r="L722" t="s">
        <v>74</v>
      </c>
      <c r="M722" t="s">
        <v>75</v>
      </c>
      <c r="N722" t="s">
        <v>57</v>
      </c>
      <c r="O722" s="1">
        <v>46035</v>
      </c>
      <c r="Q722" s="1">
        <v>46094</v>
      </c>
      <c r="R722" s="2">
        <v>58.93</v>
      </c>
      <c r="S722">
        <v>1</v>
      </c>
      <c r="T722" t="s">
        <v>58</v>
      </c>
      <c r="U722" t="s">
        <v>59</v>
      </c>
      <c r="V722" s="3">
        <v>0.75</v>
      </c>
      <c r="W722" s="2">
        <v>0</v>
      </c>
      <c r="X722">
        <v>0</v>
      </c>
      <c r="Y722" t="s">
        <v>60</v>
      </c>
      <c r="Z722" t="s">
        <v>135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44.2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46062</v>
      </c>
      <c r="B723" t="s">
        <v>48</v>
      </c>
      <c r="C723">
        <v>649163</v>
      </c>
      <c r="D723">
        <v>2033126466</v>
      </c>
      <c r="E723" t="s">
        <v>965</v>
      </c>
      <c r="F723" t="s">
        <v>592</v>
      </c>
      <c r="G723" t="s">
        <v>51</v>
      </c>
      <c r="H723" t="s">
        <v>392</v>
      </c>
      <c r="I723" t="s">
        <v>72</v>
      </c>
      <c r="J723" t="s">
        <v>93</v>
      </c>
      <c r="K723">
        <v>823068</v>
      </c>
      <c r="L723" t="s">
        <v>355</v>
      </c>
      <c r="M723" t="s">
        <v>356</v>
      </c>
      <c r="N723" t="s">
        <v>144</v>
      </c>
      <c r="O723" s="1">
        <v>46054</v>
      </c>
      <c r="P723" s="1">
        <v>46062</v>
      </c>
      <c r="Q723" s="1">
        <v>46082</v>
      </c>
      <c r="R723" s="2">
        <v>-167.38</v>
      </c>
      <c r="S723">
        <v>1</v>
      </c>
      <c r="T723" t="s">
        <v>58</v>
      </c>
      <c r="U723" t="s">
        <v>59</v>
      </c>
      <c r="V723" s="3">
        <v>0.9</v>
      </c>
      <c r="W723" s="2">
        <v>0</v>
      </c>
      <c r="X723">
        <v>-1</v>
      </c>
      <c r="Y723" t="s">
        <v>60</v>
      </c>
      <c r="Z723" t="s">
        <v>135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-150.63999999999999</v>
      </c>
      <c r="AN723" s="2">
        <v>-150.63999999999999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46062</v>
      </c>
      <c r="B724" t="s">
        <v>48</v>
      </c>
      <c r="C724">
        <v>649163</v>
      </c>
      <c r="D724">
        <v>2033178395</v>
      </c>
      <c r="E724" t="s">
        <v>966</v>
      </c>
      <c r="F724" t="s">
        <v>967</v>
      </c>
      <c r="G724" t="s">
        <v>51</v>
      </c>
      <c r="H724" t="s">
        <v>353</v>
      </c>
      <c r="I724" t="s">
        <v>72</v>
      </c>
      <c r="J724" t="s">
        <v>93</v>
      </c>
      <c r="K724">
        <v>753748</v>
      </c>
      <c r="L724" t="s">
        <v>74</v>
      </c>
      <c r="M724" t="s">
        <v>75</v>
      </c>
      <c r="N724" t="s">
        <v>144</v>
      </c>
      <c r="O724" s="1">
        <v>46054</v>
      </c>
      <c r="P724" s="1">
        <v>46062</v>
      </c>
      <c r="Q724" s="1">
        <v>46082</v>
      </c>
      <c r="R724" s="2">
        <v>-167.5</v>
      </c>
      <c r="S724">
        <v>1</v>
      </c>
      <c r="T724" t="s">
        <v>58</v>
      </c>
      <c r="U724" t="s">
        <v>59</v>
      </c>
      <c r="V724" s="3">
        <v>0.9</v>
      </c>
      <c r="W724" s="2">
        <v>0</v>
      </c>
      <c r="X724">
        <v>-1</v>
      </c>
      <c r="Y724" t="s">
        <v>60</v>
      </c>
      <c r="Z724" t="s">
        <v>135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-150.75</v>
      </c>
      <c r="AN724" s="2">
        <v>-150.75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46062</v>
      </c>
      <c r="B725" t="s">
        <v>48</v>
      </c>
      <c r="C725">
        <v>649163</v>
      </c>
      <c r="D725">
        <v>2033246168</v>
      </c>
      <c r="E725" t="s">
        <v>968</v>
      </c>
      <c r="F725" t="s">
        <v>969</v>
      </c>
      <c r="G725" t="s">
        <v>51</v>
      </c>
      <c r="H725" t="s">
        <v>750</v>
      </c>
      <c r="I725" t="s">
        <v>72</v>
      </c>
      <c r="J725" t="s">
        <v>93</v>
      </c>
      <c r="K725">
        <v>753748</v>
      </c>
      <c r="L725" t="s">
        <v>74</v>
      </c>
      <c r="M725" t="s">
        <v>75</v>
      </c>
      <c r="N725" t="s">
        <v>144</v>
      </c>
      <c r="O725" s="1">
        <v>46054</v>
      </c>
      <c r="P725" s="1">
        <v>46062</v>
      </c>
      <c r="Q725" s="1">
        <v>46082</v>
      </c>
      <c r="R725" s="2">
        <v>-94.63</v>
      </c>
      <c r="S725">
        <v>1</v>
      </c>
      <c r="T725" t="s">
        <v>58</v>
      </c>
      <c r="U725" t="s">
        <v>59</v>
      </c>
      <c r="V725" s="3">
        <v>0.9</v>
      </c>
      <c r="W725" s="2">
        <v>0</v>
      </c>
      <c r="X725">
        <v>-1</v>
      </c>
      <c r="Y725" t="s">
        <v>60</v>
      </c>
      <c r="Z725" t="s">
        <v>135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-85.17</v>
      </c>
      <c r="AN725" s="2">
        <v>-85.17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46062</v>
      </c>
      <c r="B726" t="s">
        <v>48</v>
      </c>
      <c r="C726">
        <v>649163</v>
      </c>
      <c r="D726">
        <v>2033422266</v>
      </c>
      <c r="E726" t="s">
        <v>1081</v>
      </c>
      <c r="F726" t="s">
        <v>1082</v>
      </c>
      <c r="G726" t="s">
        <v>51</v>
      </c>
      <c r="H726" t="s">
        <v>121</v>
      </c>
      <c r="I726" t="s">
        <v>72</v>
      </c>
      <c r="J726" t="s">
        <v>93</v>
      </c>
      <c r="K726">
        <v>862109</v>
      </c>
      <c r="L726" t="s">
        <v>122</v>
      </c>
      <c r="M726" t="s">
        <v>123</v>
      </c>
      <c r="N726" t="s">
        <v>144</v>
      </c>
      <c r="O726" s="1">
        <v>46054</v>
      </c>
      <c r="P726" s="1">
        <v>46062</v>
      </c>
      <c r="Q726" s="1">
        <v>46082</v>
      </c>
      <c r="R726" s="2">
        <v>-68.25</v>
      </c>
      <c r="S726">
        <v>1</v>
      </c>
      <c r="T726" t="s">
        <v>58</v>
      </c>
      <c r="U726" t="s">
        <v>59</v>
      </c>
      <c r="V726" s="3">
        <v>0.9</v>
      </c>
      <c r="W726" s="2">
        <v>0</v>
      </c>
      <c r="X726">
        <v>-1</v>
      </c>
      <c r="Y726" t="s">
        <v>60</v>
      </c>
      <c r="Z726" t="s">
        <v>135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-61.42</v>
      </c>
      <c r="AN726" s="2">
        <v>-61.42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46062</v>
      </c>
      <c r="B727" t="s">
        <v>48</v>
      </c>
      <c r="C727">
        <v>649163</v>
      </c>
      <c r="D727">
        <v>2021646245</v>
      </c>
      <c r="E727" t="s">
        <v>1083</v>
      </c>
      <c r="F727" t="s">
        <v>510</v>
      </c>
      <c r="G727" t="s">
        <v>51</v>
      </c>
      <c r="H727" t="s">
        <v>209</v>
      </c>
      <c r="I727" t="s">
        <v>350</v>
      </c>
      <c r="J727" t="s">
        <v>574</v>
      </c>
      <c r="K727">
        <v>673059</v>
      </c>
      <c r="L727" t="s">
        <v>162</v>
      </c>
      <c r="M727" t="s">
        <v>180</v>
      </c>
      <c r="N727" t="s">
        <v>57</v>
      </c>
      <c r="O727" s="1">
        <v>45329</v>
      </c>
      <c r="Q727" s="1">
        <v>46088</v>
      </c>
      <c r="R727" s="2">
        <v>15</v>
      </c>
      <c r="S727">
        <v>1</v>
      </c>
      <c r="T727" t="s">
        <v>58</v>
      </c>
      <c r="U727" t="s">
        <v>156</v>
      </c>
      <c r="V727" s="3">
        <v>0.28999999999999998</v>
      </c>
      <c r="W727" s="2">
        <v>0</v>
      </c>
      <c r="X727">
        <v>0</v>
      </c>
      <c r="Y727" t="s">
        <v>157</v>
      </c>
      <c r="Z727" t="s">
        <v>135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4.3499999999999996</v>
      </c>
      <c r="AN727" s="2">
        <v>4.3499999999999996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46062</v>
      </c>
      <c r="B728" t="s">
        <v>48</v>
      </c>
      <c r="C728">
        <v>649163</v>
      </c>
      <c r="D728">
        <v>2023010065</v>
      </c>
      <c r="E728" t="s">
        <v>1037</v>
      </c>
      <c r="F728" t="s">
        <v>1084</v>
      </c>
      <c r="G728" t="s">
        <v>51</v>
      </c>
      <c r="H728" t="s">
        <v>237</v>
      </c>
      <c r="I728" t="s">
        <v>350</v>
      </c>
      <c r="J728" t="s">
        <v>582</v>
      </c>
      <c r="K728">
        <v>751867</v>
      </c>
      <c r="L728" t="s">
        <v>239</v>
      </c>
      <c r="M728" t="s">
        <v>240</v>
      </c>
      <c r="N728" t="s">
        <v>57</v>
      </c>
      <c r="O728" s="1">
        <v>45419</v>
      </c>
      <c r="Q728" s="1">
        <v>46088</v>
      </c>
      <c r="R728" s="2">
        <v>15</v>
      </c>
      <c r="S728">
        <v>1</v>
      </c>
      <c r="T728" t="s">
        <v>58</v>
      </c>
      <c r="U728" t="s">
        <v>156</v>
      </c>
      <c r="V728" s="3">
        <v>0.1</v>
      </c>
      <c r="W728" s="2">
        <v>0</v>
      </c>
      <c r="X728">
        <v>0</v>
      </c>
      <c r="Y728" t="s">
        <v>157</v>
      </c>
      <c r="Z728" t="s">
        <v>135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1.5</v>
      </c>
      <c r="AN728" s="2">
        <v>1.5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46062</v>
      </c>
      <c r="B729" t="s">
        <v>48</v>
      </c>
      <c r="C729">
        <v>649163</v>
      </c>
      <c r="D729">
        <v>2023048532</v>
      </c>
      <c r="E729" t="s">
        <v>235</v>
      </c>
      <c r="F729" t="s">
        <v>640</v>
      </c>
      <c r="G729" t="s">
        <v>51</v>
      </c>
      <c r="H729" t="s">
        <v>237</v>
      </c>
      <c r="I729" t="s">
        <v>350</v>
      </c>
      <c r="J729" t="s">
        <v>582</v>
      </c>
      <c r="K729">
        <v>751867</v>
      </c>
      <c r="L729" t="s">
        <v>239</v>
      </c>
      <c r="M729" t="s">
        <v>240</v>
      </c>
      <c r="N729" t="s">
        <v>57</v>
      </c>
      <c r="O729" s="1">
        <v>45422</v>
      </c>
      <c r="Q729" s="1">
        <v>46091</v>
      </c>
      <c r="R729" s="2">
        <v>15</v>
      </c>
      <c r="S729">
        <v>1</v>
      </c>
      <c r="T729" t="s">
        <v>58</v>
      </c>
      <c r="U729" t="s">
        <v>156</v>
      </c>
      <c r="V729" s="3">
        <v>0.1</v>
      </c>
      <c r="W729" s="2">
        <v>0</v>
      </c>
      <c r="X729">
        <v>0</v>
      </c>
      <c r="Y729" t="s">
        <v>157</v>
      </c>
      <c r="Z729" t="s">
        <v>135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1.5</v>
      </c>
      <c r="AN729" s="2">
        <v>1.5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46062</v>
      </c>
      <c r="B730" t="s">
        <v>48</v>
      </c>
      <c r="C730">
        <v>649163</v>
      </c>
      <c r="D730">
        <v>2023372600</v>
      </c>
      <c r="E730" t="s">
        <v>641</v>
      </c>
      <c r="F730" t="s">
        <v>642</v>
      </c>
      <c r="G730" t="s">
        <v>51</v>
      </c>
      <c r="H730" t="s">
        <v>353</v>
      </c>
      <c r="I730" t="s">
        <v>350</v>
      </c>
      <c r="J730" t="s">
        <v>582</v>
      </c>
      <c r="K730">
        <v>650218</v>
      </c>
      <c r="L730" t="s">
        <v>246</v>
      </c>
      <c r="M730" t="s">
        <v>195</v>
      </c>
      <c r="N730" t="s">
        <v>57</v>
      </c>
      <c r="O730" s="1">
        <v>45447</v>
      </c>
      <c r="Q730" s="1">
        <v>46085</v>
      </c>
      <c r="R730" s="2">
        <v>15</v>
      </c>
      <c r="S730">
        <v>1</v>
      </c>
      <c r="T730" t="s">
        <v>58</v>
      </c>
      <c r="U730" t="s">
        <v>156</v>
      </c>
      <c r="V730" s="3">
        <v>0.1</v>
      </c>
      <c r="W730" s="2">
        <v>0</v>
      </c>
      <c r="X730">
        <v>0</v>
      </c>
      <c r="Y730" t="s">
        <v>157</v>
      </c>
      <c r="Z730" t="s">
        <v>135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1.5</v>
      </c>
      <c r="AN730" s="2">
        <v>1.5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46062</v>
      </c>
      <c r="B731" t="s">
        <v>48</v>
      </c>
      <c r="C731">
        <v>649163</v>
      </c>
      <c r="D731">
        <v>2023845998</v>
      </c>
      <c r="E731" t="s">
        <v>471</v>
      </c>
      <c r="F731" t="s">
        <v>466</v>
      </c>
      <c r="G731" t="s">
        <v>51</v>
      </c>
      <c r="H731" t="s">
        <v>237</v>
      </c>
      <c r="I731" t="s">
        <v>350</v>
      </c>
      <c r="J731" t="s">
        <v>582</v>
      </c>
      <c r="K731">
        <v>751867</v>
      </c>
      <c r="L731" t="s">
        <v>239</v>
      </c>
      <c r="M731" t="s">
        <v>240</v>
      </c>
      <c r="N731" t="s">
        <v>57</v>
      </c>
      <c r="O731" s="1">
        <v>45505</v>
      </c>
      <c r="Q731" s="1">
        <v>46082</v>
      </c>
      <c r="R731" s="2">
        <v>15</v>
      </c>
      <c r="S731">
        <v>1</v>
      </c>
      <c r="T731" t="s">
        <v>58</v>
      </c>
      <c r="U731" t="s">
        <v>156</v>
      </c>
      <c r="V731" s="3">
        <v>0.1</v>
      </c>
      <c r="W731" s="2">
        <v>0</v>
      </c>
      <c r="X731">
        <v>0</v>
      </c>
      <c r="Y731" t="s">
        <v>157</v>
      </c>
      <c r="Z731" t="s">
        <v>135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1.5</v>
      </c>
      <c r="AN731" s="2">
        <v>1.5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46062</v>
      </c>
      <c r="B732" t="s">
        <v>48</v>
      </c>
      <c r="C732">
        <v>649163</v>
      </c>
      <c r="D732">
        <v>2024225542</v>
      </c>
      <c r="E732" t="s">
        <v>974</v>
      </c>
      <c r="F732" t="s">
        <v>975</v>
      </c>
      <c r="G732" t="s">
        <v>51</v>
      </c>
      <c r="H732" t="s">
        <v>288</v>
      </c>
      <c r="I732" t="s">
        <v>350</v>
      </c>
      <c r="J732" t="s">
        <v>574</v>
      </c>
      <c r="K732">
        <v>673059</v>
      </c>
      <c r="L732" t="s">
        <v>162</v>
      </c>
      <c r="M732" t="s">
        <v>180</v>
      </c>
      <c r="N732" t="s">
        <v>144</v>
      </c>
      <c r="O732" s="1">
        <v>45656</v>
      </c>
      <c r="P732" s="1">
        <v>46062</v>
      </c>
      <c r="Q732" s="1">
        <v>46081</v>
      </c>
      <c r="R732" s="2">
        <v>-12.41</v>
      </c>
      <c r="S732">
        <v>1</v>
      </c>
      <c r="T732" t="s">
        <v>58</v>
      </c>
      <c r="U732" t="s">
        <v>156</v>
      </c>
      <c r="V732" s="3">
        <v>0.28999999999999998</v>
      </c>
      <c r="W732" s="2">
        <v>0</v>
      </c>
      <c r="X732">
        <v>-1</v>
      </c>
      <c r="Y732" t="s">
        <v>157</v>
      </c>
      <c r="Z732" t="s">
        <v>135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-3.6</v>
      </c>
      <c r="AN732" s="2">
        <v>-3.6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46062</v>
      </c>
      <c r="B733" t="s">
        <v>48</v>
      </c>
      <c r="C733">
        <v>649163</v>
      </c>
      <c r="D733">
        <v>2024324041</v>
      </c>
      <c r="E733" t="s">
        <v>1085</v>
      </c>
      <c r="F733" t="s">
        <v>1086</v>
      </c>
      <c r="G733" t="s">
        <v>51</v>
      </c>
      <c r="H733" t="s">
        <v>765</v>
      </c>
      <c r="I733" t="s">
        <v>350</v>
      </c>
      <c r="J733" t="s">
        <v>582</v>
      </c>
      <c r="K733">
        <v>650218</v>
      </c>
      <c r="L733" t="s">
        <v>246</v>
      </c>
      <c r="M733" t="s">
        <v>195</v>
      </c>
      <c r="N733" t="s">
        <v>57</v>
      </c>
      <c r="O733" s="1">
        <v>45514</v>
      </c>
      <c r="Q733" s="1">
        <v>46091</v>
      </c>
      <c r="R733" s="2">
        <v>15</v>
      </c>
      <c r="S733">
        <v>1</v>
      </c>
      <c r="T733" t="s">
        <v>58</v>
      </c>
      <c r="U733" t="s">
        <v>156</v>
      </c>
      <c r="V733" s="3">
        <v>0.1</v>
      </c>
      <c r="W733" s="2">
        <v>0</v>
      </c>
      <c r="X733">
        <v>0</v>
      </c>
      <c r="Y733" t="s">
        <v>157</v>
      </c>
      <c r="Z733" t="s">
        <v>135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1.5</v>
      </c>
      <c r="AN733" s="2">
        <v>1.5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46062</v>
      </c>
      <c r="B734" t="s">
        <v>48</v>
      </c>
      <c r="C734">
        <v>649163</v>
      </c>
      <c r="D734">
        <v>2025222898</v>
      </c>
      <c r="E734" t="s">
        <v>580</v>
      </c>
      <c r="F734" t="s">
        <v>1087</v>
      </c>
      <c r="G734" t="s">
        <v>51</v>
      </c>
      <c r="H734" t="s">
        <v>147</v>
      </c>
      <c r="I734" t="s">
        <v>350</v>
      </c>
      <c r="J734" t="s">
        <v>582</v>
      </c>
      <c r="K734">
        <v>751867</v>
      </c>
      <c r="L734" t="s">
        <v>239</v>
      </c>
      <c r="M734" t="s">
        <v>240</v>
      </c>
      <c r="N734" t="s">
        <v>57</v>
      </c>
      <c r="O734" s="1">
        <v>45574</v>
      </c>
      <c r="Q734" s="1">
        <v>46090</v>
      </c>
      <c r="R734" s="2">
        <v>15</v>
      </c>
      <c r="S734">
        <v>1</v>
      </c>
      <c r="T734" t="s">
        <v>58</v>
      </c>
      <c r="U734" t="s">
        <v>156</v>
      </c>
      <c r="V734" s="3">
        <v>0.1</v>
      </c>
      <c r="W734" s="2">
        <v>0</v>
      </c>
      <c r="X734">
        <v>0</v>
      </c>
      <c r="Y734" t="s">
        <v>157</v>
      </c>
      <c r="Z734" t="s">
        <v>135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1.5</v>
      </c>
      <c r="AN734" s="2">
        <v>1.5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46062</v>
      </c>
      <c r="B735" t="s">
        <v>48</v>
      </c>
      <c r="C735">
        <v>649163</v>
      </c>
      <c r="D735">
        <v>2025698058</v>
      </c>
      <c r="E735" t="s">
        <v>184</v>
      </c>
      <c r="F735" t="s">
        <v>107</v>
      </c>
      <c r="G735" t="s">
        <v>51</v>
      </c>
      <c r="H735" t="s">
        <v>170</v>
      </c>
      <c r="I735" t="s">
        <v>350</v>
      </c>
      <c r="J735" t="s">
        <v>582</v>
      </c>
      <c r="K735">
        <v>650218</v>
      </c>
      <c r="L735" t="s">
        <v>246</v>
      </c>
      <c r="M735" t="s">
        <v>195</v>
      </c>
      <c r="N735" t="s">
        <v>57</v>
      </c>
      <c r="O735" s="1">
        <v>45605</v>
      </c>
      <c r="Q735" s="1">
        <v>46090</v>
      </c>
      <c r="R735" s="2">
        <v>15</v>
      </c>
      <c r="S735">
        <v>1</v>
      </c>
      <c r="T735" t="s">
        <v>58</v>
      </c>
      <c r="U735" t="s">
        <v>156</v>
      </c>
      <c r="V735" s="3">
        <v>0.1</v>
      </c>
      <c r="W735" s="2">
        <v>0</v>
      </c>
      <c r="X735">
        <v>0</v>
      </c>
      <c r="Y735" t="s">
        <v>157</v>
      </c>
      <c r="Z735" t="s">
        <v>135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1.5</v>
      </c>
      <c r="AN735" s="2">
        <v>1.5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46062</v>
      </c>
      <c r="B736" t="s">
        <v>48</v>
      </c>
      <c r="C736">
        <v>649163</v>
      </c>
      <c r="D736">
        <v>2025737165</v>
      </c>
      <c r="E736" t="s">
        <v>1088</v>
      </c>
      <c r="F736" t="s">
        <v>885</v>
      </c>
      <c r="G736" t="s">
        <v>51</v>
      </c>
      <c r="H736" t="s">
        <v>140</v>
      </c>
      <c r="I736" t="s">
        <v>350</v>
      </c>
      <c r="J736" t="s">
        <v>582</v>
      </c>
      <c r="K736">
        <v>650218</v>
      </c>
      <c r="L736" t="s">
        <v>246</v>
      </c>
      <c r="M736" t="s">
        <v>195</v>
      </c>
      <c r="N736" t="s">
        <v>57</v>
      </c>
      <c r="O736" s="1">
        <v>45609</v>
      </c>
      <c r="Q736" s="1">
        <v>46094</v>
      </c>
      <c r="R736" s="2">
        <v>15</v>
      </c>
      <c r="S736">
        <v>1</v>
      </c>
      <c r="T736" t="s">
        <v>58</v>
      </c>
      <c r="U736" t="s">
        <v>156</v>
      </c>
      <c r="V736" s="3">
        <v>0.1</v>
      </c>
      <c r="W736" s="2">
        <v>0</v>
      </c>
      <c r="X736">
        <v>0</v>
      </c>
      <c r="Y736" t="s">
        <v>157</v>
      </c>
      <c r="Z736" t="s">
        <v>135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1.5</v>
      </c>
      <c r="AN736" s="2">
        <v>1.5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46062</v>
      </c>
      <c r="B737" t="s">
        <v>48</v>
      </c>
      <c r="C737">
        <v>649163</v>
      </c>
      <c r="D737">
        <v>2027080634</v>
      </c>
      <c r="E737" t="s">
        <v>1089</v>
      </c>
      <c r="F737" t="s">
        <v>387</v>
      </c>
      <c r="G737" t="s">
        <v>51</v>
      </c>
      <c r="H737" t="s">
        <v>1090</v>
      </c>
      <c r="I737" t="s">
        <v>350</v>
      </c>
      <c r="J737" t="s">
        <v>574</v>
      </c>
      <c r="K737">
        <v>824062</v>
      </c>
      <c r="L737" t="s">
        <v>569</v>
      </c>
      <c r="M737" t="s">
        <v>570</v>
      </c>
      <c r="N737" t="s">
        <v>57</v>
      </c>
      <c r="O737" s="1">
        <v>45701</v>
      </c>
      <c r="Q737" s="1">
        <v>46094</v>
      </c>
      <c r="R737" s="2">
        <v>15</v>
      </c>
      <c r="S737">
        <v>1</v>
      </c>
      <c r="T737" t="s">
        <v>58</v>
      </c>
      <c r="U737" t="s">
        <v>156</v>
      </c>
      <c r="V737" s="3">
        <v>0.28999999999999998</v>
      </c>
      <c r="W737" s="2">
        <v>0</v>
      </c>
      <c r="X737">
        <v>0</v>
      </c>
      <c r="Y737" t="s">
        <v>157</v>
      </c>
      <c r="Z737" t="s">
        <v>135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4.3499999999999996</v>
      </c>
      <c r="AN737" s="2">
        <v>4.3499999999999996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46062</v>
      </c>
      <c r="B738" t="s">
        <v>48</v>
      </c>
      <c r="C738">
        <v>649163</v>
      </c>
      <c r="D738">
        <v>2028367121</v>
      </c>
      <c r="E738" t="s">
        <v>708</v>
      </c>
      <c r="F738" t="s">
        <v>709</v>
      </c>
      <c r="G738" t="s">
        <v>51</v>
      </c>
      <c r="H738" t="s">
        <v>397</v>
      </c>
      <c r="I738" t="s">
        <v>350</v>
      </c>
      <c r="J738" t="s">
        <v>354</v>
      </c>
      <c r="K738">
        <v>673059</v>
      </c>
      <c r="L738" t="s">
        <v>162</v>
      </c>
      <c r="M738" t="s">
        <v>180</v>
      </c>
      <c r="N738" t="s">
        <v>57</v>
      </c>
      <c r="O738" s="1">
        <v>45759</v>
      </c>
      <c r="Q738" s="1">
        <v>46093</v>
      </c>
      <c r="R738" s="2">
        <v>15</v>
      </c>
      <c r="S738">
        <v>1</v>
      </c>
      <c r="T738" t="s">
        <v>58</v>
      </c>
      <c r="U738" t="s">
        <v>156</v>
      </c>
      <c r="V738" s="3">
        <v>0.38</v>
      </c>
      <c r="W738" s="2">
        <v>0</v>
      </c>
      <c r="X738">
        <v>0</v>
      </c>
      <c r="Y738" t="s">
        <v>60</v>
      </c>
      <c r="Z738" t="s">
        <v>135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5.7</v>
      </c>
      <c r="AN738" s="2">
        <v>5.7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46062</v>
      </c>
      <c r="B739" t="s">
        <v>48</v>
      </c>
      <c r="C739">
        <v>649163</v>
      </c>
      <c r="D739">
        <v>2029844786</v>
      </c>
      <c r="E739" t="s">
        <v>211</v>
      </c>
      <c r="F739" t="s">
        <v>294</v>
      </c>
      <c r="G739" t="s">
        <v>51</v>
      </c>
      <c r="H739" t="s">
        <v>66</v>
      </c>
      <c r="I739" t="s">
        <v>350</v>
      </c>
      <c r="J739" t="s">
        <v>354</v>
      </c>
      <c r="K739">
        <v>768887</v>
      </c>
      <c r="L739" t="s">
        <v>295</v>
      </c>
      <c r="M739" t="s">
        <v>296</v>
      </c>
      <c r="N739" t="s">
        <v>144</v>
      </c>
      <c r="O739" s="1">
        <v>45849</v>
      </c>
      <c r="P739" s="1">
        <v>46062</v>
      </c>
      <c r="Q739" s="1">
        <v>46064</v>
      </c>
      <c r="R739" s="2">
        <v>-19.84</v>
      </c>
      <c r="S739">
        <v>1</v>
      </c>
      <c r="T739" t="s">
        <v>58</v>
      </c>
      <c r="U739" t="s">
        <v>156</v>
      </c>
      <c r="V739" s="3">
        <v>0.38</v>
      </c>
      <c r="W739" s="2">
        <v>0</v>
      </c>
      <c r="X739">
        <v>-1</v>
      </c>
      <c r="Y739" t="s">
        <v>60</v>
      </c>
      <c r="Z739" t="s">
        <v>135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-7.54</v>
      </c>
      <c r="AN739" s="2">
        <v>-7.54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46062</v>
      </c>
      <c r="B740" t="s">
        <v>48</v>
      </c>
      <c r="C740">
        <v>649163</v>
      </c>
      <c r="D740">
        <v>2032000757</v>
      </c>
      <c r="E740" t="s">
        <v>1091</v>
      </c>
      <c r="F740" t="s">
        <v>1092</v>
      </c>
      <c r="G740" t="s">
        <v>51</v>
      </c>
      <c r="H740" t="s">
        <v>66</v>
      </c>
      <c r="I740" t="s">
        <v>363</v>
      </c>
      <c r="J740" t="s">
        <v>364</v>
      </c>
      <c r="K740">
        <v>843573</v>
      </c>
      <c r="L740" t="s">
        <v>365</v>
      </c>
      <c r="M740" t="s">
        <v>366</v>
      </c>
      <c r="N740" t="s">
        <v>57</v>
      </c>
      <c r="O740" s="1">
        <v>45968</v>
      </c>
      <c r="Q740" s="1">
        <v>46088</v>
      </c>
      <c r="R740" s="2">
        <v>53.87</v>
      </c>
      <c r="S740">
        <v>1</v>
      </c>
      <c r="T740" t="s">
        <v>58</v>
      </c>
      <c r="U740" t="s">
        <v>59</v>
      </c>
      <c r="V740" s="4">
        <v>0.375</v>
      </c>
      <c r="W740" s="2">
        <v>0</v>
      </c>
      <c r="X740">
        <v>0</v>
      </c>
      <c r="Y740" t="s">
        <v>60</v>
      </c>
      <c r="Z740" t="s">
        <v>135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20.2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46062</v>
      </c>
      <c r="B741" t="s">
        <v>48</v>
      </c>
      <c r="C741">
        <v>649163</v>
      </c>
      <c r="D741">
        <v>2032016200</v>
      </c>
      <c r="E741" t="s">
        <v>402</v>
      </c>
      <c r="F741" t="s">
        <v>1068</v>
      </c>
      <c r="G741" t="s">
        <v>51</v>
      </c>
      <c r="H741" t="s">
        <v>87</v>
      </c>
      <c r="I741" t="s">
        <v>363</v>
      </c>
      <c r="J741" t="s">
        <v>364</v>
      </c>
      <c r="K741">
        <v>651818</v>
      </c>
      <c r="L741" t="s">
        <v>80</v>
      </c>
      <c r="M741" t="s">
        <v>81</v>
      </c>
      <c r="N741" t="s">
        <v>57</v>
      </c>
      <c r="O741" s="1">
        <v>46028</v>
      </c>
      <c r="Q741" s="1">
        <v>46087</v>
      </c>
      <c r="R741" s="2">
        <v>133.01</v>
      </c>
      <c r="S741">
        <v>1</v>
      </c>
      <c r="T741" t="s">
        <v>58</v>
      </c>
      <c r="U741" t="s">
        <v>59</v>
      </c>
      <c r="V741" s="4">
        <v>0.375</v>
      </c>
      <c r="W741" s="2">
        <v>0</v>
      </c>
      <c r="X741">
        <v>0</v>
      </c>
      <c r="Y741" t="s">
        <v>60</v>
      </c>
      <c r="Z741" t="s">
        <v>135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49.88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46062</v>
      </c>
      <c r="B742" t="s">
        <v>48</v>
      </c>
      <c r="C742">
        <v>649163</v>
      </c>
      <c r="D742">
        <v>2032021961</v>
      </c>
      <c r="E742" t="s">
        <v>1093</v>
      </c>
      <c r="F742" t="s">
        <v>70</v>
      </c>
      <c r="G742" t="s">
        <v>51</v>
      </c>
      <c r="H742" t="s">
        <v>52</v>
      </c>
      <c r="I742" t="s">
        <v>363</v>
      </c>
      <c r="J742" t="s">
        <v>364</v>
      </c>
      <c r="K742">
        <v>877182</v>
      </c>
      <c r="L742" t="s">
        <v>1094</v>
      </c>
      <c r="M742" t="s">
        <v>1095</v>
      </c>
      <c r="N742" t="s">
        <v>57</v>
      </c>
      <c r="O742" s="1">
        <v>45968</v>
      </c>
      <c r="Q742" s="1">
        <v>46088</v>
      </c>
      <c r="R742" s="2">
        <v>15.88</v>
      </c>
      <c r="S742">
        <v>1</v>
      </c>
      <c r="T742" t="s">
        <v>58</v>
      </c>
      <c r="U742" t="s">
        <v>59</v>
      </c>
      <c r="V742" s="4">
        <v>0.375</v>
      </c>
      <c r="W742" s="2">
        <v>0</v>
      </c>
      <c r="X742">
        <v>0</v>
      </c>
      <c r="Y742" t="s">
        <v>60</v>
      </c>
      <c r="Z742" t="s">
        <v>135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5.96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46062</v>
      </c>
      <c r="B743" t="s">
        <v>48</v>
      </c>
      <c r="C743">
        <v>649163</v>
      </c>
      <c r="D743">
        <v>2032038861</v>
      </c>
      <c r="E743" t="s">
        <v>795</v>
      </c>
      <c r="F743" t="s">
        <v>176</v>
      </c>
      <c r="G743" t="s">
        <v>51</v>
      </c>
      <c r="H743" t="s">
        <v>66</v>
      </c>
      <c r="I743" t="s">
        <v>363</v>
      </c>
      <c r="J743" t="s">
        <v>364</v>
      </c>
      <c r="K743">
        <v>843573</v>
      </c>
      <c r="L743" t="s">
        <v>365</v>
      </c>
      <c r="M743" t="s">
        <v>366</v>
      </c>
      <c r="N743" t="s">
        <v>57</v>
      </c>
      <c r="O743" s="1">
        <v>45972</v>
      </c>
      <c r="Q743" s="1">
        <v>46092</v>
      </c>
      <c r="R743" s="2">
        <v>109.28</v>
      </c>
      <c r="S743">
        <v>1</v>
      </c>
      <c r="T743" t="s">
        <v>58</v>
      </c>
      <c r="U743" t="s">
        <v>59</v>
      </c>
      <c r="V743" s="4">
        <v>0.375</v>
      </c>
      <c r="W743" s="2">
        <v>0</v>
      </c>
      <c r="X743">
        <v>0</v>
      </c>
      <c r="Y743" t="s">
        <v>60</v>
      </c>
      <c r="Z743" t="s">
        <v>135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40.98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46062</v>
      </c>
      <c r="B744" t="s">
        <v>48</v>
      </c>
      <c r="C744">
        <v>649163</v>
      </c>
      <c r="D744">
        <v>2032104993</v>
      </c>
      <c r="E744" t="s">
        <v>814</v>
      </c>
      <c r="F744" t="s">
        <v>799</v>
      </c>
      <c r="G744" t="s">
        <v>51</v>
      </c>
      <c r="H744" t="s">
        <v>66</v>
      </c>
      <c r="I744" t="s">
        <v>363</v>
      </c>
      <c r="J744" t="s">
        <v>364</v>
      </c>
      <c r="K744">
        <v>843573</v>
      </c>
      <c r="L744" t="s">
        <v>365</v>
      </c>
      <c r="M744" t="s">
        <v>366</v>
      </c>
      <c r="N744" t="s">
        <v>57</v>
      </c>
      <c r="O744" s="1">
        <v>46024</v>
      </c>
      <c r="Q744" s="1">
        <v>46083</v>
      </c>
      <c r="R744" s="2">
        <v>-62.64</v>
      </c>
      <c r="S744">
        <v>1</v>
      </c>
      <c r="T744" t="s">
        <v>58</v>
      </c>
      <c r="U744" t="s">
        <v>59</v>
      </c>
      <c r="V744" s="4">
        <v>0.375</v>
      </c>
      <c r="W744" s="2">
        <v>0</v>
      </c>
      <c r="X744">
        <v>-1</v>
      </c>
      <c r="Y744" t="s">
        <v>60</v>
      </c>
      <c r="Z744" t="s">
        <v>135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-23.49</v>
      </c>
      <c r="AN744" s="2">
        <v>-23.49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46062</v>
      </c>
      <c r="B745" t="s">
        <v>48</v>
      </c>
      <c r="C745">
        <v>649163</v>
      </c>
      <c r="D745">
        <v>2032111468</v>
      </c>
      <c r="E745" t="s">
        <v>815</v>
      </c>
      <c r="F745" t="s">
        <v>816</v>
      </c>
      <c r="G745" t="s">
        <v>51</v>
      </c>
      <c r="H745" t="s">
        <v>170</v>
      </c>
      <c r="I745" t="s">
        <v>363</v>
      </c>
      <c r="J745" t="s">
        <v>364</v>
      </c>
      <c r="K745">
        <v>897926</v>
      </c>
      <c r="L745" t="s">
        <v>817</v>
      </c>
      <c r="M745" t="s">
        <v>143</v>
      </c>
      <c r="N745" t="s">
        <v>57</v>
      </c>
      <c r="O745" s="1">
        <v>45973</v>
      </c>
      <c r="Q745" s="1">
        <v>46093</v>
      </c>
      <c r="R745" s="2">
        <v>54.95</v>
      </c>
      <c r="S745">
        <v>1</v>
      </c>
      <c r="T745" t="s">
        <v>58</v>
      </c>
      <c r="U745" t="s">
        <v>59</v>
      </c>
      <c r="V745" s="4">
        <v>0.375</v>
      </c>
      <c r="W745" s="2">
        <v>0</v>
      </c>
      <c r="X745">
        <v>0</v>
      </c>
      <c r="Y745" t="s">
        <v>60</v>
      </c>
      <c r="Z745" t="s">
        <v>135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20.61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46062</v>
      </c>
      <c r="B746" t="s">
        <v>48</v>
      </c>
      <c r="C746">
        <v>649163</v>
      </c>
      <c r="D746">
        <v>2032196915</v>
      </c>
      <c r="E746" t="s">
        <v>829</v>
      </c>
      <c r="F746" t="s">
        <v>188</v>
      </c>
      <c r="G746" t="s">
        <v>51</v>
      </c>
      <c r="H746" t="s">
        <v>66</v>
      </c>
      <c r="I746" t="s">
        <v>363</v>
      </c>
      <c r="J746" t="s">
        <v>364</v>
      </c>
      <c r="K746">
        <v>824062</v>
      </c>
      <c r="L746" t="s">
        <v>569</v>
      </c>
      <c r="M746" t="s">
        <v>570</v>
      </c>
      <c r="N746" t="s">
        <v>57</v>
      </c>
      <c r="O746" s="1">
        <v>46023</v>
      </c>
      <c r="Q746" s="1">
        <v>46082</v>
      </c>
      <c r="R746" s="2">
        <v>-78.760000000000005</v>
      </c>
      <c r="S746">
        <v>1</v>
      </c>
      <c r="T746" t="s">
        <v>58</v>
      </c>
      <c r="U746" t="s">
        <v>59</v>
      </c>
      <c r="V746" s="4">
        <v>0.375</v>
      </c>
      <c r="W746" s="2">
        <v>0</v>
      </c>
      <c r="X746">
        <v>-1</v>
      </c>
      <c r="Y746" t="s">
        <v>60</v>
      </c>
      <c r="Z746" t="s">
        <v>135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-29.54</v>
      </c>
      <c r="AN746" s="2">
        <v>-29.54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46062</v>
      </c>
      <c r="B747" t="s">
        <v>48</v>
      </c>
      <c r="C747">
        <v>649163</v>
      </c>
      <c r="D747">
        <v>2032234326</v>
      </c>
      <c r="E747" t="s">
        <v>835</v>
      </c>
      <c r="F747" t="s">
        <v>836</v>
      </c>
      <c r="G747" t="s">
        <v>51</v>
      </c>
      <c r="H747" t="s">
        <v>66</v>
      </c>
      <c r="I747" t="s">
        <v>363</v>
      </c>
      <c r="J747" t="s">
        <v>364</v>
      </c>
      <c r="K747">
        <v>768887</v>
      </c>
      <c r="L747" t="s">
        <v>295</v>
      </c>
      <c r="M747" t="s">
        <v>296</v>
      </c>
      <c r="N747" t="s">
        <v>57</v>
      </c>
      <c r="O747" s="1">
        <v>45980</v>
      </c>
      <c r="Q747" s="1">
        <v>46072</v>
      </c>
      <c r="R747" s="2">
        <v>-2.5</v>
      </c>
      <c r="S747">
        <v>1</v>
      </c>
      <c r="T747" t="s">
        <v>58</v>
      </c>
      <c r="U747" t="s">
        <v>59</v>
      </c>
      <c r="V747" s="4">
        <v>0.375</v>
      </c>
      <c r="W747" s="2">
        <v>0</v>
      </c>
      <c r="X747">
        <v>-1</v>
      </c>
      <c r="Y747" t="s">
        <v>60</v>
      </c>
      <c r="Z747" t="s">
        <v>135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-0.94</v>
      </c>
      <c r="AN747" s="2">
        <v>-0.94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46062</v>
      </c>
      <c r="B748" t="s">
        <v>48</v>
      </c>
      <c r="C748">
        <v>649163</v>
      </c>
      <c r="D748">
        <v>2032450903</v>
      </c>
      <c r="E748" t="s">
        <v>841</v>
      </c>
      <c r="F748" t="s">
        <v>510</v>
      </c>
      <c r="G748" t="s">
        <v>51</v>
      </c>
      <c r="H748" t="s">
        <v>78</v>
      </c>
      <c r="I748" t="s">
        <v>363</v>
      </c>
      <c r="J748" t="s">
        <v>364</v>
      </c>
      <c r="K748">
        <v>767312</v>
      </c>
      <c r="L748" t="s">
        <v>310</v>
      </c>
      <c r="M748" t="s">
        <v>311</v>
      </c>
      <c r="N748" t="s">
        <v>144</v>
      </c>
      <c r="O748" s="1">
        <v>45993</v>
      </c>
      <c r="P748" s="1">
        <v>46055</v>
      </c>
      <c r="Q748" s="1">
        <v>46083</v>
      </c>
      <c r="R748" s="2">
        <v>-37.479999999999997</v>
      </c>
      <c r="S748">
        <v>1</v>
      </c>
      <c r="T748" t="s">
        <v>58</v>
      </c>
      <c r="U748" t="s">
        <v>59</v>
      </c>
      <c r="V748" s="4">
        <v>0.375</v>
      </c>
      <c r="W748" s="2">
        <v>0</v>
      </c>
      <c r="X748">
        <v>-1</v>
      </c>
      <c r="Y748" t="s">
        <v>60</v>
      </c>
      <c r="Z748" t="s">
        <v>135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-14.06</v>
      </c>
      <c r="AN748" s="2">
        <v>-14.06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46062</v>
      </c>
      <c r="B749" t="s">
        <v>48</v>
      </c>
      <c r="C749">
        <v>649163</v>
      </c>
      <c r="D749">
        <v>2032462075</v>
      </c>
      <c r="E749" t="s">
        <v>444</v>
      </c>
      <c r="F749" t="s">
        <v>445</v>
      </c>
      <c r="G749" t="s">
        <v>51</v>
      </c>
      <c r="H749" t="s">
        <v>237</v>
      </c>
      <c r="I749" t="s">
        <v>363</v>
      </c>
      <c r="J749" t="s">
        <v>364</v>
      </c>
      <c r="K749">
        <v>673059</v>
      </c>
      <c r="L749" t="s">
        <v>162</v>
      </c>
      <c r="M749" t="s">
        <v>180</v>
      </c>
      <c r="N749" t="s">
        <v>57</v>
      </c>
      <c r="O749" s="1">
        <v>46023</v>
      </c>
      <c r="Q749" s="1">
        <v>46082</v>
      </c>
      <c r="R749" s="2">
        <v>-37.409999999999997</v>
      </c>
      <c r="S749">
        <v>1</v>
      </c>
      <c r="T749" t="s">
        <v>58</v>
      </c>
      <c r="U749" t="s">
        <v>59</v>
      </c>
      <c r="V749" s="4">
        <v>0.375</v>
      </c>
      <c r="W749" s="2">
        <v>0</v>
      </c>
      <c r="X749">
        <v>-1</v>
      </c>
      <c r="Y749" t="s">
        <v>60</v>
      </c>
      <c r="Z749" t="s">
        <v>135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-14.03</v>
      </c>
      <c r="AN749" s="2">
        <v>-14.03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46062</v>
      </c>
      <c r="B750" t="s">
        <v>48</v>
      </c>
      <c r="C750">
        <v>649163</v>
      </c>
      <c r="D750">
        <v>2032484434</v>
      </c>
      <c r="E750" t="s">
        <v>376</v>
      </c>
      <c r="F750" t="s">
        <v>1096</v>
      </c>
      <c r="G750" t="s">
        <v>51</v>
      </c>
      <c r="H750" t="s">
        <v>397</v>
      </c>
      <c r="I750" t="s">
        <v>363</v>
      </c>
      <c r="J750" t="s">
        <v>364</v>
      </c>
      <c r="K750">
        <v>767312</v>
      </c>
      <c r="L750" t="s">
        <v>310</v>
      </c>
      <c r="M750" t="s">
        <v>311</v>
      </c>
      <c r="N750" t="s">
        <v>57</v>
      </c>
      <c r="O750" s="1">
        <v>46004</v>
      </c>
      <c r="Q750" s="1">
        <v>46094</v>
      </c>
      <c r="R750" s="2">
        <v>32.340000000000003</v>
      </c>
      <c r="S750">
        <v>1</v>
      </c>
      <c r="T750" t="s">
        <v>58</v>
      </c>
      <c r="U750" t="s">
        <v>59</v>
      </c>
      <c r="V750" s="4">
        <v>0.375</v>
      </c>
      <c r="W750" s="2">
        <v>0</v>
      </c>
      <c r="X750">
        <v>0</v>
      </c>
      <c r="Y750" t="s">
        <v>60</v>
      </c>
      <c r="Z750" t="s">
        <v>135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12.13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46062</v>
      </c>
      <c r="B751" t="s">
        <v>48</v>
      </c>
      <c r="C751">
        <v>649163</v>
      </c>
      <c r="D751">
        <v>2032489610</v>
      </c>
      <c r="E751" t="s">
        <v>846</v>
      </c>
      <c r="F751" t="s">
        <v>847</v>
      </c>
      <c r="G751" t="s">
        <v>51</v>
      </c>
      <c r="H751" t="s">
        <v>66</v>
      </c>
      <c r="I751" t="s">
        <v>363</v>
      </c>
      <c r="J751" t="s">
        <v>364</v>
      </c>
      <c r="K751">
        <v>884312</v>
      </c>
      <c r="L751" t="s">
        <v>848</v>
      </c>
      <c r="M751" t="s">
        <v>849</v>
      </c>
      <c r="N751" t="s">
        <v>57</v>
      </c>
      <c r="O751" s="1">
        <v>45999</v>
      </c>
      <c r="Q751" s="1">
        <v>46089</v>
      </c>
      <c r="R751" s="2">
        <v>77.48</v>
      </c>
      <c r="S751">
        <v>1</v>
      </c>
      <c r="T751" t="s">
        <v>58</v>
      </c>
      <c r="U751" t="s">
        <v>59</v>
      </c>
      <c r="V751" s="4">
        <v>0.375</v>
      </c>
      <c r="W751" s="2">
        <v>0</v>
      </c>
      <c r="X751">
        <v>0</v>
      </c>
      <c r="Y751" t="s">
        <v>60</v>
      </c>
      <c r="Z751" t="s">
        <v>135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29.06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46062</v>
      </c>
      <c r="B752" t="s">
        <v>48</v>
      </c>
      <c r="C752">
        <v>649163</v>
      </c>
      <c r="D752">
        <v>2032528435</v>
      </c>
      <c r="E752" t="s">
        <v>835</v>
      </c>
      <c r="F752" t="s">
        <v>1097</v>
      </c>
      <c r="G752" t="s">
        <v>51</v>
      </c>
      <c r="H752" t="s">
        <v>52</v>
      </c>
      <c r="I752" t="s">
        <v>363</v>
      </c>
      <c r="J752" t="s">
        <v>364</v>
      </c>
      <c r="K752">
        <v>751867</v>
      </c>
      <c r="L752" t="s">
        <v>239</v>
      </c>
      <c r="M752" t="s">
        <v>240</v>
      </c>
      <c r="N752" t="s">
        <v>57</v>
      </c>
      <c r="O752" s="1">
        <v>46023</v>
      </c>
      <c r="Q752" s="1">
        <v>46082</v>
      </c>
      <c r="R752" s="2">
        <v>16.59</v>
      </c>
      <c r="S752">
        <v>1</v>
      </c>
      <c r="T752" t="s">
        <v>58</v>
      </c>
      <c r="U752" t="s">
        <v>59</v>
      </c>
      <c r="V752" s="4">
        <v>0.375</v>
      </c>
      <c r="W752" s="2">
        <v>0</v>
      </c>
      <c r="X752">
        <v>0</v>
      </c>
      <c r="Y752" t="s">
        <v>60</v>
      </c>
      <c r="Z752" t="s">
        <v>135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6.22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46062</v>
      </c>
      <c r="B753" t="s">
        <v>48</v>
      </c>
      <c r="C753">
        <v>649163</v>
      </c>
      <c r="D753">
        <v>2032547050</v>
      </c>
      <c r="E753" t="s">
        <v>854</v>
      </c>
      <c r="F753" t="s">
        <v>855</v>
      </c>
      <c r="G753" t="s">
        <v>51</v>
      </c>
      <c r="H753" t="s">
        <v>90</v>
      </c>
      <c r="I753" t="s">
        <v>363</v>
      </c>
      <c r="J753" t="s">
        <v>364</v>
      </c>
      <c r="K753">
        <v>813184</v>
      </c>
      <c r="L753" t="s">
        <v>303</v>
      </c>
      <c r="M753" t="s">
        <v>304</v>
      </c>
      <c r="N753" t="s">
        <v>57</v>
      </c>
      <c r="O753" s="1">
        <v>45998</v>
      </c>
      <c r="Q753" s="1">
        <v>46088</v>
      </c>
      <c r="R753" s="2">
        <v>41.29</v>
      </c>
      <c r="S753">
        <v>1</v>
      </c>
      <c r="T753" t="s">
        <v>58</v>
      </c>
      <c r="U753" t="s">
        <v>59</v>
      </c>
      <c r="V753" s="4">
        <v>0.375</v>
      </c>
      <c r="W753" s="2">
        <v>0</v>
      </c>
      <c r="X753">
        <v>0</v>
      </c>
      <c r="Y753" t="s">
        <v>60</v>
      </c>
      <c r="Z753" t="s">
        <v>135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15.48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46062</v>
      </c>
      <c r="B754" t="s">
        <v>48</v>
      </c>
      <c r="C754">
        <v>649163</v>
      </c>
      <c r="D754">
        <v>2032548720</v>
      </c>
      <c r="E754" t="s">
        <v>1076</v>
      </c>
      <c r="F754" t="s">
        <v>1077</v>
      </c>
      <c r="G754" t="s">
        <v>51</v>
      </c>
      <c r="H754" t="s">
        <v>274</v>
      </c>
      <c r="I754" t="s">
        <v>363</v>
      </c>
      <c r="J754" t="s">
        <v>364</v>
      </c>
      <c r="K754">
        <v>816021</v>
      </c>
      <c r="L754" t="s">
        <v>275</v>
      </c>
      <c r="M754" t="s">
        <v>276</v>
      </c>
      <c r="N754" t="s">
        <v>57</v>
      </c>
      <c r="O754" s="1">
        <v>45998</v>
      </c>
      <c r="Q754" s="1">
        <v>46088</v>
      </c>
      <c r="R754" s="2">
        <v>54.57</v>
      </c>
      <c r="S754">
        <v>1</v>
      </c>
      <c r="T754" t="s">
        <v>58</v>
      </c>
      <c r="U754" t="s">
        <v>59</v>
      </c>
      <c r="V754" s="4">
        <v>0.375</v>
      </c>
      <c r="W754" s="2">
        <v>0</v>
      </c>
      <c r="X754">
        <v>0</v>
      </c>
      <c r="Y754" t="s">
        <v>60</v>
      </c>
      <c r="Z754" t="s">
        <v>135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20.46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46062</v>
      </c>
      <c r="B755" t="s">
        <v>48</v>
      </c>
      <c r="C755">
        <v>649163</v>
      </c>
      <c r="D755">
        <v>2032567801</v>
      </c>
      <c r="E755" t="s">
        <v>859</v>
      </c>
      <c r="F755" t="s">
        <v>860</v>
      </c>
      <c r="G755" t="s">
        <v>51</v>
      </c>
      <c r="H755" t="s">
        <v>78</v>
      </c>
      <c r="I755" t="s">
        <v>363</v>
      </c>
      <c r="J755" t="s">
        <v>364</v>
      </c>
      <c r="K755">
        <v>767312</v>
      </c>
      <c r="L755" t="s">
        <v>310</v>
      </c>
      <c r="M755" t="s">
        <v>311</v>
      </c>
      <c r="N755" t="s">
        <v>57</v>
      </c>
      <c r="O755" s="1">
        <v>46000</v>
      </c>
      <c r="Q755" s="1">
        <v>46090</v>
      </c>
      <c r="R755" s="2">
        <v>37.479999999999997</v>
      </c>
      <c r="S755">
        <v>1</v>
      </c>
      <c r="T755" t="s">
        <v>58</v>
      </c>
      <c r="U755" t="s">
        <v>59</v>
      </c>
      <c r="V755" s="4">
        <v>0.375</v>
      </c>
      <c r="W755" s="2">
        <v>0</v>
      </c>
      <c r="X755">
        <v>0</v>
      </c>
      <c r="Y755" t="s">
        <v>60</v>
      </c>
      <c r="Z755" t="s">
        <v>135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14.06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46062</v>
      </c>
      <c r="B756" t="s">
        <v>48</v>
      </c>
      <c r="C756">
        <v>649163</v>
      </c>
      <c r="D756">
        <v>2032570172</v>
      </c>
      <c r="E756" t="s">
        <v>594</v>
      </c>
      <c r="F756" t="s">
        <v>595</v>
      </c>
      <c r="G756" t="s">
        <v>51</v>
      </c>
      <c r="H756" t="s">
        <v>170</v>
      </c>
      <c r="I756" t="s">
        <v>363</v>
      </c>
      <c r="J756" t="s">
        <v>364</v>
      </c>
      <c r="K756">
        <v>767312</v>
      </c>
      <c r="L756" t="s">
        <v>310</v>
      </c>
      <c r="M756" t="s">
        <v>311</v>
      </c>
      <c r="N756" t="s">
        <v>57</v>
      </c>
      <c r="O756" s="1">
        <v>46001</v>
      </c>
      <c r="Q756" s="1">
        <v>46091</v>
      </c>
      <c r="R756" s="2">
        <v>16.39</v>
      </c>
      <c r="S756">
        <v>1</v>
      </c>
      <c r="T756" t="s">
        <v>58</v>
      </c>
      <c r="U756" t="s">
        <v>59</v>
      </c>
      <c r="V756" s="4">
        <v>0.375</v>
      </c>
      <c r="W756" s="2">
        <v>0</v>
      </c>
      <c r="X756">
        <v>0</v>
      </c>
      <c r="Y756" t="s">
        <v>60</v>
      </c>
      <c r="Z756" t="s">
        <v>135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6.15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46062</v>
      </c>
      <c r="B757" t="s">
        <v>48</v>
      </c>
      <c r="C757">
        <v>649163</v>
      </c>
      <c r="D757">
        <v>2032571352</v>
      </c>
      <c r="E757" t="s">
        <v>164</v>
      </c>
      <c r="F757" t="s">
        <v>862</v>
      </c>
      <c r="G757" t="s">
        <v>51</v>
      </c>
      <c r="H757" t="s">
        <v>66</v>
      </c>
      <c r="I757" t="s">
        <v>363</v>
      </c>
      <c r="J757" t="s">
        <v>364</v>
      </c>
      <c r="K757">
        <v>893408</v>
      </c>
      <c r="L757" t="s">
        <v>599</v>
      </c>
      <c r="M757" t="s">
        <v>600</v>
      </c>
      <c r="N757" t="s">
        <v>57</v>
      </c>
      <c r="O757" s="1">
        <v>46000</v>
      </c>
      <c r="Q757" s="1">
        <v>46090</v>
      </c>
      <c r="R757" s="2">
        <v>77.48</v>
      </c>
      <c r="S757">
        <v>1</v>
      </c>
      <c r="T757" t="s">
        <v>58</v>
      </c>
      <c r="U757" t="s">
        <v>59</v>
      </c>
      <c r="V757" s="4">
        <v>0.375</v>
      </c>
      <c r="W757" s="2">
        <v>0</v>
      </c>
      <c r="X757">
        <v>0</v>
      </c>
      <c r="Y757" t="s">
        <v>60</v>
      </c>
      <c r="Z757" t="s">
        <v>135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29.06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46062</v>
      </c>
      <c r="B758" t="s">
        <v>48</v>
      </c>
      <c r="C758">
        <v>649163</v>
      </c>
      <c r="D758">
        <v>2032592389</v>
      </c>
      <c r="E758" t="s">
        <v>868</v>
      </c>
      <c r="F758" t="s">
        <v>869</v>
      </c>
      <c r="G758" t="s">
        <v>51</v>
      </c>
      <c r="H758" t="s">
        <v>66</v>
      </c>
      <c r="I758" t="s">
        <v>363</v>
      </c>
      <c r="J758" t="s">
        <v>364</v>
      </c>
      <c r="K758">
        <v>893408</v>
      </c>
      <c r="L758" t="s">
        <v>599</v>
      </c>
      <c r="M758" t="s">
        <v>600</v>
      </c>
      <c r="N758" t="s">
        <v>57</v>
      </c>
      <c r="O758" s="1">
        <v>46001</v>
      </c>
      <c r="Q758" s="1">
        <v>46091</v>
      </c>
      <c r="R758" s="2">
        <v>77.48</v>
      </c>
      <c r="S758">
        <v>1</v>
      </c>
      <c r="T758" t="s">
        <v>58</v>
      </c>
      <c r="U758" t="s">
        <v>59</v>
      </c>
      <c r="V758" s="4">
        <v>0.375</v>
      </c>
      <c r="W758" s="2">
        <v>0</v>
      </c>
      <c r="X758">
        <v>0</v>
      </c>
      <c r="Y758" t="s">
        <v>60</v>
      </c>
      <c r="Z758" t="s">
        <v>135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29.06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46062</v>
      </c>
      <c r="B759" t="s">
        <v>48</v>
      </c>
      <c r="C759">
        <v>649163</v>
      </c>
      <c r="D759">
        <v>2032595415</v>
      </c>
      <c r="E759" t="s">
        <v>1098</v>
      </c>
      <c r="F759" t="s">
        <v>164</v>
      </c>
      <c r="G759" t="s">
        <v>51</v>
      </c>
      <c r="H759" t="s">
        <v>397</v>
      </c>
      <c r="I759" t="s">
        <v>363</v>
      </c>
      <c r="J759" t="s">
        <v>364</v>
      </c>
      <c r="K759">
        <v>767312</v>
      </c>
      <c r="L759" t="s">
        <v>310</v>
      </c>
      <c r="M759" t="s">
        <v>311</v>
      </c>
      <c r="N759" t="s">
        <v>57</v>
      </c>
      <c r="O759" s="1">
        <v>46001</v>
      </c>
      <c r="Q759" s="1">
        <v>46091</v>
      </c>
      <c r="R759" s="2">
        <v>64.680000000000007</v>
      </c>
      <c r="S759">
        <v>1</v>
      </c>
      <c r="T759" t="s">
        <v>58</v>
      </c>
      <c r="U759" t="s">
        <v>59</v>
      </c>
      <c r="V759" s="4">
        <v>0.375</v>
      </c>
      <c r="W759" s="2">
        <v>0</v>
      </c>
      <c r="X759">
        <v>0</v>
      </c>
      <c r="Y759" t="s">
        <v>60</v>
      </c>
      <c r="Z759" t="s">
        <v>135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24.26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46062</v>
      </c>
      <c r="B760" t="s">
        <v>48</v>
      </c>
      <c r="C760">
        <v>649163</v>
      </c>
      <c r="D760">
        <v>2032597463</v>
      </c>
      <c r="E760" t="s">
        <v>872</v>
      </c>
      <c r="F760" t="s">
        <v>457</v>
      </c>
      <c r="G760" t="s">
        <v>51</v>
      </c>
      <c r="H760" t="s">
        <v>66</v>
      </c>
      <c r="I760" t="s">
        <v>363</v>
      </c>
      <c r="J760" t="s">
        <v>364</v>
      </c>
      <c r="K760">
        <v>843573</v>
      </c>
      <c r="L760" t="s">
        <v>365</v>
      </c>
      <c r="M760" t="s">
        <v>366</v>
      </c>
      <c r="N760" t="s">
        <v>57</v>
      </c>
      <c r="O760" s="1">
        <v>46001</v>
      </c>
      <c r="Q760" s="1">
        <v>46091</v>
      </c>
      <c r="R760" s="2">
        <v>53.87</v>
      </c>
      <c r="S760">
        <v>1</v>
      </c>
      <c r="T760" t="s">
        <v>58</v>
      </c>
      <c r="U760" t="s">
        <v>59</v>
      </c>
      <c r="V760" s="4">
        <v>0.375</v>
      </c>
      <c r="W760" s="2">
        <v>0</v>
      </c>
      <c r="X760">
        <v>0</v>
      </c>
      <c r="Y760" t="s">
        <v>60</v>
      </c>
      <c r="Z760" t="s">
        <v>135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20.2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46062</v>
      </c>
      <c r="B761" t="s">
        <v>48</v>
      </c>
      <c r="C761">
        <v>649163</v>
      </c>
      <c r="D761">
        <v>2032605023</v>
      </c>
      <c r="E761" t="s">
        <v>1099</v>
      </c>
      <c r="F761" t="s">
        <v>1100</v>
      </c>
      <c r="G761" t="s">
        <v>51</v>
      </c>
      <c r="H761" t="s">
        <v>90</v>
      </c>
      <c r="I761" t="s">
        <v>363</v>
      </c>
      <c r="J761" t="s">
        <v>364</v>
      </c>
      <c r="K761">
        <v>767312</v>
      </c>
      <c r="L761" t="s">
        <v>310</v>
      </c>
      <c r="M761" t="s">
        <v>311</v>
      </c>
      <c r="N761" t="s">
        <v>57</v>
      </c>
      <c r="O761" s="1">
        <v>46002</v>
      </c>
      <c r="Q761" s="1">
        <v>46092</v>
      </c>
      <c r="R761" s="2">
        <v>23.39</v>
      </c>
      <c r="S761">
        <v>1</v>
      </c>
      <c r="T761" t="s">
        <v>58</v>
      </c>
      <c r="U761" t="s">
        <v>59</v>
      </c>
      <c r="V761" s="4">
        <v>0.375</v>
      </c>
      <c r="W761" s="2">
        <v>0</v>
      </c>
      <c r="X761">
        <v>0</v>
      </c>
      <c r="Y761" t="s">
        <v>60</v>
      </c>
      <c r="Z761" t="s">
        <v>135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8.77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46062</v>
      </c>
      <c r="B762" t="s">
        <v>48</v>
      </c>
      <c r="C762">
        <v>649163</v>
      </c>
      <c r="D762">
        <v>2032634844</v>
      </c>
      <c r="E762" t="s">
        <v>892</v>
      </c>
      <c r="F762" t="s">
        <v>195</v>
      </c>
      <c r="G762" t="s">
        <v>51</v>
      </c>
      <c r="H762" t="s">
        <v>170</v>
      </c>
      <c r="I762" t="s">
        <v>363</v>
      </c>
      <c r="J762" t="s">
        <v>364</v>
      </c>
      <c r="K762">
        <v>867497</v>
      </c>
      <c r="L762" t="s">
        <v>880</v>
      </c>
      <c r="M762" t="s">
        <v>881</v>
      </c>
      <c r="N762" t="s">
        <v>57</v>
      </c>
      <c r="O762" s="1">
        <v>46003</v>
      </c>
      <c r="Q762" s="1">
        <v>46093</v>
      </c>
      <c r="R762" s="2">
        <v>73.17</v>
      </c>
      <c r="S762">
        <v>1</v>
      </c>
      <c r="T762" t="s">
        <v>58</v>
      </c>
      <c r="U762" t="s">
        <v>59</v>
      </c>
      <c r="V762" s="4">
        <v>0.375</v>
      </c>
      <c r="W762" s="2">
        <v>0</v>
      </c>
      <c r="X762">
        <v>0</v>
      </c>
      <c r="Y762" t="s">
        <v>60</v>
      </c>
      <c r="Z762" t="s">
        <v>135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27.44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46062</v>
      </c>
      <c r="B763" t="s">
        <v>48</v>
      </c>
      <c r="C763">
        <v>649163</v>
      </c>
      <c r="D763">
        <v>2032658994</v>
      </c>
      <c r="E763" t="s">
        <v>868</v>
      </c>
      <c r="F763" t="s">
        <v>1101</v>
      </c>
      <c r="G763" t="s">
        <v>51</v>
      </c>
      <c r="H763" t="s">
        <v>309</v>
      </c>
      <c r="I763" t="s">
        <v>363</v>
      </c>
      <c r="J763" t="s">
        <v>364</v>
      </c>
      <c r="K763">
        <v>767312</v>
      </c>
      <c r="L763" t="s">
        <v>310</v>
      </c>
      <c r="M763" t="s">
        <v>311</v>
      </c>
      <c r="N763" t="s">
        <v>57</v>
      </c>
      <c r="O763" s="1">
        <v>46004</v>
      </c>
      <c r="Q763" s="1">
        <v>46094</v>
      </c>
      <c r="R763" s="2">
        <v>29.5</v>
      </c>
      <c r="S763">
        <v>1</v>
      </c>
      <c r="T763" t="s">
        <v>58</v>
      </c>
      <c r="U763" t="s">
        <v>59</v>
      </c>
      <c r="V763" s="4">
        <v>0.375</v>
      </c>
      <c r="W763" s="2">
        <v>0</v>
      </c>
      <c r="X763">
        <v>0</v>
      </c>
      <c r="Y763" t="s">
        <v>60</v>
      </c>
      <c r="Z763" t="s">
        <v>135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11.06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46062</v>
      </c>
      <c r="B764" t="s">
        <v>48</v>
      </c>
      <c r="C764">
        <v>649163</v>
      </c>
      <c r="D764">
        <v>2032686878</v>
      </c>
      <c r="E764" t="s">
        <v>905</v>
      </c>
      <c r="F764" t="s">
        <v>176</v>
      </c>
      <c r="G764" t="s">
        <v>51</v>
      </c>
      <c r="H764" t="s">
        <v>333</v>
      </c>
      <c r="I764" t="s">
        <v>363</v>
      </c>
      <c r="J764" t="s">
        <v>364</v>
      </c>
      <c r="K764">
        <v>822723</v>
      </c>
      <c r="L764" t="s">
        <v>906</v>
      </c>
      <c r="M764" t="s">
        <v>907</v>
      </c>
      <c r="N764" t="s">
        <v>144</v>
      </c>
      <c r="O764" s="1">
        <v>46023</v>
      </c>
      <c r="P764" s="1">
        <v>46062</v>
      </c>
      <c r="Q764" s="1">
        <v>46082</v>
      </c>
      <c r="R764" s="2">
        <v>-162.16</v>
      </c>
      <c r="S764">
        <v>1</v>
      </c>
      <c r="T764" t="s">
        <v>58</v>
      </c>
      <c r="U764" t="s">
        <v>59</v>
      </c>
      <c r="V764" s="4">
        <v>0.375</v>
      </c>
      <c r="W764" s="2">
        <v>0</v>
      </c>
      <c r="X764">
        <v>-1</v>
      </c>
      <c r="Y764" t="s">
        <v>60</v>
      </c>
      <c r="Z764" t="s">
        <v>135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-60.81</v>
      </c>
      <c r="AN764" s="2">
        <v>-60.81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46062</v>
      </c>
      <c r="B765" t="s">
        <v>48</v>
      </c>
      <c r="C765">
        <v>649163</v>
      </c>
      <c r="D765">
        <v>2032702727</v>
      </c>
      <c r="E765" t="s">
        <v>324</v>
      </c>
      <c r="F765" t="s">
        <v>910</v>
      </c>
      <c r="G765" t="s">
        <v>51</v>
      </c>
      <c r="H765" t="s">
        <v>66</v>
      </c>
      <c r="I765" t="s">
        <v>363</v>
      </c>
      <c r="J765" t="s">
        <v>364</v>
      </c>
      <c r="K765">
        <v>768887</v>
      </c>
      <c r="L765" t="s">
        <v>295</v>
      </c>
      <c r="M765" t="s">
        <v>296</v>
      </c>
      <c r="N765" t="s">
        <v>144</v>
      </c>
      <c r="O765" s="1">
        <v>46023</v>
      </c>
      <c r="P765" s="1">
        <v>46055</v>
      </c>
      <c r="Q765" s="1">
        <v>46082</v>
      </c>
      <c r="R765" s="2">
        <v>-64.66</v>
      </c>
      <c r="S765">
        <v>1</v>
      </c>
      <c r="T765" t="s">
        <v>58</v>
      </c>
      <c r="U765" t="s">
        <v>59</v>
      </c>
      <c r="V765" s="4">
        <v>0.375</v>
      </c>
      <c r="W765" s="2">
        <v>0</v>
      </c>
      <c r="X765">
        <v>-1</v>
      </c>
      <c r="Y765" t="s">
        <v>60</v>
      </c>
      <c r="Z765" t="s">
        <v>135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-24.25</v>
      </c>
      <c r="AN765" s="2">
        <v>-24.25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46062</v>
      </c>
      <c r="B766" t="s">
        <v>48</v>
      </c>
      <c r="C766">
        <v>649163</v>
      </c>
      <c r="D766">
        <v>2032749837</v>
      </c>
      <c r="E766" t="s">
        <v>607</v>
      </c>
      <c r="F766" t="s">
        <v>608</v>
      </c>
      <c r="G766" t="s">
        <v>51</v>
      </c>
      <c r="H766" t="s">
        <v>170</v>
      </c>
      <c r="I766" t="s">
        <v>363</v>
      </c>
      <c r="J766" t="s">
        <v>364</v>
      </c>
      <c r="K766">
        <v>650218</v>
      </c>
      <c r="L766" t="s">
        <v>246</v>
      </c>
      <c r="M766" t="s">
        <v>195</v>
      </c>
      <c r="N766" t="s">
        <v>57</v>
      </c>
      <c r="O766" s="1">
        <v>46023</v>
      </c>
      <c r="Q766" s="1">
        <v>46082</v>
      </c>
      <c r="R766" s="2">
        <v>43.46</v>
      </c>
      <c r="S766">
        <v>1</v>
      </c>
      <c r="T766" t="s">
        <v>58</v>
      </c>
      <c r="U766" t="s">
        <v>59</v>
      </c>
      <c r="V766" s="4">
        <v>0.375</v>
      </c>
      <c r="W766" s="2">
        <v>0</v>
      </c>
      <c r="X766">
        <v>0</v>
      </c>
      <c r="Y766" t="s">
        <v>60</v>
      </c>
      <c r="Z766" t="s">
        <v>135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16.3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46062</v>
      </c>
      <c r="B767" t="s">
        <v>48</v>
      </c>
      <c r="C767">
        <v>649163</v>
      </c>
      <c r="D767">
        <v>2032801121</v>
      </c>
      <c r="E767" t="s">
        <v>440</v>
      </c>
      <c r="F767" t="s">
        <v>441</v>
      </c>
      <c r="G767" t="s">
        <v>51</v>
      </c>
      <c r="H767" t="s">
        <v>140</v>
      </c>
      <c r="I767" t="s">
        <v>363</v>
      </c>
      <c r="J767" t="s">
        <v>364</v>
      </c>
      <c r="K767">
        <v>822733</v>
      </c>
      <c r="L767" t="s">
        <v>442</v>
      </c>
      <c r="M767" t="s">
        <v>443</v>
      </c>
      <c r="N767" t="s">
        <v>57</v>
      </c>
      <c r="O767" s="1">
        <v>46023</v>
      </c>
      <c r="Q767" s="1">
        <v>46082</v>
      </c>
      <c r="R767" s="2">
        <v>27.84</v>
      </c>
      <c r="S767">
        <v>1</v>
      </c>
      <c r="T767" t="s">
        <v>58</v>
      </c>
      <c r="U767" t="s">
        <v>59</v>
      </c>
      <c r="V767" s="4">
        <v>0.375</v>
      </c>
      <c r="W767" s="2">
        <v>0</v>
      </c>
      <c r="X767">
        <v>0</v>
      </c>
      <c r="Y767" t="s">
        <v>60</v>
      </c>
      <c r="Z767" t="s">
        <v>135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10.44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46062</v>
      </c>
      <c r="B768" t="s">
        <v>48</v>
      </c>
      <c r="C768">
        <v>649163</v>
      </c>
      <c r="D768">
        <v>2032854041</v>
      </c>
      <c r="E768" t="s">
        <v>921</v>
      </c>
      <c r="F768" t="s">
        <v>922</v>
      </c>
      <c r="G768" t="s">
        <v>51</v>
      </c>
      <c r="H768" t="s">
        <v>90</v>
      </c>
      <c r="I768" t="s">
        <v>363</v>
      </c>
      <c r="J768" t="s">
        <v>364</v>
      </c>
      <c r="K768">
        <v>875334</v>
      </c>
      <c r="L768" t="s">
        <v>827</v>
      </c>
      <c r="M768" t="s">
        <v>828</v>
      </c>
      <c r="N768" t="s">
        <v>144</v>
      </c>
      <c r="O768" s="1">
        <v>46023</v>
      </c>
      <c r="P768" s="1">
        <v>46055</v>
      </c>
      <c r="Q768" s="1">
        <v>46082</v>
      </c>
      <c r="R768" s="2">
        <v>-83.15</v>
      </c>
      <c r="S768">
        <v>1</v>
      </c>
      <c r="T768" t="s">
        <v>58</v>
      </c>
      <c r="U768" t="s">
        <v>59</v>
      </c>
      <c r="V768" s="4">
        <v>0.375</v>
      </c>
      <c r="W768" s="2">
        <v>0</v>
      </c>
      <c r="X768">
        <v>-1</v>
      </c>
      <c r="Y768" t="s">
        <v>60</v>
      </c>
      <c r="Z768" t="s">
        <v>135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-31.18</v>
      </c>
      <c r="AN768" s="2">
        <v>-31.18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46062</v>
      </c>
      <c r="B769" t="s">
        <v>48</v>
      </c>
      <c r="C769">
        <v>649163</v>
      </c>
      <c r="D769">
        <v>2032913541</v>
      </c>
      <c r="E769" t="s">
        <v>925</v>
      </c>
      <c r="F769" t="s">
        <v>926</v>
      </c>
      <c r="G769" t="s">
        <v>51</v>
      </c>
      <c r="H769" t="s">
        <v>274</v>
      </c>
      <c r="I769" t="s">
        <v>363</v>
      </c>
      <c r="J769" t="s">
        <v>364</v>
      </c>
      <c r="K769">
        <v>753748</v>
      </c>
      <c r="L769" t="s">
        <v>74</v>
      </c>
      <c r="M769" t="s">
        <v>75</v>
      </c>
      <c r="N769" t="s">
        <v>57</v>
      </c>
      <c r="O769" s="1">
        <v>46034</v>
      </c>
      <c r="Q769" s="1">
        <v>46093</v>
      </c>
      <c r="R769" s="2">
        <v>85.94</v>
      </c>
      <c r="S769">
        <v>1</v>
      </c>
      <c r="T769" t="s">
        <v>58</v>
      </c>
      <c r="U769" t="s">
        <v>59</v>
      </c>
      <c r="V769" s="4">
        <v>0.375</v>
      </c>
      <c r="W769" s="2">
        <v>0</v>
      </c>
      <c r="X769">
        <v>0</v>
      </c>
      <c r="Y769" t="s">
        <v>60</v>
      </c>
      <c r="Z769" t="s">
        <v>135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32.229999999999997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46062</v>
      </c>
      <c r="B770" t="s">
        <v>48</v>
      </c>
      <c r="C770">
        <v>649163</v>
      </c>
      <c r="D770">
        <v>2032929558</v>
      </c>
      <c r="E770" t="s">
        <v>1102</v>
      </c>
      <c r="F770" t="s">
        <v>1103</v>
      </c>
      <c r="G770" t="s">
        <v>51</v>
      </c>
      <c r="H770" t="s">
        <v>96</v>
      </c>
      <c r="I770" t="s">
        <v>363</v>
      </c>
      <c r="J770" t="s">
        <v>364</v>
      </c>
      <c r="K770">
        <v>875334</v>
      </c>
      <c r="L770" t="s">
        <v>827</v>
      </c>
      <c r="M770" t="s">
        <v>828</v>
      </c>
      <c r="N770" t="s">
        <v>144</v>
      </c>
      <c r="O770" s="1">
        <v>46023</v>
      </c>
      <c r="P770" s="1">
        <v>46062</v>
      </c>
      <c r="Q770" s="1">
        <v>46082</v>
      </c>
      <c r="R770" s="2">
        <v>-115.35</v>
      </c>
      <c r="S770">
        <v>1</v>
      </c>
      <c r="T770" t="s">
        <v>58</v>
      </c>
      <c r="U770" t="s">
        <v>59</v>
      </c>
      <c r="V770" s="4">
        <v>0.375</v>
      </c>
      <c r="W770" s="2">
        <v>0</v>
      </c>
      <c r="X770">
        <v>-1</v>
      </c>
      <c r="Y770" t="s">
        <v>60</v>
      </c>
      <c r="Z770" t="s">
        <v>135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-43.26</v>
      </c>
      <c r="AN770" s="2">
        <v>-43.26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46062</v>
      </c>
      <c r="B771" t="s">
        <v>48</v>
      </c>
      <c r="C771">
        <v>649163</v>
      </c>
      <c r="D771">
        <v>2032997621</v>
      </c>
      <c r="E771" t="s">
        <v>933</v>
      </c>
      <c r="F771" t="s">
        <v>464</v>
      </c>
      <c r="G771" t="s">
        <v>51</v>
      </c>
      <c r="H771" t="s">
        <v>274</v>
      </c>
      <c r="I771" t="s">
        <v>363</v>
      </c>
      <c r="J771" t="s">
        <v>364</v>
      </c>
      <c r="K771">
        <v>816021</v>
      </c>
      <c r="L771" t="s">
        <v>275</v>
      </c>
      <c r="M771" t="s">
        <v>276</v>
      </c>
      <c r="N771" t="s">
        <v>57</v>
      </c>
      <c r="O771" s="1">
        <v>46028</v>
      </c>
      <c r="Q771" s="1">
        <v>46087</v>
      </c>
      <c r="R771" s="2">
        <v>48.17</v>
      </c>
      <c r="S771">
        <v>1</v>
      </c>
      <c r="T771" t="s">
        <v>58</v>
      </c>
      <c r="U771" t="s">
        <v>59</v>
      </c>
      <c r="V771" s="4">
        <v>0.375</v>
      </c>
      <c r="W771" s="2">
        <v>0</v>
      </c>
      <c r="X771">
        <v>0</v>
      </c>
      <c r="Y771" t="s">
        <v>60</v>
      </c>
      <c r="Z771" t="s">
        <v>135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18.059999999999999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46062</v>
      </c>
      <c r="B772" t="s">
        <v>48</v>
      </c>
      <c r="C772">
        <v>649163</v>
      </c>
      <c r="D772">
        <v>2033010308</v>
      </c>
      <c r="E772" t="s">
        <v>935</v>
      </c>
      <c r="F772" t="s">
        <v>936</v>
      </c>
      <c r="G772" t="s">
        <v>51</v>
      </c>
      <c r="H772" t="s">
        <v>66</v>
      </c>
      <c r="I772" t="s">
        <v>363</v>
      </c>
      <c r="J772" t="s">
        <v>364</v>
      </c>
      <c r="K772">
        <v>823350</v>
      </c>
      <c r="L772" t="s">
        <v>108</v>
      </c>
      <c r="M772" t="s">
        <v>394</v>
      </c>
      <c r="N772" t="s">
        <v>57</v>
      </c>
      <c r="O772" s="1">
        <v>46032</v>
      </c>
      <c r="Q772" s="1">
        <v>46091</v>
      </c>
      <c r="R772" s="2">
        <v>78.760000000000005</v>
      </c>
      <c r="S772">
        <v>1</v>
      </c>
      <c r="T772" t="s">
        <v>58</v>
      </c>
      <c r="U772" t="s">
        <v>59</v>
      </c>
      <c r="V772" s="4">
        <v>0.375</v>
      </c>
      <c r="W772" s="2">
        <v>0</v>
      </c>
      <c r="X772">
        <v>0</v>
      </c>
      <c r="Y772" t="s">
        <v>60</v>
      </c>
      <c r="Z772" t="s">
        <v>135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29.54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46062</v>
      </c>
      <c r="B773" t="s">
        <v>48</v>
      </c>
      <c r="C773">
        <v>649163</v>
      </c>
      <c r="D773">
        <v>2033013308</v>
      </c>
      <c r="E773" t="s">
        <v>1104</v>
      </c>
      <c r="F773" t="s">
        <v>1105</v>
      </c>
      <c r="G773" t="s">
        <v>51</v>
      </c>
      <c r="H773" t="s">
        <v>309</v>
      </c>
      <c r="I773" t="s">
        <v>363</v>
      </c>
      <c r="J773" t="s">
        <v>364</v>
      </c>
      <c r="K773">
        <v>767312</v>
      </c>
      <c r="L773" t="s">
        <v>310</v>
      </c>
      <c r="M773" t="s">
        <v>311</v>
      </c>
      <c r="N773" t="s">
        <v>57</v>
      </c>
      <c r="O773" s="1">
        <v>46029</v>
      </c>
      <c r="Q773" s="1">
        <v>46088</v>
      </c>
      <c r="R773" s="2">
        <v>53.51</v>
      </c>
      <c r="S773">
        <v>1</v>
      </c>
      <c r="T773" t="s">
        <v>58</v>
      </c>
      <c r="U773" t="s">
        <v>59</v>
      </c>
      <c r="V773" s="4">
        <v>0.375</v>
      </c>
      <c r="W773" s="2">
        <v>0</v>
      </c>
      <c r="X773">
        <v>0</v>
      </c>
      <c r="Y773" t="s">
        <v>60</v>
      </c>
      <c r="Z773" t="s">
        <v>135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20.07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46062</v>
      </c>
      <c r="B774" t="s">
        <v>48</v>
      </c>
      <c r="C774">
        <v>649163</v>
      </c>
      <c r="D774">
        <v>2033018071</v>
      </c>
      <c r="E774" t="s">
        <v>937</v>
      </c>
      <c r="F774" t="s">
        <v>888</v>
      </c>
      <c r="G774" t="s">
        <v>51</v>
      </c>
      <c r="H774" t="s">
        <v>66</v>
      </c>
      <c r="I774" t="s">
        <v>363</v>
      </c>
      <c r="J774" t="s">
        <v>364</v>
      </c>
      <c r="K774">
        <v>813184</v>
      </c>
      <c r="L774" t="s">
        <v>303</v>
      </c>
      <c r="M774" t="s">
        <v>304</v>
      </c>
      <c r="N774" t="s">
        <v>57</v>
      </c>
      <c r="O774" s="1">
        <v>46029</v>
      </c>
      <c r="Q774" s="1">
        <v>46088</v>
      </c>
      <c r="R774" s="2">
        <v>78.760000000000005</v>
      </c>
      <c r="S774">
        <v>1</v>
      </c>
      <c r="T774" t="s">
        <v>58</v>
      </c>
      <c r="U774" t="s">
        <v>59</v>
      </c>
      <c r="V774" s="4">
        <v>0.375</v>
      </c>
      <c r="W774" s="2">
        <v>0</v>
      </c>
      <c r="X774">
        <v>0</v>
      </c>
      <c r="Y774" t="s">
        <v>60</v>
      </c>
      <c r="Z774" t="s">
        <v>135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29.54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46062</v>
      </c>
      <c r="B775" t="s">
        <v>48</v>
      </c>
      <c r="C775">
        <v>649163</v>
      </c>
      <c r="D775">
        <v>2033029171</v>
      </c>
      <c r="E775" t="s">
        <v>618</v>
      </c>
      <c r="F775" t="s">
        <v>619</v>
      </c>
      <c r="G775" t="s">
        <v>51</v>
      </c>
      <c r="H775" t="s">
        <v>66</v>
      </c>
      <c r="I775" t="s">
        <v>363</v>
      </c>
      <c r="J775" t="s">
        <v>364</v>
      </c>
      <c r="K775">
        <v>824062</v>
      </c>
      <c r="L775" t="s">
        <v>569</v>
      </c>
      <c r="M775" t="s">
        <v>570</v>
      </c>
      <c r="N775" t="s">
        <v>57</v>
      </c>
      <c r="O775" s="1">
        <v>46030</v>
      </c>
      <c r="Q775" s="1">
        <v>46089</v>
      </c>
      <c r="R775" s="2">
        <v>78.760000000000005</v>
      </c>
      <c r="S775">
        <v>1</v>
      </c>
      <c r="T775" t="s">
        <v>58</v>
      </c>
      <c r="U775" t="s">
        <v>59</v>
      </c>
      <c r="V775" s="4">
        <v>0.375</v>
      </c>
      <c r="W775" s="2">
        <v>0</v>
      </c>
      <c r="X775">
        <v>0</v>
      </c>
      <c r="Y775" t="s">
        <v>60</v>
      </c>
      <c r="Z775" t="s">
        <v>135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29.54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46062</v>
      </c>
      <c r="B776" t="s">
        <v>48</v>
      </c>
      <c r="C776">
        <v>649163</v>
      </c>
      <c r="D776">
        <v>2033069544</v>
      </c>
      <c r="E776" t="s">
        <v>451</v>
      </c>
      <c r="F776" t="s">
        <v>452</v>
      </c>
      <c r="G776" t="s">
        <v>51</v>
      </c>
      <c r="H776" t="s">
        <v>237</v>
      </c>
      <c r="I776" t="s">
        <v>363</v>
      </c>
      <c r="J776" t="s">
        <v>364</v>
      </c>
      <c r="K776">
        <v>751867</v>
      </c>
      <c r="L776" t="s">
        <v>239</v>
      </c>
      <c r="M776" t="s">
        <v>240</v>
      </c>
      <c r="N776" t="s">
        <v>57</v>
      </c>
      <c r="O776" s="1">
        <v>46032</v>
      </c>
      <c r="Q776" s="1">
        <v>46091</v>
      </c>
      <c r="R776" s="2">
        <v>51.21</v>
      </c>
      <c r="S776">
        <v>1</v>
      </c>
      <c r="T776" t="s">
        <v>58</v>
      </c>
      <c r="U776" t="s">
        <v>59</v>
      </c>
      <c r="V776" s="4">
        <v>0.375</v>
      </c>
      <c r="W776" s="2">
        <v>0</v>
      </c>
      <c r="X776">
        <v>0</v>
      </c>
      <c r="Y776" t="s">
        <v>60</v>
      </c>
      <c r="Z776" t="s">
        <v>135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19.2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46062</v>
      </c>
      <c r="B777" t="s">
        <v>48</v>
      </c>
      <c r="C777">
        <v>649163</v>
      </c>
      <c r="D777">
        <v>2033089391</v>
      </c>
      <c r="E777" t="s">
        <v>957</v>
      </c>
      <c r="F777" t="s">
        <v>512</v>
      </c>
      <c r="G777" t="s">
        <v>51</v>
      </c>
      <c r="H777" t="s">
        <v>274</v>
      </c>
      <c r="I777" t="s">
        <v>363</v>
      </c>
      <c r="J777" t="s">
        <v>364</v>
      </c>
      <c r="K777">
        <v>816021</v>
      </c>
      <c r="L777" t="s">
        <v>275</v>
      </c>
      <c r="M777" t="s">
        <v>276</v>
      </c>
      <c r="N777" t="s">
        <v>57</v>
      </c>
      <c r="O777" s="1">
        <v>46033</v>
      </c>
      <c r="Q777" s="1">
        <v>46092</v>
      </c>
      <c r="R777" s="2">
        <v>64.84</v>
      </c>
      <c r="S777">
        <v>1</v>
      </c>
      <c r="T777" t="s">
        <v>58</v>
      </c>
      <c r="U777" t="s">
        <v>59</v>
      </c>
      <c r="V777" s="4">
        <v>0.375</v>
      </c>
      <c r="W777" s="2">
        <v>0</v>
      </c>
      <c r="X777">
        <v>0</v>
      </c>
      <c r="Y777" t="s">
        <v>60</v>
      </c>
      <c r="Z777" t="s">
        <v>135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24.32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46062</v>
      </c>
      <c r="B778" t="s">
        <v>48</v>
      </c>
      <c r="C778">
        <v>649163</v>
      </c>
      <c r="D778">
        <v>2033106167</v>
      </c>
      <c r="E778" t="s">
        <v>1079</v>
      </c>
      <c r="F778" t="s">
        <v>1080</v>
      </c>
      <c r="G778" t="s">
        <v>51</v>
      </c>
      <c r="H778" t="s">
        <v>71</v>
      </c>
      <c r="I778" t="s">
        <v>363</v>
      </c>
      <c r="J778" t="s">
        <v>364</v>
      </c>
      <c r="K778">
        <v>753748</v>
      </c>
      <c r="L778" t="s">
        <v>74</v>
      </c>
      <c r="M778" t="s">
        <v>75</v>
      </c>
      <c r="N778" t="s">
        <v>57</v>
      </c>
      <c r="O778" s="1">
        <v>46035</v>
      </c>
      <c r="Q778" s="1">
        <v>46094</v>
      </c>
      <c r="R778" s="2">
        <v>71.22</v>
      </c>
      <c r="S778">
        <v>1</v>
      </c>
      <c r="T778" t="s">
        <v>58</v>
      </c>
      <c r="U778" t="s">
        <v>59</v>
      </c>
      <c r="V778" s="4">
        <v>0.375</v>
      </c>
      <c r="W778" s="2">
        <v>0</v>
      </c>
      <c r="X778">
        <v>0</v>
      </c>
      <c r="Y778" t="s">
        <v>60</v>
      </c>
      <c r="Z778" t="s">
        <v>135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26.71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46062</v>
      </c>
      <c r="B779" t="s">
        <v>48</v>
      </c>
      <c r="C779">
        <v>649163</v>
      </c>
      <c r="D779">
        <v>2033118931</v>
      </c>
      <c r="E779" t="s">
        <v>963</v>
      </c>
      <c r="F779" t="s">
        <v>964</v>
      </c>
      <c r="G779" t="s">
        <v>51</v>
      </c>
      <c r="H779" t="s">
        <v>71</v>
      </c>
      <c r="I779" t="s">
        <v>363</v>
      </c>
      <c r="J779" t="s">
        <v>364</v>
      </c>
      <c r="K779">
        <v>812994</v>
      </c>
      <c r="L779" t="s">
        <v>730</v>
      </c>
      <c r="M779" t="s">
        <v>731</v>
      </c>
      <c r="N779" t="s">
        <v>57</v>
      </c>
      <c r="O779" s="1">
        <v>46035</v>
      </c>
      <c r="Q779" s="1">
        <v>46094</v>
      </c>
      <c r="R779" s="2">
        <v>81.22</v>
      </c>
      <c r="S779">
        <v>1</v>
      </c>
      <c r="T779" t="s">
        <v>58</v>
      </c>
      <c r="U779" t="s">
        <v>59</v>
      </c>
      <c r="V779" s="4">
        <v>0.375</v>
      </c>
      <c r="W779" s="2">
        <v>0</v>
      </c>
      <c r="X779">
        <v>0</v>
      </c>
      <c r="Y779" t="s">
        <v>60</v>
      </c>
      <c r="Z779" t="s">
        <v>135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30.46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46062</v>
      </c>
      <c r="B780" t="s">
        <v>48</v>
      </c>
      <c r="C780">
        <v>649163</v>
      </c>
      <c r="D780">
        <v>2033178396</v>
      </c>
      <c r="E780" t="s">
        <v>966</v>
      </c>
      <c r="F780" t="s">
        <v>967</v>
      </c>
      <c r="G780" t="s">
        <v>51</v>
      </c>
      <c r="H780" t="s">
        <v>353</v>
      </c>
      <c r="I780" t="s">
        <v>363</v>
      </c>
      <c r="J780" t="s">
        <v>364</v>
      </c>
      <c r="K780">
        <v>753748</v>
      </c>
      <c r="L780" t="s">
        <v>74</v>
      </c>
      <c r="M780" t="s">
        <v>75</v>
      </c>
      <c r="N780" t="s">
        <v>144</v>
      </c>
      <c r="O780" s="1">
        <v>46054</v>
      </c>
      <c r="P780" s="1">
        <v>46062</v>
      </c>
      <c r="Q780" s="1">
        <v>46082</v>
      </c>
      <c r="R780" s="2">
        <v>-23.34</v>
      </c>
      <c r="S780">
        <v>1</v>
      </c>
      <c r="T780" t="s">
        <v>58</v>
      </c>
      <c r="U780" t="s">
        <v>59</v>
      </c>
      <c r="V780" s="4">
        <v>0.375</v>
      </c>
      <c r="W780" s="2">
        <v>0</v>
      </c>
      <c r="X780">
        <v>-1</v>
      </c>
      <c r="Y780" t="s">
        <v>60</v>
      </c>
      <c r="Z780" t="s">
        <v>135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-8.75</v>
      </c>
      <c r="AN780" s="2">
        <v>-8.75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46062</v>
      </c>
      <c r="B781" t="s">
        <v>48</v>
      </c>
      <c r="C781">
        <v>649163</v>
      </c>
      <c r="D781">
        <v>2033304951</v>
      </c>
      <c r="E781" t="s">
        <v>970</v>
      </c>
      <c r="F781" t="s">
        <v>891</v>
      </c>
      <c r="G781" t="s">
        <v>51</v>
      </c>
      <c r="H781" t="s">
        <v>971</v>
      </c>
      <c r="I781" t="s">
        <v>363</v>
      </c>
      <c r="J781" t="s">
        <v>364</v>
      </c>
      <c r="K781">
        <v>673059</v>
      </c>
      <c r="L781" t="s">
        <v>162</v>
      </c>
      <c r="M781" t="s">
        <v>180</v>
      </c>
      <c r="N781" t="s">
        <v>144</v>
      </c>
      <c r="O781" s="1">
        <v>46051</v>
      </c>
      <c r="P781" s="1">
        <v>46062</v>
      </c>
      <c r="Q781" s="1">
        <v>46081</v>
      </c>
      <c r="R781" s="2">
        <v>-60.67</v>
      </c>
      <c r="S781">
        <v>1</v>
      </c>
      <c r="T781" t="s">
        <v>58</v>
      </c>
      <c r="U781" t="s">
        <v>59</v>
      </c>
      <c r="V781" s="4">
        <v>0.375</v>
      </c>
      <c r="W781" s="2">
        <v>0</v>
      </c>
      <c r="X781">
        <v>-1</v>
      </c>
      <c r="Y781" t="s">
        <v>60</v>
      </c>
      <c r="Z781" t="s">
        <v>135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-22.75</v>
      </c>
      <c r="AN781" s="2">
        <v>-22.75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46062</v>
      </c>
      <c r="B782" t="s">
        <v>48</v>
      </c>
      <c r="C782">
        <v>649163</v>
      </c>
      <c r="D782">
        <v>2022693241</v>
      </c>
      <c r="E782" t="s">
        <v>416</v>
      </c>
      <c r="F782" t="s">
        <v>240</v>
      </c>
      <c r="G782" t="s">
        <v>51</v>
      </c>
      <c r="H782" t="s">
        <v>237</v>
      </c>
      <c r="I782" t="s">
        <v>378</v>
      </c>
      <c r="J782" t="s">
        <v>379</v>
      </c>
      <c r="K782">
        <v>751867</v>
      </c>
      <c r="L782" t="s">
        <v>239</v>
      </c>
      <c r="M782" t="s">
        <v>240</v>
      </c>
      <c r="N782" t="s">
        <v>144</v>
      </c>
      <c r="O782" s="1">
        <v>45413</v>
      </c>
      <c r="P782" s="1">
        <v>46062</v>
      </c>
      <c r="Q782" s="1">
        <v>46082</v>
      </c>
      <c r="R782" s="2">
        <v>-15.81</v>
      </c>
      <c r="S782">
        <v>1</v>
      </c>
      <c r="T782" t="s">
        <v>58</v>
      </c>
      <c r="U782" t="s">
        <v>156</v>
      </c>
      <c r="V782" s="3">
        <v>0.1</v>
      </c>
      <c r="W782" s="2">
        <v>0</v>
      </c>
      <c r="X782">
        <v>-1</v>
      </c>
      <c r="Y782" t="s">
        <v>157</v>
      </c>
      <c r="Z782" t="s">
        <v>135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-1.58</v>
      </c>
      <c r="AN782" s="2">
        <v>-1.58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46062</v>
      </c>
      <c r="B783" t="s">
        <v>48</v>
      </c>
      <c r="C783">
        <v>649163</v>
      </c>
      <c r="D783">
        <v>2022853292</v>
      </c>
      <c r="E783" t="s">
        <v>242</v>
      </c>
      <c r="F783" t="s">
        <v>243</v>
      </c>
      <c r="G783" t="s">
        <v>51</v>
      </c>
      <c r="H783" t="s">
        <v>52</v>
      </c>
      <c r="I783" t="s">
        <v>378</v>
      </c>
      <c r="J783" t="s">
        <v>379</v>
      </c>
      <c r="K783">
        <v>751867</v>
      </c>
      <c r="L783" t="s">
        <v>239</v>
      </c>
      <c r="M783" t="s">
        <v>240</v>
      </c>
      <c r="N783" t="s">
        <v>57</v>
      </c>
      <c r="O783" s="1">
        <v>45413</v>
      </c>
      <c r="Q783" s="1">
        <v>46082</v>
      </c>
      <c r="R783" s="2">
        <v>116.64</v>
      </c>
      <c r="S783">
        <v>1</v>
      </c>
      <c r="T783" t="s">
        <v>58</v>
      </c>
      <c r="U783" t="s">
        <v>156</v>
      </c>
      <c r="V783" s="3">
        <v>0.1</v>
      </c>
      <c r="W783" s="2">
        <v>0</v>
      </c>
      <c r="X783">
        <v>0</v>
      </c>
      <c r="Y783" t="s">
        <v>157</v>
      </c>
      <c r="Z783" t="s">
        <v>135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11.66</v>
      </c>
      <c r="AN783" s="2">
        <v>11.66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46062</v>
      </c>
      <c r="B784" t="s">
        <v>48</v>
      </c>
      <c r="C784">
        <v>649163</v>
      </c>
      <c r="D784">
        <v>2022874966</v>
      </c>
      <c r="E784" t="s">
        <v>1106</v>
      </c>
      <c r="F784" t="s">
        <v>1107</v>
      </c>
      <c r="G784" t="s">
        <v>51</v>
      </c>
      <c r="H784" t="s">
        <v>52</v>
      </c>
      <c r="I784" t="s">
        <v>378</v>
      </c>
      <c r="J784" t="s">
        <v>379</v>
      </c>
      <c r="K784">
        <v>751867</v>
      </c>
      <c r="L784" t="s">
        <v>239</v>
      </c>
      <c r="M784" t="s">
        <v>240</v>
      </c>
      <c r="N784" t="s">
        <v>57</v>
      </c>
      <c r="O784" s="1">
        <v>45413</v>
      </c>
      <c r="Q784" s="1">
        <v>46082</v>
      </c>
      <c r="R784" s="2">
        <v>69.63</v>
      </c>
      <c r="S784">
        <v>1</v>
      </c>
      <c r="T784" t="s">
        <v>58</v>
      </c>
      <c r="U784" t="s">
        <v>156</v>
      </c>
      <c r="V784" s="3">
        <v>0.1</v>
      </c>
      <c r="W784" s="2">
        <v>0</v>
      </c>
      <c r="X784">
        <v>0</v>
      </c>
      <c r="Y784" t="s">
        <v>157</v>
      </c>
      <c r="Z784" t="s">
        <v>135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6.96</v>
      </c>
      <c r="AN784" s="2">
        <v>6.96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46062</v>
      </c>
      <c r="B785" t="s">
        <v>48</v>
      </c>
      <c r="C785">
        <v>649163</v>
      </c>
      <c r="D785">
        <v>2023010064</v>
      </c>
      <c r="E785" t="s">
        <v>1037</v>
      </c>
      <c r="F785" t="s">
        <v>1084</v>
      </c>
      <c r="G785" t="s">
        <v>51</v>
      </c>
      <c r="H785" t="s">
        <v>237</v>
      </c>
      <c r="I785" t="s">
        <v>378</v>
      </c>
      <c r="J785" t="s">
        <v>379</v>
      </c>
      <c r="K785">
        <v>751867</v>
      </c>
      <c r="L785" t="s">
        <v>239</v>
      </c>
      <c r="M785" t="s">
        <v>240</v>
      </c>
      <c r="N785" t="s">
        <v>57</v>
      </c>
      <c r="O785" s="1">
        <v>45419</v>
      </c>
      <c r="Q785" s="1">
        <v>46088</v>
      </c>
      <c r="R785" s="2">
        <v>17.34</v>
      </c>
      <c r="S785">
        <v>1</v>
      </c>
      <c r="T785" t="s">
        <v>58</v>
      </c>
      <c r="U785" t="s">
        <v>156</v>
      </c>
      <c r="V785" s="3">
        <v>0.1</v>
      </c>
      <c r="W785" s="2">
        <v>0</v>
      </c>
      <c r="X785">
        <v>0</v>
      </c>
      <c r="Y785" t="s">
        <v>157</v>
      </c>
      <c r="Z785" t="s">
        <v>135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1.73</v>
      </c>
      <c r="AN785" s="2">
        <v>1.73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46062</v>
      </c>
      <c r="B786" t="s">
        <v>48</v>
      </c>
      <c r="C786">
        <v>649163</v>
      </c>
      <c r="D786">
        <v>2023048531</v>
      </c>
      <c r="E786" t="s">
        <v>235</v>
      </c>
      <c r="F786" t="s">
        <v>640</v>
      </c>
      <c r="G786" t="s">
        <v>51</v>
      </c>
      <c r="H786" t="s">
        <v>237</v>
      </c>
      <c r="I786" t="s">
        <v>378</v>
      </c>
      <c r="J786" t="s">
        <v>379</v>
      </c>
      <c r="K786">
        <v>751867</v>
      </c>
      <c r="L786" t="s">
        <v>239</v>
      </c>
      <c r="M786" t="s">
        <v>240</v>
      </c>
      <c r="N786" t="s">
        <v>57</v>
      </c>
      <c r="O786" s="1">
        <v>45422</v>
      </c>
      <c r="Q786" s="1">
        <v>46091</v>
      </c>
      <c r="R786" s="2">
        <v>55.07</v>
      </c>
      <c r="S786">
        <v>1</v>
      </c>
      <c r="T786" t="s">
        <v>58</v>
      </c>
      <c r="U786" t="s">
        <v>156</v>
      </c>
      <c r="V786" s="3">
        <v>0.1</v>
      </c>
      <c r="W786" s="2">
        <v>0</v>
      </c>
      <c r="X786">
        <v>0</v>
      </c>
      <c r="Y786" t="s">
        <v>157</v>
      </c>
      <c r="Z786" t="s">
        <v>135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5.51</v>
      </c>
      <c r="AN786" s="2">
        <v>5.51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46062</v>
      </c>
      <c r="B787" t="s">
        <v>48</v>
      </c>
      <c r="C787">
        <v>649163</v>
      </c>
      <c r="D787">
        <v>2023372598</v>
      </c>
      <c r="E787" t="s">
        <v>641</v>
      </c>
      <c r="F787" t="s">
        <v>642</v>
      </c>
      <c r="G787" t="s">
        <v>51</v>
      </c>
      <c r="H787" t="s">
        <v>353</v>
      </c>
      <c r="I787" t="s">
        <v>378</v>
      </c>
      <c r="J787" t="s">
        <v>379</v>
      </c>
      <c r="K787">
        <v>650218</v>
      </c>
      <c r="L787" t="s">
        <v>246</v>
      </c>
      <c r="M787" t="s">
        <v>195</v>
      </c>
      <c r="N787" t="s">
        <v>57</v>
      </c>
      <c r="O787" s="1">
        <v>45447</v>
      </c>
      <c r="Q787" s="1">
        <v>46081</v>
      </c>
      <c r="R787" s="2">
        <v>-1.49</v>
      </c>
      <c r="S787">
        <v>1</v>
      </c>
      <c r="T787" t="s">
        <v>58</v>
      </c>
      <c r="U787" t="s">
        <v>156</v>
      </c>
      <c r="V787" s="3">
        <v>0.1</v>
      </c>
      <c r="W787" s="2">
        <v>0</v>
      </c>
      <c r="X787">
        <v>-1</v>
      </c>
      <c r="Y787" t="s">
        <v>157</v>
      </c>
      <c r="Z787" t="s">
        <v>135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-0.15</v>
      </c>
      <c r="AN787" s="2">
        <v>-0.15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46062</v>
      </c>
      <c r="B788" t="s">
        <v>48</v>
      </c>
      <c r="C788">
        <v>649163</v>
      </c>
      <c r="D788">
        <v>2023372598</v>
      </c>
      <c r="E788" t="s">
        <v>641</v>
      </c>
      <c r="F788" t="s">
        <v>642</v>
      </c>
      <c r="G788" t="s">
        <v>51</v>
      </c>
      <c r="H788" t="s">
        <v>353</v>
      </c>
      <c r="I788" t="s">
        <v>378</v>
      </c>
      <c r="J788" t="s">
        <v>379</v>
      </c>
      <c r="K788">
        <v>650218</v>
      </c>
      <c r="L788" t="s">
        <v>246</v>
      </c>
      <c r="M788" t="s">
        <v>195</v>
      </c>
      <c r="N788" t="s">
        <v>57</v>
      </c>
      <c r="O788" s="1">
        <v>45447</v>
      </c>
      <c r="Q788" s="1">
        <v>46085</v>
      </c>
      <c r="R788" s="2">
        <v>24.3</v>
      </c>
      <c r="S788">
        <v>1</v>
      </c>
      <c r="T788" t="s">
        <v>58</v>
      </c>
      <c r="U788" t="s">
        <v>156</v>
      </c>
      <c r="V788" s="3">
        <v>0.1</v>
      </c>
      <c r="W788" s="2">
        <v>0</v>
      </c>
      <c r="X788">
        <v>0</v>
      </c>
      <c r="Y788" t="s">
        <v>157</v>
      </c>
      <c r="Z788" t="s">
        <v>135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2.4300000000000002</v>
      </c>
      <c r="AN788" s="2">
        <v>2.4300000000000002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46062</v>
      </c>
      <c r="B789" t="s">
        <v>48</v>
      </c>
      <c r="C789">
        <v>649163</v>
      </c>
      <c r="D789">
        <v>2023499224</v>
      </c>
      <c r="E789" t="s">
        <v>417</v>
      </c>
      <c r="F789" t="s">
        <v>418</v>
      </c>
      <c r="G789" t="s">
        <v>51</v>
      </c>
      <c r="H789" t="s">
        <v>112</v>
      </c>
      <c r="I789" t="s">
        <v>378</v>
      </c>
      <c r="J789" t="s">
        <v>379</v>
      </c>
      <c r="K789">
        <v>751867</v>
      </c>
      <c r="L789" t="s">
        <v>239</v>
      </c>
      <c r="M789" t="s">
        <v>240</v>
      </c>
      <c r="N789" t="s">
        <v>57</v>
      </c>
      <c r="O789" s="1">
        <v>45456</v>
      </c>
      <c r="Q789" s="1">
        <v>46094</v>
      </c>
      <c r="R789" s="2">
        <v>28.12</v>
      </c>
      <c r="S789">
        <v>1</v>
      </c>
      <c r="T789" t="s">
        <v>58</v>
      </c>
      <c r="U789" t="s">
        <v>156</v>
      </c>
      <c r="V789" s="3">
        <v>0.1</v>
      </c>
      <c r="W789" s="2">
        <v>0</v>
      </c>
      <c r="X789">
        <v>0</v>
      </c>
      <c r="Y789" t="s">
        <v>157</v>
      </c>
      <c r="Z789" t="s">
        <v>135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2.81</v>
      </c>
      <c r="AN789" s="2">
        <v>2.81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46062</v>
      </c>
      <c r="B790" t="s">
        <v>48</v>
      </c>
      <c r="C790">
        <v>649163</v>
      </c>
      <c r="D790">
        <v>2023845997</v>
      </c>
      <c r="E790" t="s">
        <v>471</v>
      </c>
      <c r="F790" t="s">
        <v>466</v>
      </c>
      <c r="G790" t="s">
        <v>51</v>
      </c>
      <c r="H790" t="s">
        <v>237</v>
      </c>
      <c r="I790" t="s">
        <v>378</v>
      </c>
      <c r="J790" t="s">
        <v>379</v>
      </c>
      <c r="K790">
        <v>751867</v>
      </c>
      <c r="L790" t="s">
        <v>239</v>
      </c>
      <c r="M790" t="s">
        <v>240</v>
      </c>
      <c r="N790" t="s">
        <v>57</v>
      </c>
      <c r="O790" s="1">
        <v>45505</v>
      </c>
      <c r="Q790" s="1">
        <v>46082</v>
      </c>
      <c r="R790" s="2">
        <v>31.64</v>
      </c>
      <c r="S790">
        <v>1</v>
      </c>
      <c r="T790" t="s">
        <v>58</v>
      </c>
      <c r="U790" t="s">
        <v>156</v>
      </c>
      <c r="V790" s="3">
        <v>0.1</v>
      </c>
      <c r="W790" s="2">
        <v>0</v>
      </c>
      <c r="X790">
        <v>0</v>
      </c>
      <c r="Y790" t="s">
        <v>157</v>
      </c>
      <c r="Z790" t="s">
        <v>135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3.16</v>
      </c>
      <c r="AN790" s="2">
        <v>3.16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46062</v>
      </c>
      <c r="B791" t="s">
        <v>48</v>
      </c>
      <c r="C791">
        <v>649163</v>
      </c>
      <c r="D791">
        <v>2024033856</v>
      </c>
      <c r="E791" t="s">
        <v>419</v>
      </c>
      <c r="F791" t="s">
        <v>420</v>
      </c>
      <c r="G791" t="s">
        <v>51</v>
      </c>
      <c r="H791" t="s">
        <v>147</v>
      </c>
      <c r="I791" t="s">
        <v>378</v>
      </c>
      <c r="J791" t="s">
        <v>379</v>
      </c>
      <c r="K791">
        <v>650218</v>
      </c>
      <c r="L791" t="s">
        <v>246</v>
      </c>
      <c r="M791" t="s">
        <v>195</v>
      </c>
      <c r="N791" t="s">
        <v>57</v>
      </c>
      <c r="O791" s="1">
        <v>45505</v>
      </c>
      <c r="Q791" s="1">
        <v>46082</v>
      </c>
      <c r="R791" s="2">
        <v>37.83</v>
      </c>
      <c r="S791">
        <v>1</v>
      </c>
      <c r="T791" t="s">
        <v>58</v>
      </c>
      <c r="U791" t="s">
        <v>156</v>
      </c>
      <c r="V791" s="3">
        <v>0.1</v>
      </c>
      <c r="W791" s="2">
        <v>0</v>
      </c>
      <c r="X791">
        <v>0</v>
      </c>
      <c r="Y791" t="s">
        <v>157</v>
      </c>
      <c r="Z791" t="s">
        <v>135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3.78</v>
      </c>
      <c r="AN791" s="2">
        <v>3.78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46062</v>
      </c>
      <c r="B792" t="s">
        <v>48</v>
      </c>
      <c r="C792">
        <v>649163</v>
      </c>
      <c r="D792">
        <v>2024320118</v>
      </c>
      <c r="E792" t="s">
        <v>421</v>
      </c>
      <c r="F792" t="s">
        <v>298</v>
      </c>
      <c r="G792" t="s">
        <v>51</v>
      </c>
      <c r="H792" t="s">
        <v>52</v>
      </c>
      <c r="I792" t="s">
        <v>378</v>
      </c>
      <c r="J792" t="s">
        <v>379</v>
      </c>
      <c r="K792">
        <v>650218</v>
      </c>
      <c r="L792" t="s">
        <v>246</v>
      </c>
      <c r="M792" t="s">
        <v>195</v>
      </c>
      <c r="N792" t="s">
        <v>57</v>
      </c>
      <c r="O792" s="1">
        <v>45514</v>
      </c>
      <c r="Q792" s="1">
        <v>46091</v>
      </c>
      <c r="R792" s="2">
        <v>19.309999999999999</v>
      </c>
      <c r="S792">
        <v>1</v>
      </c>
      <c r="T792" t="s">
        <v>58</v>
      </c>
      <c r="U792" t="s">
        <v>156</v>
      </c>
      <c r="V792" s="3">
        <v>0.1</v>
      </c>
      <c r="W792" s="2">
        <v>0</v>
      </c>
      <c r="X792">
        <v>0</v>
      </c>
      <c r="Y792" t="s">
        <v>157</v>
      </c>
      <c r="Z792" t="s">
        <v>135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1.93</v>
      </c>
      <c r="AN792" s="2">
        <v>1.93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46062</v>
      </c>
      <c r="B793" t="s">
        <v>48</v>
      </c>
      <c r="C793">
        <v>649163</v>
      </c>
      <c r="D793">
        <v>2024324039</v>
      </c>
      <c r="E793" t="s">
        <v>1085</v>
      </c>
      <c r="F793" t="s">
        <v>1086</v>
      </c>
      <c r="G793" t="s">
        <v>51</v>
      </c>
      <c r="H793" t="s">
        <v>765</v>
      </c>
      <c r="I793" t="s">
        <v>378</v>
      </c>
      <c r="J793" t="s">
        <v>379</v>
      </c>
      <c r="K793">
        <v>650218</v>
      </c>
      <c r="L793" t="s">
        <v>246</v>
      </c>
      <c r="M793" t="s">
        <v>195</v>
      </c>
      <c r="N793" t="s">
        <v>57</v>
      </c>
      <c r="O793" s="1">
        <v>45514</v>
      </c>
      <c r="Q793" s="1">
        <v>46091</v>
      </c>
      <c r="R793" s="2">
        <v>11.03</v>
      </c>
      <c r="S793">
        <v>1</v>
      </c>
      <c r="T793" t="s">
        <v>58</v>
      </c>
      <c r="U793" t="s">
        <v>156</v>
      </c>
      <c r="V793" s="3">
        <v>0.1</v>
      </c>
      <c r="W793" s="2">
        <v>0</v>
      </c>
      <c r="X793">
        <v>0</v>
      </c>
      <c r="Y793" t="s">
        <v>157</v>
      </c>
      <c r="Z793" t="s">
        <v>135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1.1000000000000001</v>
      </c>
      <c r="AN793" s="2">
        <v>1.1000000000000001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46062</v>
      </c>
      <c r="B794" t="s">
        <v>48</v>
      </c>
      <c r="C794">
        <v>649163</v>
      </c>
      <c r="D794">
        <v>2024737147</v>
      </c>
      <c r="E794" t="s">
        <v>422</v>
      </c>
      <c r="F794" t="s">
        <v>423</v>
      </c>
      <c r="G794" t="s">
        <v>51</v>
      </c>
      <c r="H794" t="s">
        <v>288</v>
      </c>
      <c r="I794" t="s">
        <v>378</v>
      </c>
      <c r="J794" t="s">
        <v>379</v>
      </c>
      <c r="K794">
        <v>751867</v>
      </c>
      <c r="L794" t="s">
        <v>239</v>
      </c>
      <c r="M794" t="s">
        <v>240</v>
      </c>
      <c r="N794" t="s">
        <v>57</v>
      </c>
      <c r="O794" s="1">
        <v>45541</v>
      </c>
      <c r="Q794" s="1">
        <v>46087</v>
      </c>
      <c r="R794" s="2">
        <v>43.39</v>
      </c>
      <c r="S794">
        <v>1</v>
      </c>
      <c r="T794" t="s">
        <v>58</v>
      </c>
      <c r="U794" t="s">
        <v>156</v>
      </c>
      <c r="V794" s="3">
        <v>0.1</v>
      </c>
      <c r="W794" s="2">
        <v>0</v>
      </c>
      <c r="X794">
        <v>0</v>
      </c>
      <c r="Y794" t="s">
        <v>157</v>
      </c>
      <c r="Z794" t="s">
        <v>135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4.34</v>
      </c>
      <c r="AN794" s="2">
        <v>4.34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46062</v>
      </c>
      <c r="B795" t="s">
        <v>48</v>
      </c>
      <c r="C795">
        <v>649163</v>
      </c>
      <c r="D795">
        <v>2024752409</v>
      </c>
      <c r="E795" t="s">
        <v>424</v>
      </c>
      <c r="F795" t="s">
        <v>425</v>
      </c>
      <c r="G795" t="s">
        <v>51</v>
      </c>
      <c r="H795" t="s">
        <v>288</v>
      </c>
      <c r="I795" t="s">
        <v>378</v>
      </c>
      <c r="J795" t="s">
        <v>379</v>
      </c>
      <c r="K795">
        <v>751867</v>
      </c>
      <c r="L795" t="s">
        <v>239</v>
      </c>
      <c r="M795" t="s">
        <v>240</v>
      </c>
      <c r="N795" t="s">
        <v>57</v>
      </c>
      <c r="O795" s="1">
        <v>45544</v>
      </c>
      <c r="Q795" s="1">
        <v>46090</v>
      </c>
      <c r="R795" s="2">
        <v>20.76</v>
      </c>
      <c r="S795">
        <v>1</v>
      </c>
      <c r="T795" t="s">
        <v>58</v>
      </c>
      <c r="U795" t="s">
        <v>156</v>
      </c>
      <c r="V795" s="3">
        <v>0.1</v>
      </c>
      <c r="W795" s="2">
        <v>0</v>
      </c>
      <c r="X795">
        <v>0</v>
      </c>
      <c r="Y795" t="s">
        <v>157</v>
      </c>
      <c r="Z795" t="s">
        <v>135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2.08</v>
      </c>
      <c r="AN795" s="2">
        <v>2.08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46062</v>
      </c>
      <c r="B796" t="s">
        <v>48</v>
      </c>
      <c r="C796">
        <v>649163</v>
      </c>
      <c r="D796">
        <v>2025222896</v>
      </c>
      <c r="E796" t="s">
        <v>580</v>
      </c>
      <c r="F796" t="s">
        <v>1087</v>
      </c>
      <c r="G796" t="s">
        <v>51</v>
      </c>
      <c r="H796" t="s">
        <v>147</v>
      </c>
      <c r="I796" t="s">
        <v>378</v>
      </c>
      <c r="J796" t="s">
        <v>379</v>
      </c>
      <c r="K796">
        <v>751867</v>
      </c>
      <c r="L796" t="s">
        <v>239</v>
      </c>
      <c r="M796" t="s">
        <v>240</v>
      </c>
      <c r="N796" t="s">
        <v>57</v>
      </c>
      <c r="O796" s="1">
        <v>45574</v>
      </c>
      <c r="Q796" s="1">
        <v>46090</v>
      </c>
      <c r="R796" s="2">
        <v>31.64</v>
      </c>
      <c r="S796">
        <v>1</v>
      </c>
      <c r="T796" t="s">
        <v>58</v>
      </c>
      <c r="U796" t="s">
        <v>156</v>
      </c>
      <c r="V796" s="3">
        <v>0.1</v>
      </c>
      <c r="W796" s="2">
        <v>0</v>
      </c>
      <c r="X796">
        <v>0</v>
      </c>
      <c r="Y796" t="s">
        <v>157</v>
      </c>
      <c r="Z796" t="s">
        <v>135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3.16</v>
      </c>
      <c r="AN796" s="2">
        <v>3.16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46062</v>
      </c>
      <c r="B797" t="s">
        <v>48</v>
      </c>
      <c r="C797">
        <v>649163</v>
      </c>
      <c r="D797">
        <v>2025271292</v>
      </c>
      <c r="E797" t="s">
        <v>1108</v>
      </c>
      <c r="F797" t="s">
        <v>1109</v>
      </c>
      <c r="G797" t="s">
        <v>51</v>
      </c>
      <c r="H797" t="s">
        <v>52</v>
      </c>
      <c r="I797" t="s">
        <v>378</v>
      </c>
      <c r="J797" t="s">
        <v>379</v>
      </c>
      <c r="K797">
        <v>650218</v>
      </c>
      <c r="L797" t="s">
        <v>246</v>
      </c>
      <c r="M797" t="s">
        <v>195</v>
      </c>
      <c r="N797" t="s">
        <v>57</v>
      </c>
      <c r="O797" s="1">
        <v>45577</v>
      </c>
      <c r="Q797" s="1">
        <v>46093</v>
      </c>
      <c r="R797" s="2">
        <v>89.62</v>
      </c>
      <c r="S797">
        <v>1</v>
      </c>
      <c r="T797" t="s">
        <v>58</v>
      </c>
      <c r="U797" t="s">
        <v>156</v>
      </c>
      <c r="V797" s="3">
        <v>0.1</v>
      </c>
      <c r="W797" s="2">
        <v>0</v>
      </c>
      <c r="X797">
        <v>0</v>
      </c>
      <c r="Y797" t="s">
        <v>157</v>
      </c>
      <c r="Z797" t="s">
        <v>135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8.9600000000000009</v>
      </c>
      <c r="AN797" s="2">
        <v>8.9600000000000009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46062</v>
      </c>
      <c r="B798" t="s">
        <v>48</v>
      </c>
      <c r="C798">
        <v>649163</v>
      </c>
      <c r="D798">
        <v>2025655643</v>
      </c>
      <c r="E798" t="s">
        <v>1110</v>
      </c>
      <c r="F798" t="s">
        <v>1111</v>
      </c>
      <c r="G798" t="s">
        <v>51</v>
      </c>
      <c r="H798" t="s">
        <v>52</v>
      </c>
      <c r="I798" t="s">
        <v>378</v>
      </c>
      <c r="J798" t="s">
        <v>379</v>
      </c>
      <c r="K798">
        <v>650218</v>
      </c>
      <c r="L798" t="s">
        <v>246</v>
      </c>
      <c r="M798" t="s">
        <v>195</v>
      </c>
      <c r="N798" t="s">
        <v>57</v>
      </c>
      <c r="O798" s="1">
        <v>45603</v>
      </c>
      <c r="Q798" s="1">
        <v>46088</v>
      </c>
      <c r="R798" s="2">
        <v>55.16</v>
      </c>
      <c r="S798">
        <v>1</v>
      </c>
      <c r="T798" t="s">
        <v>58</v>
      </c>
      <c r="U798" t="s">
        <v>156</v>
      </c>
      <c r="V798" s="3">
        <v>0.1</v>
      </c>
      <c r="W798" s="2">
        <v>0</v>
      </c>
      <c r="X798">
        <v>0</v>
      </c>
      <c r="Y798" t="s">
        <v>157</v>
      </c>
      <c r="Z798" t="s">
        <v>135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5.52</v>
      </c>
      <c r="AN798" s="2">
        <v>5.52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46062</v>
      </c>
      <c r="B799" t="s">
        <v>48</v>
      </c>
      <c r="C799">
        <v>649163</v>
      </c>
      <c r="D799">
        <v>2025698056</v>
      </c>
      <c r="E799" t="s">
        <v>184</v>
      </c>
      <c r="F799" t="s">
        <v>107</v>
      </c>
      <c r="G799" t="s">
        <v>51</v>
      </c>
      <c r="H799" t="s">
        <v>170</v>
      </c>
      <c r="I799" t="s">
        <v>378</v>
      </c>
      <c r="J799" t="s">
        <v>379</v>
      </c>
      <c r="K799">
        <v>650218</v>
      </c>
      <c r="L799" t="s">
        <v>246</v>
      </c>
      <c r="M799" t="s">
        <v>195</v>
      </c>
      <c r="N799" t="s">
        <v>57</v>
      </c>
      <c r="O799" s="1">
        <v>45605</v>
      </c>
      <c r="Q799" s="1">
        <v>46090</v>
      </c>
      <c r="R799" s="2">
        <v>26.12</v>
      </c>
      <c r="S799">
        <v>1</v>
      </c>
      <c r="T799" t="s">
        <v>58</v>
      </c>
      <c r="U799" t="s">
        <v>156</v>
      </c>
      <c r="V799" s="3">
        <v>0.1</v>
      </c>
      <c r="W799" s="2">
        <v>0</v>
      </c>
      <c r="X799">
        <v>0</v>
      </c>
      <c r="Y799" t="s">
        <v>157</v>
      </c>
      <c r="Z799" t="s">
        <v>135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2.61</v>
      </c>
      <c r="AN799" s="2">
        <v>2.61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46062</v>
      </c>
      <c r="B800" t="s">
        <v>48</v>
      </c>
      <c r="C800">
        <v>649163</v>
      </c>
      <c r="D800">
        <v>2025724075</v>
      </c>
      <c r="E800" t="s">
        <v>1112</v>
      </c>
      <c r="F800" t="s">
        <v>188</v>
      </c>
      <c r="G800" t="s">
        <v>51</v>
      </c>
      <c r="H800" t="s">
        <v>52</v>
      </c>
      <c r="I800" t="s">
        <v>378</v>
      </c>
      <c r="J800" t="s">
        <v>379</v>
      </c>
      <c r="K800">
        <v>650218</v>
      </c>
      <c r="L800" t="s">
        <v>246</v>
      </c>
      <c r="M800" t="s">
        <v>195</v>
      </c>
      <c r="N800" t="s">
        <v>57</v>
      </c>
      <c r="O800" s="1">
        <v>45608</v>
      </c>
      <c r="Q800" s="1">
        <v>46093</v>
      </c>
      <c r="R800" s="2">
        <v>53.16</v>
      </c>
      <c r="S800">
        <v>1</v>
      </c>
      <c r="T800" t="s">
        <v>58</v>
      </c>
      <c r="U800" t="s">
        <v>156</v>
      </c>
      <c r="V800" s="3">
        <v>0.1</v>
      </c>
      <c r="W800" s="2">
        <v>0</v>
      </c>
      <c r="X800">
        <v>0</v>
      </c>
      <c r="Y800" t="s">
        <v>157</v>
      </c>
      <c r="Z800" t="s">
        <v>135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5.32</v>
      </c>
      <c r="AN800" s="2">
        <v>5.32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46062</v>
      </c>
      <c r="B801" t="s">
        <v>48</v>
      </c>
      <c r="C801">
        <v>649163</v>
      </c>
      <c r="D801">
        <v>2025727307</v>
      </c>
      <c r="E801" t="s">
        <v>173</v>
      </c>
      <c r="F801" t="s">
        <v>501</v>
      </c>
      <c r="G801" t="s">
        <v>51</v>
      </c>
      <c r="H801" t="s">
        <v>274</v>
      </c>
      <c r="I801" t="s">
        <v>378</v>
      </c>
      <c r="J801" t="s">
        <v>379</v>
      </c>
      <c r="K801">
        <v>796984</v>
      </c>
      <c r="L801" t="s">
        <v>491</v>
      </c>
      <c r="M801" t="s">
        <v>492</v>
      </c>
      <c r="N801" t="s">
        <v>57</v>
      </c>
      <c r="O801" s="1">
        <v>45608</v>
      </c>
      <c r="Q801" s="1">
        <v>46093</v>
      </c>
      <c r="R801" s="2">
        <v>53.62</v>
      </c>
      <c r="S801">
        <v>1</v>
      </c>
      <c r="T801" t="s">
        <v>58</v>
      </c>
      <c r="U801" t="s">
        <v>156</v>
      </c>
      <c r="V801" s="3">
        <v>0.1</v>
      </c>
      <c r="W801" s="2">
        <v>0</v>
      </c>
      <c r="X801">
        <v>0</v>
      </c>
      <c r="Y801" t="s">
        <v>157</v>
      </c>
      <c r="Z801" t="s">
        <v>135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5.36</v>
      </c>
      <c r="AN801" s="2">
        <v>5.36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46062</v>
      </c>
      <c r="B802" t="s">
        <v>48</v>
      </c>
      <c r="C802">
        <v>649163</v>
      </c>
      <c r="D802">
        <v>2025729949</v>
      </c>
      <c r="E802" t="s">
        <v>1113</v>
      </c>
      <c r="F802" t="s">
        <v>492</v>
      </c>
      <c r="G802" t="s">
        <v>51</v>
      </c>
      <c r="H802" t="s">
        <v>52</v>
      </c>
      <c r="I802" t="s">
        <v>378</v>
      </c>
      <c r="J802" t="s">
        <v>379</v>
      </c>
      <c r="K802">
        <v>650218</v>
      </c>
      <c r="L802" t="s">
        <v>246</v>
      </c>
      <c r="M802" t="s">
        <v>195</v>
      </c>
      <c r="N802" t="s">
        <v>57</v>
      </c>
      <c r="O802" s="1">
        <v>45609</v>
      </c>
      <c r="Q802" s="1">
        <v>46094</v>
      </c>
      <c r="R802" s="2">
        <v>53.16</v>
      </c>
      <c r="S802">
        <v>1</v>
      </c>
      <c r="T802" t="s">
        <v>58</v>
      </c>
      <c r="U802" t="s">
        <v>156</v>
      </c>
      <c r="V802" s="3">
        <v>0.1</v>
      </c>
      <c r="W802" s="2">
        <v>0</v>
      </c>
      <c r="X802">
        <v>0</v>
      </c>
      <c r="Y802" t="s">
        <v>157</v>
      </c>
      <c r="Z802" t="s">
        <v>135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5.32</v>
      </c>
      <c r="AN802" s="2">
        <v>5.32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46062</v>
      </c>
      <c r="B803" t="s">
        <v>48</v>
      </c>
      <c r="C803">
        <v>649163</v>
      </c>
      <c r="D803">
        <v>2025737164</v>
      </c>
      <c r="E803" t="s">
        <v>1088</v>
      </c>
      <c r="F803" t="s">
        <v>885</v>
      </c>
      <c r="G803" t="s">
        <v>51</v>
      </c>
      <c r="H803" t="s">
        <v>140</v>
      </c>
      <c r="I803" t="s">
        <v>378</v>
      </c>
      <c r="J803" t="s">
        <v>379</v>
      </c>
      <c r="K803">
        <v>650218</v>
      </c>
      <c r="L803" t="s">
        <v>246</v>
      </c>
      <c r="M803" t="s">
        <v>195</v>
      </c>
      <c r="N803" t="s">
        <v>57</v>
      </c>
      <c r="O803" s="1">
        <v>45609</v>
      </c>
      <c r="Q803" s="1">
        <v>46094</v>
      </c>
      <c r="R803" s="2">
        <v>26.7</v>
      </c>
      <c r="S803">
        <v>1</v>
      </c>
      <c r="T803" t="s">
        <v>58</v>
      </c>
      <c r="U803" t="s">
        <v>156</v>
      </c>
      <c r="V803" s="3">
        <v>0.1</v>
      </c>
      <c r="W803" s="2">
        <v>0</v>
      </c>
      <c r="X803">
        <v>0</v>
      </c>
      <c r="Y803" t="s">
        <v>157</v>
      </c>
      <c r="Z803" t="s">
        <v>135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2.67</v>
      </c>
      <c r="AN803" s="2">
        <v>2.67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46062</v>
      </c>
      <c r="B804" t="s">
        <v>48</v>
      </c>
      <c r="C804">
        <v>649163</v>
      </c>
      <c r="D804">
        <v>2026227663</v>
      </c>
      <c r="E804" t="s">
        <v>426</v>
      </c>
      <c r="F804" t="s">
        <v>427</v>
      </c>
      <c r="G804" t="s">
        <v>51</v>
      </c>
      <c r="H804" t="s">
        <v>52</v>
      </c>
      <c r="I804" t="s">
        <v>378</v>
      </c>
      <c r="J804" t="s">
        <v>379</v>
      </c>
      <c r="K804">
        <v>751867</v>
      </c>
      <c r="L804" t="s">
        <v>239</v>
      </c>
      <c r="M804" t="s">
        <v>240</v>
      </c>
      <c r="N804" t="s">
        <v>57</v>
      </c>
      <c r="O804" s="1">
        <v>45658</v>
      </c>
      <c r="Q804" s="1">
        <v>46082</v>
      </c>
      <c r="R804" s="2">
        <v>57.45</v>
      </c>
      <c r="S804">
        <v>1</v>
      </c>
      <c r="T804" t="s">
        <v>58</v>
      </c>
      <c r="U804" t="s">
        <v>156</v>
      </c>
      <c r="V804" s="3">
        <v>0.1</v>
      </c>
      <c r="W804" s="2">
        <v>0</v>
      </c>
      <c r="X804">
        <v>0</v>
      </c>
      <c r="Y804" t="s">
        <v>157</v>
      </c>
      <c r="Z804" t="s">
        <v>135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5.74</v>
      </c>
      <c r="AN804" s="2">
        <v>5.74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46062</v>
      </c>
      <c r="B805" t="s">
        <v>48</v>
      </c>
      <c r="C805">
        <v>649163</v>
      </c>
      <c r="D805">
        <v>2026485483</v>
      </c>
      <c r="E805" t="s">
        <v>428</v>
      </c>
      <c r="F805" t="s">
        <v>429</v>
      </c>
      <c r="G805" t="s">
        <v>51</v>
      </c>
      <c r="H805" t="s">
        <v>112</v>
      </c>
      <c r="I805" t="s">
        <v>378</v>
      </c>
      <c r="J805" t="s">
        <v>379</v>
      </c>
      <c r="K805">
        <v>650218</v>
      </c>
      <c r="L805" t="s">
        <v>246</v>
      </c>
      <c r="M805" t="s">
        <v>195</v>
      </c>
      <c r="N805" t="s">
        <v>57</v>
      </c>
      <c r="O805" s="1">
        <v>45665</v>
      </c>
      <c r="Q805" s="1">
        <v>46089</v>
      </c>
      <c r="R805" s="2">
        <v>39.28</v>
      </c>
      <c r="S805">
        <v>1</v>
      </c>
      <c r="T805" t="s">
        <v>58</v>
      </c>
      <c r="U805" t="s">
        <v>156</v>
      </c>
      <c r="V805" s="3">
        <v>0.1</v>
      </c>
      <c r="W805" s="2">
        <v>0</v>
      </c>
      <c r="X805">
        <v>0</v>
      </c>
      <c r="Y805" t="s">
        <v>157</v>
      </c>
      <c r="Z805" t="s">
        <v>135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3.93</v>
      </c>
      <c r="AN805" s="2">
        <v>3.93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46062</v>
      </c>
      <c r="B806" t="s">
        <v>48</v>
      </c>
      <c r="C806">
        <v>649163</v>
      </c>
      <c r="D806">
        <v>2026698497</v>
      </c>
      <c r="E806" t="s">
        <v>552</v>
      </c>
      <c r="F806" t="s">
        <v>553</v>
      </c>
      <c r="G806" t="s">
        <v>51</v>
      </c>
      <c r="H806" t="s">
        <v>78</v>
      </c>
      <c r="I806" t="s">
        <v>378</v>
      </c>
      <c r="J806" t="s">
        <v>380</v>
      </c>
      <c r="K806">
        <v>651818</v>
      </c>
      <c r="L806" t="s">
        <v>80</v>
      </c>
      <c r="M806" t="s">
        <v>81</v>
      </c>
      <c r="N806" t="s">
        <v>57</v>
      </c>
      <c r="O806" s="1">
        <v>45695</v>
      </c>
      <c r="Q806" s="1">
        <v>46088</v>
      </c>
      <c r="R806" s="2">
        <v>79.13</v>
      </c>
      <c r="S806">
        <v>1</v>
      </c>
      <c r="T806" t="s">
        <v>58</v>
      </c>
      <c r="U806" t="s">
        <v>156</v>
      </c>
      <c r="V806" s="3">
        <v>0.1</v>
      </c>
      <c r="W806" s="2">
        <v>0</v>
      </c>
      <c r="X806">
        <v>0</v>
      </c>
      <c r="Y806" t="s">
        <v>157</v>
      </c>
      <c r="Z806" t="s">
        <v>135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7.91</v>
      </c>
      <c r="AN806" s="2">
        <v>7.91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46062</v>
      </c>
      <c r="B807" t="s">
        <v>48</v>
      </c>
      <c r="C807">
        <v>649163</v>
      </c>
      <c r="D807">
        <v>2027003553</v>
      </c>
      <c r="E807" t="s">
        <v>560</v>
      </c>
      <c r="F807" t="s">
        <v>92</v>
      </c>
      <c r="G807" t="s">
        <v>51</v>
      </c>
      <c r="H807" t="s">
        <v>274</v>
      </c>
      <c r="I807" t="s">
        <v>378</v>
      </c>
      <c r="J807" t="s">
        <v>379</v>
      </c>
      <c r="K807">
        <v>816021</v>
      </c>
      <c r="L807" t="s">
        <v>275</v>
      </c>
      <c r="M807" t="s">
        <v>276</v>
      </c>
      <c r="N807" t="s">
        <v>57</v>
      </c>
      <c r="O807" s="1">
        <v>45698</v>
      </c>
      <c r="Q807" s="1">
        <v>46091</v>
      </c>
      <c r="R807" s="2">
        <v>60.5</v>
      </c>
      <c r="S807">
        <v>1</v>
      </c>
      <c r="T807" t="s">
        <v>58</v>
      </c>
      <c r="U807" t="s">
        <v>156</v>
      </c>
      <c r="V807" s="3">
        <v>0.1</v>
      </c>
      <c r="W807" s="2">
        <v>0</v>
      </c>
      <c r="X807">
        <v>0</v>
      </c>
      <c r="Y807" t="s">
        <v>157</v>
      </c>
      <c r="Z807" t="s">
        <v>135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6.05</v>
      </c>
      <c r="AN807" s="2">
        <v>6.05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46062</v>
      </c>
      <c r="B808" t="s">
        <v>48</v>
      </c>
      <c r="C808">
        <v>649163</v>
      </c>
      <c r="D808">
        <v>2027010990</v>
      </c>
      <c r="E808" t="s">
        <v>547</v>
      </c>
      <c r="F808" t="s">
        <v>561</v>
      </c>
      <c r="G808" t="s">
        <v>51</v>
      </c>
      <c r="H808" t="s">
        <v>274</v>
      </c>
      <c r="I808" t="s">
        <v>378</v>
      </c>
      <c r="J808" t="s">
        <v>379</v>
      </c>
      <c r="K808">
        <v>816021</v>
      </c>
      <c r="L808" t="s">
        <v>275</v>
      </c>
      <c r="M808" t="s">
        <v>276</v>
      </c>
      <c r="N808" t="s">
        <v>57</v>
      </c>
      <c r="O808" s="1">
        <v>45697</v>
      </c>
      <c r="Q808" s="1">
        <v>46090</v>
      </c>
      <c r="R808" s="2">
        <v>29.31</v>
      </c>
      <c r="S808">
        <v>1</v>
      </c>
      <c r="T808" t="s">
        <v>58</v>
      </c>
      <c r="U808" t="s">
        <v>156</v>
      </c>
      <c r="V808" s="3">
        <v>0.1</v>
      </c>
      <c r="W808" s="2">
        <v>0</v>
      </c>
      <c r="X808">
        <v>0</v>
      </c>
      <c r="Y808" t="s">
        <v>157</v>
      </c>
      <c r="Z808" t="s">
        <v>135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2.93</v>
      </c>
      <c r="AN808" s="2">
        <v>2.93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46062</v>
      </c>
      <c r="B809" t="s">
        <v>48</v>
      </c>
      <c r="C809">
        <v>649163</v>
      </c>
      <c r="D809">
        <v>2027025173</v>
      </c>
      <c r="E809" t="s">
        <v>562</v>
      </c>
      <c r="F809" t="s">
        <v>349</v>
      </c>
      <c r="G809" t="s">
        <v>51</v>
      </c>
      <c r="H809" t="s">
        <v>274</v>
      </c>
      <c r="I809" t="s">
        <v>378</v>
      </c>
      <c r="J809" t="s">
        <v>379</v>
      </c>
      <c r="K809">
        <v>824082</v>
      </c>
      <c r="L809" t="s">
        <v>563</v>
      </c>
      <c r="M809" t="s">
        <v>564</v>
      </c>
      <c r="N809" t="s">
        <v>57</v>
      </c>
      <c r="O809" s="1">
        <v>45697</v>
      </c>
      <c r="Q809" s="1">
        <v>46090</v>
      </c>
      <c r="R809" s="2">
        <v>70.599999999999994</v>
      </c>
      <c r="S809">
        <v>1</v>
      </c>
      <c r="T809" t="s">
        <v>58</v>
      </c>
      <c r="U809" t="s">
        <v>156</v>
      </c>
      <c r="V809" s="3">
        <v>0.1</v>
      </c>
      <c r="W809" s="2">
        <v>0</v>
      </c>
      <c r="X809">
        <v>0</v>
      </c>
      <c r="Y809" t="s">
        <v>157</v>
      </c>
      <c r="Z809" t="s">
        <v>135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7.06</v>
      </c>
      <c r="AN809" s="2">
        <v>7.06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46062</v>
      </c>
      <c r="B810" t="s">
        <v>48</v>
      </c>
      <c r="C810">
        <v>649163</v>
      </c>
      <c r="D810">
        <v>2027035340</v>
      </c>
      <c r="E810" t="s">
        <v>303</v>
      </c>
      <c r="F810" t="s">
        <v>111</v>
      </c>
      <c r="G810" t="s">
        <v>51</v>
      </c>
      <c r="H810" t="s">
        <v>333</v>
      </c>
      <c r="I810" t="s">
        <v>378</v>
      </c>
      <c r="J810" t="s">
        <v>379</v>
      </c>
      <c r="K810">
        <v>813184</v>
      </c>
      <c r="L810" t="s">
        <v>303</v>
      </c>
      <c r="M810" t="s">
        <v>304</v>
      </c>
      <c r="N810" t="s">
        <v>57</v>
      </c>
      <c r="O810" s="1">
        <v>45698</v>
      </c>
      <c r="Q810" s="1">
        <v>46091</v>
      </c>
      <c r="R810" s="2">
        <v>60.11</v>
      </c>
      <c r="S810">
        <v>1</v>
      </c>
      <c r="T810" t="s">
        <v>58</v>
      </c>
      <c r="U810" t="s">
        <v>156</v>
      </c>
      <c r="V810" s="3">
        <v>0.1</v>
      </c>
      <c r="W810" s="2">
        <v>0</v>
      </c>
      <c r="X810">
        <v>0</v>
      </c>
      <c r="Y810" t="s">
        <v>157</v>
      </c>
      <c r="Z810" t="s">
        <v>135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6.01</v>
      </c>
      <c r="AN810" s="2">
        <v>6.01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46062</v>
      </c>
      <c r="B811" t="s">
        <v>48</v>
      </c>
      <c r="C811">
        <v>649163</v>
      </c>
      <c r="D811">
        <v>2027642347</v>
      </c>
      <c r="E811" t="s">
        <v>992</v>
      </c>
      <c r="F811" t="s">
        <v>370</v>
      </c>
      <c r="G811" t="s">
        <v>51</v>
      </c>
      <c r="H811" t="s">
        <v>780</v>
      </c>
      <c r="I811" t="s">
        <v>378</v>
      </c>
      <c r="J811" t="s">
        <v>379</v>
      </c>
      <c r="K811">
        <v>651818</v>
      </c>
      <c r="L811" t="s">
        <v>80</v>
      </c>
      <c r="M811" t="s">
        <v>81</v>
      </c>
      <c r="N811" t="s">
        <v>57</v>
      </c>
      <c r="O811" s="1">
        <v>45754</v>
      </c>
      <c r="Q811" s="1">
        <v>46088</v>
      </c>
      <c r="R811" s="2">
        <v>21.53</v>
      </c>
      <c r="S811">
        <v>1</v>
      </c>
      <c r="T811" t="s">
        <v>58</v>
      </c>
      <c r="U811" t="s">
        <v>156</v>
      </c>
      <c r="V811" s="3">
        <v>0.38</v>
      </c>
      <c r="W811" s="2">
        <v>0</v>
      </c>
      <c r="X811">
        <v>0</v>
      </c>
      <c r="Y811" t="s">
        <v>60</v>
      </c>
      <c r="Z811" t="s">
        <v>135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8.18</v>
      </c>
      <c r="AN811" s="2">
        <v>8.18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46062</v>
      </c>
      <c r="B812" t="s">
        <v>48</v>
      </c>
      <c r="C812">
        <v>649163</v>
      </c>
      <c r="D812">
        <v>2028313186</v>
      </c>
      <c r="E812" t="s">
        <v>916</v>
      </c>
      <c r="F812" t="s">
        <v>1114</v>
      </c>
      <c r="G812" t="s">
        <v>51</v>
      </c>
      <c r="H812" t="s">
        <v>52</v>
      </c>
      <c r="I812" t="s">
        <v>378</v>
      </c>
      <c r="J812" t="s">
        <v>380</v>
      </c>
      <c r="K812">
        <v>677095</v>
      </c>
      <c r="L812" t="s">
        <v>199</v>
      </c>
      <c r="M812" t="s">
        <v>92</v>
      </c>
      <c r="N812" t="s">
        <v>57</v>
      </c>
      <c r="O812" s="1">
        <v>45757</v>
      </c>
      <c r="Q812" s="1">
        <v>46091</v>
      </c>
      <c r="R812" s="2">
        <v>486.09</v>
      </c>
      <c r="S812">
        <v>1</v>
      </c>
      <c r="T812" t="s">
        <v>58</v>
      </c>
      <c r="U812" t="s">
        <v>156</v>
      </c>
      <c r="V812" s="3">
        <v>0.12</v>
      </c>
      <c r="W812" s="2">
        <v>0</v>
      </c>
      <c r="X812">
        <v>0</v>
      </c>
      <c r="Y812" t="s">
        <v>60</v>
      </c>
      <c r="Z812" t="s">
        <v>135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58.33</v>
      </c>
      <c r="AN812" s="2">
        <v>58.33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46062</v>
      </c>
      <c r="B813" t="s">
        <v>48</v>
      </c>
      <c r="C813">
        <v>649163</v>
      </c>
      <c r="D813">
        <v>2028367118</v>
      </c>
      <c r="E813" t="s">
        <v>708</v>
      </c>
      <c r="F813" t="s">
        <v>709</v>
      </c>
      <c r="G813" t="s">
        <v>51</v>
      </c>
      <c r="H813" t="s">
        <v>397</v>
      </c>
      <c r="I813" t="s">
        <v>378</v>
      </c>
      <c r="J813" t="s">
        <v>380</v>
      </c>
      <c r="K813">
        <v>673059</v>
      </c>
      <c r="L813" t="s">
        <v>162</v>
      </c>
      <c r="M813" t="s">
        <v>180</v>
      </c>
      <c r="N813" t="s">
        <v>57</v>
      </c>
      <c r="O813" s="1">
        <v>45759</v>
      </c>
      <c r="Q813" s="1">
        <v>46093</v>
      </c>
      <c r="R813" s="2">
        <v>181.4</v>
      </c>
      <c r="S813">
        <v>1</v>
      </c>
      <c r="T813" t="s">
        <v>58</v>
      </c>
      <c r="U813" t="s">
        <v>156</v>
      </c>
      <c r="V813" s="3">
        <v>0.38</v>
      </c>
      <c r="W813" s="2">
        <v>0</v>
      </c>
      <c r="X813">
        <v>0</v>
      </c>
      <c r="Y813" t="s">
        <v>60</v>
      </c>
      <c r="Z813" t="s">
        <v>135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68.930000000000007</v>
      </c>
      <c r="AN813" s="2">
        <v>68.930000000000007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46062</v>
      </c>
      <c r="B814" t="s">
        <v>48</v>
      </c>
      <c r="C814">
        <v>649163</v>
      </c>
      <c r="D814">
        <v>2028367119</v>
      </c>
      <c r="E814" t="s">
        <v>708</v>
      </c>
      <c r="F814" t="s">
        <v>709</v>
      </c>
      <c r="G814" t="s">
        <v>51</v>
      </c>
      <c r="H814" t="s">
        <v>397</v>
      </c>
      <c r="I814" t="s">
        <v>378</v>
      </c>
      <c r="J814" t="s">
        <v>381</v>
      </c>
      <c r="K814">
        <v>673059</v>
      </c>
      <c r="L814" t="s">
        <v>162</v>
      </c>
      <c r="M814" t="s">
        <v>180</v>
      </c>
      <c r="N814" t="s">
        <v>57</v>
      </c>
      <c r="O814" s="1">
        <v>45759</v>
      </c>
      <c r="Q814" s="1">
        <v>46093</v>
      </c>
      <c r="R814" s="2">
        <v>7.09</v>
      </c>
      <c r="S814">
        <v>1</v>
      </c>
      <c r="T814" t="s">
        <v>58</v>
      </c>
      <c r="U814" t="s">
        <v>156</v>
      </c>
      <c r="V814" s="3">
        <v>0.38</v>
      </c>
      <c r="W814" s="2">
        <v>0</v>
      </c>
      <c r="X814">
        <v>0</v>
      </c>
      <c r="Y814" t="s">
        <v>60</v>
      </c>
      <c r="Z814" t="s">
        <v>135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2.69</v>
      </c>
      <c r="AN814" s="2">
        <v>2.69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46062</v>
      </c>
      <c r="B815" t="s">
        <v>48</v>
      </c>
      <c r="C815">
        <v>649163</v>
      </c>
      <c r="D815">
        <v>2028819907</v>
      </c>
      <c r="E815" t="s">
        <v>721</v>
      </c>
      <c r="F815" t="s">
        <v>722</v>
      </c>
      <c r="G815" t="s">
        <v>51</v>
      </c>
      <c r="H815" t="s">
        <v>52</v>
      </c>
      <c r="I815" t="s">
        <v>378</v>
      </c>
      <c r="J815" t="s">
        <v>379</v>
      </c>
      <c r="K815">
        <v>650218</v>
      </c>
      <c r="L815" t="s">
        <v>246</v>
      </c>
      <c r="M815" t="s">
        <v>195</v>
      </c>
      <c r="N815" t="s">
        <v>57</v>
      </c>
      <c r="O815" s="1">
        <v>45785</v>
      </c>
      <c r="Q815" s="1">
        <v>46089</v>
      </c>
      <c r="R815" s="2">
        <v>21.97</v>
      </c>
      <c r="S815">
        <v>1</v>
      </c>
      <c r="T815" t="s">
        <v>58</v>
      </c>
      <c r="U815" t="s">
        <v>156</v>
      </c>
      <c r="V815" s="3">
        <v>0.38</v>
      </c>
      <c r="W815" s="2">
        <v>0</v>
      </c>
      <c r="X815">
        <v>0</v>
      </c>
      <c r="Y815" t="s">
        <v>60</v>
      </c>
      <c r="Z815" t="s">
        <v>135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8.35</v>
      </c>
      <c r="AN815" s="2">
        <v>8.35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46062</v>
      </c>
      <c r="B816" t="s">
        <v>48</v>
      </c>
      <c r="C816">
        <v>649163</v>
      </c>
      <c r="D816">
        <v>2029844784</v>
      </c>
      <c r="E816" t="s">
        <v>211</v>
      </c>
      <c r="F816" t="s">
        <v>294</v>
      </c>
      <c r="G816" t="s">
        <v>51</v>
      </c>
      <c r="H816" t="s">
        <v>66</v>
      </c>
      <c r="I816" t="s">
        <v>378</v>
      </c>
      <c r="J816" t="s">
        <v>380</v>
      </c>
      <c r="K816">
        <v>768887</v>
      </c>
      <c r="L816" t="s">
        <v>295</v>
      </c>
      <c r="M816" t="s">
        <v>296</v>
      </c>
      <c r="N816" t="s">
        <v>144</v>
      </c>
      <c r="O816" s="1">
        <v>45849</v>
      </c>
      <c r="P816" s="1">
        <v>46062</v>
      </c>
      <c r="Q816" s="1">
        <v>46064</v>
      </c>
      <c r="R816" s="2">
        <v>-603.08000000000004</v>
      </c>
      <c r="S816">
        <v>1</v>
      </c>
      <c r="T816" t="s">
        <v>58</v>
      </c>
      <c r="U816" t="s">
        <v>156</v>
      </c>
      <c r="V816" s="3">
        <v>0.38</v>
      </c>
      <c r="W816" s="2">
        <v>0</v>
      </c>
      <c r="X816">
        <v>-1</v>
      </c>
      <c r="Y816" t="s">
        <v>60</v>
      </c>
      <c r="Z816" t="s">
        <v>135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-229.17</v>
      </c>
      <c r="AN816" s="2">
        <v>-229.17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46062</v>
      </c>
      <c r="B817" t="s">
        <v>48</v>
      </c>
      <c r="C817">
        <v>649163</v>
      </c>
      <c r="D817">
        <v>2029844785</v>
      </c>
      <c r="E817" t="s">
        <v>211</v>
      </c>
      <c r="F817" t="s">
        <v>294</v>
      </c>
      <c r="G817" t="s">
        <v>51</v>
      </c>
      <c r="H817" t="s">
        <v>66</v>
      </c>
      <c r="I817" t="s">
        <v>378</v>
      </c>
      <c r="J817" t="s">
        <v>381</v>
      </c>
      <c r="K817">
        <v>768887</v>
      </c>
      <c r="L817" t="s">
        <v>295</v>
      </c>
      <c r="M817" t="s">
        <v>296</v>
      </c>
      <c r="N817" t="s">
        <v>144</v>
      </c>
      <c r="O817" s="1">
        <v>45849</v>
      </c>
      <c r="P817" s="1">
        <v>46062</v>
      </c>
      <c r="Q817" s="1">
        <v>46064</v>
      </c>
      <c r="R817" s="2">
        <v>-9.3800000000000008</v>
      </c>
      <c r="S817">
        <v>1</v>
      </c>
      <c r="T817" t="s">
        <v>58</v>
      </c>
      <c r="U817" t="s">
        <v>156</v>
      </c>
      <c r="V817" s="3">
        <v>0.38</v>
      </c>
      <c r="W817" s="2">
        <v>0</v>
      </c>
      <c r="X817">
        <v>-1</v>
      </c>
      <c r="Y817" t="s">
        <v>60</v>
      </c>
      <c r="Z817" t="s">
        <v>135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-3.56</v>
      </c>
      <c r="AN817" s="2">
        <v>-3.56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46062</v>
      </c>
      <c r="B818" t="s">
        <v>48</v>
      </c>
      <c r="C818">
        <v>649163</v>
      </c>
      <c r="D818">
        <v>2029955374</v>
      </c>
      <c r="E818" t="s">
        <v>759</v>
      </c>
      <c r="F818" t="s">
        <v>622</v>
      </c>
      <c r="G818" t="s">
        <v>51</v>
      </c>
      <c r="H818" t="s">
        <v>274</v>
      </c>
      <c r="I818" t="s">
        <v>378</v>
      </c>
      <c r="J818" t="s">
        <v>379</v>
      </c>
      <c r="K818">
        <v>824082</v>
      </c>
      <c r="L818" t="s">
        <v>563</v>
      </c>
      <c r="M818" t="s">
        <v>564</v>
      </c>
      <c r="N818" t="s">
        <v>144</v>
      </c>
      <c r="O818" s="1">
        <v>45853</v>
      </c>
      <c r="P818" s="1">
        <v>46062</v>
      </c>
      <c r="Q818" s="1">
        <v>46068</v>
      </c>
      <c r="R818" s="2">
        <v>-42.98</v>
      </c>
      <c r="S818">
        <v>1</v>
      </c>
      <c r="T818" t="s">
        <v>58</v>
      </c>
      <c r="U818" t="s">
        <v>156</v>
      </c>
      <c r="V818" s="3">
        <v>0.38</v>
      </c>
      <c r="W818" s="2">
        <v>0</v>
      </c>
      <c r="X818">
        <v>-1</v>
      </c>
      <c r="Y818" t="s">
        <v>60</v>
      </c>
      <c r="Z818" t="s">
        <v>135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-16.329999999999998</v>
      </c>
      <c r="AN818" s="2">
        <v>-16.329999999999998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46062</v>
      </c>
      <c r="B819" t="s">
        <v>48</v>
      </c>
      <c r="C819">
        <v>649163</v>
      </c>
      <c r="D819">
        <v>2030380471</v>
      </c>
      <c r="E819" t="s">
        <v>431</v>
      </c>
      <c r="F819" t="s">
        <v>432</v>
      </c>
      <c r="G819" t="s">
        <v>51</v>
      </c>
      <c r="H819" t="s">
        <v>52</v>
      </c>
      <c r="I819" t="s">
        <v>378</v>
      </c>
      <c r="J819" t="s">
        <v>379</v>
      </c>
      <c r="K819">
        <v>650218</v>
      </c>
      <c r="L819" t="s">
        <v>246</v>
      </c>
      <c r="M819" t="s">
        <v>195</v>
      </c>
      <c r="N819" t="s">
        <v>57</v>
      </c>
      <c r="O819" s="1">
        <v>45877</v>
      </c>
      <c r="Q819" s="1">
        <v>46089</v>
      </c>
      <c r="R819" s="2">
        <v>47.17</v>
      </c>
      <c r="S819">
        <v>1</v>
      </c>
      <c r="T819" t="s">
        <v>58</v>
      </c>
      <c r="U819" t="s">
        <v>156</v>
      </c>
      <c r="V819" s="3">
        <v>0.38</v>
      </c>
      <c r="W819" s="2">
        <v>0</v>
      </c>
      <c r="X819">
        <v>0</v>
      </c>
      <c r="Y819" t="s">
        <v>60</v>
      </c>
      <c r="Z819" t="s">
        <v>135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0.03</v>
      </c>
      <c r="AM819" s="2">
        <v>17.89</v>
      </c>
      <c r="AN819" s="2">
        <v>17.89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46062</v>
      </c>
      <c r="B820" t="s">
        <v>48</v>
      </c>
      <c r="C820">
        <v>649163</v>
      </c>
      <c r="D820">
        <v>2030395014</v>
      </c>
      <c r="E820" t="s">
        <v>1115</v>
      </c>
      <c r="F820" t="s">
        <v>1116</v>
      </c>
      <c r="G820" t="s">
        <v>51</v>
      </c>
      <c r="H820" t="s">
        <v>274</v>
      </c>
      <c r="I820" t="s">
        <v>378</v>
      </c>
      <c r="J820" t="s">
        <v>379</v>
      </c>
      <c r="K820">
        <v>796984</v>
      </c>
      <c r="L820" t="s">
        <v>491</v>
      </c>
      <c r="M820" t="s">
        <v>492</v>
      </c>
      <c r="N820" t="s">
        <v>57</v>
      </c>
      <c r="O820" s="1">
        <v>45878</v>
      </c>
      <c r="Q820" s="1">
        <v>46090</v>
      </c>
      <c r="R820" s="2">
        <v>23.69</v>
      </c>
      <c r="S820">
        <v>1</v>
      </c>
      <c r="T820" t="s">
        <v>58</v>
      </c>
      <c r="U820" t="s">
        <v>156</v>
      </c>
      <c r="V820" s="3">
        <v>0.38</v>
      </c>
      <c r="W820" s="2">
        <v>0</v>
      </c>
      <c r="X820">
        <v>0</v>
      </c>
      <c r="Y820" t="s">
        <v>60</v>
      </c>
      <c r="Z820" t="s">
        <v>135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0.01</v>
      </c>
      <c r="AM820" s="2">
        <v>8.99</v>
      </c>
      <c r="AN820" s="2">
        <v>8.99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46062</v>
      </c>
      <c r="B821" t="s">
        <v>48</v>
      </c>
      <c r="C821">
        <v>649163</v>
      </c>
      <c r="D821">
        <v>2030399994</v>
      </c>
      <c r="E821" t="s">
        <v>568</v>
      </c>
      <c r="F821" t="s">
        <v>184</v>
      </c>
      <c r="G821" t="s">
        <v>51</v>
      </c>
      <c r="H821" t="s">
        <v>66</v>
      </c>
      <c r="I821" t="s">
        <v>378</v>
      </c>
      <c r="J821" t="s">
        <v>380</v>
      </c>
      <c r="K821">
        <v>824062</v>
      </c>
      <c r="L821" t="s">
        <v>569</v>
      </c>
      <c r="M821" t="s">
        <v>570</v>
      </c>
      <c r="N821" t="s">
        <v>57</v>
      </c>
      <c r="O821" s="1">
        <v>45878</v>
      </c>
      <c r="Q821" s="1">
        <v>46090</v>
      </c>
      <c r="R821" s="2">
        <v>758.34</v>
      </c>
      <c r="S821">
        <v>1</v>
      </c>
      <c r="T821" t="s">
        <v>58</v>
      </c>
      <c r="U821" t="s">
        <v>156</v>
      </c>
      <c r="V821" s="3">
        <v>0.38</v>
      </c>
      <c r="W821" s="2">
        <v>0</v>
      </c>
      <c r="X821">
        <v>0</v>
      </c>
      <c r="Y821" t="s">
        <v>60</v>
      </c>
      <c r="Z821" t="s">
        <v>135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288.17</v>
      </c>
      <c r="AN821" s="2">
        <v>288.17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46062</v>
      </c>
      <c r="B822" t="s">
        <v>48</v>
      </c>
      <c r="C822">
        <v>649163</v>
      </c>
      <c r="D822">
        <v>2030399997</v>
      </c>
      <c r="E822" t="s">
        <v>568</v>
      </c>
      <c r="F822" t="s">
        <v>184</v>
      </c>
      <c r="G822" t="s">
        <v>51</v>
      </c>
      <c r="H822" t="s">
        <v>66</v>
      </c>
      <c r="I822" t="s">
        <v>378</v>
      </c>
      <c r="J822" t="s">
        <v>381</v>
      </c>
      <c r="K822">
        <v>824062</v>
      </c>
      <c r="L822" t="s">
        <v>569</v>
      </c>
      <c r="M822" t="s">
        <v>570</v>
      </c>
      <c r="N822" t="s">
        <v>57</v>
      </c>
      <c r="O822" s="1">
        <v>45878</v>
      </c>
      <c r="Q822" s="1">
        <v>46090</v>
      </c>
      <c r="R822" s="2">
        <v>7.09</v>
      </c>
      <c r="S822">
        <v>1</v>
      </c>
      <c r="T822" t="s">
        <v>58</v>
      </c>
      <c r="U822" t="s">
        <v>156</v>
      </c>
      <c r="V822" s="3">
        <v>0.38</v>
      </c>
      <c r="W822" s="2">
        <v>0</v>
      </c>
      <c r="X822">
        <v>0</v>
      </c>
      <c r="Y822" t="s">
        <v>60</v>
      </c>
      <c r="Z822" t="s">
        <v>135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0.03</v>
      </c>
      <c r="AM822" s="2">
        <v>2.66</v>
      </c>
      <c r="AN822" s="2">
        <v>2.66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46062</v>
      </c>
      <c r="B823" t="s">
        <v>48</v>
      </c>
      <c r="C823">
        <v>649163</v>
      </c>
      <c r="D823">
        <v>2030455579</v>
      </c>
      <c r="E823" t="s">
        <v>775</v>
      </c>
      <c r="F823" t="s">
        <v>155</v>
      </c>
      <c r="G823" t="s">
        <v>51</v>
      </c>
      <c r="H823" t="s">
        <v>274</v>
      </c>
      <c r="I823" t="s">
        <v>378</v>
      </c>
      <c r="J823" t="s">
        <v>379</v>
      </c>
      <c r="K823">
        <v>816021</v>
      </c>
      <c r="L823" t="s">
        <v>275</v>
      </c>
      <c r="M823" t="s">
        <v>276</v>
      </c>
      <c r="N823" t="s">
        <v>57</v>
      </c>
      <c r="O823" s="1">
        <v>45882</v>
      </c>
      <c r="Q823" s="1">
        <v>46094</v>
      </c>
      <c r="R823" s="2">
        <v>60.5</v>
      </c>
      <c r="S823">
        <v>1</v>
      </c>
      <c r="T823" t="s">
        <v>58</v>
      </c>
      <c r="U823" t="s">
        <v>156</v>
      </c>
      <c r="V823" s="3">
        <v>0.38</v>
      </c>
      <c r="W823" s="2">
        <v>0</v>
      </c>
      <c r="X823">
        <v>0</v>
      </c>
      <c r="Y823" t="s">
        <v>60</v>
      </c>
      <c r="Z823" t="s">
        <v>135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22.99</v>
      </c>
      <c r="AN823" s="2">
        <v>22.99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46062</v>
      </c>
      <c r="B824" t="s">
        <v>48</v>
      </c>
      <c r="C824">
        <v>649163</v>
      </c>
      <c r="D824">
        <v>2030945122</v>
      </c>
      <c r="E824" t="s">
        <v>580</v>
      </c>
      <c r="F824" t="s">
        <v>581</v>
      </c>
      <c r="G824" t="s">
        <v>51</v>
      </c>
      <c r="H824" t="s">
        <v>66</v>
      </c>
      <c r="I824" t="s">
        <v>378</v>
      </c>
      <c r="J824" t="s">
        <v>379</v>
      </c>
      <c r="K824">
        <v>820873</v>
      </c>
      <c r="L824" t="s">
        <v>319</v>
      </c>
      <c r="M824" t="s">
        <v>320</v>
      </c>
      <c r="N824" t="s">
        <v>57</v>
      </c>
      <c r="O824" s="1">
        <v>45909</v>
      </c>
      <c r="Q824" s="1">
        <v>46090</v>
      </c>
      <c r="R824" s="2">
        <v>19.48</v>
      </c>
      <c r="S824">
        <v>1</v>
      </c>
      <c r="T824" t="s">
        <v>58</v>
      </c>
      <c r="U824" t="s">
        <v>59</v>
      </c>
      <c r="V824" s="3">
        <v>0.38</v>
      </c>
      <c r="W824" s="2">
        <v>0</v>
      </c>
      <c r="X824">
        <v>0</v>
      </c>
      <c r="Y824" t="s">
        <v>60</v>
      </c>
      <c r="Z824" t="s">
        <v>135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7.4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46062</v>
      </c>
      <c r="B825" t="s">
        <v>48</v>
      </c>
      <c r="C825">
        <v>649163</v>
      </c>
      <c r="D825">
        <v>2031523388</v>
      </c>
      <c r="E825" t="s">
        <v>1059</v>
      </c>
      <c r="F825" t="s">
        <v>302</v>
      </c>
      <c r="G825" t="s">
        <v>51</v>
      </c>
      <c r="H825" t="s">
        <v>274</v>
      </c>
      <c r="I825" t="s">
        <v>378</v>
      </c>
      <c r="J825" t="s">
        <v>380</v>
      </c>
      <c r="K825">
        <v>816021</v>
      </c>
      <c r="L825" t="s">
        <v>275</v>
      </c>
      <c r="M825" t="s">
        <v>276</v>
      </c>
      <c r="N825" t="s">
        <v>57</v>
      </c>
      <c r="O825" s="1">
        <v>45939</v>
      </c>
      <c r="Q825" s="1">
        <v>46090</v>
      </c>
      <c r="R825" s="2">
        <v>432.86</v>
      </c>
      <c r="S825">
        <v>1</v>
      </c>
      <c r="T825" t="s">
        <v>58</v>
      </c>
      <c r="U825" t="s">
        <v>59</v>
      </c>
      <c r="V825" s="3">
        <v>0.38</v>
      </c>
      <c r="W825" s="2">
        <v>0</v>
      </c>
      <c r="X825">
        <v>0</v>
      </c>
      <c r="Y825" t="s">
        <v>60</v>
      </c>
      <c r="Z825" t="s">
        <v>135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164.49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46062</v>
      </c>
      <c r="B826" t="s">
        <v>48</v>
      </c>
      <c r="C826">
        <v>649163</v>
      </c>
      <c r="D826">
        <v>2032465279</v>
      </c>
      <c r="E826" t="s">
        <v>589</v>
      </c>
      <c r="F826" t="s">
        <v>590</v>
      </c>
      <c r="G826" t="s">
        <v>51</v>
      </c>
      <c r="H826" t="s">
        <v>237</v>
      </c>
      <c r="I826" t="s">
        <v>378</v>
      </c>
      <c r="J826" t="s">
        <v>379</v>
      </c>
      <c r="K826">
        <v>751867</v>
      </c>
      <c r="L826" t="s">
        <v>239</v>
      </c>
      <c r="M826" t="s">
        <v>240</v>
      </c>
      <c r="N826" t="s">
        <v>57</v>
      </c>
      <c r="O826" s="1">
        <v>46023</v>
      </c>
      <c r="Q826" s="1">
        <v>46082</v>
      </c>
      <c r="R826" s="2">
        <v>31.64</v>
      </c>
      <c r="S826">
        <v>1</v>
      </c>
      <c r="T826" t="s">
        <v>58</v>
      </c>
      <c r="U826" t="s">
        <v>59</v>
      </c>
      <c r="V826" s="3">
        <v>0.38</v>
      </c>
      <c r="W826" s="2">
        <v>0</v>
      </c>
      <c r="X826">
        <v>0</v>
      </c>
      <c r="Y826" t="s">
        <v>60</v>
      </c>
      <c r="Z826" t="s">
        <v>135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12.02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46062</v>
      </c>
      <c r="B827" t="s">
        <v>48</v>
      </c>
      <c r="C827">
        <v>649163</v>
      </c>
      <c r="D827">
        <v>2032528434</v>
      </c>
      <c r="E827" t="s">
        <v>835</v>
      </c>
      <c r="F827" t="s">
        <v>1097</v>
      </c>
      <c r="G827" t="s">
        <v>51</v>
      </c>
      <c r="H827" t="s">
        <v>52</v>
      </c>
      <c r="I827" t="s">
        <v>378</v>
      </c>
      <c r="J827" t="s">
        <v>379</v>
      </c>
      <c r="K827">
        <v>751867</v>
      </c>
      <c r="L827" t="s">
        <v>239</v>
      </c>
      <c r="M827" t="s">
        <v>240</v>
      </c>
      <c r="N827" t="s">
        <v>57</v>
      </c>
      <c r="O827" s="1">
        <v>46023</v>
      </c>
      <c r="Q827" s="1">
        <v>46082</v>
      </c>
      <c r="R827" s="2">
        <v>19.309999999999999</v>
      </c>
      <c r="S827">
        <v>1</v>
      </c>
      <c r="T827" t="s">
        <v>58</v>
      </c>
      <c r="U827" t="s">
        <v>59</v>
      </c>
      <c r="V827" s="3">
        <v>0.38</v>
      </c>
      <c r="W827" s="2">
        <v>0</v>
      </c>
      <c r="X827">
        <v>0</v>
      </c>
      <c r="Y827" t="s">
        <v>60</v>
      </c>
      <c r="Z827" t="s">
        <v>135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7.34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46062</v>
      </c>
      <c r="B828" t="s">
        <v>48</v>
      </c>
      <c r="C828">
        <v>649163</v>
      </c>
      <c r="D828">
        <v>2032554456</v>
      </c>
      <c r="E828" t="s">
        <v>591</v>
      </c>
      <c r="F828" t="s">
        <v>592</v>
      </c>
      <c r="G828" t="s">
        <v>51</v>
      </c>
      <c r="H828" t="s">
        <v>66</v>
      </c>
      <c r="I828" t="s">
        <v>378</v>
      </c>
      <c r="J828" t="s">
        <v>380</v>
      </c>
      <c r="K828">
        <v>824076</v>
      </c>
      <c r="L828" t="s">
        <v>340</v>
      </c>
      <c r="M828" t="s">
        <v>341</v>
      </c>
      <c r="N828" t="s">
        <v>57</v>
      </c>
      <c r="O828" s="1">
        <v>45998</v>
      </c>
      <c r="Q828" s="1">
        <v>46088</v>
      </c>
      <c r="R828" s="2">
        <v>152.06</v>
      </c>
      <c r="S828">
        <v>1</v>
      </c>
      <c r="T828" t="s">
        <v>58</v>
      </c>
      <c r="U828" t="s">
        <v>59</v>
      </c>
      <c r="V828" s="3">
        <v>0.38</v>
      </c>
      <c r="W828" s="2">
        <v>0</v>
      </c>
      <c r="X828">
        <v>0</v>
      </c>
      <c r="Y828" t="s">
        <v>60</v>
      </c>
      <c r="Z828" t="s">
        <v>135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57.78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46062</v>
      </c>
      <c r="B829" t="s">
        <v>48</v>
      </c>
      <c r="C829">
        <v>649163</v>
      </c>
      <c r="D829">
        <v>2032554457</v>
      </c>
      <c r="E829" t="s">
        <v>591</v>
      </c>
      <c r="F829" t="s">
        <v>592</v>
      </c>
      <c r="G829" t="s">
        <v>51</v>
      </c>
      <c r="H829" t="s">
        <v>66</v>
      </c>
      <c r="I829" t="s">
        <v>378</v>
      </c>
      <c r="J829" t="s">
        <v>381</v>
      </c>
      <c r="K829">
        <v>824076</v>
      </c>
      <c r="L829" t="s">
        <v>340</v>
      </c>
      <c r="M829" t="s">
        <v>341</v>
      </c>
      <c r="N829" t="s">
        <v>57</v>
      </c>
      <c r="O829" s="1">
        <v>45998</v>
      </c>
      <c r="Q829" s="1">
        <v>46088</v>
      </c>
      <c r="R829" s="2">
        <v>7.09</v>
      </c>
      <c r="S829">
        <v>1</v>
      </c>
      <c r="T829" t="s">
        <v>58</v>
      </c>
      <c r="U829" t="s">
        <v>59</v>
      </c>
      <c r="V829" s="3">
        <v>0.38</v>
      </c>
      <c r="W829" s="2">
        <v>0</v>
      </c>
      <c r="X829">
        <v>0</v>
      </c>
      <c r="Y829" t="s">
        <v>60</v>
      </c>
      <c r="Z829" t="s">
        <v>135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2.69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46062</v>
      </c>
      <c r="B830" t="s">
        <v>48</v>
      </c>
      <c r="C830">
        <v>649163</v>
      </c>
      <c r="D830">
        <v>2032570314</v>
      </c>
      <c r="E830" t="s">
        <v>596</v>
      </c>
      <c r="F830" t="s">
        <v>176</v>
      </c>
      <c r="G830" t="s">
        <v>51</v>
      </c>
      <c r="H830" t="s">
        <v>66</v>
      </c>
      <c r="I830" t="s">
        <v>378</v>
      </c>
      <c r="J830" t="s">
        <v>380</v>
      </c>
      <c r="K830">
        <v>673059</v>
      </c>
      <c r="L830" t="s">
        <v>162</v>
      </c>
      <c r="M830" t="s">
        <v>180</v>
      </c>
      <c r="N830" t="s">
        <v>57</v>
      </c>
      <c r="O830" s="1">
        <v>46000</v>
      </c>
      <c r="Q830" s="1">
        <v>46090</v>
      </c>
      <c r="R830" s="2">
        <v>293.52999999999997</v>
      </c>
      <c r="S830">
        <v>1</v>
      </c>
      <c r="T830" t="s">
        <v>58</v>
      </c>
      <c r="U830" t="s">
        <v>59</v>
      </c>
      <c r="V830" s="3">
        <v>0.38</v>
      </c>
      <c r="W830" s="2">
        <v>0</v>
      </c>
      <c r="X830">
        <v>0</v>
      </c>
      <c r="Y830" t="s">
        <v>60</v>
      </c>
      <c r="Z830" t="s">
        <v>135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111.54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46062</v>
      </c>
      <c r="B831" t="s">
        <v>48</v>
      </c>
      <c r="C831">
        <v>649163</v>
      </c>
      <c r="D831">
        <v>2032570315</v>
      </c>
      <c r="E831" t="s">
        <v>596</v>
      </c>
      <c r="F831" t="s">
        <v>176</v>
      </c>
      <c r="G831" t="s">
        <v>51</v>
      </c>
      <c r="H831" t="s">
        <v>66</v>
      </c>
      <c r="I831" t="s">
        <v>378</v>
      </c>
      <c r="J831" t="s">
        <v>381</v>
      </c>
      <c r="K831">
        <v>673059</v>
      </c>
      <c r="L831" t="s">
        <v>162</v>
      </c>
      <c r="M831" t="s">
        <v>180</v>
      </c>
      <c r="N831" t="s">
        <v>57</v>
      </c>
      <c r="O831" s="1">
        <v>46000</v>
      </c>
      <c r="Q831" s="1">
        <v>46090</v>
      </c>
      <c r="R831" s="2">
        <v>7.09</v>
      </c>
      <c r="S831">
        <v>1</v>
      </c>
      <c r="T831" t="s">
        <v>58</v>
      </c>
      <c r="U831" t="s">
        <v>59</v>
      </c>
      <c r="V831" s="3">
        <v>0.38</v>
      </c>
      <c r="W831" s="2">
        <v>0</v>
      </c>
      <c r="X831">
        <v>0</v>
      </c>
      <c r="Y831" t="s">
        <v>60</v>
      </c>
      <c r="Z831" t="s">
        <v>135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2.69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46062</v>
      </c>
      <c r="B832" t="s">
        <v>48</v>
      </c>
      <c r="C832">
        <v>649163</v>
      </c>
      <c r="D832">
        <v>2032576730</v>
      </c>
      <c r="E832" t="s">
        <v>1117</v>
      </c>
      <c r="F832" t="s">
        <v>1118</v>
      </c>
      <c r="G832" t="s">
        <v>51</v>
      </c>
      <c r="H832" t="s">
        <v>52</v>
      </c>
      <c r="I832" t="s">
        <v>378</v>
      </c>
      <c r="J832" t="s">
        <v>379</v>
      </c>
      <c r="K832">
        <v>650218</v>
      </c>
      <c r="L832" t="s">
        <v>246</v>
      </c>
      <c r="M832" t="s">
        <v>195</v>
      </c>
      <c r="N832" t="s">
        <v>57</v>
      </c>
      <c r="O832" s="1">
        <v>46000</v>
      </c>
      <c r="Q832" s="1">
        <v>46090</v>
      </c>
      <c r="R832" s="2">
        <v>73.81</v>
      </c>
      <c r="S832">
        <v>1</v>
      </c>
      <c r="T832" t="s">
        <v>58</v>
      </c>
      <c r="U832" t="s">
        <v>59</v>
      </c>
      <c r="V832" s="3">
        <v>0.38</v>
      </c>
      <c r="W832" s="2">
        <v>0</v>
      </c>
      <c r="X832">
        <v>0</v>
      </c>
      <c r="Y832" t="s">
        <v>60</v>
      </c>
      <c r="Z832" t="s">
        <v>135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28.05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46062</v>
      </c>
      <c r="B833" t="s">
        <v>48</v>
      </c>
      <c r="C833">
        <v>649163</v>
      </c>
      <c r="D833">
        <v>2032587807</v>
      </c>
      <c r="E833" t="s">
        <v>867</v>
      </c>
      <c r="F833" t="s">
        <v>537</v>
      </c>
      <c r="G833" t="s">
        <v>51</v>
      </c>
      <c r="H833" t="s">
        <v>52</v>
      </c>
      <c r="I833" t="s">
        <v>378</v>
      </c>
      <c r="J833" t="s">
        <v>379</v>
      </c>
      <c r="K833">
        <v>751867</v>
      </c>
      <c r="L833" t="s">
        <v>239</v>
      </c>
      <c r="M833" t="s">
        <v>240</v>
      </c>
      <c r="N833" t="s">
        <v>57</v>
      </c>
      <c r="O833" s="1">
        <v>46001</v>
      </c>
      <c r="Q833" s="1">
        <v>46091</v>
      </c>
      <c r="R833" s="2">
        <v>55.16</v>
      </c>
      <c r="S833">
        <v>1</v>
      </c>
      <c r="T833" t="s">
        <v>58</v>
      </c>
      <c r="U833" t="s">
        <v>59</v>
      </c>
      <c r="V833" s="3">
        <v>0.38</v>
      </c>
      <c r="W833" s="2">
        <v>0</v>
      </c>
      <c r="X833">
        <v>0</v>
      </c>
      <c r="Y833" t="s">
        <v>60</v>
      </c>
      <c r="Z833" t="s">
        <v>135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20.96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46062</v>
      </c>
      <c r="B834" t="s">
        <v>48</v>
      </c>
      <c r="C834">
        <v>649163</v>
      </c>
      <c r="D834">
        <v>2032604913</v>
      </c>
      <c r="E834" t="s">
        <v>597</v>
      </c>
      <c r="F834" t="s">
        <v>598</v>
      </c>
      <c r="G834" t="s">
        <v>51</v>
      </c>
      <c r="H834" t="s">
        <v>193</v>
      </c>
      <c r="I834" t="s">
        <v>378</v>
      </c>
      <c r="J834" t="s">
        <v>379</v>
      </c>
      <c r="K834">
        <v>893408</v>
      </c>
      <c r="L834" t="s">
        <v>599</v>
      </c>
      <c r="M834" t="s">
        <v>600</v>
      </c>
      <c r="N834" t="s">
        <v>57</v>
      </c>
      <c r="O834" s="1">
        <v>46002</v>
      </c>
      <c r="Q834" s="1">
        <v>46092</v>
      </c>
      <c r="R834" s="2">
        <v>47.51</v>
      </c>
      <c r="S834">
        <v>1</v>
      </c>
      <c r="T834" t="s">
        <v>58</v>
      </c>
      <c r="U834" t="s">
        <v>59</v>
      </c>
      <c r="V834" s="3">
        <v>0.38</v>
      </c>
      <c r="W834" s="2">
        <v>0</v>
      </c>
      <c r="X834">
        <v>0</v>
      </c>
      <c r="Y834" t="s">
        <v>60</v>
      </c>
      <c r="Z834" t="s">
        <v>135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18.05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46062</v>
      </c>
      <c r="B835" t="s">
        <v>48</v>
      </c>
      <c r="C835">
        <v>649163</v>
      </c>
      <c r="D835">
        <v>2032627615</v>
      </c>
      <c r="E835" t="s">
        <v>890</v>
      </c>
      <c r="F835" t="s">
        <v>891</v>
      </c>
      <c r="G835" t="s">
        <v>51</v>
      </c>
      <c r="H835" t="s">
        <v>274</v>
      </c>
      <c r="I835" t="s">
        <v>378</v>
      </c>
      <c r="J835" t="s">
        <v>379</v>
      </c>
      <c r="K835">
        <v>816021</v>
      </c>
      <c r="L835" t="s">
        <v>275</v>
      </c>
      <c r="M835" t="s">
        <v>276</v>
      </c>
      <c r="N835" t="s">
        <v>57</v>
      </c>
      <c r="O835" s="1">
        <v>46003</v>
      </c>
      <c r="Q835" s="1">
        <v>46093</v>
      </c>
      <c r="R835" s="2">
        <v>32.79</v>
      </c>
      <c r="S835">
        <v>1</v>
      </c>
      <c r="T835" t="s">
        <v>58</v>
      </c>
      <c r="U835" t="s">
        <v>59</v>
      </c>
      <c r="V835" s="3">
        <v>0.38</v>
      </c>
      <c r="W835" s="2">
        <v>0</v>
      </c>
      <c r="X835">
        <v>0</v>
      </c>
      <c r="Y835" t="s">
        <v>60</v>
      </c>
      <c r="Z835" t="s">
        <v>135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12.46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46062</v>
      </c>
      <c r="B836" t="s">
        <v>48</v>
      </c>
      <c r="C836">
        <v>649163</v>
      </c>
      <c r="D836">
        <v>2032634420</v>
      </c>
      <c r="E836" t="s">
        <v>453</v>
      </c>
      <c r="F836" t="s">
        <v>603</v>
      </c>
      <c r="G836" t="s">
        <v>51</v>
      </c>
      <c r="H836" t="s">
        <v>52</v>
      </c>
      <c r="I836" t="s">
        <v>378</v>
      </c>
      <c r="J836" t="s">
        <v>379</v>
      </c>
      <c r="K836">
        <v>650218</v>
      </c>
      <c r="L836" t="s">
        <v>246</v>
      </c>
      <c r="M836" t="s">
        <v>195</v>
      </c>
      <c r="N836" t="s">
        <v>57</v>
      </c>
      <c r="O836" s="1">
        <v>46003</v>
      </c>
      <c r="Q836" s="1">
        <v>46093</v>
      </c>
      <c r="R836" s="2">
        <v>58.29</v>
      </c>
      <c r="S836">
        <v>1</v>
      </c>
      <c r="T836" t="s">
        <v>58</v>
      </c>
      <c r="U836" t="s">
        <v>59</v>
      </c>
      <c r="V836" s="3">
        <v>0.38</v>
      </c>
      <c r="W836" s="2">
        <v>0</v>
      </c>
      <c r="X836">
        <v>0</v>
      </c>
      <c r="Y836" t="s">
        <v>60</v>
      </c>
      <c r="Z836" t="s">
        <v>135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22.15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46062</v>
      </c>
      <c r="B837" t="s">
        <v>48</v>
      </c>
      <c r="C837">
        <v>649163</v>
      </c>
      <c r="D837">
        <v>2032648207</v>
      </c>
      <c r="E837" t="s">
        <v>965</v>
      </c>
      <c r="F837" t="s">
        <v>1100</v>
      </c>
      <c r="G837" t="s">
        <v>51</v>
      </c>
      <c r="H837" t="s">
        <v>52</v>
      </c>
      <c r="I837" t="s">
        <v>378</v>
      </c>
      <c r="J837" t="s">
        <v>379</v>
      </c>
      <c r="K837">
        <v>751867</v>
      </c>
      <c r="L837" t="s">
        <v>239</v>
      </c>
      <c r="M837" t="s">
        <v>240</v>
      </c>
      <c r="N837" t="s">
        <v>57</v>
      </c>
      <c r="O837" s="1">
        <v>46004</v>
      </c>
      <c r="Q837" s="1">
        <v>46094</v>
      </c>
      <c r="R837" s="2">
        <v>77.55</v>
      </c>
      <c r="S837">
        <v>1</v>
      </c>
      <c r="T837" t="s">
        <v>58</v>
      </c>
      <c r="U837" t="s">
        <v>59</v>
      </c>
      <c r="V837" s="3">
        <v>0.38</v>
      </c>
      <c r="W837" s="2">
        <v>0</v>
      </c>
      <c r="X837">
        <v>0</v>
      </c>
      <c r="Y837" t="s">
        <v>60</v>
      </c>
      <c r="Z837" t="s">
        <v>135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29.47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46062</v>
      </c>
      <c r="B838" t="s">
        <v>48</v>
      </c>
      <c r="C838">
        <v>649163</v>
      </c>
      <c r="D838">
        <v>2032671164</v>
      </c>
      <c r="E838" t="s">
        <v>604</v>
      </c>
      <c r="F838" t="s">
        <v>605</v>
      </c>
      <c r="G838" t="s">
        <v>51</v>
      </c>
      <c r="H838" t="s">
        <v>66</v>
      </c>
      <c r="I838" t="s">
        <v>378</v>
      </c>
      <c r="J838" t="s">
        <v>380</v>
      </c>
      <c r="K838">
        <v>856824</v>
      </c>
      <c r="L838" t="s">
        <v>126</v>
      </c>
      <c r="M838" t="s">
        <v>127</v>
      </c>
      <c r="N838" t="s">
        <v>57</v>
      </c>
      <c r="O838" s="1">
        <v>46023</v>
      </c>
      <c r="Q838" s="1">
        <v>46082</v>
      </c>
      <c r="R838" s="2">
        <v>254.39</v>
      </c>
      <c r="S838">
        <v>1</v>
      </c>
      <c r="T838" t="s">
        <v>58</v>
      </c>
      <c r="U838" t="s">
        <v>59</v>
      </c>
      <c r="V838" s="3">
        <v>0.38</v>
      </c>
      <c r="W838" s="2">
        <v>0</v>
      </c>
      <c r="X838">
        <v>0</v>
      </c>
      <c r="Y838" t="s">
        <v>60</v>
      </c>
      <c r="Z838" t="s">
        <v>135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96.67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46062</v>
      </c>
      <c r="B839" t="s">
        <v>48</v>
      </c>
      <c r="C839">
        <v>649163</v>
      </c>
      <c r="D839">
        <v>2032671165</v>
      </c>
      <c r="E839" t="s">
        <v>604</v>
      </c>
      <c r="F839" t="s">
        <v>605</v>
      </c>
      <c r="G839" t="s">
        <v>51</v>
      </c>
      <c r="H839" t="s">
        <v>66</v>
      </c>
      <c r="I839" t="s">
        <v>378</v>
      </c>
      <c r="J839" t="s">
        <v>381</v>
      </c>
      <c r="K839">
        <v>856824</v>
      </c>
      <c r="L839" t="s">
        <v>126</v>
      </c>
      <c r="M839" t="s">
        <v>127</v>
      </c>
      <c r="N839" t="s">
        <v>57</v>
      </c>
      <c r="O839" s="1">
        <v>46023</v>
      </c>
      <c r="Q839" s="1">
        <v>46082</v>
      </c>
      <c r="R839" s="2">
        <v>7.09</v>
      </c>
      <c r="S839">
        <v>1</v>
      </c>
      <c r="T839" t="s">
        <v>58</v>
      </c>
      <c r="U839" t="s">
        <v>59</v>
      </c>
      <c r="V839" s="3">
        <v>0.38</v>
      </c>
      <c r="W839" s="2">
        <v>0</v>
      </c>
      <c r="X839">
        <v>0</v>
      </c>
      <c r="Y839" t="s">
        <v>60</v>
      </c>
      <c r="Z839" t="s">
        <v>135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2.69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46062</v>
      </c>
      <c r="B840" t="s">
        <v>48</v>
      </c>
      <c r="C840">
        <v>649163</v>
      </c>
      <c r="D840">
        <v>2032749836</v>
      </c>
      <c r="E840" t="s">
        <v>607</v>
      </c>
      <c r="F840" t="s">
        <v>608</v>
      </c>
      <c r="G840" t="s">
        <v>51</v>
      </c>
      <c r="H840" t="s">
        <v>170</v>
      </c>
      <c r="I840" t="s">
        <v>378</v>
      </c>
      <c r="J840" t="s">
        <v>379</v>
      </c>
      <c r="K840">
        <v>650218</v>
      </c>
      <c r="L840" t="s">
        <v>246</v>
      </c>
      <c r="M840" t="s">
        <v>195</v>
      </c>
      <c r="N840" t="s">
        <v>57</v>
      </c>
      <c r="O840" s="1">
        <v>46023</v>
      </c>
      <c r="Q840" s="1">
        <v>46082</v>
      </c>
      <c r="R840" s="2">
        <v>20.76</v>
      </c>
      <c r="S840">
        <v>1</v>
      </c>
      <c r="T840" t="s">
        <v>58</v>
      </c>
      <c r="U840" t="s">
        <v>59</v>
      </c>
      <c r="V840" s="3">
        <v>0.38</v>
      </c>
      <c r="W840" s="2">
        <v>0</v>
      </c>
      <c r="X840">
        <v>0</v>
      </c>
      <c r="Y840" t="s">
        <v>60</v>
      </c>
      <c r="Z840" t="s">
        <v>135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7.89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46062</v>
      </c>
      <c r="B841" t="s">
        <v>48</v>
      </c>
      <c r="C841">
        <v>649163</v>
      </c>
      <c r="D841">
        <v>2032809809</v>
      </c>
      <c r="E841" t="s">
        <v>918</v>
      </c>
      <c r="F841" t="s">
        <v>111</v>
      </c>
      <c r="G841" t="s">
        <v>51</v>
      </c>
      <c r="H841" t="s">
        <v>780</v>
      </c>
      <c r="I841" t="s">
        <v>378</v>
      </c>
      <c r="J841" t="s">
        <v>382</v>
      </c>
      <c r="K841">
        <v>651818</v>
      </c>
      <c r="L841" t="s">
        <v>80</v>
      </c>
      <c r="M841" t="s">
        <v>81</v>
      </c>
      <c r="N841" t="s">
        <v>57</v>
      </c>
      <c r="O841" s="1">
        <v>46028</v>
      </c>
      <c r="Q841" s="1">
        <v>46087</v>
      </c>
      <c r="R841" s="2">
        <v>143.18</v>
      </c>
      <c r="S841">
        <v>1</v>
      </c>
      <c r="T841" t="s">
        <v>58</v>
      </c>
      <c r="U841" t="s">
        <v>59</v>
      </c>
      <c r="V841" s="3">
        <v>0.19</v>
      </c>
      <c r="W841" s="2">
        <v>0</v>
      </c>
      <c r="X841">
        <v>0</v>
      </c>
      <c r="Y841" t="s">
        <v>60</v>
      </c>
      <c r="Z841" t="s">
        <v>135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27.2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46062</v>
      </c>
      <c r="B842" t="s">
        <v>48</v>
      </c>
      <c r="C842">
        <v>649163</v>
      </c>
      <c r="D842">
        <v>2033018888</v>
      </c>
      <c r="E842" t="s">
        <v>1119</v>
      </c>
      <c r="F842" t="s">
        <v>190</v>
      </c>
      <c r="G842" t="s">
        <v>51</v>
      </c>
      <c r="H842" t="s">
        <v>52</v>
      </c>
      <c r="I842" t="s">
        <v>378</v>
      </c>
      <c r="J842" t="s">
        <v>380</v>
      </c>
      <c r="K842">
        <v>757850</v>
      </c>
      <c r="L842" t="s">
        <v>1120</v>
      </c>
      <c r="M842" t="s">
        <v>466</v>
      </c>
      <c r="N842" t="s">
        <v>57</v>
      </c>
      <c r="O842" s="1">
        <v>46029</v>
      </c>
      <c r="Q842" s="1">
        <v>46088</v>
      </c>
      <c r="R842" s="2">
        <v>475.62</v>
      </c>
      <c r="S842">
        <v>1</v>
      </c>
      <c r="T842" t="s">
        <v>58</v>
      </c>
      <c r="U842" t="s">
        <v>59</v>
      </c>
      <c r="V842" s="3">
        <v>0.08</v>
      </c>
      <c r="W842" s="2">
        <v>0</v>
      </c>
      <c r="X842">
        <v>0</v>
      </c>
      <c r="Y842" t="s">
        <v>60</v>
      </c>
      <c r="Z842" t="s">
        <v>135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38.049999999999997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46062</v>
      </c>
      <c r="B843" t="s">
        <v>48</v>
      </c>
      <c r="C843">
        <v>649163</v>
      </c>
      <c r="D843">
        <v>2033018889</v>
      </c>
      <c r="E843" t="s">
        <v>1119</v>
      </c>
      <c r="F843" t="s">
        <v>190</v>
      </c>
      <c r="G843" t="s">
        <v>51</v>
      </c>
      <c r="H843" t="s">
        <v>52</v>
      </c>
      <c r="I843" t="s">
        <v>378</v>
      </c>
      <c r="J843" t="s">
        <v>381</v>
      </c>
      <c r="K843">
        <v>757850</v>
      </c>
      <c r="L843" t="s">
        <v>1120</v>
      </c>
      <c r="M843" t="s">
        <v>466</v>
      </c>
      <c r="N843" t="s">
        <v>57</v>
      </c>
      <c r="O843" s="1">
        <v>46029</v>
      </c>
      <c r="Q843" s="1">
        <v>46088</v>
      </c>
      <c r="R843" s="2">
        <v>7.09</v>
      </c>
      <c r="S843">
        <v>1</v>
      </c>
      <c r="T843" t="s">
        <v>58</v>
      </c>
      <c r="U843" t="s">
        <v>59</v>
      </c>
      <c r="V843" s="3">
        <v>0.08</v>
      </c>
      <c r="W843" s="2">
        <v>0</v>
      </c>
      <c r="X843">
        <v>0</v>
      </c>
      <c r="Y843" t="s">
        <v>60</v>
      </c>
      <c r="Z843" t="s">
        <v>135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0.56999999999999995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46062</v>
      </c>
      <c r="B844" t="s">
        <v>48</v>
      </c>
      <c r="C844">
        <v>649163</v>
      </c>
      <c r="D844">
        <v>2033029172</v>
      </c>
      <c r="E844" t="s">
        <v>618</v>
      </c>
      <c r="F844" t="s">
        <v>619</v>
      </c>
      <c r="G844" t="s">
        <v>51</v>
      </c>
      <c r="H844" t="s">
        <v>66</v>
      </c>
      <c r="I844" t="s">
        <v>378</v>
      </c>
      <c r="J844" t="s">
        <v>380</v>
      </c>
      <c r="K844">
        <v>824062</v>
      </c>
      <c r="L844" t="s">
        <v>569</v>
      </c>
      <c r="M844" t="s">
        <v>570</v>
      </c>
      <c r="N844" t="s">
        <v>57</v>
      </c>
      <c r="O844" s="1">
        <v>46030</v>
      </c>
      <c r="Q844" s="1">
        <v>46089</v>
      </c>
      <c r="R844" s="2">
        <v>118.19</v>
      </c>
      <c r="S844">
        <v>1</v>
      </c>
      <c r="T844" t="s">
        <v>58</v>
      </c>
      <c r="U844" t="s">
        <v>59</v>
      </c>
      <c r="V844" s="3">
        <v>0.38</v>
      </c>
      <c r="W844" s="2">
        <v>0</v>
      </c>
      <c r="X844">
        <v>0</v>
      </c>
      <c r="Y844" t="s">
        <v>60</v>
      </c>
      <c r="Z844" t="s">
        <v>135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44.91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46062</v>
      </c>
      <c r="B845" t="s">
        <v>48</v>
      </c>
      <c r="C845">
        <v>649163</v>
      </c>
      <c r="D845">
        <v>2033029175</v>
      </c>
      <c r="E845" t="s">
        <v>618</v>
      </c>
      <c r="F845" t="s">
        <v>619</v>
      </c>
      <c r="G845" t="s">
        <v>51</v>
      </c>
      <c r="H845" t="s">
        <v>66</v>
      </c>
      <c r="I845" t="s">
        <v>378</v>
      </c>
      <c r="J845" t="s">
        <v>381</v>
      </c>
      <c r="K845">
        <v>824062</v>
      </c>
      <c r="L845" t="s">
        <v>569</v>
      </c>
      <c r="M845" t="s">
        <v>570</v>
      </c>
      <c r="N845" t="s">
        <v>57</v>
      </c>
      <c r="O845" s="1">
        <v>46030</v>
      </c>
      <c r="Q845" s="1">
        <v>46089</v>
      </c>
      <c r="R845" s="2">
        <v>7.09</v>
      </c>
      <c r="S845">
        <v>1</v>
      </c>
      <c r="T845" t="s">
        <v>58</v>
      </c>
      <c r="U845" t="s">
        <v>59</v>
      </c>
      <c r="V845" s="3">
        <v>0.38</v>
      </c>
      <c r="W845" s="2">
        <v>0</v>
      </c>
      <c r="X845">
        <v>0</v>
      </c>
      <c r="Y845" t="s">
        <v>60</v>
      </c>
      <c r="Z845" t="s">
        <v>135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2.69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46062</v>
      </c>
      <c r="B846" t="s">
        <v>48</v>
      </c>
      <c r="C846">
        <v>649163</v>
      </c>
      <c r="D846">
        <v>2033045477</v>
      </c>
      <c r="E846" t="s">
        <v>448</v>
      </c>
      <c r="F846" t="s">
        <v>370</v>
      </c>
      <c r="G846" t="s">
        <v>51</v>
      </c>
      <c r="H846" t="s">
        <v>52</v>
      </c>
      <c r="I846" t="s">
        <v>378</v>
      </c>
      <c r="J846" t="s">
        <v>379</v>
      </c>
      <c r="K846">
        <v>751867</v>
      </c>
      <c r="L846" t="s">
        <v>239</v>
      </c>
      <c r="M846" t="s">
        <v>240</v>
      </c>
      <c r="N846" t="s">
        <v>57</v>
      </c>
      <c r="O846" s="1">
        <v>46031</v>
      </c>
      <c r="Q846" s="1">
        <v>46090</v>
      </c>
      <c r="R846" s="2">
        <v>19.309999999999999</v>
      </c>
      <c r="S846">
        <v>1</v>
      </c>
      <c r="T846" t="s">
        <v>58</v>
      </c>
      <c r="U846" t="s">
        <v>59</v>
      </c>
      <c r="V846" s="3">
        <v>0.38</v>
      </c>
      <c r="W846" s="2">
        <v>0</v>
      </c>
      <c r="X846">
        <v>0</v>
      </c>
      <c r="Y846" t="s">
        <v>60</v>
      </c>
      <c r="Z846" t="s">
        <v>135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7.34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46062</v>
      </c>
      <c r="B847" t="s">
        <v>48</v>
      </c>
      <c r="C847">
        <v>649163</v>
      </c>
      <c r="D847">
        <v>2033064965</v>
      </c>
      <c r="E847" t="s">
        <v>449</v>
      </c>
      <c r="F847" t="s">
        <v>450</v>
      </c>
      <c r="G847" t="s">
        <v>51</v>
      </c>
      <c r="H847" t="s">
        <v>52</v>
      </c>
      <c r="I847" t="s">
        <v>378</v>
      </c>
      <c r="J847" t="s">
        <v>379</v>
      </c>
      <c r="K847">
        <v>751867</v>
      </c>
      <c r="L847" t="s">
        <v>239</v>
      </c>
      <c r="M847" t="s">
        <v>240</v>
      </c>
      <c r="N847" t="s">
        <v>57</v>
      </c>
      <c r="O847" s="1">
        <v>46034</v>
      </c>
      <c r="Q847" s="1">
        <v>46093</v>
      </c>
      <c r="R847" s="2">
        <v>27.15</v>
      </c>
      <c r="S847">
        <v>1</v>
      </c>
      <c r="T847" t="s">
        <v>58</v>
      </c>
      <c r="U847" t="s">
        <v>59</v>
      </c>
      <c r="V847" s="3">
        <v>0.38</v>
      </c>
      <c r="W847" s="2">
        <v>0</v>
      </c>
      <c r="X847">
        <v>0</v>
      </c>
      <c r="Y847" t="s">
        <v>60</v>
      </c>
      <c r="Z847" t="s">
        <v>135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10.32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46062</v>
      </c>
      <c r="B848" t="s">
        <v>48</v>
      </c>
      <c r="C848">
        <v>649163</v>
      </c>
      <c r="D848">
        <v>2033069545</v>
      </c>
      <c r="E848" t="s">
        <v>451</v>
      </c>
      <c r="F848" t="s">
        <v>452</v>
      </c>
      <c r="G848" t="s">
        <v>51</v>
      </c>
      <c r="H848" t="s">
        <v>237</v>
      </c>
      <c r="I848" t="s">
        <v>378</v>
      </c>
      <c r="J848" t="s">
        <v>379</v>
      </c>
      <c r="K848">
        <v>751867</v>
      </c>
      <c r="L848" t="s">
        <v>239</v>
      </c>
      <c r="M848" t="s">
        <v>240</v>
      </c>
      <c r="N848" t="s">
        <v>57</v>
      </c>
      <c r="O848" s="1">
        <v>46032</v>
      </c>
      <c r="Q848" s="1">
        <v>46091</v>
      </c>
      <c r="R848" s="2">
        <v>11.77</v>
      </c>
      <c r="S848">
        <v>1</v>
      </c>
      <c r="T848" t="s">
        <v>58</v>
      </c>
      <c r="U848" t="s">
        <v>59</v>
      </c>
      <c r="V848" s="3">
        <v>0.38</v>
      </c>
      <c r="W848" s="2">
        <v>0</v>
      </c>
      <c r="X848">
        <v>0</v>
      </c>
      <c r="Y848" t="s">
        <v>60</v>
      </c>
      <c r="Z848" t="s">
        <v>135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4.47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46062</v>
      </c>
      <c r="B849" t="s">
        <v>48</v>
      </c>
      <c r="C849">
        <v>649163</v>
      </c>
      <c r="D849">
        <v>2033078759</v>
      </c>
      <c r="E849" t="s">
        <v>953</v>
      </c>
      <c r="F849" t="s">
        <v>466</v>
      </c>
      <c r="G849" t="s">
        <v>51</v>
      </c>
      <c r="H849" t="s">
        <v>274</v>
      </c>
      <c r="I849" t="s">
        <v>378</v>
      </c>
      <c r="J849" t="s">
        <v>379</v>
      </c>
      <c r="K849">
        <v>816021</v>
      </c>
      <c r="L849" t="s">
        <v>275</v>
      </c>
      <c r="M849" t="s">
        <v>276</v>
      </c>
      <c r="N849" t="s">
        <v>57</v>
      </c>
      <c r="O849" s="1">
        <v>46032</v>
      </c>
      <c r="Q849" s="1">
        <v>46091</v>
      </c>
      <c r="R849" s="2">
        <v>28.4</v>
      </c>
      <c r="S849">
        <v>1</v>
      </c>
      <c r="T849" t="s">
        <v>58</v>
      </c>
      <c r="U849" t="s">
        <v>59</v>
      </c>
      <c r="V849" s="3">
        <v>0.38</v>
      </c>
      <c r="W849" s="2">
        <v>0</v>
      </c>
      <c r="X849">
        <v>0</v>
      </c>
      <c r="Y849" t="s">
        <v>60</v>
      </c>
      <c r="Z849" t="s">
        <v>135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10.79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46062</v>
      </c>
      <c r="B850" t="s">
        <v>48</v>
      </c>
      <c r="C850">
        <v>649163</v>
      </c>
      <c r="D850">
        <v>2033397213</v>
      </c>
      <c r="E850" t="s">
        <v>620</v>
      </c>
      <c r="F850" t="s">
        <v>539</v>
      </c>
      <c r="G850" t="s">
        <v>51</v>
      </c>
      <c r="H850" t="s">
        <v>90</v>
      </c>
      <c r="I850" t="s">
        <v>378</v>
      </c>
      <c r="J850" t="s">
        <v>380</v>
      </c>
      <c r="K850">
        <v>902625</v>
      </c>
      <c r="L850" t="s">
        <v>405</v>
      </c>
      <c r="M850" t="s">
        <v>406</v>
      </c>
      <c r="N850" t="s">
        <v>144</v>
      </c>
      <c r="O850" s="1">
        <v>46052</v>
      </c>
      <c r="P850" s="1">
        <v>46062</v>
      </c>
      <c r="Q850" s="1">
        <v>46081</v>
      </c>
      <c r="R850" s="2">
        <v>-223.91</v>
      </c>
      <c r="S850">
        <v>1</v>
      </c>
      <c r="T850" t="s">
        <v>58</v>
      </c>
      <c r="U850" t="s">
        <v>59</v>
      </c>
      <c r="V850" s="3">
        <v>0.38</v>
      </c>
      <c r="W850" s="2">
        <v>0</v>
      </c>
      <c r="X850">
        <v>-1</v>
      </c>
      <c r="Y850" t="s">
        <v>60</v>
      </c>
      <c r="Z850" t="s">
        <v>135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-85.09</v>
      </c>
      <c r="AN850" s="2">
        <v>-85.09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46062</v>
      </c>
      <c r="B851" t="s">
        <v>48</v>
      </c>
      <c r="C851">
        <v>649163</v>
      </c>
      <c r="D851">
        <v>2033397214</v>
      </c>
      <c r="E851" t="s">
        <v>620</v>
      </c>
      <c r="F851" t="s">
        <v>539</v>
      </c>
      <c r="G851" t="s">
        <v>51</v>
      </c>
      <c r="H851" t="s">
        <v>90</v>
      </c>
      <c r="I851" t="s">
        <v>378</v>
      </c>
      <c r="J851" t="s">
        <v>381</v>
      </c>
      <c r="K851">
        <v>902625</v>
      </c>
      <c r="L851" t="s">
        <v>405</v>
      </c>
      <c r="M851" t="s">
        <v>406</v>
      </c>
      <c r="N851" t="s">
        <v>144</v>
      </c>
      <c r="O851" s="1">
        <v>46052</v>
      </c>
      <c r="P851" s="1">
        <v>46062</v>
      </c>
      <c r="Q851" s="1">
        <v>46081</v>
      </c>
      <c r="R851" s="2">
        <v>-7.09</v>
      </c>
      <c r="S851">
        <v>1</v>
      </c>
      <c r="T851" t="s">
        <v>58</v>
      </c>
      <c r="U851" t="s">
        <v>59</v>
      </c>
      <c r="V851" s="3">
        <v>0.38</v>
      </c>
      <c r="W851" s="2">
        <v>0</v>
      </c>
      <c r="X851">
        <v>-1</v>
      </c>
      <c r="Y851" t="s">
        <v>60</v>
      </c>
      <c r="Z851" t="s">
        <v>135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-2.69</v>
      </c>
      <c r="AN851" s="2">
        <v>-2.69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46062</v>
      </c>
      <c r="B852" t="s">
        <v>48</v>
      </c>
      <c r="C852">
        <v>649163</v>
      </c>
      <c r="D852">
        <v>2026898523</v>
      </c>
      <c r="E852" t="s">
        <v>1121</v>
      </c>
      <c r="F852" t="s">
        <v>1122</v>
      </c>
      <c r="G852" t="s">
        <v>51</v>
      </c>
      <c r="H852" t="s">
        <v>66</v>
      </c>
      <c r="I852" t="s">
        <v>1123</v>
      </c>
      <c r="J852" t="s">
        <v>1124</v>
      </c>
      <c r="K852">
        <v>789909</v>
      </c>
      <c r="L852" t="s">
        <v>1125</v>
      </c>
      <c r="M852" t="s">
        <v>1126</v>
      </c>
      <c r="N852" t="s">
        <v>57</v>
      </c>
      <c r="O852" s="1">
        <v>45691</v>
      </c>
      <c r="Q852" s="1">
        <v>46084</v>
      </c>
      <c r="R852" s="2">
        <v>289.33</v>
      </c>
      <c r="S852">
        <v>1</v>
      </c>
      <c r="T852" t="s">
        <v>58</v>
      </c>
      <c r="U852" t="s">
        <v>156</v>
      </c>
      <c r="V852" s="3">
        <v>0.08</v>
      </c>
      <c r="W852" s="2">
        <v>0</v>
      </c>
      <c r="X852">
        <v>0</v>
      </c>
      <c r="Y852" t="s">
        <v>157</v>
      </c>
      <c r="Z852" t="s">
        <v>135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23.15</v>
      </c>
      <c r="AN852" s="2">
        <v>23.15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46062</v>
      </c>
      <c r="B853" t="s">
        <v>48</v>
      </c>
      <c r="C853">
        <v>649163</v>
      </c>
      <c r="D853">
        <v>2028722200</v>
      </c>
      <c r="E853" t="s">
        <v>531</v>
      </c>
      <c r="F853" t="s">
        <v>1127</v>
      </c>
      <c r="G853" t="s">
        <v>51</v>
      </c>
      <c r="H853" t="s">
        <v>66</v>
      </c>
      <c r="I853" t="s">
        <v>1123</v>
      </c>
      <c r="J853" t="s">
        <v>1128</v>
      </c>
      <c r="K853">
        <v>651818</v>
      </c>
      <c r="L853" t="s">
        <v>80</v>
      </c>
      <c r="M853" t="s">
        <v>81</v>
      </c>
      <c r="N853" t="s">
        <v>57</v>
      </c>
      <c r="O853" s="1">
        <v>45779</v>
      </c>
      <c r="Q853" s="1">
        <v>46083</v>
      </c>
      <c r="R853" s="2">
        <v>93.29</v>
      </c>
      <c r="S853">
        <v>1</v>
      </c>
      <c r="T853" t="s">
        <v>58</v>
      </c>
      <c r="U853" t="s">
        <v>156</v>
      </c>
      <c r="V853" s="3">
        <v>1.3</v>
      </c>
      <c r="W853" s="2">
        <v>0</v>
      </c>
      <c r="X853">
        <v>0</v>
      </c>
      <c r="Y853" t="s">
        <v>60</v>
      </c>
      <c r="Z853" t="s">
        <v>135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121.28</v>
      </c>
      <c r="AN853" s="2">
        <v>121.28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46062</v>
      </c>
      <c r="B854" t="s">
        <v>48</v>
      </c>
      <c r="C854">
        <v>649163</v>
      </c>
      <c r="D854">
        <v>2031959148</v>
      </c>
      <c r="E854" t="s">
        <v>1053</v>
      </c>
      <c r="F854" t="s">
        <v>1129</v>
      </c>
      <c r="G854" t="s">
        <v>51</v>
      </c>
      <c r="H854" t="s">
        <v>66</v>
      </c>
      <c r="I854" t="s">
        <v>1123</v>
      </c>
      <c r="J854" t="s">
        <v>1128</v>
      </c>
      <c r="K854">
        <v>651818</v>
      </c>
      <c r="L854" t="s">
        <v>80</v>
      </c>
      <c r="M854" t="s">
        <v>81</v>
      </c>
      <c r="N854" t="s">
        <v>57</v>
      </c>
      <c r="O854" s="1">
        <v>45966</v>
      </c>
      <c r="Q854" s="1">
        <v>46086</v>
      </c>
      <c r="R854" s="2">
        <v>218.93</v>
      </c>
      <c r="S854">
        <v>1</v>
      </c>
      <c r="T854" t="s">
        <v>58</v>
      </c>
      <c r="U854" t="s">
        <v>59</v>
      </c>
      <c r="V854" s="3">
        <v>1.3</v>
      </c>
      <c r="W854" s="2">
        <v>0</v>
      </c>
      <c r="X854">
        <v>0</v>
      </c>
      <c r="Y854" t="s">
        <v>60</v>
      </c>
      <c r="Z854" t="s">
        <v>135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284.61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46062</v>
      </c>
      <c r="B855" t="s">
        <v>48</v>
      </c>
      <c r="C855">
        <v>649163</v>
      </c>
      <c r="D855">
        <v>2020542149</v>
      </c>
      <c r="E855" t="s">
        <v>1130</v>
      </c>
      <c r="F855" t="s">
        <v>1131</v>
      </c>
      <c r="G855" t="s">
        <v>51</v>
      </c>
      <c r="H855" t="s">
        <v>52</v>
      </c>
      <c r="I855" t="s">
        <v>1132</v>
      </c>
      <c r="J855" t="s">
        <v>1133</v>
      </c>
      <c r="K855">
        <v>649247</v>
      </c>
      <c r="L855" t="s">
        <v>204</v>
      </c>
      <c r="M855" t="s">
        <v>205</v>
      </c>
      <c r="N855" t="s">
        <v>57</v>
      </c>
      <c r="O855" s="1">
        <v>45261</v>
      </c>
      <c r="Q855" s="1">
        <v>46082</v>
      </c>
      <c r="R855" s="2">
        <v>116.79</v>
      </c>
      <c r="S855">
        <v>1</v>
      </c>
      <c r="T855" t="s">
        <v>58</v>
      </c>
      <c r="U855" t="s">
        <v>156</v>
      </c>
      <c r="V855" s="3">
        <v>0.26</v>
      </c>
      <c r="W855" s="2">
        <v>0</v>
      </c>
      <c r="X855">
        <v>0</v>
      </c>
      <c r="Y855" t="s">
        <v>157</v>
      </c>
      <c r="Z855" t="s">
        <v>135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30.37</v>
      </c>
      <c r="AN855" s="2">
        <v>30.37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46062</v>
      </c>
      <c r="B856" t="s">
        <v>48</v>
      </c>
      <c r="C856">
        <v>649163</v>
      </c>
      <c r="D856">
        <v>2020622534</v>
      </c>
      <c r="E856" t="s">
        <v>1134</v>
      </c>
      <c r="F856" t="s">
        <v>1135</v>
      </c>
      <c r="G856" t="s">
        <v>51</v>
      </c>
      <c r="H856" t="s">
        <v>52</v>
      </c>
      <c r="I856" t="s">
        <v>1132</v>
      </c>
      <c r="J856" t="s">
        <v>1133</v>
      </c>
      <c r="K856">
        <v>649247</v>
      </c>
      <c r="L856" t="s">
        <v>204</v>
      </c>
      <c r="M856" t="s">
        <v>205</v>
      </c>
      <c r="N856" t="s">
        <v>57</v>
      </c>
      <c r="O856" s="1">
        <v>45231</v>
      </c>
      <c r="Q856" s="1">
        <v>46082</v>
      </c>
      <c r="R856" s="2">
        <v>125.33</v>
      </c>
      <c r="S856">
        <v>1</v>
      </c>
      <c r="T856" t="s">
        <v>58</v>
      </c>
      <c r="U856" t="s">
        <v>156</v>
      </c>
      <c r="V856" s="3">
        <v>0.26</v>
      </c>
      <c r="W856" s="2">
        <v>0</v>
      </c>
      <c r="X856">
        <v>0</v>
      </c>
      <c r="Y856" t="s">
        <v>157</v>
      </c>
      <c r="Z856" t="s">
        <v>135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32.590000000000003</v>
      </c>
      <c r="AN856" s="2">
        <v>32.590000000000003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46062</v>
      </c>
      <c r="B857" t="s">
        <v>48</v>
      </c>
      <c r="C857">
        <v>649163</v>
      </c>
      <c r="D857">
        <v>2020851074</v>
      </c>
      <c r="E857" t="s">
        <v>1136</v>
      </c>
      <c r="F857" t="s">
        <v>741</v>
      </c>
      <c r="G857" t="s">
        <v>51</v>
      </c>
      <c r="H857" t="s">
        <v>52</v>
      </c>
      <c r="I857" t="s">
        <v>1132</v>
      </c>
      <c r="J857" t="s">
        <v>1133</v>
      </c>
      <c r="K857">
        <v>728134</v>
      </c>
      <c r="L857" t="s">
        <v>215</v>
      </c>
      <c r="M857" t="s">
        <v>216</v>
      </c>
      <c r="N857" t="s">
        <v>57</v>
      </c>
      <c r="O857" s="1">
        <v>45292</v>
      </c>
      <c r="Q857" s="1">
        <v>45717</v>
      </c>
      <c r="R857" s="2">
        <v>-124.29</v>
      </c>
      <c r="S857">
        <v>1</v>
      </c>
      <c r="T857" t="s">
        <v>58</v>
      </c>
      <c r="U857" t="s">
        <v>156</v>
      </c>
      <c r="V857" s="3">
        <v>0.26</v>
      </c>
      <c r="W857" s="2">
        <v>0</v>
      </c>
      <c r="X857">
        <v>-1</v>
      </c>
      <c r="Y857" t="s">
        <v>157</v>
      </c>
      <c r="Z857" t="s">
        <v>135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-32.32</v>
      </c>
      <c r="AN857" s="2">
        <v>-32.32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46062</v>
      </c>
      <c r="B858" t="s">
        <v>48</v>
      </c>
      <c r="C858">
        <v>649163</v>
      </c>
      <c r="D858">
        <v>2020851074</v>
      </c>
      <c r="E858" t="s">
        <v>1136</v>
      </c>
      <c r="F858" t="s">
        <v>741</v>
      </c>
      <c r="G858" t="s">
        <v>51</v>
      </c>
      <c r="H858" t="s">
        <v>52</v>
      </c>
      <c r="I858" t="s">
        <v>1132</v>
      </c>
      <c r="J858" t="s">
        <v>1133</v>
      </c>
      <c r="K858">
        <v>728134</v>
      </c>
      <c r="L858" t="s">
        <v>215</v>
      </c>
      <c r="M858" t="s">
        <v>216</v>
      </c>
      <c r="N858" t="s">
        <v>57</v>
      </c>
      <c r="O858" s="1">
        <v>45292</v>
      </c>
      <c r="Q858" s="1">
        <v>46082</v>
      </c>
      <c r="R858" s="2">
        <v>124.29</v>
      </c>
      <c r="S858">
        <v>1</v>
      </c>
      <c r="T858" t="s">
        <v>58</v>
      </c>
      <c r="U858" t="s">
        <v>156</v>
      </c>
      <c r="V858" s="3">
        <v>0.26</v>
      </c>
      <c r="W858" s="2">
        <v>0</v>
      </c>
      <c r="X858">
        <v>0</v>
      </c>
      <c r="Y858" t="s">
        <v>157</v>
      </c>
      <c r="Z858" t="s">
        <v>135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32.32</v>
      </c>
      <c r="AN858" s="2">
        <v>32.32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46062</v>
      </c>
      <c r="B859" t="s">
        <v>48</v>
      </c>
      <c r="C859">
        <v>649163</v>
      </c>
      <c r="D859">
        <v>2021019279</v>
      </c>
      <c r="E859" t="s">
        <v>1137</v>
      </c>
      <c r="F859" t="s">
        <v>1138</v>
      </c>
      <c r="G859" t="s">
        <v>51</v>
      </c>
      <c r="H859" t="s">
        <v>52</v>
      </c>
      <c r="I859" t="s">
        <v>1132</v>
      </c>
      <c r="J859" t="s">
        <v>1133</v>
      </c>
      <c r="K859">
        <v>728134</v>
      </c>
      <c r="L859" t="s">
        <v>215</v>
      </c>
      <c r="M859" t="s">
        <v>216</v>
      </c>
      <c r="N859" t="s">
        <v>57</v>
      </c>
      <c r="O859" s="1">
        <v>45323</v>
      </c>
      <c r="Q859" s="1">
        <v>45717</v>
      </c>
      <c r="R859" s="2">
        <v>-115.59</v>
      </c>
      <c r="S859">
        <v>1</v>
      </c>
      <c r="T859" t="s">
        <v>58</v>
      </c>
      <c r="U859" t="s">
        <v>156</v>
      </c>
      <c r="V859" s="3">
        <v>0.26</v>
      </c>
      <c r="W859" s="2">
        <v>0</v>
      </c>
      <c r="X859">
        <v>-1</v>
      </c>
      <c r="Y859" t="s">
        <v>157</v>
      </c>
      <c r="Z859" t="s">
        <v>135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-30.05</v>
      </c>
      <c r="AN859" s="2">
        <v>-30.05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46062</v>
      </c>
      <c r="B860" t="s">
        <v>48</v>
      </c>
      <c r="C860">
        <v>649163</v>
      </c>
      <c r="D860">
        <v>2022484796</v>
      </c>
      <c r="E860" t="s">
        <v>1139</v>
      </c>
      <c r="F860" t="s">
        <v>188</v>
      </c>
      <c r="G860" t="s">
        <v>51</v>
      </c>
      <c r="H860" t="s">
        <v>52</v>
      </c>
      <c r="I860" t="s">
        <v>1132</v>
      </c>
      <c r="J860" t="s">
        <v>1133</v>
      </c>
      <c r="K860">
        <v>650218</v>
      </c>
      <c r="L860" t="s">
        <v>246</v>
      </c>
      <c r="M860" t="s">
        <v>195</v>
      </c>
      <c r="N860" t="s">
        <v>57</v>
      </c>
      <c r="O860" s="1">
        <v>45383</v>
      </c>
      <c r="Q860" s="1">
        <v>46082</v>
      </c>
      <c r="R860" s="2">
        <v>131.93</v>
      </c>
      <c r="S860">
        <v>1</v>
      </c>
      <c r="T860" t="s">
        <v>58</v>
      </c>
      <c r="U860" t="s">
        <v>156</v>
      </c>
      <c r="V860" s="3">
        <v>0.26</v>
      </c>
      <c r="W860" s="2">
        <v>0</v>
      </c>
      <c r="X860">
        <v>0</v>
      </c>
      <c r="Y860" t="s">
        <v>157</v>
      </c>
      <c r="Z860" t="s">
        <v>135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34.299999999999997</v>
      </c>
      <c r="AN860" s="2">
        <v>34.299999999999997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46062</v>
      </c>
      <c r="B861" t="s">
        <v>48</v>
      </c>
      <c r="C861">
        <v>649163</v>
      </c>
      <c r="D861">
        <v>2022559237</v>
      </c>
      <c r="E861" t="s">
        <v>1140</v>
      </c>
      <c r="F861" t="s">
        <v>510</v>
      </c>
      <c r="G861" t="s">
        <v>51</v>
      </c>
      <c r="H861" t="s">
        <v>52</v>
      </c>
      <c r="I861" t="s">
        <v>1132</v>
      </c>
      <c r="J861" t="s">
        <v>1133</v>
      </c>
      <c r="K861">
        <v>649285</v>
      </c>
      <c r="L861" t="s">
        <v>1141</v>
      </c>
      <c r="M861" t="s">
        <v>988</v>
      </c>
      <c r="N861" t="s">
        <v>57</v>
      </c>
      <c r="O861" s="1">
        <v>45413</v>
      </c>
      <c r="Q861" s="1">
        <v>45717</v>
      </c>
      <c r="R861" s="2">
        <v>-131.93</v>
      </c>
      <c r="S861">
        <v>1</v>
      </c>
      <c r="T861" t="s">
        <v>58</v>
      </c>
      <c r="U861" t="s">
        <v>156</v>
      </c>
      <c r="V861" s="3">
        <v>0.04</v>
      </c>
      <c r="W861" s="2">
        <v>0</v>
      </c>
      <c r="X861">
        <v>-1</v>
      </c>
      <c r="Y861" t="s">
        <v>60</v>
      </c>
      <c r="Z861" t="s">
        <v>135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-5.28</v>
      </c>
      <c r="AN861" s="2">
        <v>-5.28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46062</v>
      </c>
      <c r="B862" t="s">
        <v>48</v>
      </c>
      <c r="C862">
        <v>649163</v>
      </c>
      <c r="D862">
        <v>2022559237</v>
      </c>
      <c r="E862" t="s">
        <v>1140</v>
      </c>
      <c r="F862" t="s">
        <v>510</v>
      </c>
      <c r="G862" t="s">
        <v>51</v>
      </c>
      <c r="H862" t="s">
        <v>52</v>
      </c>
      <c r="I862" t="s">
        <v>1132</v>
      </c>
      <c r="J862" t="s">
        <v>1133</v>
      </c>
      <c r="K862">
        <v>649285</v>
      </c>
      <c r="L862" t="s">
        <v>1141</v>
      </c>
      <c r="M862" t="s">
        <v>988</v>
      </c>
      <c r="N862" t="s">
        <v>57</v>
      </c>
      <c r="O862" s="1">
        <v>45413</v>
      </c>
      <c r="Q862" s="1">
        <v>45748</v>
      </c>
      <c r="R862" s="2">
        <v>-131.93</v>
      </c>
      <c r="S862">
        <v>1</v>
      </c>
      <c r="T862" t="s">
        <v>58</v>
      </c>
      <c r="U862" t="s">
        <v>156</v>
      </c>
      <c r="V862" s="3">
        <v>0.04</v>
      </c>
      <c r="W862" s="2">
        <v>0</v>
      </c>
      <c r="X862">
        <v>-1</v>
      </c>
      <c r="Y862" t="s">
        <v>60</v>
      </c>
      <c r="Z862" t="s">
        <v>135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-5.28</v>
      </c>
      <c r="AN862" s="2">
        <v>-5.28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46062</v>
      </c>
      <c r="B863" t="s">
        <v>48</v>
      </c>
      <c r="C863">
        <v>649163</v>
      </c>
      <c r="D863">
        <v>2022559237</v>
      </c>
      <c r="E863" t="s">
        <v>1140</v>
      </c>
      <c r="F863" t="s">
        <v>510</v>
      </c>
      <c r="G863" t="s">
        <v>51</v>
      </c>
      <c r="H863" t="s">
        <v>52</v>
      </c>
      <c r="I863" t="s">
        <v>1132</v>
      </c>
      <c r="J863" t="s">
        <v>1133</v>
      </c>
      <c r="K863">
        <v>649285</v>
      </c>
      <c r="L863" t="s">
        <v>1141</v>
      </c>
      <c r="M863" t="s">
        <v>988</v>
      </c>
      <c r="N863" t="s">
        <v>57</v>
      </c>
      <c r="O863" s="1">
        <v>45413</v>
      </c>
      <c r="Q863" s="1">
        <v>45778</v>
      </c>
      <c r="R863" s="2">
        <v>-131.93</v>
      </c>
      <c r="S863">
        <v>1</v>
      </c>
      <c r="T863" t="s">
        <v>58</v>
      </c>
      <c r="U863" t="s">
        <v>156</v>
      </c>
      <c r="V863" s="3">
        <v>0.04</v>
      </c>
      <c r="W863" s="2">
        <v>0</v>
      </c>
      <c r="X863">
        <v>-1</v>
      </c>
      <c r="Y863" t="s">
        <v>60</v>
      </c>
      <c r="Z863" t="s">
        <v>135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-5.28</v>
      </c>
      <c r="AN863" s="2">
        <v>-5.28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46062</v>
      </c>
      <c r="B864" t="s">
        <v>48</v>
      </c>
      <c r="C864">
        <v>649163</v>
      </c>
      <c r="D864">
        <v>2022559237</v>
      </c>
      <c r="E864" t="s">
        <v>1140</v>
      </c>
      <c r="F864" t="s">
        <v>510</v>
      </c>
      <c r="G864" t="s">
        <v>51</v>
      </c>
      <c r="H864" t="s">
        <v>52</v>
      </c>
      <c r="I864" t="s">
        <v>1132</v>
      </c>
      <c r="J864" t="s">
        <v>1133</v>
      </c>
      <c r="K864">
        <v>649285</v>
      </c>
      <c r="L864" t="s">
        <v>1141</v>
      </c>
      <c r="M864" t="s">
        <v>988</v>
      </c>
      <c r="N864" t="s">
        <v>57</v>
      </c>
      <c r="O864" s="1">
        <v>45413</v>
      </c>
      <c r="Q864" s="1">
        <v>46082</v>
      </c>
      <c r="R864" s="2">
        <v>131.93</v>
      </c>
      <c r="S864">
        <v>1</v>
      </c>
      <c r="T864" t="s">
        <v>58</v>
      </c>
      <c r="U864" t="s">
        <v>156</v>
      </c>
      <c r="V864" s="3">
        <v>0.04</v>
      </c>
      <c r="W864" s="2">
        <v>0</v>
      </c>
      <c r="X864">
        <v>0</v>
      </c>
      <c r="Y864" t="s">
        <v>157</v>
      </c>
      <c r="Z864" t="s">
        <v>135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5.28</v>
      </c>
      <c r="AN864" s="2">
        <v>5.28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46062</v>
      </c>
      <c r="B865" t="s">
        <v>48</v>
      </c>
      <c r="C865">
        <v>649163</v>
      </c>
      <c r="D865">
        <v>2022559237</v>
      </c>
      <c r="E865" t="s">
        <v>1140</v>
      </c>
      <c r="F865" t="s">
        <v>510</v>
      </c>
      <c r="G865" t="s">
        <v>51</v>
      </c>
      <c r="H865" t="s">
        <v>52</v>
      </c>
      <c r="I865" t="s">
        <v>1132</v>
      </c>
      <c r="J865" t="s">
        <v>1133</v>
      </c>
      <c r="K865">
        <v>649285</v>
      </c>
      <c r="L865" t="s">
        <v>1141</v>
      </c>
      <c r="M865" t="s">
        <v>988</v>
      </c>
      <c r="N865" t="s">
        <v>57</v>
      </c>
      <c r="O865" s="1">
        <v>45413</v>
      </c>
      <c r="Q865" s="1">
        <v>46113</v>
      </c>
      <c r="R865" s="2">
        <v>131.93</v>
      </c>
      <c r="S865">
        <v>1</v>
      </c>
      <c r="T865" t="s">
        <v>58</v>
      </c>
      <c r="U865" t="s">
        <v>156</v>
      </c>
      <c r="V865" s="3">
        <v>0.04</v>
      </c>
      <c r="W865" s="2">
        <v>0</v>
      </c>
      <c r="X865">
        <v>0</v>
      </c>
      <c r="Y865" t="s">
        <v>157</v>
      </c>
      <c r="Z865" t="s">
        <v>135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5.28</v>
      </c>
      <c r="AN865" s="2">
        <v>5.28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46062</v>
      </c>
      <c r="B866" t="s">
        <v>48</v>
      </c>
      <c r="C866">
        <v>649163</v>
      </c>
      <c r="D866">
        <v>2022559237</v>
      </c>
      <c r="E866" t="s">
        <v>1140</v>
      </c>
      <c r="F866" t="s">
        <v>510</v>
      </c>
      <c r="G866" t="s">
        <v>51</v>
      </c>
      <c r="H866" t="s">
        <v>52</v>
      </c>
      <c r="I866" t="s">
        <v>1132</v>
      </c>
      <c r="J866" t="s">
        <v>1133</v>
      </c>
      <c r="K866">
        <v>649285</v>
      </c>
      <c r="L866" t="s">
        <v>1141</v>
      </c>
      <c r="M866" t="s">
        <v>988</v>
      </c>
      <c r="N866" t="s">
        <v>57</v>
      </c>
      <c r="O866" s="1">
        <v>45413</v>
      </c>
      <c r="Q866" s="1">
        <v>46143</v>
      </c>
      <c r="R866" s="2">
        <v>131.93</v>
      </c>
      <c r="S866">
        <v>1</v>
      </c>
      <c r="T866" t="s">
        <v>58</v>
      </c>
      <c r="U866" t="s">
        <v>156</v>
      </c>
      <c r="V866" s="3">
        <v>0.04</v>
      </c>
      <c r="W866" s="2">
        <v>0</v>
      </c>
      <c r="X866">
        <v>0</v>
      </c>
      <c r="Y866" t="s">
        <v>157</v>
      </c>
      <c r="Z866" t="s">
        <v>135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5.28</v>
      </c>
      <c r="AN866" s="2">
        <v>5.28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46062</v>
      </c>
      <c r="B867" t="s">
        <v>48</v>
      </c>
      <c r="C867">
        <v>649163</v>
      </c>
      <c r="D867">
        <v>2022779367</v>
      </c>
      <c r="E867" t="s">
        <v>1142</v>
      </c>
      <c r="F867" t="s">
        <v>92</v>
      </c>
      <c r="G867" t="s">
        <v>51</v>
      </c>
      <c r="H867" t="s">
        <v>52</v>
      </c>
      <c r="I867" t="s">
        <v>1132</v>
      </c>
      <c r="J867" t="s">
        <v>1143</v>
      </c>
      <c r="K867">
        <v>650218</v>
      </c>
      <c r="L867" t="s">
        <v>246</v>
      </c>
      <c r="M867" t="s">
        <v>195</v>
      </c>
      <c r="N867" t="s">
        <v>57</v>
      </c>
      <c r="O867" s="1">
        <v>45474</v>
      </c>
      <c r="Q867" s="1">
        <v>45717</v>
      </c>
      <c r="R867" s="2">
        <v>-131.93</v>
      </c>
      <c r="S867">
        <v>1</v>
      </c>
      <c r="T867" t="s">
        <v>58</v>
      </c>
      <c r="U867" t="s">
        <v>156</v>
      </c>
      <c r="V867" s="4">
        <v>1.4999999999999999E-2</v>
      </c>
      <c r="W867" s="2">
        <v>0</v>
      </c>
      <c r="X867">
        <v>-1</v>
      </c>
      <c r="Y867" t="s">
        <v>60</v>
      </c>
      <c r="Z867" t="s">
        <v>135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-1.98</v>
      </c>
      <c r="AN867" s="2">
        <v>-1.98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46062</v>
      </c>
      <c r="B868" t="s">
        <v>48</v>
      </c>
      <c r="C868">
        <v>649163</v>
      </c>
      <c r="D868">
        <v>2022779367</v>
      </c>
      <c r="E868" t="s">
        <v>1142</v>
      </c>
      <c r="F868" t="s">
        <v>92</v>
      </c>
      <c r="G868" t="s">
        <v>51</v>
      </c>
      <c r="H868" t="s">
        <v>52</v>
      </c>
      <c r="I868" t="s">
        <v>1132</v>
      </c>
      <c r="J868" t="s">
        <v>1143</v>
      </c>
      <c r="K868">
        <v>650218</v>
      </c>
      <c r="L868" t="s">
        <v>246</v>
      </c>
      <c r="M868" t="s">
        <v>195</v>
      </c>
      <c r="N868" t="s">
        <v>57</v>
      </c>
      <c r="O868" s="1">
        <v>45474</v>
      </c>
      <c r="Q868" s="1">
        <v>46082</v>
      </c>
      <c r="R868" s="2">
        <v>131.93</v>
      </c>
      <c r="S868">
        <v>1</v>
      </c>
      <c r="T868" t="s">
        <v>58</v>
      </c>
      <c r="U868" t="s">
        <v>156</v>
      </c>
      <c r="V868" s="4">
        <v>1.4999999999999999E-2</v>
      </c>
      <c r="W868" s="2">
        <v>0</v>
      </c>
      <c r="X868">
        <v>0</v>
      </c>
      <c r="Y868" t="s">
        <v>157</v>
      </c>
      <c r="Z868" t="s">
        <v>135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1.98</v>
      </c>
      <c r="AN868" s="2">
        <v>1.98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46062</v>
      </c>
      <c r="B869" t="s">
        <v>48</v>
      </c>
      <c r="C869">
        <v>649163</v>
      </c>
      <c r="D869">
        <v>2022892790</v>
      </c>
      <c r="E869" t="s">
        <v>1144</v>
      </c>
      <c r="F869" t="s">
        <v>311</v>
      </c>
      <c r="G869" t="s">
        <v>51</v>
      </c>
      <c r="H869" t="s">
        <v>52</v>
      </c>
      <c r="I869" t="s">
        <v>1132</v>
      </c>
      <c r="J869" t="s">
        <v>1133</v>
      </c>
      <c r="K869">
        <v>649285</v>
      </c>
      <c r="L869" t="s">
        <v>1141</v>
      </c>
      <c r="M869" t="s">
        <v>988</v>
      </c>
      <c r="N869" t="s">
        <v>57</v>
      </c>
      <c r="O869" s="1">
        <v>45413</v>
      </c>
      <c r="Q869" s="1">
        <v>46082</v>
      </c>
      <c r="R869" s="2">
        <v>127.68</v>
      </c>
      <c r="S869">
        <v>1</v>
      </c>
      <c r="T869" t="s">
        <v>58</v>
      </c>
      <c r="U869" t="s">
        <v>156</v>
      </c>
      <c r="V869" s="3">
        <v>0.04</v>
      </c>
      <c r="W869" s="2">
        <v>0</v>
      </c>
      <c r="X869">
        <v>0</v>
      </c>
      <c r="Y869" t="s">
        <v>157</v>
      </c>
      <c r="Z869" t="s">
        <v>135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5.1100000000000003</v>
      </c>
      <c r="AN869" s="2">
        <v>5.1100000000000003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46062</v>
      </c>
      <c r="B870" t="s">
        <v>48</v>
      </c>
      <c r="C870">
        <v>649163</v>
      </c>
      <c r="D870">
        <v>2022892794</v>
      </c>
      <c r="E870" t="s">
        <v>1144</v>
      </c>
      <c r="F870" t="s">
        <v>1118</v>
      </c>
      <c r="G870" t="s">
        <v>51</v>
      </c>
      <c r="H870" t="s">
        <v>52</v>
      </c>
      <c r="I870" t="s">
        <v>1132</v>
      </c>
      <c r="J870" t="s">
        <v>1133</v>
      </c>
      <c r="K870">
        <v>649285</v>
      </c>
      <c r="L870" t="s">
        <v>1141</v>
      </c>
      <c r="M870" t="s">
        <v>988</v>
      </c>
      <c r="N870" t="s">
        <v>57</v>
      </c>
      <c r="O870" s="1">
        <v>45413</v>
      </c>
      <c r="Q870" s="1">
        <v>45717</v>
      </c>
      <c r="R870" s="2">
        <v>-113.02</v>
      </c>
      <c r="S870">
        <v>1</v>
      </c>
      <c r="T870" t="s">
        <v>58</v>
      </c>
      <c r="U870" t="s">
        <v>156</v>
      </c>
      <c r="V870" s="3">
        <v>0.04</v>
      </c>
      <c r="W870" s="2">
        <v>0</v>
      </c>
      <c r="X870">
        <v>-1</v>
      </c>
      <c r="Y870" t="s">
        <v>60</v>
      </c>
      <c r="Z870" t="s">
        <v>135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-4.5199999999999996</v>
      </c>
      <c r="AN870" s="2">
        <v>-4.5199999999999996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46062</v>
      </c>
      <c r="B871" t="s">
        <v>48</v>
      </c>
      <c r="C871">
        <v>649163</v>
      </c>
      <c r="D871">
        <v>2022892794</v>
      </c>
      <c r="E871" t="s">
        <v>1144</v>
      </c>
      <c r="F871" t="s">
        <v>1118</v>
      </c>
      <c r="G871" t="s">
        <v>51</v>
      </c>
      <c r="H871" t="s">
        <v>52</v>
      </c>
      <c r="I871" t="s">
        <v>1132</v>
      </c>
      <c r="J871" t="s">
        <v>1133</v>
      </c>
      <c r="K871">
        <v>649285</v>
      </c>
      <c r="L871" t="s">
        <v>1141</v>
      </c>
      <c r="M871" t="s">
        <v>988</v>
      </c>
      <c r="N871" t="s">
        <v>57</v>
      </c>
      <c r="O871" s="1">
        <v>45413</v>
      </c>
      <c r="Q871" s="1">
        <v>46082</v>
      </c>
      <c r="R871" s="2">
        <v>113.02</v>
      </c>
      <c r="S871">
        <v>1</v>
      </c>
      <c r="T871" t="s">
        <v>58</v>
      </c>
      <c r="U871" t="s">
        <v>156</v>
      </c>
      <c r="V871" s="3">
        <v>0.04</v>
      </c>
      <c r="W871" s="2">
        <v>0</v>
      </c>
      <c r="X871">
        <v>0</v>
      </c>
      <c r="Y871" t="s">
        <v>157</v>
      </c>
      <c r="Z871" t="s">
        <v>135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4.5199999999999996</v>
      </c>
      <c r="AN871" s="2">
        <v>4.5199999999999996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46062</v>
      </c>
      <c r="B872" t="s">
        <v>48</v>
      </c>
      <c r="C872">
        <v>649163</v>
      </c>
      <c r="D872">
        <v>2023981104</v>
      </c>
      <c r="E872" t="s">
        <v>1145</v>
      </c>
      <c r="F872" t="s">
        <v>195</v>
      </c>
      <c r="G872" t="s">
        <v>51</v>
      </c>
      <c r="H872" t="s">
        <v>66</v>
      </c>
      <c r="I872" t="s">
        <v>1132</v>
      </c>
      <c r="J872" t="s">
        <v>1146</v>
      </c>
      <c r="K872">
        <v>768887</v>
      </c>
      <c r="L872" t="s">
        <v>295</v>
      </c>
      <c r="M872" t="s">
        <v>296</v>
      </c>
      <c r="N872" t="s">
        <v>57</v>
      </c>
      <c r="O872" s="1">
        <v>45505</v>
      </c>
      <c r="Q872" s="1">
        <v>46082</v>
      </c>
      <c r="R872" s="2">
        <v>132.85</v>
      </c>
      <c r="S872">
        <v>1</v>
      </c>
      <c r="T872" t="s">
        <v>58</v>
      </c>
      <c r="U872" t="s">
        <v>156</v>
      </c>
      <c r="V872" s="3">
        <v>0.26</v>
      </c>
      <c r="W872" s="2">
        <v>0</v>
      </c>
      <c r="X872">
        <v>0</v>
      </c>
      <c r="Y872" t="s">
        <v>157</v>
      </c>
      <c r="Z872" t="s">
        <v>135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34.54</v>
      </c>
      <c r="AN872" s="2">
        <v>34.54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46062</v>
      </c>
      <c r="B873" t="s">
        <v>48</v>
      </c>
      <c r="C873">
        <v>649163</v>
      </c>
      <c r="D873">
        <v>2025118592</v>
      </c>
      <c r="E873" t="s">
        <v>1147</v>
      </c>
      <c r="F873" t="s">
        <v>1148</v>
      </c>
      <c r="G873" t="s">
        <v>51</v>
      </c>
      <c r="H873" t="s">
        <v>750</v>
      </c>
      <c r="I873" t="s">
        <v>1132</v>
      </c>
      <c r="J873" t="s">
        <v>1133</v>
      </c>
      <c r="K873">
        <v>650218</v>
      </c>
      <c r="L873" t="s">
        <v>246</v>
      </c>
      <c r="M873" t="s">
        <v>195</v>
      </c>
      <c r="N873" t="s">
        <v>57</v>
      </c>
      <c r="O873" s="1">
        <v>45597</v>
      </c>
      <c r="Q873" s="1">
        <v>45717</v>
      </c>
      <c r="R873" s="2">
        <v>-102.08</v>
      </c>
      <c r="S873">
        <v>1</v>
      </c>
      <c r="T873" t="s">
        <v>58</v>
      </c>
      <c r="U873" t="s">
        <v>156</v>
      </c>
      <c r="V873" s="3">
        <v>0.26</v>
      </c>
      <c r="W873" s="2">
        <v>0</v>
      </c>
      <c r="X873">
        <v>-1</v>
      </c>
      <c r="Y873" t="s">
        <v>60</v>
      </c>
      <c r="Z873" t="s">
        <v>135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-26.54</v>
      </c>
      <c r="AN873" s="2">
        <v>-26.54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46062</v>
      </c>
      <c r="B874" t="s">
        <v>48</v>
      </c>
      <c r="C874">
        <v>649163</v>
      </c>
      <c r="D874">
        <v>2025118592</v>
      </c>
      <c r="E874" t="s">
        <v>1147</v>
      </c>
      <c r="F874" t="s">
        <v>1148</v>
      </c>
      <c r="G874" t="s">
        <v>51</v>
      </c>
      <c r="H874" t="s">
        <v>750</v>
      </c>
      <c r="I874" t="s">
        <v>1132</v>
      </c>
      <c r="J874" t="s">
        <v>1133</v>
      </c>
      <c r="K874">
        <v>650218</v>
      </c>
      <c r="L874" t="s">
        <v>246</v>
      </c>
      <c r="M874" t="s">
        <v>195</v>
      </c>
      <c r="N874" t="s">
        <v>57</v>
      </c>
      <c r="O874" s="1">
        <v>45597</v>
      </c>
      <c r="Q874" s="1">
        <v>46082</v>
      </c>
      <c r="R874" s="2">
        <v>102.08</v>
      </c>
      <c r="S874">
        <v>1</v>
      </c>
      <c r="T874" t="s">
        <v>58</v>
      </c>
      <c r="U874" t="s">
        <v>156</v>
      </c>
      <c r="V874" s="3">
        <v>0.26</v>
      </c>
      <c r="W874" s="2">
        <v>0</v>
      </c>
      <c r="X874">
        <v>0</v>
      </c>
      <c r="Y874" t="s">
        <v>157</v>
      </c>
      <c r="Z874" t="s">
        <v>135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26.54</v>
      </c>
      <c r="AN874" s="2">
        <v>26.54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46062</v>
      </c>
      <c r="B875" t="s">
        <v>48</v>
      </c>
      <c r="C875">
        <v>649163</v>
      </c>
      <c r="D875">
        <v>2025878148</v>
      </c>
      <c r="E875" t="s">
        <v>1149</v>
      </c>
      <c r="F875" t="s">
        <v>298</v>
      </c>
      <c r="G875" t="s">
        <v>51</v>
      </c>
      <c r="H875" t="s">
        <v>52</v>
      </c>
      <c r="I875" t="s">
        <v>1132</v>
      </c>
      <c r="J875" t="s">
        <v>1150</v>
      </c>
      <c r="K875">
        <v>649910</v>
      </c>
      <c r="L875" t="s">
        <v>1151</v>
      </c>
      <c r="M875" t="s">
        <v>1152</v>
      </c>
      <c r="N875" t="s">
        <v>57</v>
      </c>
      <c r="O875" s="1">
        <v>45658</v>
      </c>
      <c r="Q875" s="1">
        <v>46082</v>
      </c>
      <c r="R875" s="2">
        <v>160.32</v>
      </c>
      <c r="S875">
        <v>1</v>
      </c>
      <c r="T875" t="s">
        <v>58</v>
      </c>
      <c r="U875" t="s">
        <v>156</v>
      </c>
      <c r="V875" s="3">
        <v>0.04</v>
      </c>
      <c r="W875" s="2">
        <v>0</v>
      </c>
      <c r="X875">
        <v>0</v>
      </c>
      <c r="Y875" t="s">
        <v>157</v>
      </c>
      <c r="Z875" t="s">
        <v>135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6.41</v>
      </c>
      <c r="AN875" s="2">
        <v>6.41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46062</v>
      </c>
      <c r="B876" t="s">
        <v>48</v>
      </c>
      <c r="C876">
        <v>649163</v>
      </c>
      <c r="D876">
        <v>2025892048</v>
      </c>
      <c r="E876" t="s">
        <v>1037</v>
      </c>
      <c r="F876" t="s">
        <v>1153</v>
      </c>
      <c r="G876" t="s">
        <v>51</v>
      </c>
      <c r="H876" t="s">
        <v>52</v>
      </c>
      <c r="I876" t="s">
        <v>1132</v>
      </c>
      <c r="J876" t="s">
        <v>1154</v>
      </c>
      <c r="K876">
        <v>650218</v>
      </c>
      <c r="L876" t="s">
        <v>246</v>
      </c>
      <c r="M876" t="s">
        <v>195</v>
      </c>
      <c r="N876" t="s">
        <v>57</v>
      </c>
      <c r="O876" s="1">
        <v>45658</v>
      </c>
      <c r="Q876" s="1">
        <v>46082</v>
      </c>
      <c r="R876" s="2">
        <v>214.75</v>
      </c>
      <c r="S876">
        <v>1</v>
      </c>
      <c r="T876" t="s">
        <v>58</v>
      </c>
      <c r="U876" t="s">
        <v>156</v>
      </c>
      <c r="V876" s="3">
        <v>0.13</v>
      </c>
      <c r="W876" s="2">
        <v>0</v>
      </c>
      <c r="X876">
        <v>0</v>
      </c>
      <c r="Y876" t="s">
        <v>157</v>
      </c>
      <c r="Z876" t="s">
        <v>135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27.92</v>
      </c>
      <c r="AN876" s="2">
        <v>27.92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46062</v>
      </c>
      <c r="B877" t="s">
        <v>48</v>
      </c>
      <c r="C877">
        <v>649163</v>
      </c>
      <c r="D877">
        <v>2026055288</v>
      </c>
      <c r="E877" t="s">
        <v>1155</v>
      </c>
      <c r="F877" t="s">
        <v>285</v>
      </c>
      <c r="G877" t="s">
        <v>51</v>
      </c>
      <c r="H877" t="s">
        <v>52</v>
      </c>
      <c r="I877" t="s">
        <v>1132</v>
      </c>
      <c r="J877" t="s">
        <v>1150</v>
      </c>
      <c r="K877">
        <v>650218</v>
      </c>
      <c r="L877" t="s">
        <v>246</v>
      </c>
      <c r="M877" t="s">
        <v>195</v>
      </c>
      <c r="N877" t="s">
        <v>57</v>
      </c>
      <c r="O877" s="1">
        <v>45658</v>
      </c>
      <c r="Q877" s="1">
        <v>46082</v>
      </c>
      <c r="R877" s="2">
        <v>110.69</v>
      </c>
      <c r="S877">
        <v>1</v>
      </c>
      <c r="T877" t="s">
        <v>58</v>
      </c>
      <c r="U877" t="s">
        <v>156</v>
      </c>
      <c r="V877" s="3">
        <v>0.28000000000000003</v>
      </c>
      <c r="W877" s="2">
        <v>0</v>
      </c>
      <c r="X877">
        <v>0</v>
      </c>
      <c r="Y877" t="s">
        <v>157</v>
      </c>
      <c r="Z877" t="s">
        <v>135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30.99</v>
      </c>
      <c r="AN877" s="2">
        <v>30.99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46062</v>
      </c>
      <c r="B878" t="s">
        <v>48</v>
      </c>
      <c r="C878">
        <v>649163</v>
      </c>
      <c r="D878">
        <v>2026492383</v>
      </c>
      <c r="E878" t="s">
        <v>1156</v>
      </c>
      <c r="F878" t="s">
        <v>224</v>
      </c>
      <c r="G878" t="s">
        <v>51</v>
      </c>
      <c r="H878" t="s">
        <v>116</v>
      </c>
      <c r="I878" t="s">
        <v>1132</v>
      </c>
      <c r="J878" t="s">
        <v>1157</v>
      </c>
      <c r="K878">
        <v>757719</v>
      </c>
      <c r="L878" t="s">
        <v>740</v>
      </c>
      <c r="M878" t="s">
        <v>885</v>
      </c>
      <c r="N878" t="s">
        <v>57</v>
      </c>
      <c r="O878" s="1">
        <v>45665</v>
      </c>
      <c r="Q878" s="1">
        <v>46089</v>
      </c>
      <c r="R878" s="2">
        <v>105.97</v>
      </c>
      <c r="S878">
        <v>1</v>
      </c>
      <c r="T878" t="s">
        <v>58</v>
      </c>
      <c r="U878" t="s">
        <v>156</v>
      </c>
      <c r="V878" s="4">
        <v>0.255</v>
      </c>
      <c r="W878" s="2">
        <v>0</v>
      </c>
      <c r="X878">
        <v>0</v>
      </c>
      <c r="Y878" t="s">
        <v>157</v>
      </c>
      <c r="Z878" t="s">
        <v>135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27.02</v>
      </c>
      <c r="AN878" s="2">
        <v>27.02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46062</v>
      </c>
      <c r="B879" t="s">
        <v>48</v>
      </c>
      <c r="C879">
        <v>649163</v>
      </c>
      <c r="D879">
        <v>2027097219</v>
      </c>
      <c r="E879" t="s">
        <v>820</v>
      </c>
      <c r="F879" t="s">
        <v>561</v>
      </c>
      <c r="G879" t="s">
        <v>51</v>
      </c>
      <c r="H879" t="s">
        <v>52</v>
      </c>
      <c r="I879" t="s">
        <v>1132</v>
      </c>
      <c r="J879" t="s">
        <v>1133</v>
      </c>
      <c r="K879">
        <v>650218</v>
      </c>
      <c r="L879" t="s">
        <v>246</v>
      </c>
      <c r="M879" t="s">
        <v>195</v>
      </c>
      <c r="N879" t="s">
        <v>57</v>
      </c>
      <c r="O879" s="1">
        <v>45748</v>
      </c>
      <c r="Q879" s="1">
        <v>46082</v>
      </c>
      <c r="R879" s="2">
        <v>147.77000000000001</v>
      </c>
      <c r="S879">
        <v>1</v>
      </c>
      <c r="T879" t="s">
        <v>58</v>
      </c>
      <c r="U879" t="s">
        <v>156</v>
      </c>
      <c r="V879" s="3">
        <v>0.26</v>
      </c>
      <c r="W879" s="2">
        <v>0</v>
      </c>
      <c r="X879">
        <v>0</v>
      </c>
      <c r="Y879" t="s">
        <v>60</v>
      </c>
      <c r="Z879" t="s">
        <v>135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38.42</v>
      </c>
      <c r="AN879" s="2">
        <v>38.42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46062</v>
      </c>
      <c r="B880" t="s">
        <v>48</v>
      </c>
      <c r="C880">
        <v>649163</v>
      </c>
      <c r="D880">
        <v>2027253361</v>
      </c>
      <c r="E880" t="s">
        <v>1158</v>
      </c>
      <c r="F880" t="s">
        <v>298</v>
      </c>
      <c r="G880" t="s">
        <v>51</v>
      </c>
      <c r="H880" t="s">
        <v>274</v>
      </c>
      <c r="I880" t="s">
        <v>1132</v>
      </c>
      <c r="J880" t="s">
        <v>1159</v>
      </c>
      <c r="K880">
        <v>816021</v>
      </c>
      <c r="L880" t="s">
        <v>275</v>
      </c>
      <c r="M880" t="s">
        <v>276</v>
      </c>
      <c r="N880" t="s">
        <v>57</v>
      </c>
      <c r="O880" s="1">
        <v>45717</v>
      </c>
      <c r="Q880" s="1">
        <v>46082</v>
      </c>
      <c r="R880" s="2">
        <v>136.72</v>
      </c>
      <c r="S880">
        <v>1</v>
      </c>
      <c r="T880" t="s">
        <v>58</v>
      </c>
      <c r="U880" t="s">
        <v>156</v>
      </c>
      <c r="V880" s="3">
        <v>0.26</v>
      </c>
      <c r="W880" s="2">
        <v>0</v>
      </c>
      <c r="X880">
        <v>0</v>
      </c>
      <c r="Y880" t="s">
        <v>60</v>
      </c>
      <c r="Z880" t="s">
        <v>135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35.549999999999997</v>
      </c>
      <c r="AN880" s="2">
        <v>35.549999999999997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46062</v>
      </c>
      <c r="B881" t="s">
        <v>48</v>
      </c>
      <c r="C881">
        <v>649163</v>
      </c>
      <c r="D881">
        <v>2027354636</v>
      </c>
      <c r="E881" t="s">
        <v>1160</v>
      </c>
      <c r="F881" t="s">
        <v>216</v>
      </c>
      <c r="G881" t="s">
        <v>51</v>
      </c>
      <c r="H881" t="s">
        <v>170</v>
      </c>
      <c r="I881" t="s">
        <v>1132</v>
      </c>
      <c r="J881" t="s">
        <v>1161</v>
      </c>
      <c r="K881">
        <v>649285</v>
      </c>
      <c r="L881" t="s">
        <v>1141</v>
      </c>
      <c r="M881" t="s">
        <v>988</v>
      </c>
      <c r="N881" t="s">
        <v>57</v>
      </c>
      <c r="O881" s="1">
        <v>45748</v>
      </c>
      <c r="Q881" s="1">
        <v>46082</v>
      </c>
      <c r="R881" s="2">
        <v>213.04</v>
      </c>
      <c r="S881">
        <v>1</v>
      </c>
      <c r="T881" t="s">
        <v>58</v>
      </c>
      <c r="U881" t="s">
        <v>156</v>
      </c>
      <c r="V881" s="3">
        <v>0.04</v>
      </c>
      <c r="W881" s="2">
        <v>0</v>
      </c>
      <c r="X881">
        <v>0</v>
      </c>
      <c r="Y881" t="s">
        <v>60</v>
      </c>
      <c r="Z881" t="s">
        <v>135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8.52</v>
      </c>
      <c r="AN881" s="2">
        <v>8.52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46062</v>
      </c>
      <c r="B882" t="s">
        <v>48</v>
      </c>
      <c r="C882">
        <v>649163</v>
      </c>
      <c r="D882">
        <v>2027391406</v>
      </c>
      <c r="E882" t="s">
        <v>1162</v>
      </c>
      <c r="F882" t="s">
        <v>1163</v>
      </c>
      <c r="G882" t="s">
        <v>51</v>
      </c>
      <c r="H882" t="s">
        <v>66</v>
      </c>
      <c r="I882" t="s">
        <v>1132</v>
      </c>
      <c r="J882" t="s">
        <v>1146</v>
      </c>
      <c r="K882">
        <v>766422</v>
      </c>
      <c r="L882" t="s">
        <v>289</v>
      </c>
      <c r="M882" t="s">
        <v>81</v>
      </c>
      <c r="N882" t="s">
        <v>57</v>
      </c>
      <c r="O882" s="1">
        <v>45717</v>
      </c>
      <c r="Q882" s="1">
        <v>46082</v>
      </c>
      <c r="R882" s="2">
        <v>130.76</v>
      </c>
      <c r="S882">
        <v>1</v>
      </c>
      <c r="T882" t="s">
        <v>58</v>
      </c>
      <c r="U882" t="s">
        <v>156</v>
      </c>
      <c r="V882" s="3">
        <v>0.26</v>
      </c>
      <c r="W882" s="2">
        <v>0</v>
      </c>
      <c r="X882">
        <v>0</v>
      </c>
      <c r="Y882" t="s">
        <v>60</v>
      </c>
      <c r="Z882" t="s">
        <v>135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34</v>
      </c>
      <c r="AN882" s="2">
        <v>34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46062</v>
      </c>
      <c r="B883" t="s">
        <v>48</v>
      </c>
      <c r="C883">
        <v>649163</v>
      </c>
      <c r="D883">
        <v>2027712447</v>
      </c>
      <c r="E883" t="s">
        <v>294</v>
      </c>
      <c r="F883" t="s">
        <v>188</v>
      </c>
      <c r="G883" t="s">
        <v>51</v>
      </c>
      <c r="H883" t="s">
        <v>66</v>
      </c>
      <c r="I883" t="s">
        <v>1132</v>
      </c>
      <c r="J883" t="s">
        <v>1146</v>
      </c>
      <c r="K883">
        <v>768887</v>
      </c>
      <c r="L883" t="s">
        <v>295</v>
      </c>
      <c r="M883" t="s">
        <v>296</v>
      </c>
      <c r="N883" t="s">
        <v>57</v>
      </c>
      <c r="O883" s="1">
        <v>45748</v>
      </c>
      <c r="Q883" s="1">
        <v>46082</v>
      </c>
      <c r="R883" s="2">
        <v>132.22</v>
      </c>
      <c r="S883">
        <v>1</v>
      </c>
      <c r="T883" t="s">
        <v>58</v>
      </c>
      <c r="U883" t="s">
        <v>156</v>
      </c>
      <c r="V883" s="3">
        <v>0.26</v>
      </c>
      <c r="W883" s="2">
        <v>0</v>
      </c>
      <c r="X883">
        <v>0</v>
      </c>
      <c r="Y883" t="s">
        <v>60</v>
      </c>
      <c r="Z883" t="s">
        <v>135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34.380000000000003</v>
      </c>
      <c r="AN883" s="2">
        <v>34.380000000000003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46062</v>
      </c>
      <c r="B884" t="s">
        <v>48</v>
      </c>
      <c r="C884">
        <v>649163</v>
      </c>
      <c r="D884">
        <v>2027889499</v>
      </c>
      <c r="E884" t="s">
        <v>1164</v>
      </c>
      <c r="F884" t="s">
        <v>1165</v>
      </c>
      <c r="G884" t="s">
        <v>51</v>
      </c>
      <c r="H884" t="s">
        <v>66</v>
      </c>
      <c r="I884" t="s">
        <v>1132</v>
      </c>
      <c r="J884" t="s">
        <v>1146</v>
      </c>
      <c r="K884">
        <v>768887</v>
      </c>
      <c r="L884" t="s">
        <v>295</v>
      </c>
      <c r="M884" t="s">
        <v>296</v>
      </c>
      <c r="N884" t="s">
        <v>57</v>
      </c>
      <c r="O884" s="1">
        <v>45748</v>
      </c>
      <c r="Q884" s="1">
        <v>46082</v>
      </c>
      <c r="R884" s="2">
        <v>132.22</v>
      </c>
      <c r="S884">
        <v>1</v>
      </c>
      <c r="T884" t="s">
        <v>58</v>
      </c>
      <c r="U884" t="s">
        <v>156</v>
      </c>
      <c r="V884" s="3">
        <v>0.26</v>
      </c>
      <c r="W884" s="2">
        <v>0</v>
      </c>
      <c r="X884">
        <v>0</v>
      </c>
      <c r="Y884" t="s">
        <v>60</v>
      </c>
      <c r="Z884" t="s">
        <v>135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34.380000000000003</v>
      </c>
      <c r="AN884" s="2">
        <v>34.380000000000003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46062</v>
      </c>
      <c r="B885" t="s">
        <v>48</v>
      </c>
      <c r="C885">
        <v>649163</v>
      </c>
      <c r="D885">
        <v>2027922845</v>
      </c>
      <c r="E885" t="s">
        <v>1166</v>
      </c>
      <c r="F885" t="s">
        <v>773</v>
      </c>
      <c r="G885" t="s">
        <v>51</v>
      </c>
      <c r="H885" t="s">
        <v>66</v>
      </c>
      <c r="I885" t="s">
        <v>1132</v>
      </c>
      <c r="J885" t="s">
        <v>1146</v>
      </c>
      <c r="K885">
        <v>768887</v>
      </c>
      <c r="L885" t="s">
        <v>295</v>
      </c>
      <c r="M885" t="s">
        <v>296</v>
      </c>
      <c r="N885" t="s">
        <v>57</v>
      </c>
      <c r="O885" s="1">
        <v>45748</v>
      </c>
      <c r="Q885" s="1">
        <v>46082</v>
      </c>
      <c r="R885" s="2">
        <v>123.21</v>
      </c>
      <c r="S885">
        <v>1</v>
      </c>
      <c r="T885" t="s">
        <v>58</v>
      </c>
      <c r="U885" t="s">
        <v>156</v>
      </c>
      <c r="V885" s="3">
        <v>0.26</v>
      </c>
      <c r="W885" s="2">
        <v>0</v>
      </c>
      <c r="X885">
        <v>0</v>
      </c>
      <c r="Y885" t="s">
        <v>60</v>
      </c>
      <c r="Z885" t="s">
        <v>135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32.03</v>
      </c>
      <c r="AN885" s="2">
        <v>32.03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46062</v>
      </c>
      <c r="B886" t="s">
        <v>48</v>
      </c>
      <c r="C886">
        <v>649163</v>
      </c>
      <c r="D886">
        <v>2027922860</v>
      </c>
      <c r="E886" t="s">
        <v>1166</v>
      </c>
      <c r="F886" t="s">
        <v>537</v>
      </c>
      <c r="G886" t="s">
        <v>51</v>
      </c>
      <c r="H886" t="s">
        <v>66</v>
      </c>
      <c r="I886" t="s">
        <v>1132</v>
      </c>
      <c r="J886" t="s">
        <v>1146</v>
      </c>
      <c r="K886">
        <v>768887</v>
      </c>
      <c r="L886" t="s">
        <v>295</v>
      </c>
      <c r="M886" t="s">
        <v>296</v>
      </c>
      <c r="N886" t="s">
        <v>57</v>
      </c>
      <c r="O886" s="1">
        <v>45748</v>
      </c>
      <c r="Q886" s="1">
        <v>46082</v>
      </c>
      <c r="R886" s="2">
        <v>139.18</v>
      </c>
      <c r="S886">
        <v>1</v>
      </c>
      <c r="T886" t="s">
        <v>58</v>
      </c>
      <c r="U886" t="s">
        <v>156</v>
      </c>
      <c r="V886" s="3">
        <v>0.26</v>
      </c>
      <c r="W886" s="2">
        <v>0</v>
      </c>
      <c r="X886">
        <v>0</v>
      </c>
      <c r="Y886" t="s">
        <v>60</v>
      </c>
      <c r="Z886" t="s">
        <v>135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36.19</v>
      </c>
      <c r="AN886" s="2">
        <v>36.19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46062</v>
      </c>
      <c r="B887" t="s">
        <v>48</v>
      </c>
      <c r="C887">
        <v>649163</v>
      </c>
      <c r="D887">
        <v>2027922888</v>
      </c>
      <c r="E887" t="s">
        <v>1164</v>
      </c>
      <c r="F887" t="s">
        <v>501</v>
      </c>
      <c r="G887" t="s">
        <v>51</v>
      </c>
      <c r="H887" t="s">
        <v>66</v>
      </c>
      <c r="I887" t="s">
        <v>1132</v>
      </c>
      <c r="J887" t="s">
        <v>1146</v>
      </c>
      <c r="K887">
        <v>768887</v>
      </c>
      <c r="L887" t="s">
        <v>295</v>
      </c>
      <c r="M887" t="s">
        <v>296</v>
      </c>
      <c r="N887" t="s">
        <v>57</v>
      </c>
      <c r="O887" s="1">
        <v>45748</v>
      </c>
      <c r="Q887" s="1">
        <v>46082</v>
      </c>
      <c r="R887" s="2">
        <v>117.05</v>
      </c>
      <c r="S887">
        <v>1</v>
      </c>
      <c r="T887" t="s">
        <v>58</v>
      </c>
      <c r="U887" t="s">
        <v>156</v>
      </c>
      <c r="V887" s="3">
        <v>0.26</v>
      </c>
      <c r="W887" s="2">
        <v>0</v>
      </c>
      <c r="X887">
        <v>0</v>
      </c>
      <c r="Y887" t="s">
        <v>60</v>
      </c>
      <c r="Z887" t="s">
        <v>135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30.43</v>
      </c>
      <c r="AN887" s="2">
        <v>30.43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46062</v>
      </c>
      <c r="B888" t="s">
        <v>48</v>
      </c>
      <c r="D888">
        <v>2028000460</v>
      </c>
      <c r="E888" t="s">
        <v>503</v>
      </c>
      <c r="F888" t="s">
        <v>529</v>
      </c>
      <c r="G888" t="s">
        <v>51</v>
      </c>
      <c r="H888" t="s">
        <v>66</v>
      </c>
      <c r="I888" t="s">
        <v>1132</v>
      </c>
      <c r="J888" t="s">
        <v>1167</v>
      </c>
      <c r="L888" t="s">
        <v>319</v>
      </c>
      <c r="M888" t="s">
        <v>320</v>
      </c>
      <c r="N888" t="s">
        <v>57</v>
      </c>
      <c r="O888" s="1">
        <v>45748</v>
      </c>
      <c r="Q888" s="1">
        <v>46082</v>
      </c>
      <c r="R888" s="2">
        <v>114.69</v>
      </c>
      <c r="S888">
        <v>1</v>
      </c>
      <c r="T888" t="s">
        <v>58</v>
      </c>
      <c r="U888" t="s">
        <v>156</v>
      </c>
      <c r="V888" s="3">
        <v>0.28000000000000003</v>
      </c>
      <c r="W888" s="2">
        <v>0</v>
      </c>
      <c r="X888">
        <v>0</v>
      </c>
      <c r="Y888" t="s">
        <v>60</v>
      </c>
      <c r="Z888" t="s">
        <v>135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32.11</v>
      </c>
      <c r="AN888" s="2">
        <v>32.11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46062</v>
      </c>
      <c r="B889" t="s">
        <v>48</v>
      </c>
      <c r="C889">
        <v>649163</v>
      </c>
      <c r="D889">
        <v>2028166815</v>
      </c>
      <c r="E889" t="s">
        <v>1168</v>
      </c>
      <c r="F889" t="s">
        <v>926</v>
      </c>
      <c r="G889" t="s">
        <v>51</v>
      </c>
      <c r="H889" t="s">
        <v>66</v>
      </c>
      <c r="I889" t="s">
        <v>1132</v>
      </c>
      <c r="J889" t="s">
        <v>1167</v>
      </c>
      <c r="K889">
        <v>820873</v>
      </c>
      <c r="L889" t="s">
        <v>319</v>
      </c>
      <c r="M889" t="s">
        <v>320</v>
      </c>
      <c r="N889" t="s">
        <v>57</v>
      </c>
      <c r="O889" s="1">
        <v>45778</v>
      </c>
      <c r="Q889" s="1">
        <v>46082</v>
      </c>
      <c r="R889" s="2">
        <v>106.67</v>
      </c>
      <c r="S889">
        <v>1</v>
      </c>
      <c r="T889" t="s">
        <v>58</v>
      </c>
      <c r="U889" t="s">
        <v>156</v>
      </c>
      <c r="V889" s="3">
        <v>0.28000000000000003</v>
      </c>
      <c r="W889" s="2">
        <v>0</v>
      </c>
      <c r="X889">
        <v>0</v>
      </c>
      <c r="Y889" t="s">
        <v>60</v>
      </c>
      <c r="Z889" t="s">
        <v>135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29.87</v>
      </c>
      <c r="AN889" s="2">
        <v>29.87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46062</v>
      </c>
      <c r="B890" t="s">
        <v>48</v>
      </c>
      <c r="C890">
        <v>649163</v>
      </c>
      <c r="D890">
        <v>2028361729</v>
      </c>
      <c r="E890" t="s">
        <v>1169</v>
      </c>
      <c r="F890" t="s">
        <v>741</v>
      </c>
      <c r="G890" t="s">
        <v>51</v>
      </c>
      <c r="H890" t="s">
        <v>66</v>
      </c>
      <c r="I890" t="s">
        <v>1132</v>
      </c>
      <c r="J890" t="s">
        <v>1167</v>
      </c>
      <c r="K890">
        <v>820873</v>
      </c>
      <c r="L890" t="s">
        <v>319</v>
      </c>
      <c r="M890" t="s">
        <v>320</v>
      </c>
      <c r="N890" t="s">
        <v>57</v>
      </c>
      <c r="O890" s="1">
        <v>45778</v>
      </c>
      <c r="Q890" s="1">
        <v>46082</v>
      </c>
      <c r="R890" s="2">
        <v>112.21</v>
      </c>
      <c r="S890">
        <v>1</v>
      </c>
      <c r="T890" t="s">
        <v>58</v>
      </c>
      <c r="U890" t="s">
        <v>156</v>
      </c>
      <c r="V890" s="3">
        <v>0.28000000000000003</v>
      </c>
      <c r="W890" s="2">
        <v>0</v>
      </c>
      <c r="X890">
        <v>0</v>
      </c>
      <c r="Y890" t="s">
        <v>60</v>
      </c>
      <c r="Z890" t="s">
        <v>135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31.42</v>
      </c>
      <c r="AN890" s="2">
        <v>31.42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46062</v>
      </c>
      <c r="B891" t="s">
        <v>48</v>
      </c>
      <c r="C891">
        <v>649163</v>
      </c>
      <c r="D891">
        <v>2028422101</v>
      </c>
      <c r="E891" t="s">
        <v>1169</v>
      </c>
      <c r="F891" t="s">
        <v>389</v>
      </c>
      <c r="G891" t="s">
        <v>51</v>
      </c>
      <c r="H891" t="s">
        <v>66</v>
      </c>
      <c r="I891" t="s">
        <v>1132</v>
      </c>
      <c r="J891" t="s">
        <v>1167</v>
      </c>
      <c r="K891">
        <v>820873</v>
      </c>
      <c r="L891" t="s">
        <v>319</v>
      </c>
      <c r="M891" t="s">
        <v>320</v>
      </c>
      <c r="N891" t="s">
        <v>57</v>
      </c>
      <c r="O891" s="1">
        <v>45778</v>
      </c>
      <c r="Q891" s="1">
        <v>46082</v>
      </c>
      <c r="R891" s="2">
        <v>143.93</v>
      </c>
      <c r="S891">
        <v>1</v>
      </c>
      <c r="T891" t="s">
        <v>58</v>
      </c>
      <c r="U891" t="s">
        <v>156</v>
      </c>
      <c r="V891" s="3">
        <v>0.28000000000000003</v>
      </c>
      <c r="W891" s="2">
        <v>0</v>
      </c>
      <c r="X891">
        <v>0</v>
      </c>
      <c r="Y891" t="s">
        <v>60</v>
      </c>
      <c r="Z891" t="s">
        <v>135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40.299999999999997</v>
      </c>
      <c r="AN891" s="2">
        <v>40.299999999999997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46062</v>
      </c>
      <c r="B892" t="s">
        <v>48</v>
      </c>
      <c r="C892">
        <v>649163</v>
      </c>
      <c r="D892">
        <v>2028643639</v>
      </c>
      <c r="E892" t="s">
        <v>1170</v>
      </c>
      <c r="F892" t="s">
        <v>252</v>
      </c>
      <c r="G892" t="s">
        <v>51</v>
      </c>
      <c r="H892" t="s">
        <v>52</v>
      </c>
      <c r="I892" t="s">
        <v>1132</v>
      </c>
      <c r="J892" t="s">
        <v>1133</v>
      </c>
      <c r="K892">
        <v>649285</v>
      </c>
      <c r="L892" t="s">
        <v>1141</v>
      </c>
      <c r="M892" t="s">
        <v>988</v>
      </c>
      <c r="N892" t="s">
        <v>57</v>
      </c>
      <c r="O892" s="1">
        <v>45809</v>
      </c>
      <c r="Q892" s="1">
        <v>46082</v>
      </c>
      <c r="R892" s="2">
        <v>108.21</v>
      </c>
      <c r="S892">
        <v>1</v>
      </c>
      <c r="T892" t="s">
        <v>58</v>
      </c>
      <c r="U892" t="s">
        <v>156</v>
      </c>
      <c r="V892" s="3">
        <v>0.04</v>
      </c>
      <c r="W892" s="2">
        <v>0</v>
      </c>
      <c r="X892">
        <v>0</v>
      </c>
      <c r="Y892" t="s">
        <v>60</v>
      </c>
      <c r="Z892" t="s">
        <v>135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4.33</v>
      </c>
      <c r="AN892" s="2">
        <v>4.33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46062</v>
      </c>
      <c r="B893" t="s">
        <v>48</v>
      </c>
      <c r="C893">
        <v>649163</v>
      </c>
      <c r="D893">
        <v>2016705959</v>
      </c>
      <c r="E893" t="s">
        <v>1171</v>
      </c>
      <c r="F893" t="s">
        <v>666</v>
      </c>
      <c r="G893" t="s">
        <v>51</v>
      </c>
      <c r="H893" t="s">
        <v>170</v>
      </c>
      <c r="I893" t="s">
        <v>383</v>
      </c>
      <c r="J893" t="s">
        <v>1172</v>
      </c>
      <c r="K893">
        <v>649793</v>
      </c>
      <c r="L893" t="s">
        <v>162</v>
      </c>
      <c r="M893" t="s">
        <v>163</v>
      </c>
      <c r="N893" t="s">
        <v>57</v>
      </c>
      <c r="O893" s="1">
        <v>44927</v>
      </c>
      <c r="Q893" s="1">
        <v>46082</v>
      </c>
      <c r="R893" s="2">
        <v>25.73</v>
      </c>
      <c r="S893">
        <v>1</v>
      </c>
      <c r="T893" t="s">
        <v>58</v>
      </c>
      <c r="U893" t="s">
        <v>156</v>
      </c>
      <c r="V893" s="3">
        <v>0.15</v>
      </c>
      <c r="W893" s="2">
        <v>0</v>
      </c>
      <c r="X893">
        <v>0</v>
      </c>
      <c r="Y893" t="s">
        <v>157</v>
      </c>
      <c r="Z893" t="s">
        <v>135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3.86</v>
      </c>
      <c r="AN893" s="2">
        <v>3.86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46062</v>
      </c>
      <c r="B894" t="s">
        <v>48</v>
      </c>
      <c r="C894">
        <v>649163</v>
      </c>
      <c r="D894">
        <v>2016794187</v>
      </c>
      <c r="E894" t="s">
        <v>160</v>
      </c>
      <c r="F894" t="s">
        <v>161</v>
      </c>
      <c r="G894" t="s">
        <v>51</v>
      </c>
      <c r="H894" t="s">
        <v>140</v>
      </c>
      <c r="I894" t="s">
        <v>383</v>
      </c>
      <c r="J894" t="s">
        <v>1172</v>
      </c>
      <c r="K894">
        <v>649793</v>
      </c>
      <c r="L894" t="s">
        <v>162</v>
      </c>
      <c r="M894" t="s">
        <v>163</v>
      </c>
      <c r="N894" t="s">
        <v>57</v>
      </c>
      <c r="O894" s="1">
        <v>44927</v>
      </c>
      <c r="Q894" s="1">
        <v>46082</v>
      </c>
      <c r="R894" s="2">
        <v>21.44</v>
      </c>
      <c r="S894">
        <v>1</v>
      </c>
      <c r="T894" t="s">
        <v>58</v>
      </c>
      <c r="U894" t="s">
        <v>156</v>
      </c>
      <c r="V894" s="3">
        <v>0.15</v>
      </c>
      <c r="W894" s="2">
        <v>0</v>
      </c>
      <c r="X894">
        <v>0</v>
      </c>
      <c r="Y894" t="s">
        <v>157</v>
      </c>
      <c r="Z894" t="s">
        <v>135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3.22</v>
      </c>
      <c r="AN894" s="2">
        <v>3.22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46062</v>
      </c>
      <c r="B895" t="s">
        <v>48</v>
      </c>
      <c r="C895">
        <v>649163</v>
      </c>
      <c r="D895">
        <v>2017242800</v>
      </c>
      <c r="E895" t="s">
        <v>168</v>
      </c>
      <c r="F895" t="s">
        <v>169</v>
      </c>
      <c r="G895" t="s">
        <v>51</v>
      </c>
      <c r="H895" t="s">
        <v>170</v>
      </c>
      <c r="I895" t="s">
        <v>383</v>
      </c>
      <c r="J895" t="s">
        <v>1172</v>
      </c>
      <c r="K895">
        <v>652037</v>
      </c>
      <c r="L895" t="s">
        <v>171</v>
      </c>
      <c r="M895" t="s">
        <v>172</v>
      </c>
      <c r="N895" t="s">
        <v>57</v>
      </c>
      <c r="O895" s="1">
        <v>44930</v>
      </c>
      <c r="Q895" s="1">
        <v>46085</v>
      </c>
      <c r="R895" s="2">
        <v>25.73</v>
      </c>
      <c r="S895">
        <v>1</v>
      </c>
      <c r="T895" t="s">
        <v>58</v>
      </c>
      <c r="U895" t="s">
        <v>156</v>
      </c>
      <c r="V895" s="3">
        <v>0.15</v>
      </c>
      <c r="W895" s="2">
        <v>0</v>
      </c>
      <c r="X895">
        <v>0</v>
      </c>
      <c r="Y895" t="s">
        <v>157</v>
      </c>
      <c r="Z895" t="s">
        <v>135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3.86</v>
      </c>
      <c r="AN895" s="2">
        <v>3.86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46062</v>
      </c>
      <c r="B896" t="s">
        <v>48</v>
      </c>
      <c r="C896">
        <v>649163</v>
      </c>
      <c r="D896">
        <v>2017242803</v>
      </c>
      <c r="E896" t="s">
        <v>168</v>
      </c>
      <c r="F896" t="s">
        <v>169</v>
      </c>
      <c r="G896" t="s">
        <v>51</v>
      </c>
      <c r="H896" t="s">
        <v>170</v>
      </c>
      <c r="I896" t="s">
        <v>383</v>
      </c>
      <c r="J896" t="s">
        <v>385</v>
      </c>
      <c r="K896">
        <v>652037</v>
      </c>
      <c r="L896" t="s">
        <v>171</v>
      </c>
      <c r="M896" t="s">
        <v>172</v>
      </c>
      <c r="N896" t="s">
        <v>57</v>
      </c>
      <c r="O896" s="1">
        <v>44930</v>
      </c>
      <c r="Q896" s="1">
        <v>46085</v>
      </c>
      <c r="R896" s="2">
        <v>51.63</v>
      </c>
      <c r="S896">
        <v>1</v>
      </c>
      <c r="T896" t="s">
        <v>58</v>
      </c>
      <c r="U896" t="s">
        <v>156</v>
      </c>
      <c r="V896" s="3">
        <v>0.1</v>
      </c>
      <c r="W896" s="2">
        <v>0</v>
      </c>
      <c r="X896">
        <v>0</v>
      </c>
      <c r="Y896" t="s">
        <v>157</v>
      </c>
      <c r="Z896" t="s">
        <v>135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5.16</v>
      </c>
      <c r="AN896" s="2">
        <v>5.16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46062</v>
      </c>
      <c r="B897" t="s">
        <v>48</v>
      </c>
      <c r="C897">
        <v>649163</v>
      </c>
      <c r="D897">
        <v>2017629364</v>
      </c>
      <c r="E897" t="s">
        <v>1173</v>
      </c>
      <c r="F897" t="s">
        <v>1174</v>
      </c>
      <c r="G897" t="s">
        <v>51</v>
      </c>
      <c r="H897" t="s">
        <v>116</v>
      </c>
      <c r="I897" t="s">
        <v>383</v>
      </c>
      <c r="J897" t="s">
        <v>384</v>
      </c>
      <c r="K897">
        <v>649793</v>
      </c>
      <c r="L897" t="s">
        <v>162</v>
      </c>
      <c r="M897" t="s">
        <v>163</v>
      </c>
      <c r="N897" t="s">
        <v>57</v>
      </c>
      <c r="O897" s="1">
        <v>44994</v>
      </c>
      <c r="Q897" s="1">
        <v>46090</v>
      </c>
      <c r="R897" s="2">
        <v>58.95</v>
      </c>
      <c r="S897">
        <v>1</v>
      </c>
      <c r="T897" t="s">
        <v>58</v>
      </c>
      <c r="U897" t="s">
        <v>156</v>
      </c>
      <c r="V897" s="3">
        <v>0.15</v>
      </c>
      <c r="W897" s="2">
        <v>0</v>
      </c>
      <c r="X897">
        <v>0</v>
      </c>
      <c r="Y897" t="s">
        <v>157</v>
      </c>
      <c r="Z897" t="s">
        <v>135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8.84</v>
      </c>
      <c r="AN897" s="2">
        <v>8.84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46062</v>
      </c>
      <c r="B898" t="s">
        <v>48</v>
      </c>
      <c r="C898">
        <v>649163</v>
      </c>
      <c r="D898">
        <v>2017629365</v>
      </c>
      <c r="E898" t="s">
        <v>1173</v>
      </c>
      <c r="F898" t="s">
        <v>1174</v>
      </c>
      <c r="G898" t="s">
        <v>51</v>
      </c>
      <c r="H898" t="s">
        <v>116</v>
      </c>
      <c r="I898" t="s">
        <v>383</v>
      </c>
      <c r="J898" t="s">
        <v>1172</v>
      </c>
      <c r="K898">
        <v>649793</v>
      </c>
      <c r="L898" t="s">
        <v>162</v>
      </c>
      <c r="M898" t="s">
        <v>163</v>
      </c>
      <c r="N898" t="s">
        <v>57</v>
      </c>
      <c r="O898" s="1">
        <v>44994</v>
      </c>
      <c r="Q898" s="1">
        <v>46090</v>
      </c>
      <c r="R898" s="2">
        <v>8.3699999999999992</v>
      </c>
      <c r="S898">
        <v>1</v>
      </c>
      <c r="T898" t="s">
        <v>58</v>
      </c>
      <c r="U898" t="s">
        <v>156</v>
      </c>
      <c r="V898" s="3">
        <v>0.15</v>
      </c>
      <c r="W898" s="2">
        <v>0</v>
      </c>
      <c r="X898">
        <v>0</v>
      </c>
      <c r="Y898" t="s">
        <v>157</v>
      </c>
      <c r="Z898" t="s">
        <v>135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1.26</v>
      </c>
      <c r="AN898" s="2">
        <v>1.26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46062</v>
      </c>
      <c r="B899" t="s">
        <v>48</v>
      </c>
      <c r="C899">
        <v>649163</v>
      </c>
      <c r="D899">
        <v>2018091396</v>
      </c>
      <c r="E899" t="s">
        <v>1175</v>
      </c>
      <c r="F899" t="s">
        <v>1176</v>
      </c>
      <c r="G899" t="s">
        <v>51</v>
      </c>
      <c r="H899" t="s">
        <v>112</v>
      </c>
      <c r="I899" t="s">
        <v>383</v>
      </c>
      <c r="J899" t="s">
        <v>385</v>
      </c>
      <c r="K899">
        <v>651818</v>
      </c>
      <c r="L899" t="s">
        <v>80</v>
      </c>
      <c r="M899" t="s">
        <v>81</v>
      </c>
      <c r="N899" t="s">
        <v>57</v>
      </c>
      <c r="O899" s="1">
        <v>45022</v>
      </c>
      <c r="Q899" s="1">
        <v>46087</v>
      </c>
      <c r="R899" s="2">
        <v>164.06</v>
      </c>
      <c r="S899">
        <v>1</v>
      </c>
      <c r="T899" t="s">
        <v>58</v>
      </c>
      <c r="U899" t="s">
        <v>156</v>
      </c>
      <c r="V899" s="3">
        <v>0.1</v>
      </c>
      <c r="W899" s="2">
        <v>0</v>
      </c>
      <c r="X899">
        <v>0</v>
      </c>
      <c r="Y899" t="s">
        <v>157</v>
      </c>
      <c r="Z899" t="s">
        <v>135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16.41</v>
      </c>
      <c r="AN899" s="2">
        <v>16.41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46062</v>
      </c>
      <c r="B900" t="s">
        <v>48</v>
      </c>
      <c r="C900">
        <v>649163</v>
      </c>
      <c r="D900">
        <v>2018167735</v>
      </c>
      <c r="E900" t="s">
        <v>456</v>
      </c>
      <c r="F900" t="s">
        <v>457</v>
      </c>
      <c r="G900" t="s">
        <v>51</v>
      </c>
      <c r="H900" t="s">
        <v>458</v>
      </c>
      <c r="I900" t="s">
        <v>383</v>
      </c>
      <c r="J900" t="s">
        <v>385</v>
      </c>
      <c r="K900">
        <v>651818</v>
      </c>
      <c r="L900" t="s">
        <v>80</v>
      </c>
      <c r="M900" t="s">
        <v>81</v>
      </c>
      <c r="N900" t="s">
        <v>57</v>
      </c>
      <c r="O900" s="1">
        <v>45024</v>
      </c>
      <c r="Q900" s="1">
        <v>46089</v>
      </c>
      <c r="R900" s="2">
        <v>75.44</v>
      </c>
      <c r="S900">
        <v>1</v>
      </c>
      <c r="T900" t="s">
        <v>58</v>
      </c>
      <c r="U900" t="s">
        <v>156</v>
      </c>
      <c r="V900" s="3">
        <v>0.1</v>
      </c>
      <c r="W900" s="2">
        <v>0</v>
      </c>
      <c r="X900">
        <v>0</v>
      </c>
      <c r="Y900" t="s">
        <v>157</v>
      </c>
      <c r="Z900" t="s">
        <v>135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7.54</v>
      </c>
      <c r="AN900" s="2">
        <v>7.54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46062</v>
      </c>
      <c r="B901" t="s">
        <v>48</v>
      </c>
      <c r="C901">
        <v>649163</v>
      </c>
      <c r="D901">
        <v>2018434794</v>
      </c>
      <c r="E901" t="s">
        <v>178</v>
      </c>
      <c r="F901" t="s">
        <v>179</v>
      </c>
      <c r="G901" t="s">
        <v>51</v>
      </c>
      <c r="H901" t="s">
        <v>170</v>
      </c>
      <c r="I901" t="s">
        <v>383</v>
      </c>
      <c r="J901" t="s">
        <v>1172</v>
      </c>
      <c r="K901">
        <v>673059</v>
      </c>
      <c r="L901" t="s">
        <v>162</v>
      </c>
      <c r="M901" t="s">
        <v>180</v>
      </c>
      <c r="N901" t="s">
        <v>57</v>
      </c>
      <c r="O901" s="1">
        <v>45047</v>
      </c>
      <c r="Q901" s="1">
        <v>46082</v>
      </c>
      <c r="R901" s="2">
        <v>25.73</v>
      </c>
      <c r="S901">
        <v>1</v>
      </c>
      <c r="T901" t="s">
        <v>58</v>
      </c>
      <c r="U901" t="s">
        <v>156</v>
      </c>
      <c r="V901" s="3">
        <v>0.15</v>
      </c>
      <c r="W901" s="2">
        <v>0</v>
      </c>
      <c r="X901">
        <v>0</v>
      </c>
      <c r="Y901" t="s">
        <v>157</v>
      </c>
      <c r="Z901" t="s">
        <v>135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3.86</v>
      </c>
      <c r="AN901" s="2">
        <v>3.86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46062</v>
      </c>
      <c r="B902" t="s">
        <v>48</v>
      </c>
      <c r="C902">
        <v>649163</v>
      </c>
      <c r="D902">
        <v>2018462892</v>
      </c>
      <c r="E902" t="s">
        <v>461</v>
      </c>
      <c r="F902" t="s">
        <v>462</v>
      </c>
      <c r="G902" t="s">
        <v>51</v>
      </c>
      <c r="H902" t="s">
        <v>90</v>
      </c>
      <c r="I902" t="s">
        <v>383</v>
      </c>
      <c r="J902" t="s">
        <v>1172</v>
      </c>
      <c r="K902">
        <v>651818</v>
      </c>
      <c r="L902" t="s">
        <v>80</v>
      </c>
      <c r="M902" t="s">
        <v>81</v>
      </c>
      <c r="N902" t="s">
        <v>57</v>
      </c>
      <c r="O902" s="1">
        <v>45052</v>
      </c>
      <c r="Q902" s="1">
        <v>46087</v>
      </c>
      <c r="R902" s="2">
        <v>51.46</v>
      </c>
      <c r="S902">
        <v>1</v>
      </c>
      <c r="T902" t="s">
        <v>58</v>
      </c>
      <c r="U902" t="s">
        <v>156</v>
      </c>
      <c r="V902" s="3">
        <v>0.15</v>
      </c>
      <c r="W902" s="2">
        <v>0</v>
      </c>
      <c r="X902">
        <v>0</v>
      </c>
      <c r="Y902" t="s">
        <v>157</v>
      </c>
      <c r="Z902" t="s">
        <v>135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7.72</v>
      </c>
      <c r="AN902" s="2">
        <v>7.72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46062</v>
      </c>
      <c r="B903" t="s">
        <v>48</v>
      </c>
      <c r="C903">
        <v>649163</v>
      </c>
      <c r="D903">
        <v>2018924838</v>
      </c>
      <c r="E903" t="s">
        <v>1177</v>
      </c>
      <c r="F903" t="s">
        <v>492</v>
      </c>
      <c r="G903" t="s">
        <v>51</v>
      </c>
      <c r="H903" t="s">
        <v>392</v>
      </c>
      <c r="I903" t="s">
        <v>383</v>
      </c>
      <c r="J903" t="s">
        <v>1172</v>
      </c>
      <c r="K903">
        <v>652037</v>
      </c>
      <c r="L903" t="s">
        <v>171</v>
      </c>
      <c r="M903" t="s">
        <v>172</v>
      </c>
      <c r="N903" t="s">
        <v>57</v>
      </c>
      <c r="O903" s="1">
        <v>45084</v>
      </c>
      <c r="Q903" s="1">
        <v>46088</v>
      </c>
      <c r="R903" s="2">
        <v>24.61</v>
      </c>
      <c r="S903">
        <v>1</v>
      </c>
      <c r="T903" t="s">
        <v>58</v>
      </c>
      <c r="U903" t="s">
        <v>156</v>
      </c>
      <c r="V903" s="3">
        <v>0.15</v>
      </c>
      <c r="W903" s="2">
        <v>0</v>
      </c>
      <c r="X903">
        <v>0</v>
      </c>
      <c r="Y903" t="s">
        <v>157</v>
      </c>
      <c r="Z903" t="s">
        <v>135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3.69</v>
      </c>
      <c r="AN903" s="2">
        <v>3.69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46062</v>
      </c>
      <c r="B904" t="s">
        <v>48</v>
      </c>
      <c r="C904">
        <v>649163</v>
      </c>
      <c r="D904">
        <v>2018966124</v>
      </c>
      <c r="E904" t="s">
        <v>1178</v>
      </c>
      <c r="F904" t="s">
        <v>1179</v>
      </c>
      <c r="G904" t="s">
        <v>51</v>
      </c>
      <c r="H904" t="s">
        <v>392</v>
      </c>
      <c r="I904" t="s">
        <v>383</v>
      </c>
      <c r="J904" t="s">
        <v>1172</v>
      </c>
      <c r="K904">
        <v>652037</v>
      </c>
      <c r="L904" t="s">
        <v>171</v>
      </c>
      <c r="M904" t="s">
        <v>172</v>
      </c>
      <c r="N904" t="s">
        <v>57</v>
      </c>
      <c r="O904" s="1">
        <v>45087</v>
      </c>
      <c r="Q904" s="1">
        <v>46091</v>
      </c>
      <c r="R904" s="2">
        <v>24.61</v>
      </c>
      <c r="S904">
        <v>1</v>
      </c>
      <c r="T904" t="s">
        <v>58</v>
      </c>
      <c r="U904" t="s">
        <v>156</v>
      </c>
      <c r="V904" s="3">
        <v>0.15</v>
      </c>
      <c r="W904" s="2">
        <v>0</v>
      </c>
      <c r="X904">
        <v>0</v>
      </c>
      <c r="Y904" t="s">
        <v>157</v>
      </c>
      <c r="Z904" t="s">
        <v>135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3.69</v>
      </c>
      <c r="AN904" s="2">
        <v>3.69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46062</v>
      </c>
      <c r="B905" t="s">
        <v>48</v>
      </c>
      <c r="C905">
        <v>649163</v>
      </c>
      <c r="D905">
        <v>2019110193</v>
      </c>
      <c r="E905" t="s">
        <v>463</v>
      </c>
      <c r="F905" t="s">
        <v>464</v>
      </c>
      <c r="G905" t="s">
        <v>51</v>
      </c>
      <c r="H905" t="s">
        <v>353</v>
      </c>
      <c r="I905" t="s">
        <v>383</v>
      </c>
      <c r="J905" t="s">
        <v>1172</v>
      </c>
      <c r="K905">
        <v>651818</v>
      </c>
      <c r="L905" t="s">
        <v>80</v>
      </c>
      <c r="M905" t="s">
        <v>81</v>
      </c>
      <c r="N905" t="s">
        <v>57</v>
      </c>
      <c r="O905" s="1">
        <v>45112</v>
      </c>
      <c r="Q905" s="1">
        <v>46086</v>
      </c>
      <c r="R905" s="2">
        <v>-10.54</v>
      </c>
      <c r="S905">
        <v>1</v>
      </c>
      <c r="T905" t="s">
        <v>58</v>
      </c>
      <c r="U905" t="s">
        <v>156</v>
      </c>
      <c r="V905" s="3">
        <v>0.15</v>
      </c>
      <c r="W905" s="2">
        <v>0</v>
      </c>
      <c r="X905">
        <v>-1</v>
      </c>
      <c r="Y905" t="s">
        <v>157</v>
      </c>
      <c r="Z905" t="s">
        <v>135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-1.58</v>
      </c>
      <c r="AN905" s="2">
        <v>-1.58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46062</v>
      </c>
      <c r="B906" t="s">
        <v>48</v>
      </c>
      <c r="C906">
        <v>649163</v>
      </c>
      <c r="D906">
        <v>2019319907</v>
      </c>
      <c r="E906" t="s">
        <v>1180</v>
      </c>
      <c r="F906" t="s">
        <v>711</v>
      </c>
      <c r="G906" t="s">
        <v>51</v>
      </c>
      <c r="H906" t="s">
        <v>96</v>
      </c>
      <c r="I906" t="s">
        <v>383</v>
      </c>
      <c r="J906" t="s">
        <v>385</v>
      </c>
      <c r="K906">
        <v>651818</v>
      </c>
      <c r="L906" t="s">
        <v>80</v>
      </c>
      <c r="M906" t="s">
        <v>81</v>
      </c>
      <c r="N906" t="s">
        <v>57</v>
      </c>
      <c r="O906" s="1">
        <v>45118</v>
      </c>
      <c r="Q906" s="1">
        <v>46092</v>
      </c>
      <c r="R906" s="2">
        <v>32.58</v>
      </c>
      <c r="S906">
        <v>1</v>
      </c>
      <c r="T906" t="s">
        <v>58</v>
      </c>
      <c r="U906" t="s">
        <v>156</v>
      </c>
      <c r="V906" s="3">
        <v>0.1</v>
      </c>
      <c r="W906" s="2">
        <v>0</v>
      </c>
      <c r="X906">
        <v>0</v>
      </c>
      <c r="Y906" t="s">
        <v>157</v>
      </c>
      <c r="Z906" t="s">
        <v>135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3.26</v>
      </c>
      <c r="AN906" s="2">
        <v>3.26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46062</v>
      </c>
      <c r="B907" t="s">
        <v>48</v>
      </c>
      <c r="C907">
        <v>649163</v>
      </c>
      <c r="D907">
        <v>2020737470</v>
      </c>
      <c r="E907" t="s">
        <v>1181</v>
      </c>
      <c r="F907" t="s">
        <v>1182</v>
      </c>
      <c r="G907" t="s">
        <v>51</v>
      </c>
      <c r="H907" t="s">
        <v>52</v>
      </c>
      <c r="I907" t="s">
        <v>383</v>
      </c>
      <c r="J907" t="s">
        <v>385</v>
      </c>
      <c r="K907">
        <v>702406</v>
      </c>
      <c r="L907" t="s">
        <v>630</v>
      </c>
      <c r="M907" t="s">
        <v>65</v>
      </c>
      <c r="N907" t="s">
        <v>57</v>
      </c>
      <c r="O907" s="1">
        <v>45240</v>
      </c>
      <c r="Q907" s="1">
        <v>46091</v>
      </c>
      <c r="R907" s="2">
        <v>123.44</v>
      </c>
      <c r="S907">
        <v>1</v>
      </c>
      <c r="T907" t="s">
        <v>58</v>
      </c>
      <c r="U907" t="s">
        <v>156</v>
      </c>
      <c r="V907" s="3">
        <v>0.1</v>
      </c>
      <c r="W907" s="2">
        <v>0</v>
      </c>
      <c r="X907">
        <v>0</v>
      </c>
      <c r="Y907" t="s">
        <v>157</v>
      </c>
      <c r="Z907" t="s">
        <v>135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12.34</v>
      </c>
      <c r="AN907" s="2">
        <v>12.34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46062</v>
      </c>
      <c r="B908" t="s">
        <v>48</v>
      </c>
      <c r="C908">
        <v>649163</v>
      </c>
      <c r="D908">
        <v>2020855630</v>
      </c>
      <c r="E908" t="s">
        <v>467</v>
      </c>
      <c r="F908" t="s">
        <v>468</v>
      </c>
      <c r="G908" t="s">
        <v>51</v>
      </c>
      <c r="H908" t="s">
        <v>90</v>
      </c>
      <c r="I908" t="s">
        <v>383</v>
      </c>
      <c r="J908" t="s">
        <v>385</v>
      </c>
      <c r="K908">
        <v>651818</v>
      </c>
      <c r="L908" t="s">
        <v>80</v>
      </c>
      <c r="M908" t="s">
        <v>81</v>
      </c>
      <c r="N908" t="s">
        <v>144</v>
      </c>
      <c r="O908" s="1">
        <v>45265</v>
      </c>
      <c r="P908" s="1">
        <v>46062</v>
      </c>
      <c r="Q908" s="1">
        <v>46086</v>
      </c>
      <c r="R908" s="2">
        <v>-32.69</v>
      </c>
      <c r="S908">
        <v>1</v>
      </c>
      <c r="T908" t="s">
        <v>58</v>
      </c>
      <c r="U908" t="s">
        <v>156</v>
      </c>
      <c r="V908" s="3">
        <v>0.1</v>
      </c>
      <c r="W908" s="2">
        <v>0</v>
      </c>
      <c r="X908">
        <v>-1</v>
      </c>
      <c r="Y908" t="s">
        <v>157</v>
      </c>
      <c r="Z908" t="s">
        <v>135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-3.27</v>
      </c>
      <c r="AN908" s="2">
        <v>-3.27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46062</v>
      </c>
      <c r="B909" t="s">
        <v>48</v>
      </c>
      <c r="C909">
        <v>649163</v>
      </c>
      <c r="D909">
        <v>2021092887</v>
      </c>
      <c r="E909" t="s">
        <v>469</v>
      </c>
      <c r="F909" t="s">
        <v>470</v>
      </c>
      <c r="G909" t="s">
        <v>51</v>
      </c>
      <c r="H909" t="s">
        <v>90</v>
      </c>
      <c r="I909" t="s">
        <v>383</v>
      </c>
      <c r="J909" t="s">
        <v>385</v>
      </c>
      <c r="K909">
        <v>651818</v>
      </c>
      <c r="L909" t="s">
        <v>80</v>
      </c>
      <c r="M909" t="s">
        <v>81</v>
      </c>
      <c r="N909" t="s">
        <v>57</v>
      </c>
      <c r="O909" s="1">
        <v>45295</v>
      </c>
      <c r="Q909" s="1">
        <v>46085</v>
      </c>
      <c r="R909" s="2">
        <v>32.58</v>
      </c>
      <c r="S909">
        <v>1</v>
      </c>
      <c r="T909" t="s">
        <v>58</v>
      </c>
      <c r="U909" t="s">
        <v>156</v>
      </c>
      <c r="V909" s="3">
        <v>0.1</v>
      </c>
      <c r="W909" s="2">
        <v>0</v>
      </c>
      <c r="X909">
        <v>0</v>
      </c>
      <c r="Y909" t="s">
        <v>157</v>
      </c>
      <c r="Z909" t="s">
        <v>135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3.26</v>
      </c>
      <c r="AN909" s="2">
        <v>3.26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46062</v>
      </c>
      <c r="B910" t="s">
        <v>48</v>
      </c>
      <c r="C910">
        <v>649163</v>
      </c>
      <c r="D910">
        <v>2021785654</v>
      </c>
      <c r="E910" t="s">
        <v>1053</v>
      </c>
      <c r="F910" t="s">
        <v>234</v>
      </c>
      <c r="G910" t="s">
        <v>51</v>
      </c>
      <c r="H910" t="s">
        <v>90</v>
      </c>
      <c r="I910" t="s">
        <v>383</v>
      </c>
      <c r="J910" t="s">
        <v>384</v>
      </c>
      <c r="K910">
        <v>651818</v>
      </c>
      <c r="L910" t="s">
        <v>80</v>
      </c>
      <c r="M910" t="s">
        <v>81</v>
      </c>
      <c r="N910" t="s">
        <v>57</v>
      </c>
      <c r="O910" s="1">
        <v>45357</v>
      </c>
      <c r="Q910" s="1">
        <v>46087</v>
      </c>
      <c r="R910" s="2">
        <v>67</v>
      </c>
      <c r="S910">
        <v>1</v>
      </c>
      <c r="T910" t="s">
        <v>58</v>
      </c>
      <c r="U910" t="s">
        <v>156</v>
      </c>
      <c r="V910" s="3">
        <v>0.15</v>
      </c>
      <c r="W910" s="2">
        <v>0</v>
      </c>
      <c r="X910">
        <v>0</v>
      </c>
      <c r="Y910" t="s">
        <v>157</v>
      </c>
      <c r="Z910" t="s">
        <v>135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10.050000000000001</v>
      </c>
      <c r="AN910" s="2">
        <v>10.050000000000001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46062</v>
      </c>
      <c r="B911" t="s">
        <v>48</v>
      </c>
      <c r="C911">
        <v>649163</v>
      </c>
      <c r="D911">
        <v>2022013865</v>
      </c>
      <c r="E911" t="s">
        <v>638</v>
      </c>
      <c r="F911" t="s">
        <v>639</v>
      </c>
      <c r="G911" t="s">
        <v>51</v>
      </c>
      <c r="H911" t="s">
        <v>209</v>
      </c>
      <c r="I911" t="s">
        <v>383</v>
      </c>
      <c r="J911" t="s">
        <v>384</v>
      </c>
      <c r="K911">
        <v>673059</v>
      </c>
      <c r="L911" t="s">
        <v>162</v>
      </c>
      <c r="M911" t="s">
        <v>180</v>
      </c>
      <c r="N911" t="s">
        <v>144</v>
      </c>
      <c r="O911" s="1">
        <v>45383</v>
      </c>
      <c r="P911" s="1">
        <v>46055</v>
      </c>
      <c r="Q911" s="1">
        <v>46082</v>
      </c>
      <c r="R911" s="2">
        <v>-82.78</v>
      </c>
      <c r="S911">
        <v>1</v>
      </c>
      <c r="T911" t="s">
        <v>58</v>
      </c>
      <c r="U911" t="s">
        <v>156</v>
      </c>
      <c r="V911" s="3">
        <v>0.15</v>
      </c>
      <c r="W911" s="2">
        <v>0</v>
      </c>
      <c r="X911">
        <v>-1</v>
      </c>
      <c r="Y911" t="s">
        <v>157</v>
      </c>
      <c r="Z911" t="s">
        <v>135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-12.42</v>
      </c>
      <c r="AN911" s="2">
        <v>-12.42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46062</v>
      </c>
      <c r="B912" t="s">
        <v>48</v>
      </c>
      <c r="C912">
        <v>649163</v>
      </c>
      <c r="D912">
        <v>2022013866</v>
      </c>
      <c r="E912" t="s">
        <v>638</v>
      </c>
      <c r="F912" t="s">
        <v>639</v>
      </c>
      <c r="G912" t="s">
        <v>51</v>
      </c>
      <c r="H912" t="s">
        <v>209</v>
      </c>
      <c r="I912" t="s">
        <v>383</v>
      </c>
      <c r="J912" t="s">
        <v>1172</v>
      </c>
      <c r="K912">
        <v>673059</v>
      </c>
      <c r="L912" t="s">
        <v>162</v>
      </c>
      <c r="M912" t="s">
        <v>180</v>
      </c>
      <c r="N912" t="s">
        <v>144</v>
      </c>
      <c r="O912" s="1">
        <v>45383</v>
      </c>
      <c r="P912" s="1">
        <v>46055</v>
      </c>
      <c r="Q912" s="1">
        <v>46082</v>
      </c>
      <c r="R912" s="2">
        <v>-23.39</v>
      </c>
      <c r="S912">
        <v>1</v>
      </c>
      <c r="T912" t="s">
        <v>58</v>
      </c>
      <c r="U912" t="s">
        <v>156</v>
      </c>
      <c r="V912" s="3">
        <v>0.15</v>
      </c>
      <c r="W912" s="2">
        <v>0</v>
      </c>
      <c r="X912">
        <v>-1</v>
      </c>
      <c r="Y912" t="s">
        <v>157</v>
      </c>
      <c r="Z912" t="s">
        <v>135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-3.51</v>
      </c>
      <c r="AN912" s="2">
        <v>-3.51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46062</v>
      </c>
      <c r="B913" t="s">
        <v>48</v>
      </c>
      <c r="C913">
        <v>649163</v>
      </c>
      <c r="D913">
        <v>2022623337</v>
      </c>
      <c r="E913" t="s">
        <v>1183</v>
      </c>
      <c r="F913" t="s">
        <v>65</v>
      </c>
      <c r="G913" t="s">
        <v>51</v>
      </c>
      <c r="H913" t="s">
        <v>66</v>
      </c>
      <c r="I913" t="s">
        <v>383</v>
      </c>
      <c r="J913" t="s">
        <v>384</v>
      </c>
      <c r="K913">
        <v>651818</v>
      </c>
      <c r="L913" t="s">
        <v>80</v>
      </c>
      <c r="M913" t="s">
        <v>81</v>
      </c>
      <c r="N913" t="s">
        <v>57</v>
      </c>
      <c r="O913" s="1">
        <v>45392</v>
      </c>
      <c r="Q913" s="1">
        <v>46091</v>
      </c>
      <c r="R913" s="2">
        <v>388.92</v>
      </c>
      <c r="S913">
        <v>1</v>
      </c>
      <c r="T913" t="s">
        <v>58</v>
      </c>
      <c r="U913" t="s">
        <v>156</v>
      </c>
      <c r="V913" s="3">
        <v>0.15</v>
      </c>
      <c r="W913" s="2">
        <v>0</v>
      </c>
      <c r="X913">
        <v>0</v>
      </c>
      <c r="Y913" t="s">
        <v>157</v>
      </c>
      <c r="Z913" t="s">
        <v>135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58.34</v>
      </c>
      <c r="AN913" s="2">
        <v>58.34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46062</v>
      </c>
      <c r="B914" t="s">
        <v>48</v>
      </c>
      <c r="C914">
        <v>649163</v>
      </c>
      <c r="D914">
        <v>2022807452</v>
      </c>
      <c r="E914" t="s">
        <v>1184</v>
      </c>
      <c r="F914" t="s">
        <v>240</v>
      </c>
      <c r="G914" t="s">
        <v>51</v>
      </c>
      <c r="H914" t="s">
        <v>66</v>
      </c>
      <c r="I914" t="s">
        <v>383</v>
      </c>
      <c r="J914" t="s">
        <v>384</v>
      </c>
      <c r="K914">
        <v>651818</v>
      </c>
      <c r="L914" t="s">
        <v>80</v>
      </c>
      <c r="M914" t="s">
        <v>81</v>
      </c>
      <c r="N914" t="s">
        <v>57</v>
      </c>
      <c r="O914" s="1">
        <v>45418</v>
      </c>
      <c r="Q914" s="1">
        <v>46087</v>
      </c>
      <c r="R914" s="2">
        <v>148.27000000000001</v>
      </c>
      <c r="S914">
        <v>1</v>
      </c>
      <c r="T914" t="s">
        <v>58</v>
      </c>
      <c r="U914" t="s">
        <v>156</v>
      </c>
      <c r="V914" s="3">
        <v>0.15</v>
      </c>
      <c r="W914" s="2">
        <v>0</v>
      </c>
      <c r="X914">
        <v>0</v>
      </c>
      <c r="Y914" t="s">
        <v>157</v>
      </c>
      <c r="Z914" t="s">
        <v>135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22.24</v>
      </c>
      <c r="AN914" s="2">
        <v>22.24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46062</v>
      </c>
      <c r="B915" t="s">
        <v>48</v>
      </c>
      <c r="C915">
        <v>649163</v>
      </c>
      <c r="D915">
        <v>2023217694</v>
      </c>
      <c r="E915" t="s">
        <v>1185</v>
      </c>
      <c r="F915" t="s">
        <v>524</v>
      </c>
      <c r="G915" t="s">
        <v>51</v>
      </c>
      <c r="H915" t="s">
        <v>780</v>
      </c>
      <c r="I915" t="s">
        <v>383</v>
      </c>
      <c r="J915" t="s">
        <v>385</v>
      </c>
      <c r="K915">
        <v>651818</v>
      </c>
      <c r="L915" t="s">
        <v>80</v>
      </c>
      <c r="M915" t="s">
        <v>81</v>
      </c>
      <c r="N915" t="s">
        <v>57</v>
      </c>
      <c r="O915" s="1">
        <v>45449</v>
      </c>
      <c r="Q915" s="1">
        <v>46087</v>
      </c>
      <c r="R915" s="2">
        <v>29.42</v>
      </c>
      <c r="S915">
        <v>1</v>
      </c>
      <c r="T915" t="s">
        <v>58</v>
      </c>
      <c r="U915" t="s">
        <v>156</v>
      </c>
      <c r="V915" s="3">
        <v>0.1</v>
      </c>
      <c r="W915" s="2">
        <v>0</v>
      </c>
      <c r="X915">
        <v>0</v>
      </c>
      <c r="Y915" t="s">
        <v>157</v>
      </c>
      <c r="Z915" t="s">
        <v>135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2.94</v>
      </c>
      <c r="AN915" s="2">
        <v>2.94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46062</v>
      </c>
      <c r="B916" t="s">
        <v>48</v>
      </c>
      <c r="C916">
        <v>649163</v>
      </c>
      <c r="D916">
        <v>2023297035</v>
      </c>
      <c r="E916" t="s">
        <v>480</v>
      </c>
      <c r="F916" t="s">
        <v>481</v>
      </c>
      <c r="G916" t="s">
        <v>51</v>
      </c>
      <c r="H916" t="s">
        <v>96</v>
      </c>
      <c r="I916" t="s">
        <v>383</v>
      </c>
      <c r="J916" t="s">
        <v>384</v>
      </c>
      <c r="K916">
        <v>651818</v>
      </c>
      <c r="L916" t="s">
        <v>80</v>
      </c>
      <c r="M916" t="s">
        <v>81</v>
      </c>
      <c r="N916" t="s">
        <v>57</v>
      </c>
      <c r="O916" s="1">
        <v>45449</v>
      </c>
      <c r="Q916" s="1">
        <v>46087</v>
      </c>
      <c r="R916" s="2">
        <v>86.91</v>
      </c>
      <c r="S916">
        <v>1</v>
      </c>
      <c r="T916" t="s">
        <v>58</v>
      </c>
      <c r="U916" t="s">
        <v>156</v>
      </c>
      <c r="V916" s="3">
        <v>0.15</v>
      </c>
      <c r="W916" s="2">
        <v>0</v>
      </c>
      <c r="X916">
        <v>0</v>
      </c>
      <c r="Y916" t="s">
        <v>157</v>
      </c>
      <c r="Z916" t="s">
        <v>135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13.04</v>
      </c>
      <c r="AN916" s="2">
        <v>13.04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46062</v>
      </c>
      <c r="B917" t="s">
        <v>48</v>
      </c>
      <c r="C917">
        <v>649163</v>
      </c>
      <c r="D917">
        <v>2023710953</v>
      </c>
      <c r="E917" t="s">
        <v>1186</v>
      </c>
      <c r="F917" t="s">
        <v>1187</v>
      </c>
      <c r="G917" t="s">
        <v>51</v>
      </c>
      <c r="H917" t="s">
        <v>527</v>
      </c>
      <c r="I917" t="s">
        <v>383</v>
      </c>
      <c r="J917" t="s">
        <v>384</v>
      </c>
      <c r="K917">
        <v>651818</v>
      </c>
      <c r="L917" t="s">
        <v>80</v>
      </c>
      <c r="M917" t="s">
        <v>81</v>
      </c>
      <c r="N917" t="s">
        <v>57</v>
      </c>
      <c r="O917" s="1">
        <v>45479</v>
      </c>
      <c r="Q917" s="1">
        <v>46087</v>
      </c>
      <c r="R917" s="2">
        <v>132.86000000000001</v>
      </c>
      <c r="S917">
        <v>1</v>
      </c>
      <c r="T917" t="s">
        <v>58</v>
      </c>
      <c r="U917" t="s">
        <v>156</v>
      </c>
      <c r="V917" s="3">
        <v>0.15</v>
      </c>
      <c r="W917" s="2">
        <v>0</v>
      </c>
      <c r="X917">
        <v>0</v>
      </c>
      <c r="Y917" t="s">
        <v>157</v>
      </c>
      <c r="Z917" t="s">
        <v>135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19.93</v>
      </c>
      <c r="AN917" s="2">
        <v>19.93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46062</v>
      </c>
      <c r="B918" t="s">
        <v>48</v>
      </c>
      <c r="C918">
        <v>649163</v>
      </c>
      <c r="D918">
        <v>2023911658</v>
      </c>
      <c r="E918" t="s">
        <v>1188</v>
      </c>
      <c r="F918" t="s">
        <v>1189</v>
      </c>
      <c r="G918" t="s">
        <v>51</v>
      </c>
      <c r="H918" t="s">
        <v>177</v>
      </c>
      <c r="I918" t="s">
        <v>383</v>
      </c>
      <c r="J918" t="s">
        <v>385</v>
      </c>
      <c r="K918">
        <v>673059</v>
      </c>
      <c r="L918" t="s">
        <v>162</v>
      </c>
      <c r="M918" t="s">
        <v>180</v>
      </c>
      <c r="N918" t="s">
        <v>57</v>
      </c>
      <c r="O918" s="1">
        <v>45486</v>
      </c>
      <c r="Q918" s="1">
        <v>46094</v>
      </c>
      <c r="R918" s="2">
        <v>150.63</v>
      </c>
      <c r="S918">
        <v>1</v>
      </c>
      <c r="T918" t="s">
        <v>58</v>
      </c>
      <c r="U918" t="s">
        <v>156</v>
      </c>
      <c r="V918" s="3">
        <v>0.1</v>
      </c>
      <c r="W918" s="2">
        <v>0</v>
      </c>
      <c r="X918">
        <v>0</v>
      </c>
      <c r="Y918" t="s">
        <v>157</v>
      </c>
      <c r="Z918" t="s">
        <v>135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15.06</v>
      </c>
      <c r="AN918" s="2">
        <v>15.06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46062</v>
      </c>
      <c r="B919" t="s">
        <v>48</v>
      </c>
      <c r="C919">
        <v>649163</v>
      </c>
      <c r="D919">
        <v>2024001565</v>
      </c>
      <c r="E919" t="s">
        <v>145</v>
      </c>
      <c r="F919" t="s">
        <v>155</v>
      </c>
      <c r="G919" t="s">
        <v>51</v>
      </c>
      <c r="H919" t="s">
        <v>84</v>
      </c>
      <c r="I919" t="s">
        <v>383</v>
      </c>
      <c r="J919" t="s">
        <v>384</v>
      </c>
      <c r="K919">
        <v>651818</v>
      </c>
      <c r="L919" t="s">
        <v>80</v>
      </c>
      <c r="M919" t="s">
        <v>81</v>
      </c>
      <c r="N919" t="s">
        <v>57</v>
      </c>
      <c r="O919" s="1">
        <v>45510</v>
      </c>
      <c r="Q919" s="1">
        <v>46087</v>
      </c>
      <c r="R919" s="2">
        <v>40.65</v>
      </c>
      <c r="S919">
        <v>1</v>
      </c>
      <c r="T919" t="s">
        <v>58</v>
      </c>
      <c r="U919" t="s">
        <v>156</v>
      </c>
      <c r="V919" s="3">
        <v>0.15</v>
      </c>
      <c r="W919" s="2">
        <v>0</v>
      </c>
      <c r="X919">
        <v>0</v>
      </c>
      <c r="Y919" t="s">
        <v>157</v>
      </c>
      <c r="Z919" t="s">
        <v>135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6.1</v>
      </c>
      <c r="AN919" s="2">
        <v>6.1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46062</v>
      </c>
      <c r="B920" t="s">
        <v>48</v>
      </c>
      <c r="C920">
        <v>649163</v>
      </c>
      <c r="D920">
        <v>2024197970</v>
      </c>
      <c r="E920" t="s">
        <v>643</v>
      </c>
      <c r="F920" t="s">
        <v>644</v>
      </c>
      <c r="G920" t="s">
        <v>51</v>
      </c>
      <c r="H920" t="s">
        <v>66</v>
      </c>
      <c r="I920" t="s">
        <v>383</v>
      </c>
      <c r="J920" t="s">
        <v>384</v>
      </c>
      <c r="K920">
        <v>766747</v>
      </c>
      <c r="L920" t="s">
        <v>645</v>
      </c>
      <c r="M920" t="s">
        <v>188</v>
      </c>
      <c r="N920" t="s">
        <v>57</v>
      </c>
      <c r="O920" s="1">
        <v>45541</v>
      </c>
      <c r="Q920" s="1">
        <v>46087</v>
      </c>
      <c r="R920" s="2">
        <v>11.5</v>
      </c>
      <c r="S920">
        <v>1</v>
      </c>
      <c r="T920" t="s">
        <v>58</v>
      </c>
      <c r="U920" t="s">
        <v>156</v>
      </c>
      <c r="V920" s="3">
        <v>0.15</v>
      </c>
      <c r="W920" s="2">
        <v>0</v>
      </c>
      <c r="X920">
        <v>0</v>
      </c>
      <c r="Y920" t="s">
        <v>157</v>
      </c>
      <c r="Z920" t="s">
        <v>135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1.72</v>
      </c>
      <c r="AN920" s="2">
        <v>1.72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46062</v>
      </c>
      <c r="B921" t="s">
        <v>48</v>
      </c>
      <c r="C921">
        <v>649163</v>
      </c>
      <c r="D921">
        <v>2024202345</v>
      </c>
      <c r="E921" t="s">
        <v>1190</v>
      </c>
      <c r="F921" t="s">
        <v>250</v>
      </c>
      <c r="G921" t="s">
        <v>51</v>
      </c>
      <c r="H921" t="s">
        <v>66</v>
      </c>
      <c r="I921" t="s">
        <v>383</v>
      </c>
      <c r="J921" t="s">
        <v>384</v>
      </c>
      <c r="K921">
        <v>766747</v>
      </c>
      <c r="L921" t="s">
        <v>645</v>
      </c>
      <c r="M921" t="s">
        <v>188</v>
      </c>
      <c r="N921" t="s">
        <v>57</v>
      </c>
      <c r="O921" s="1">
        <v>45541</v>
      </c>
      <c r="Q921" s="1">
        <v>46087</v>
      </c>
      <c r="R921" s="2">
        <v>130.72</v>
      </c>
      <c r="S921">
        <v>1</v>
      </c>
      <c r="T921" t="s">
        <v>58</v>
      </c>
      <c r="U921" t="s">
        <v>156</v>
      </c>
      <c r="V921" s="3">
        <v>0.15</v>
      </c>
      <c r="W921" s="2">
        <v>0</v>
      </c>
      <c r="X921">
        <v>0</v>
      </c>
      <c r="Y921" t="s">
        <v>157</v>
      </c>
      <c r="Z921" t="s">
        <v>135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19.61</v>
      </c>
      <c r="AN921" s="2">
        <v>19.61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46062</v>
      </c>
      <c r="B922" t="s">
        <v>48</v>
      </c>
      <c r="C922">
        <v>649163</v>
      </c>
      <c r="D922">
        <v>2024324040</v>
      </c>
      <c r="E922" t="s">
        <v>1085</v>
      </c>
      <c r="F922" t="s">
        <v>1086</v>
      </c>
      <c r="G922" t="s">
        <v>51</v>
      </c>
      <c r="H922" t="s">
        <v>765</v>
      </c>
      <c r="I922" t="s">
        <v>383</v>
      </c>
      <c r="J922" t="s">
        <v>384</v>
      </c>
      <c r="K922">
        <v>650218</v>
      </c>
      <c r="L922" t="s">
        <v>246</v>
      </c>
      <c r="M922" t="s">
        <v>195</v>
      </c>
      <c r="N922" t="s">
        <v>57</v>
      </c>
      <c r="O922" s="1">
        <v>45514</v>
      </c>
      <c r="Q922" s="1">
        <v>46091</v>
      </c>
      <c r="R922" s="2">
        <v>25.55</v>
      </c>
      <c r="S922">
        <v>1</v>
      </c>
      <c r="T922" t="s">
        <v>58</v>
      </c>
      <c r="U922" t="s">
        <v>156</v>
      </c>
      <c r="V922" s="3">
        <v>0.15</v>
      </c>
      <c r="W922" s="2">
        <v>0</v>
      </c>
      <c r="X922">
        <v>0</v>
      </c>
      <c r="Y922" t="s">
        <v>157</v>
      </c>
      <c r="Z922" t="s">
        <v>135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3.83</v>
      </c>
      <c r="AN922" s="2">
        <v>3.83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46062</v>
      </c>
      <c r="B923" t="s">
        <v>48</v>
      </c>
      <c r="C923">
        <v>649163</v>
      </c>
      <c r="D923">
        <v>2024356429</v>
      </c>
      <c r="E923" t="s">
        <v>646</v>
      </c>
      <c r="F923" t="s">
        <v>647</v>
      </c>
      <c r="G923" t="s">
        <v>51</v>
      </c>
      <c r="H923" t="s">
        <v>66</v>
      </c>
      <c r="I923" t="s">
        <v>383</v>
      </c>
      <c r="J923" t="s">
        <v>384</v>
      </c>
      <c r="K923">
        <v>767312</v>
      </c>
      <c r="L923" t="s">
        <v>310</v>
      </c>
      <c r="M923" t="s">
        <v>311</v>
      </c>
      <c r="N923" t="s">
        <v>57</v>
      </c>
      <c r="O923" s="1">
        <v>45517</v>
      </c>
      <c r="Q923" s="1">
        <v>46094</v>
      </c>
      <c r="R923" s="2">
        <v>28.9</v>
      </c>
      <c r="S923">
        <v>1</v>
      </c>
      <c r="T923" t="s">
        <v>58</v>
      </c>
      <c r="U923" t="s">
        <v>156</v>
      </c>
      <c r="V923" s="3">
        <v>0.15</v>
      </c>
      <c r="W923" s="2">
        <v>0</v>
      </c>
      <c r="X923">
        <v>0</v>
      </c>
      <c r="Y923" t="s">
        <v>157</v>
      </c>
      <c r="Z923" t="s">
        <v>135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4.34</v>
      </c>
      <c r="AN923" s="2">
        <v>4.34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46062</v>
      </c>
      <c r="B924" t="s">
        <v>48</v>
      </c>
      <c r="C924">
        <v>649163</v>
      </c>
      <c r="D924">
        <v>2024598451</v>
      </c>
      <c r="E924" t="s">
        <v>483</v>
      </c>
      <c r="F924" t="s">
        <v>484</v>
      </c>
      <c r="G924" t="s">
        <v>51</v>
      </c>
      <c r="H924" t="s">
        <v>66</v>
      </c>
      <c r="I924" t="s">
        <v>383</v>
      </c>
      <c r="J924" t="s">
        <v>385</v>
      </c>
      <c r="K924">
        <v>651818</v>
      </c>
      <c r="L924" t="s">
        <v>80</v>
      </c>
      <c r="M924" t="s">
        <v>81</v>
      </c>
      <c r="N924" t="s">
        <v>57</v>
      </c>
      <c r="O924" s="1">
        <v>45542</v>
      </c>
      <c r="Q924" s="1">
        <v>46088</v>
      </c>
      <c r="R924" s="2">
        <v>51.63</v>
      </c>
      <c r="S924">
        <v>1</v>
      </c>
      <c r="T924" t="s">
        <v>58</v>
      </c>
      <c r="U924" t="s">
        <v>156</v>
      </c>
      <c r="V924" s="3">
        <v>0.1</v>
      </c>
      <c r="W924" s="2">
        <v>0</v>
      </c>
      <c r="X924">
        <v>0</v>
      </c>
      <c r="Y924" t="s">
        <v>157</v>
      </c>
      <c r="Z924" t="s">
        <v>135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5.16</v>
      </c>
      <c r="AN924" s="2">
        <v>5.16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46062</v>
      </c>
      <c r="B925" t="s">
        <v>48</v>
      </c>
      <c r="C925">
        <v>649163</v>
      </c>
      <c r="D925">
        <v>2024754200</v>
      </c>
      <c r="E925" t="s">
        <v>718</v>
      </c>
      <c r="F925" t="s">
        <v>1191</v>
      </c>
      <c r="G925" t="s">
        <v>51</v>
      </c>
      <c r="H925" t="s">
        <v>90</v>
      </c>
      <c r="I925" t="s">
        <v>383</v>
      </c>
      <c r="J925" t="s">
        <v>385</v>
      </c>
      <c r="K925">
        <v>767312</v>
      </c>
      <c r="L925" t="s">
        <v>310</v>
      </c>
      <c r="M925" t="s">
        <v>311</v>
      </c>
      <c r="N925" t="s">
        <v>57</v>
      </c>
      <c r="O925" s="1">
        <v>45542</v>
      </c>
      <c r="Q925" s="1">
        <v>46088</v>
      </c>
      <c r="R925" s="2">
        <v>29.25</v>
      </c>
      <c r="S925">
        <v>1</v>
      </c>
      <c r="T925" t="s">
        <v>58</v>
      </c>
      <c r="U925" t="s">
        <v>156</v>
      </c>
      <c r="V925" s="3">
        <v>0.1</v>
      </c>
      <c r="W925" s="2">
        <v>0</v>
      </c>
      <c r="X925">
        <v>0</v>
      </c>
      <c r="Y925" t="s">
        <v>157</v>
      </c>
      <c r="Z925" t="s">
        <v>135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2.92</v>
      </c>
      <c r="AN925" s="2">
        <v>2.92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46062</v>
      </c>
      <c r="B926" t="s">
        <v>48</v>
      </c>
      <c r="C926">
        <v>649163</v>
      </c>
      <c r="D926">
        <v>2024789926</v>
      </c>
      <c r="E926" t="s">
        <v>485</v>
      </c>
      <c r="F926" t="s">
        <v>486</v>
      </c>
      <c r="G926" t="s">
        <v>51</v>
      </c>
      <c r="H926" t="s">
        <v>170</v>
      </c>
      <c r="I926" t="s">
        <v>383</v>
      </c>
      <c r="J926" t="s">
        <v>384</v>
      </c>
      <c r="K926">
        <v>767312</v>
      </c>
      <c r="L926" t="s">
        <v>310</v>
      </c>
      <c r="M926" t="s">
        <v>311</v>
      </c>
      <c r="N926" t="s">
        <v>57</v>
      </c>
      <c r="O926" s="1">
        <v>45545</v>
      </c>
      <c r="Q926" s="1">
        <v>46091</v>
      </c>
      <c r="R926" s="2">
        <v>18.920000000000002</v>
      </c>
      <c r="S926">
        <v>1</v>
      </c>
      <c r="T926" t="s">
        <v>58</v>
      </c>
      <c r="U926" t="s">
        <v>156</v>
      </c>
      <c r="V926" s="3">
        <v>0.15</v>
      </c>
      <c r="W926" s="2">
        <v>0</v>
      </c>
      <c r="X926">
        <v>0</v>
      </c>
      <c r="Y926" t="s">
        <v>157</v>
      </c>
      <c r="Z926" t="s">
        <v>135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2.84</v>
      </c>
      <c r="AN926" s="2">
        <v>2.84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46062</v>
      </c>
      <c r="B927" t="s">
        <v>48</v>
      </c>
      <c r="C927">
        <v>649163</v>
      </c>
      <c r="D927">
        <v>2024789927</v>
      </c>
      <c r="E927" t="s">
        <v>485</v>
      </c>
      <c r="F927" t="s">
        <v>486</v>
      </c>
      <c r="G927" t="s">
        <v>51</v>
      </c>
      <c r="H927" t="s">
        <v>170</v>
      </c>
      <c r="I927" t="s">
        <v>383</v>
      </c>
      <c r="J927" t="s">
        <v>385</v>
      </c>
      <c r="K927">
        <v>767312</v>
      </c>
      <c r="L927" t="s">
        <v>310</v>
      </c>
      <c r="M927" t="s">
        <v>311</v>
      </c>
      <c r="N927" t="s">
        <v>57</v>
      </c>
      <c r="O927" s="1">
        <v>45545</v>
      </c>
      <c r="Q927" s="1">
        <v>46091</v>
      </c>
      <c r="R927" s="2">
        <v>18.23</v>
      </c>
      <c r="S927">
        <v>1</v>
      </c>
      <c r="T927" t="s">
        <v>58</v>
      </c>
      <c r="U927" t="s">
        <v>156</v>
      </c>
      <c r="V927" s="3">
        <v>0.1</v>
      </c>
      <c r="W927" s="2">
        <v>0</v>
      </c>
      <c r="X927">
        <v>0</v>
      </c>
      <c r="Y927" t="s">
        <v>157</v>
      </c>
      <c r="Z927" t="s">
        <v>135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1.82</v>
      </c>
      <c r="AN927" s="2">
        <v>1.82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46062</v>
      </c>
      <c r="B928" t="s">
        <v>48</v>
      </c>
      <c r="C928">
        <v>649163</v>
      </c>
      <c r="D928">
        <v>2024815771</v>
      </c>
      <c r="E928" t="s">
        <v>1192</v>
      </c>
      <c r="F928" t="s">
        <v>1193</v>
      </c>
      <c r="G928" t="s">
        <v>51</v>
      </c>
      <c r="H928" t="s">
        <v>66</v>
      </c>
      <c r="I928" t="s">
        <v>383</v>
      </c>
      <c r="J928" t="s">
        <v>384</v>
      </c>
      <c r="K928">
        <v>673059</v>
      </c>
      <c r="L928" t="s">
        <v>162</v>
      </c>
      <c r="M928" t="s">
        <v>180</v>
      </c>
      <c r="N928" t="s">
        <v>57</v>
      </c>
      <c r="O928" s="1">
        <v>45547</v>
      </c>
      <c r="Q928" s="1">
        <v>46093</v>
      </c>
      <c r="R928" s="2">
        <v>51</v>
      </c>
      <c r="S928">
        <v>1</v>
      </c>
      <c r="T928" t="s">
        <v>58</v>
      </c>
      <c r="U928" t="s">
        <v>156</v>
      </c>
      <c r="V928" s="3">
        <v>0.15</v>
      </c>
      <c r="W928" s="2">
        <v>0</v>
      </c>
      <c r="X928">
        <v>0</v>
      </c>
      <c r="Y928" t="s">
        <v>157</v>
      </c>
      <c r="Z928" t="s">
        <v>135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7.65</v>
      </c>
      <c r="AN928" s="2">
        <v>7.65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46062</v>
      </c>
      <c r="B929" t="s">
        <v>48</v>
      </c>
      <c r="C929">
        <v>649163</v>
      </c>
      <c r="D929">
        <v>2024899507</v>
      </c>
      <c r="E929" t="s">
        <v>650</v>
      </c>
      <c r="F929" t="s">
        <v>651</v>
      </c>
      <c r="G929" t="s">
        <v>51</v>
      </c>
      <c r="H929" t="s">
        <v>353</v>
      </c>
      <c r="I929" t="s">
        <v>383</v>
      </c>
      <c r="J929" t="s">
        <v>384</v>
      </c>
      <c r="K929">
        <v>651818</v>
      </c>
      <c r="L929" t="s">
        <v>80</v>
      </c>
      <c r="M929" t="s">
        <v>81</v>
      </c>
      <c r="N929" t="s">
        <v>57</v>
      </c>
      <c r="O929" s="1">
        <v>45571</v>
      </c>
      <c r="Q929" s="1">
        <v>46087</v>
      </c>
      <c r="R929" s="2">
        <v>34.340000000000003</v>
      </c>
      <c r="S929">
        <v>1</v>
      </c>
      <c r="T929" t="s">
        <v>58</v>
      </c>
      <c r="U929" t="s">
        <v>156</v>
      </c>
      <c r="V929" s="3">
        <v>0.15</v>
      </c>
      <c r="W929" s="2">
        <v>0</v>
      </c>
      <c r="X929">
        <v>0</v>
      </c>
      <c r="Y929" t="s">
        <v>157</v>
      </c>
      <c r="Z929" t="s">
        <v>135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5.15</v>
      </c>
      <c r="AN929" s="2">
        <v>5.15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46062</v>
      </c>
      <c r="B930" t="s">
        <v>48</v>
      </c>
      <c r="C930">
        <v>649163</v>
      </c>
      <c r="D930">
        <v>2024899508</v>
      </c>
      <c r="E930" t="s">
        <v>650</v>
      </c>
      <c r="F930" t="s">
        <v>651</v>
      </c>
      <c r="G930" t="s">
        <v>51</v>
      </c>
      <c r="H930" t="s">
        <v>353</v>
      </c>
      <c r="I930" t="s">
        <v>383</v>
      </c>
      <c r="J930" t="s">
        <v>385</v>
      </c>
      <c r="K930">
        <v>651818</v>
      </c>
      <c r="L930" t="s">
        <v>80</v>
      </c>
      <c r="M930" t="s">
        <v>81</v>
      </c>
      <c r="N930" t="s">
        <v>57</v>
      </c>
      <c r="O930" s="1">
        <v>45571</v>
      </c>
      <c r="Q930" s="1">
        <v>46087</v>
      </c>
      <c r="R930" s="2">
        <v>29.25</v>
      </c>
      <c r="S930">
        <v>1</v>
      </c>
      <c r="T930" t="s">
        <v>58</v>
      </c>
      <c r="U930" t="s">
        <v>156</v>
      </c>
      <c r="V930" s="3">
        <v>0.1</v>
      </c>
      <c r="W930" s="2">
        <v>0</v>
      </c>
      <c r="X930">
        <v>0</v>
      </c>
      <c r="Y930" t="s">
        <v>157</v>
      </c>
      <c r="Z930" t="s">
        <v>135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2.92</v>
      </c>
      <c r="AN930" s="2">
        <v>2.92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46062</v>
      </c>
      <c r="B931" t="s">
        <v>48</v>
      </c>
      <c r="C931">
        <v>649163</v>
      </c>
      <c r="D931">
        <v>2025049457</v>
      </c>
      <c r="E931" t="s">
        <v>1194</v>
      </c>
      <c r="F931" t="s">
        <v>1195</v>
      </c>
      <c r="G931" t="s">
        <v>51</v>
      </c>
      <c r="H931" t="s">
        <v>66</v>
      </c>
      <c r="I931" t="s">
        <v>383</v>
      </c>
      <c r="J931" t="s">
        <v>384</v>
      </c>
      <c r="K931">
        <v>651818</v>
      </c>
      <c r="L931" t="s">
        <v>80</v>
      </c>
      <c r="M931" t="s">
        <v>81</v>
      </c>
      <c r="N931" t="s">
        <v>57</v>
      </c>
      <c r="O931" s="1">
        <v>45572</v>
      </c>
      <c r="Q931" s="1">
        <v>46088</v>
      </c>
      <c r="R931" s="2">
        <v>59.4</v>
      </c>
      <c r="S931">
        <v>1</v>
      </c>
      <c r="T931" t="s">
        <v>58</v>
      </c>
      <c r="U931" t="s">
        <v>156</v>
      </c>
      <c r="V931" s="3">
        <v>0.15</v>
      </c>
      <c r="W931" s="2">
        <v>0</v>
      </c>
      <c r="X931">
        <v>0</v>
      </c>
      <c r="Y931" t="s">
        <v>157</v>
      </c>
      <c r="Z931" t="s">
        <v>135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8.91</v>
      </c>
      <c r="AN931" s="2">
        <v>8.91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46062</v>
      </c>
      <c r="B932" t="s">
        <v>48</v>
      </c>
      <c r="C932">
        <v>649163</v>
      </c>
      <c r="D932">
        <v>2025222897</v>
      </c>
      <c r="E932" t="s">
        <v>580</v>
      </c>
      <c r="F932" t="s">
        <v>1087</v>
      </c>
      <c r="G932" t="s">
        <v>51</v>
      </c>
      <c r="H932" t="s">
        <v>147</v>
      </c>
      <c r="I932" t="s">
        <v>383</v>
      </c>
      <c r="J932" t="s">
        <v>384</v>
      </c>
      <c r="K932">
        <v>751867</v>
      </c>
      <c r="L932" t="s">
        <v>239</v>
      </c>
      <c r="M932" t="s">
        <v>240</v>
      </c>
      <c r="N932" t="s">
        <v>57</v>
      </c>
      <c r="O932" s="1">
        <v>45574</v>
      </c>
      <c r="Q932" s="1">
        <v>46090</v>
      </c>
      <c r="R932" s="2">
        <v>22</v>
      </c>
      <c r="S932">
        <v>1</v>
      </c>
      <c r="T932" t="s">
        <v>58</v>
      </c>
      <c r="U932" t="s">
        <v>156</v>
      </c>
      <c r="V932" s="3">
        <v>0.15</v>
      </c>
      <c r="W932" s="2">
        <v>0</v>
      </c>
      <c r="X932">
        <v>0</v>
      </c>
      <c r="Y932" t="s">
        <v>157</v>
      </c>
      <c r="Z932" t="s">
        <v>135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3.3</v>
      </c>
      <c r="AN932" s="2">
        <v>3.3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46062</v>
      </c>
      <c r="B933" t="s">
        <v>48</v>
      </c>
      <c r="C933">
        <v>649163</v>
      </c>
      <c r="D933">
        <v>2025254890</v>
      </c>
      <c r="E933" t="s">
        <v>487</v>
      </c>
      <c r="F933" t="s">
        <v>488</v>
      </c>
      <c r="G933" t="s">
        <v>51</v>
      </c>
      <c r="H933" t="s">
        <v>96</v>
      </c>
      <c r="I933" t="s">
        <v>383</v>
      </c>
      <c r="J933" t="s">
        <v>384</v>
      </c>
      <c r="K933">
        <v>767312</v>
      </c>
      <c r="L933" t="s">
        <v>310</v>
      </c>
      <c r="M933" t="s">
        <v>311</v>
      </c>
      <c r="N933" t="s">
        <v>57</v>
      </c>
      <c r="O933" s="1">
        <v>45576</v>
      </c>
      <c r="Q933" s="1">
        <v>46092</v>
      </c>
      <c r="R933" s="2">
        <v>35.04</v>
      </c>
      <c r="S933">
        <v>1</v>
      </c>
      <c r="T933" t="s">
        <v>58</v>
      </c>
      <c r="U933" t="s">
        <v>156</v>
      </c>
      <c r="V933" s="3">
        <v>0.15</v>
      </c>
      <c r="W933" s="2">
        <v>0</v>
      </c>
      <c r="X933">
        <v>0</v>
      </c>
      <c r="Y933" t="s">
        <v>157</v>
      </c>
      <c r="Z933" t="s">
        <v>135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5.26</v>
      </c>
      <c r="AN933" s="2">
        <v>5.26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46062</v>
      </c>
      <c r="B934" t="s">
        <v>48</v>
      </c>
      <c r="C934">
        <v>649163</v>
      </c>
      <c r="D934">
        <v>2025254891</v>
      </c>
      <c r="E934" t="s">
        <v>487</v>
      </c>
      <c r="F934" t="s">
        <v>488</v>
      </c>
      <c r="G934" t="s">
        <v>51</v>
      </c>
      <c r="H934" t="s">
        <v>96</v>
      </c>
      <c r="I934" t="s">
        <v>383</v>
      </c>
      <c r="J934" t="s">
        <v>385</v>
      </c>
      <c r="K934">
        <v>767312</v>
      </c>
      <c r="L934" t="s">
        <v>310</v>
      </c>
      <c r="M934" t="s">
        <v>311</v>
      </c>
      <c r="N934" t="s">
        <v>57</v>
      </c>
      <c r="O934" s="1">
        <v>45576</v>
      </c>
      <c r="Q934" s="1">
        <v>46092</v>
      </c>
      <c r="R934" s="2">
        <v>19.28</v>
      </c>
      <c r="S934">
        <v>1</v>
      </c>
      <c r="T934" t="s">
        <v>58</v>
      </c>
      <c r="U934" t="s">
        <v>156</v>
      </c>
      <c r="V934" s="3">
        <v>0.1</v>
      </c>
      <c r="W934" s="2">
        <v>0</v>
      </c>
      <c r="X934">
        <v>0</v>
      </c>
      <c r="Y934" t="s">
        <v>157</v>
      </c>
      <c r="Z934" t="s">
        <v>135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1.93</v>
      </c>
      <c r="AN934" s="2">
        <v>1.93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46062</v>
      </c>
      <c r="B935" t="s">
        <v>48</v>
      </c>
      <c r="C935">
        <v>649163</v>
      </c>
      <c r="D935">
        <v>2025262310</v>
      </c>
      <c r="E935" t="s">
        <v>490</v>
      </c>
      <c r="F935" t="s">
        <v>240</v>
      </c>
      <c r="G935" t="s">
        <v>51</v>
      </c>
      <c r="H935" t="s">
        <v>274</v>
      </c>
      <c r="I935" t="s">
        <v>383</v>
      </c>
      <c r="J935" t="s">
        <v>384</v>
      </c>
      <c r="K935">
        <v>796984</v>
      </c>
      <c r="L935" t="s">
        <v>491</v>
      </c>
      <c r="M935" t="s">
        <v>492</v>
      </c>
      <c r="N935" t="s">
        <v>57</v>
      </c>
      <c r="O935" s="1">
        <v>45576</v>
      </c>
      <c r="Q935" s="1">
        <v>46092</v>
      </c>
      <c r="R935" s="2">
        <v>9.6999999999999993</v>
      </c>
      <c r="S935">
        <v>1</v>
      </c>
      <c r="T935" t="s">
        <v>58</v>
      </c>
      <c r="U935" t="s">
        <v>156</v>
      </c>
      <c r="V935" s="3">
        <v>0.15</v>
      </c>
      <c r="W935" s="2">
        <v>0</v>
      </c>
      <c r="X935">
        <v>0</v>
      </c>
      <c r="Y935" t="s">
        <v>157</v>
      </c>
      <c r="Z935" t="s">
        <v>135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1.46</v>
      </c>
      <c r="AN935" s="2">
        <v>1.46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46062</v>
      </c>
      <c r="B936" t="s">
        <v>48</v>
      </c>
      <c r="C936">
        <v>649163</v>
      </c>
      <c r="D936">
        <v>2025262311</v>
      </c>
      <c r="E936" t="s">
        <v>490</v>
      </c>
      <c r="F936" t="s">
        <v>240</v>
      </c>
      <c r="G936" t="s">
        <v>51</v>
      </c>
      <c r="H936" t="s">
        <v>274</v>
      </c>
      <c r="I936" t="s">
        <v>383</v>
      </c>
      <c r="J936" t="s">
        <v>1172</v>
      </c>
      <c r="K936">
        <v>796984</v>
      </c>
      <c r="L936" t="s">
        <v>491</v>
      </c>
      <c r="M936" t="s">
        <v>492</v>
      </c>
      <c r="N936" t="s">
        <v>57</v>
      </c>
      <c r="O936" s="1">
        <v>45576</v>
      </c>
      <c r="Q936" s="1">
        <v>46092</v>
      </c>
      <c r="R936" s="2">
        <v>6.3</v>
      </c>
      <c r="S936">
        <v>1</v>
      </c>
      <c r="T936" t="s">
        <v>58</v>
      </c>
      <c r="U936" t="s">
        <v>156</v>
      </c>
      <c r="V936" s="3">
        <v>0.15</v>
      </c>
      <c r="W936" s="2">
        <v>0</v>
      </c>
      <c r="X936">
        <v>0</v>
      </c>
      <c r="Y936" t="s">
        <v>157</v>
      </c>
      <c r="Z936" t="s">
        <v>135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0.94</v>
      </c>
      <c r="AN936" s="2">
        <v>0.94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46062</v>
      </c>
      <c r="B937" t="s">
        <v>48</v>
      </c>
      <c r="C937">
        <v>649163</v>
      </c>
      <c r="D937">
        <v>2025265220</v>
      </c>
      <c r="E937" t="s">
        <v>547</v>
      </c>
      <c r="F937" t="s">
        <v>1196</v>
      </c>
      <c r="G937" t="s">
        <v>51</v>
      </c>
      <c r="H937" t="s">
        <v>90</v>
      </c>
      <c r="I937" t="s">
        <v>383</v>
      </c>
      <c r="J937" t="s">
        <v>385</v>
      </c>
      <c r="K937">
        <v>767312</v>
      </c>
      <c r="L937" t="s">
        <v>310</v>
      </c>
      <c r="M937" t="s">
        <v>311</v>
      </c>
      <c r="N937" t="s">
        <v>57</v>
      </c>
      <c r="O937" s="1">
        <v>45576</v>
      </c>
      <c r="Q937" s="1">
        <v>46092</v>
      </c>
      <c r="R937" s="2">
        <v>27.81</v>
      </c>
      <c r="S937">
        <v>1</v>
      </c>
      <c r="T937" t="s">
        <v>58</v>
      </c>
      <c r="U937" t="s">
        <v>156</v>
      </c>
      <c r="V937" s="3">
        <v>0.1</v>
      </c>
      <c r="W937" s="2">
        <v>0</v>
      </c>
      <c r="X937">
        <v>0</v>
      </c>
      <c r="Y937" t="s">
        <v>157</v>
      </c>
      <c r="Z937" t="s">
        <v>135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2.78</v>
      </c>
      <c r="AN937" s="2">
        <v>2.78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46062</v>
      </c>
      <c r="B938" t="s">
        <v>48</v>
      </c>
      <c r="C938">
        <v>649163</v>
      </c>
      <c r="D938">
        <v>2025265267</v>
      </c>
      <c r="E938" t="s">
        <v>1197</v>
      </c>
      <c r="F938" t="s">
        <v>687</v>
      </c>
      <c r="G938" t="s">
        <v>51</v>
      </c>
      <c r="H938" t="s">
        <v>90</v>
      </c>
      <c r="I938" t="s">
        <v>383</v>
      </c>
      <c r="J938" t="s">
        <v>385</v>
      </c>
      <c r="K938">
        <v>767312</v>
      </c>
      <c r="L938" t="s">
        <v>310</v>
      </c>
      <c r="M938" t="s">
        <v>311</v>
      </c>
      <c r="N938" t="s">
        <v>57</v>
      </c>
      <c r="O938" s="1">
        <v>45576</v>
      </c>
      <c r="Q938" s="1">
        <v>46092</v>
      </c>
      <c r="R938" s="2">
        <v>10.31</v>
      </c>
      <c r="S938">
        <v>1</v>
      </c>
      <c r="T938" t="s">
        <v>58</v>
      </c>
      <c r="U938" t="s">
        <v>156</v>
      </c>
      <c r="V938" s="3">
        <v>0.1</v>
      </c>
      <c r="W938" s="2">
        <v>0</v>
      </c>
      <c r="X938">
        <v>0</v>
      </c>
      <c r="Y938" t="s">
        <v>157</v>
      </c>
      <c r="Z938" t="s">
        <v>135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1.03</v>
      </c>
      <c r="AN938" s="2">
        <v>1.03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46062</v>
      </c>
      <c r="B939" t="s">
        <v>48</v>
      </c>
      <c r="C939">
        <v>649163</v>
      </c>
      <c r="D939">
        <v>2025287066</v>
      </c>
      <c r="E939" t="s">
        <v>493</v>
      </c>
      <c r="F939" t="s">
        <v>494</v>
      </c>
      <c r="G939" t="s">
        <v>51</v>
      </c>
      <c r="H939" t="s">
        <v>397</v>
      </c>
      <c r="I939" t="s">
        <v>383</v>
      </c>
      <c r="J939" t="s">
        <v>384</v>
      </c>
      <c r="K939">
        <v>767312</v>
      </c>
      <c r="L939" t="s">
        <v>310</v>
      </c>
      <c r="M939" t="s">
        <v>311</v>
      </c>
      <c r="N939" t="s">
        <v>57</v>
      </c>
      <c r="O939" s="1">
        <v>45577</v>
      </c>
      <c r="Q939" s="1">
        <v>46093</v>
      </c>
      <c r="R939" s="2">
        <v>26.73</v>
      </c>
      <c r="S939">
        <v>1</v>
      </c>
      <c r="T939" t="s">
        <v>58</v>
      </c>
      <c r="U939" t="s">
        <v>156</v>
      </c>
      <c r="V939" s="3">
        <v>0.15</v>
      </c>
      <c r="W939" s="2">
        <v>0</v>
      </c>
      <c r="X939">
        <v>0</v>
      </c>
      <c r="Y939" t="s">
        <v>157</v>
      </c>
      <c r="Z939" t="s">
        <v>135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4.01</v>
      </c>
      <c r="AN939" s="2">
        <v>4.01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46062</v>
      </c>
      <c r="B940" t="s">
        <v>48</v>
      </c>
      <c r="C940">
        <v>649163</v>
      </c>
      <c r="D940">
        <v>2025655084</v>
      </c>
      <c r="E940" t="s">
        <v>495</v>
      </c>
      <c r="F940" t="s">
        <v>496</v>
      </c>
      <c r="G940" t="s">
        <v>51</v>
      </c>
      <c r="H940" t="s">
        <v>90</v>
      </c>
      <c r="I940" t="s">
        <v>383</v>
      </c>
      <c r="J940" t="s">
        <v>385</v>
      </c>
      <c r="K940">
        <v>651818</v>
      </c>
      <c r="L940" t="s">
        <v>80</v>
      </c>
      <c r="M940" t="s">
        <v>81</v>
      </c>
      <c r="N940" t="s">
        <v>57</v>
      </c>
      <c r="O940" s="1">
        <v>45604</v>
      </c>
      <c r="Q940" s="1">
        <v>46089</v>
      </c>
      <c r="R940" s="2">
        <v>99.25</v>
      </c>
      <c r="S940">
        <v>1</v>
      </c>
      <c r="T940" t="s">
        <v>58</v>
      </c>
      <c r="U940" t="s">
        <v>156</v>
      </c>
      <c r="V940" s="3">
        <v>0.1</v>
      </c>
      <c r="W940" s="2">
        <v>0</v>
      </c>
      <c r="X940">
        <v>0</v>
      </c>
      <c r="Y940" t="s">
        <v>157</v>
      </c>
      <c r="Z940" t="s">
        <v>135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9.92</v>
      </c>
      <c r="AN940" s="2">
        <v>9.92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46062</v>
      </c>
      <c r="B941" t="s">
        <v>48</v>
      </c>
      <c r="C941">
        <v>649163</v>
      </c>
      <c r="D941">
        <v>2025660998</v>
      </c>
      <c r="E941" t="s">
        <v>654</v>
      </c>
      <c r="F941" t="s">
        <v>496</v>
      </c>
      <c r="G941" t="s">
        <v>51</v>
      </c>
      <c r="H941" t="s">
        <v>140</v>
      </c>
      <c r="I941" t="s">
        <v>383</v>
      </c>
      <c r="J941" t="s">
        <v>1172</v>
      </c>
      <c r="K941">
        <v>673059</v>
      </c>
      <c r="L941" t="s">
        <v>162</v>
      </c>
      <c r="M941" t="s">
        <v>180</v>
      </c>
      <c r="N941" t="s">
        <v>57</v>
      </c>
      <c r="O941" s="1">
        <v>45665</v>
      </c>
      <c r="Q941" s="1">
        <v>46089</v>
      </c>
      <c r="R941" s="2">
        <v>42.88</v>
      </c>
      <c r="S941">
        <v>1</v>
      </c>
      <c r="T941" t="s">
        <v>58</v>
      </c>
      <c r="U941" t="s">
        <v>156</v>
      </c>
      <c r="V941" s="3">
        <v>0.15</v>
      </c>
      <c r="W941" s="2">
        <v>0</v>
      </c>
      <c r="X941">
        <v>0</v>
      </c>
      <c r="Y941" t="s">
        <v>157</v>
      </c>
      <c r="Z941" t="s">
        <v>135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6.43</v>
      </c>
      <c r="AN941" s="2">
        <v>6.43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46062</v>
      </c>
      <c r="B942" t="s">
        <v>48</v>
      </c>
      <c r="C942">
        <v>649163</v>
      </c>
      <c r="D942">
        <v>2025661000</v>
      </c>
      <c r="E942" t="s">
        <v>654</v>
      </c>
      <c r="F942" t="s">
        <v>496</v>
      </c>
      <c r="G942" t="s">
        <v>51</v>
      </c>
      <c r="H942" t="s">
        <v>140</v>
      </c>
      <c r="I942" t="s">
        <v>383</v>
      </c>
      <c r="J942" t="s">
        <v>384</v>
      </c>
      <c r="K942">
        <v>673059</v>
      </c>
      <c r="L942" t="s">
        <v>162</v>
      </c>
      <c r="M942" t="s">
        <v>180</v>
      </c>
      <c r="N942" t="s">
        <v>57</v>
      </c>
      <c r="O942" s="1">
        <v>45665</v>
      </c>
      <c r="Q942" s="1">
        <v>46089</v>
      </c>
      <c r="R942" s="2">
        <v>128.65</v>
      </c>
      <c r="S942">
        <v>1</v>
      </c>
      <c r="T942" t="s">
        <v>58</v>
      </c>
      <c r="U942" t="s">
        <v>156</v>
      </c>
      <c r="V942" s="3">
        <v>0.15</v>
      </c>
      <c r="W942" s="2">
        <v>0</v>
      </c>
      <c r="X942">
        <v>0</v>
      </c>
      <c r="Y942" t="s">
        <v>157</v>
      </c>
      <c r="Z942" t="s">
        <v>135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19.3</v>
      </c>
      <c r="AN942" s="2">
        <v>19.3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46062</v>
      </c>
      <c r="B943" t="s">
        <v>48</v>
      </c>
      <c r="C943">
        <v>649163</v>
      </c>
      <c r="D943">
        <v>2025677958</v>
      </c>
      <c r="E943" t="s">
        <v>655</v>
      </c>
      <c r="F943" t="s">
        <v>656</v>
      </c>
      <c r="G943" t="s">
        <v>51</v>
      </c>
      <c r="H943" t="s">
        <v>309</v>
      </c>
      <c r="I943" t="s">
        <v>383</v>
      </c>
      <c r="J943" t="s">
        <v>385</v>
      </c>
      <c r="K943">
        <v>767312</v>
      </c>
      <c r="L943" t="s">
        <v>310</v>
      </c>
      <c r="M943" t="s">
        <v>311</v>
      </c>
      <c r="N943" t="s">
        <v>57</v>
      </c>
      <c r="O943" s="1">
        <v>45604</v>
      </c>
      <c r="Q943" s="1">
        <v>46089</v>
      </c>
      <c r="R943" s="2">
        <v>31.08</v>
      </c>
      <c r="S943">
        <v>1</v>
      </c>
      <c r="T943" t="s">
        <v>58</v>
      </c>
      <c r="U943" t="s">
        <v>156</v>
      </c>
      <c r="V943" s="3">
        <v>0.1</v>
      </c>
      <c r="W943" s="2">
        <v>0</v>
      </c>
      <c r="X943">
        <v>0</v>
      </c>
      <c r="Y943" t="s">
        <v>157</v>
      </c>
      <c r="Z943" t="s">
        <v>135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3.11</v>
      </c>
      <c r="AN943" s="2">
        <v>3.11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46062</v>
      </c>
      <c r="B944" t="s">
        <v>48</v>
      </c>
      <c r="C944">
        <v>649163</v>
      </c>
      <c r="D944">
        <v>2025684074</v>
      </c>
      <c r="E944" t="s">
        <v>372</v>
      </c>
      <c r="F944" t="s">
        <v>1198</v>
      </c>
      <c r="G944" t="s">
        <v>51</v>
      </c>
      <c r="H944" t="s">
        <v>66</v>
      </c>
      <c r="I944" t="s">
        <v>383</v>
      </c>
      <c r="J944" t="s">
        <v>384</v>
      </c>
      <c r="K944">
        <v>792847</v>
      </c>
      <c r="L944" t="s">
        <v>372</v>
      </c>
      <c r="M944" t="s">
        <v>373</v>
      </c>
      <c r="N944" t="s">
        <v>57</v>
      </c>
      <c r="O944" s="1">
        <v>45604</v>
      </c>
      <c r="Q944" s="1">
        <v>46089</v>
      </c>
      <c r="R944" s="2">
        <v>86.25</v>
      </c>
      <c r="S944">
        <v>1</v>
      </c>
      <c r="T944" t="s">
        <v>58</v>
      </c>
      <c r="U944" t="s">
        <v>156</v>
      </c>
      <c r="V944" s="3">
        <v>0.15</v>
      </c>
      <c r="W944" s="2">
        <v>0</v>
      </c>
      <c r="X944">
        <v>0</v>
      </c>
      <c r="Y944" t="s">
        <v>157</v>
      </c>
      <c r="Z944" t="s">
        <v>135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12.94</v>
      </c>
      <c r="AN944" s="2">
        <v>12.94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46062</v>
      </c>
      <c r="B945" t="s">
        <v>48</v>
      </c>
      <c r="C945">
        <v>649163</v>
      </c>
      <c r="D945">
        <v>2025690376</v>
      </c>
      <c r="E945" t="s">
        <v>497</v>
      </c>
      <c r="F945" t="s">
        <v>498</v>
      </c>
      <c r="G945" t="s">
        <v>51</v>
      </c>
      <c r="H945" t="s">
        <v>78</v>
      </c>
      <c r="I945" t="s">
        <v>383</v>
      </c>
      <c r="J945" t="s">
        <v>384</v>
      </c>
      <c r="K945">
        <v>651818</v>
      </c>
      <c r="L945" t="s">
        <v>80</v>
      </c>
      <c r="M945" t="s">
        <v>81</v>
      </c>
      <c r="N945" t="s">
        <v>57</v>
      </c>
      <c r="O945" s="1">
        <v>45664</v>
      </c>
      <c r="Q945" s="1">
        <v>46088</v>
      </c>
      <c r="R945" s="2">
        <v>31.28</v>
      </c>
      <c r="S945">
        <v>1</v>
      </c>
      <c r="T945" t="s">
        <v>58</v>
      </c>
      <c r="U945" t="s">
        <v>156</v>
      </c>
      <c r="V945" s="3">
        <v>0.15</v>
      </c>
      <c r="W945" s="2">
        <v>0</v>
      </c>
      <c r="X945">
        <v>0</v>
      </c>
      <c r="Y945" t="s">
        <v>157</v>
      </c>
      <c r="Z945" t="s">
        <v>135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4.6900000000000004</v>
      </c>
      <c r="AN945" s="2">
        <v>4.6900000000000004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46062</v>
      </c>
      <c r="B946" t="s">
        <v>48</v>
      </c>
      <c r="C946">
        <v>649163</v>
      </c>
      <c r="D946">
        <v>2025707626</v>
      </c>
      <c r="E946" t="s">
        <v>1199</v>
      </c>
      <c r="F946" t="s">
        <v>676</v>
      </c>
      <c r="G946" t="s">
        <v>51</v>
      </c>
      <c r="H946" t="s">
        <v>112</v>
      </c>
      <c r="I946" t="s">
        <v>383</v>
      </c>
      <c r="J946" t="s">
        <v>384</v>
      </c>
      <c r="K946">
        <v>651818</v>
      </c>
      <c r="L946" t="s">
        <v>80</v>
      </c>
      <c r="M946" t="s">
        <v>81</v>
      </c>
      <c r="N946" t="s">
        <v>57</v>
      </c>
      <c r="O946" s="1">
        <v>45633</v>
      </c>
      <c r="Q946" s="1">
        <v>46088</v>
      </c>
      <c r="R946" s="2">
        <v>51</v>
      </c>
      <c r="S946">
        <v>1</v>
      </c>
      <c r="T946" t="s">
        <v>58</v>
      </c>
      <c r="U946" t="s">
        <v>156</v>
      </c>
      <c r="V946" s="3">
        <v>0.15</v>
      </c>
      <c r="W946" s="2">
        <v>0</v>
      </c>
      <c r="X946">
        <v>0</v>
      </c>
      <c r="Y946" t="s">
        <v>157</v>
      </c>
      <c r="Z946" t="s">
        <v>135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7.65</v>
      </c>
      <c r="AN946" s="2">
        <v>7.65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46062</v>
      </c>
      <c r="B947" t="s">
        <v>48</v>
      </c>
      <c r="C947">
        <v>649163</v>
      </c>
      <c r="D947">
        <v>2025721593</v>
      </c>
      <c r="E947" t="s">
        <v>499</v>
      </c>
      <c r="F947" t="s">
        <v>500</v>
      </c>
      <c r="G947" t="s">
        <v>51</v>
      </c>
      <c r="H947" t="s">
        <v>274</v>
      </c>
      <c r="I947" t="s">
        <v>383</v>
      </c>
      <c r="J947" t="s">
        <v>384</v>
      </c>
      <c r="K947">
        <v>796984</v>
      </c>
      <c r="L947" t="s">
        <v>491</v>
      </c>
      <c r="M947" t="s">
        <v>492</v>
      </c>
      <c r="N947" t="s">
        <v>57</v>
      </c>
      <c r="O947" s="1">
        <v>45608</v>
      </c>
      <c r="Q947" s="1">
        <v>46093</v>
      </c>
      <c r="R947" s="2">
        <v>27.38</v>
      </c>
      <c r="S947">
        <v>1</v>
      </c>
      <c r="T947" t="s">
        <v>58</v>
      </c>
      <c r="U947" t="s">
        <v>156</v>
      </c>
      <c r="V947" s="3">
        <v>0.15</v>
      </c>
      <c r="W947" s="2">
        <v>0</v>
      </c>
      <c r="X947">
        <v>0</v>
      </c>
      <c r="Y947" t="s">
        <v>157</v>
      </c>
      <c r="Z947" t="s">
        <v>135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4.1100000000000003</v>
      </c>
      <c r="AN947" s="2">
        <v>4.1100000000000003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46062</v>
      </c>
      <c r="B948" t="s">
        <v>48</v>
      </c>
      <c r="C948">
        <v>649163</v>
      </c>
      <c r="D948">
        <v>2025721594</v>
      </c>
      <c r="E948" t="s">
        <v>499</v>
      </c>
      <c r="F948" t="s">
        <v>500</v>
      </c>
      <c r="G948" t="s">
        <v>51</v>
      </c>
      <c r="H948" t="s">
        <v>274</v>
      </c>
      <c r="I948" t="s">
        <v>383</v>
      </c>
      <c r="J948" t="s">
        <v>1172</v>
      </c>
      <c r="K948">
        <v>796984</v>
      </c>
      <c r="L948" t="s">
        <v>491</v>
      </c>
      <c r="M948" t="s">
        <v>492</v>
      </c>
      <c r="N948" t="s">
        <v>57</v>
      </c>
      <c r="O948" s="1">
        <v>45608</v>
      </c>
      <c r="Q948" s="1">
        <v>46093</v>
      </c>
      <c r="R948" s="2">
        <v>20.95</v>
      </c>
      <c r="S948">
        <v>1</v>
      </c>
      <c r="T948" t="s">
        <v>58</v>
      </c>
      <c r="U948" t="s">
        <v>156</v>
      </c>
      <c r="V948" s="3">
        <v>0.15</v>
      </c>
      <c r="W948" s="2">
        <v>0</v>
      </c>
      <c r="X948">
        <v>0</v>
      </c>
      <c r="Y948" t="s">
        <v>157</v>
      </c>
      <c r="Z948" t="s">
        <v>135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3.14</v>
      </c>
      <c r="AN948" s="2">
        <v>3.14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46062</v>
      </c>
      <c r="B949" t="s">
        <v>48</v>
      </c>
      <c r="C949">
        <v>649163</v>
      </c>
      <c r="D949">
        <v>2025724991</v>
      </c>
      <c r="E949" t="s">
        <v>661</v>
      </c>
      <c r="F949" t="s">
        <v>125</v>
      </c>
      <c r="G949" t="s">
        <v>51</v>
      </c>
      <c r="H949" t="s">
        <v>662</v>
      </c>
      <c r="I949" t="s">
        <v>383</v>
      </c>
      <c r="J949" t="s">
        <v>384</v>
      </c>
      <c r="K949">
        <v>756418</v>
      </c>
      <c r="L949" t="s">
        <v>663</v>
      </c>
      <c r="M949" t="s">
        <v>639</v>
      </c>
      <c r="N949" t="s">
        <v>57</v>
      </c>
      <c r="O949" s="1">
        <v>45608</v>
      </c>
      <c r="Q949" s="1">
        <v>46093</v>
      </c>
      <c r="R949" s="2">
        <v>46.17</v>
      </c>
      <c r="S949">
        <v>1</v>
      </c>
      <c r="T949" t="s">
        <v>58</v>
      </c>
      <c r="U949" t="s">
        <v>156</v>
      </c>
      <c r="V949" s="3">
        <v>0.15</v>
      </c>
      <c r="W949" s="2">
        <v>0</v>
      </c>
      <c r="X949">
        <v>0</v>
      </c>
      <c r="Y949" t="s">
        <v>157</v>
      </c>
      <c r="Z949" t="s">
        <v>135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6.93</v>
      </c>
      <c r="AN949" s="2">
        <v>6.93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46062</v>
      </c>
      <c r="B950" t="s">
        <v>48</v>
      </c>
      <c r="C950">
        <v>649163</v>
      </c>
      <c r="D950">
        <v>2025727308</v>
      </c>
      <c r="E950" t="s">
        <v>173</v>
      </c>
      <c r="F950" t="s">
        <v>501</v>
      </c>
      <c r="G950" t="s">
        <v>51</v>
      </c>
      <c r="H950" t="s">
        <v>274</v>
      </c>
      <c r="I950" t="s">
        <v>383</v>
      </c>
      <c r="J950" t="s">
        <v>384</v>
      </c>
      <c r="K950">
        <v>796984</v>
      </c>
      <c r="L950" t="s">
        <v>491</v>
      </c>
      <c r="M950" t="s">
        <v>492</v>
      </c>
      <c r="N950" t="s">
        <v>57</v>
      </c>
      <c r="O950" s="1">
        <v>45608</v>
      </c>
      <c r="Q950" s="1">
        <v>46093</v>
      </c>
      <c r="R950" s="2">
        <v>9.1</v>
      </c>
      <c r="S950">
        <v>1</v>
      </c>
      <c r="T950" t="s">
        <v>58</v>
      </c>
      <c r="U950" t="s">
        <v>156</v>
      </c>
      <c r="V950" s="3">
        <v>0.15</v>
      </c>
      <c r="W950" s="2">
        <v>0</v>
      </c>
      <c r="X950">
        <v>0</v>
      </c>
      <c r="Y950" t="s">
        <v>157</v>
      </c>
      <c r="Z950" t="s">
        <v>135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1.36</v>
      </c>
      <c r="AN950" s="2">
        <v>1.36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46062</v>
      </c>
      <c r="B951" t="s">
        <v>48</v>
      </c>
      <c r="C951">
        <v>649163</v>
      </c>
      <c r="D951">
        <v>2025732433</v>
      </c>
      <c r="E951" t="s">
        <v>502</v>
      </c>
      <c r="F951" t="s">
        <v>216</v>
      </c>
      <c r="G951" t="s">
        <v>51</v>
      </c>
      <c r="H951" t="s">
        <v>353</v>
      </c>
      <c r="I951" t="s">
        <v>383</v>
      </c>
      <c r="J951" t="s">
        <v>384</v>
      </c>
      <c r="K951">
        <v>651818</v>
      </c>
      <c r="L951" t="s">
        <v>80</v>
      </c>
      <c r="M951" t="s">
        <v>81</v>
      </c>
      <c r="N951" t="s">
        <v>57</v>
      </c>
      <c r="O951" s="1">
        <v>45664</v>
      </c>
      <c r="Q951" s="1">
        <v>46088</v>
      </c>
      <c r="R951" s="2">
        <v>98.64</v>
      </c>
      <c r="S951">
        <v>1</v>
      </c>
      <c r="T951" t="s">
        <v>58</v>
      </c>
      <c r="U951" t="s">
        <v>156</v>
      </c>
      <c r="V951" s="3">
        <v>0.15</v>
      </c>
      <c r="W951" s="2">
        <v>0</v>
      </c>
      <c r="X951">
        <v>0</v>
      </c>
      <c r="Y951" t="s">
        <v>157</v>
      </c>
      <c r="Z951" t="s">
        <v>135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14.8</v>
      </c>
      <c r="AN951" s="2">
        <v>14.8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46062</v>
      </c>
      <c r="B952" t="s">
        <v>48</v>
      </c>
      <c r="C952">
        <v>649163</v>
      </c>
      <c r="D952">
        <v>2025744022</v>
      </c>
      <c r="E952" t="s">
        <v>1200</v>
      </c>
      <c r="F952" t="s">
        <v>420</v>
      </c>
      <c r="G952" t="s">
        <v>51</v>
      </c>
      <c r="H952" t="s">
        <v>66</v>
      </c>
      <c r="I952" t="s">
        <v>383</v>
      </c>
      <c r="J952" t="s">
        <v>384</v>
      </c>
      <c r="K952">
        <v>806645</v>
      </c>
      <c r="L952" t="s">
        <v>344</v>
      </c>
      <c r="M952" t="s">
        <v>345</v>
      </c>
      <c r="N952" t="s">
        <v>57</v>
      </c>
      <c r="O952" s="1">
        <v>45609</v>
      </c>
      <c r="Q952" s="1">
        <v>46094</v>
      </c>
      <c r="R952" s="2">
        <v>118</v>
      </c>
      <c r="S952">
        <v>1</v>
      </c>
      <c r="T952" t="s">
        <v>58</v>
      </c>
      <c r="U952" t="s">
        <v>156</v>
      </c>
      <c r="V952" s="3">
        <v>0.15</v>
      </c>
      <c r="W952" s="2">
        <v>0</v>
      </c>
      <c r="X952">
        <v>0</v>
      </c>
      <c r="Y952" t="s">
        <v>157</v>
      </c>
      <c r="Z952" t="s">
        <v>135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17.7</v>
      </c>
      <c r="AN952" s="2">
        <v>17.7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46062</v>
      </c>
      <c r="B953" t="s">
        <v>48</v>
      </c>
      <c r="C953">
        <v>649163</v>
      </c>
      <c r="D953">
        <v>2025772484</v>
      </c>
      <c r="E953" t="s">
        <v>503</v>
      </c>
      <c r="F953" t="s">
        <v>466</v>
      </c>
      <c r="G953" t="s">
        <v>51</v>
      </c>
      <c r="H953" t="s">
        <v>90</v>
      </c>
      <c r="I953" t="s">
        <v>383</v>
      </c>
      <c r="J953" t="s">
        <v>384</v>
      </c>
      <c r="K953">
        <v>651818</v>
      </c>
      <c r="L953" t="s">
        <v>80</v>
      </c>
      <c r="M953" t="s">
        <v>81</v>
      </c>
      <c r="N953" t="s">
        <v>57</v>
      </c>
      <c r="O953" s="1">
        <v>45633</v>
      </c>
      <c r="Q953" s="1">
        <v>46088</v>
      </c>
      <c r="R953" s="2">
        <v>261</v>
      </c>
      <c r="S953">
        <v>1</v>
      </c>
      <c r="T953" t="s">
        <v>58</v>
      </c>
      <c r="U953" t="s">
        <v>156</v>
      </c>
      <c r="V953" s="3">
        <v>0.15</v>
      </c>
      <c r="W953" s="2">
        <v>0</v>
      </c>
      <c r="X953">
        <v>0</v>
      </c>
      <c r="Y953" t="s">
        <v>157</v>
      </c>
      <c r="Z953" t="s">
        <v>135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39.15</v>
      </c>
      <c r="AN953" s="2">
        <v>39.15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46062</v>
      </c>
      <c r="B954" t="s">
        <v>48</v>
      </c>
      <c r="C954">
        <v>649163</v>
      </c>
      <c r="D954">
        <v>2025803166</v>
      </c>
      <c r="E954" t="s">
        <v>1201</v>
      </c>
      <c r="F954" t="s">
        <v>1202</v>
      </c>
      <c r="G954" t="s">
        <v>51</v>
      </c>
      <c r="H954" t="s">
        <v>90</v>
      </c>
      <c r="I954" t="s">
        <v>383</v>
      </c>
      <c r="J954" t="s">
        <v>384</v>
      </c>
      <c r="K954">
        <v>651818</v>
      </c>
      <c r="L954" t="s">
        <v>80</v>
      </c>
      <c r="M954" t="s">
        <v>81</v>
      </c>
      <c r="N954" t="s">
        <v>57</v>
      </c>
      <c r="O954" s="1">
        <v>45633</v>
      </c>
      <c r="Q954" s="1">
        <v>46088</v>
      </c>
      <c r="R954" s="2">
        <v>140.6</v>
      </c>
      <c r="S954">
        <v>1</v>
      </c>
      <c r="T954" t="s">
        <v>58</v>
      </c>
      <c r="U954" t="s">
        <v>156</v>
      </c>
      <c r="V954" s="3">
        <v>0.15</v>
      </c>
      <c r="W954" s="2">
        <v>0</v>
      </c>
      <c r="X954">
        <v>0</v>
      </c>
      <c r="Y954" t="s">
        <v>157</v>
      </c>
      <c r="Z954" t="s">
        <v>135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21.09</v>
      </c>
      <c r="AN954" s="2">
        <v>21.09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46062</v>
      </c>
      <c r="B955" t="s">
        <v>48</v>
      </c>
      <c r="C955">
        <v>649163</v>
      </c>
      <c r="D955">
        <v>2025805895</v>
      </c>
      <c r="E955" t="s">
        <v>1203</v>
      </c>
      <c r="F955" t="s">
        <v>259</v>
      </c>
      <c r="G955" t="s">
        <v>51</v>
      </c>
      <c r="H955" t="s">
        <v>90</v>
      </c>
      <c r="I955" t="s">
        <v>383</v>
      </c>
      <c r="J955" t="s">
        <v>385</v>
      </c>
      <c r="K955">
        <v>651818</v>
      </c>
      <c r="L955" t="s">
        <v>80</v>
      </c>
      <c r="M955" t="s">
        <v>81</v>
      </c>
      <c r="N955" t="s">
        <v>57</v>
      </c>
      <c r="O955" s="1">
        <v>45633</v>
      </c>
      <c r="Q955" s="1">
        <v>46088</v>
      </c>
      <c r="R955" s="2">
        <v>80.349999999999994</v>
      </c>
      <c r="S955">
        <v>1</v>
      </c>
      <c r="T955" t="s">
        <v>58</v>
      </c>
      <c r="U955" t="s">
        <v>156</v>
      </c>
      <c r="V955" s="3">
        <v>0.1</v>
      </c>
      <c r="W955" s="2">
        <v>0</v>
      </c>
      <c r="X955">
        <v>0</v>
      </c>
      <c r="Y955" t="s">
        <v>157</v>
      </c>
      <c r="Z955" t="s">
        <v>135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8.0399999999999991</v>
      </c>
      <c r="AN955" s="2">
        <v>8.0399999999999991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46062</v>
      </c>
      <c r="B956" t="s">
        <v>48</v>
      </c>
      <c r="C956">
        <v>649163</v>
      </c>
      <c r="D956">
        <v>2025805896</v>
      </c>
      <c r="E956" t="s">
        <v>1203</v>
      </c>
      <c r="F956" t="s">
        <v>259</v>
      </c>
      <c r="G956" t="s">
        <v>51</v>
      </c>
      <c r="H956" t="s">
        <v>90</v>
      </c>
      <c r="I956" t="s">
        <v>383</v>
      </c>
      <c r="J956" t="s">
        <v>384</v>
      </c>
      <c r="K956">
        <v>651818</v>
      </c>
      <c r="L956" t="s">
        <v>80</v>
      </c>
      <c r="M956" t="s">
        <v>81</v>
      </c>
      <c r="N956" t="s">
        <v>57</v>
      </c>
      <c r="O956" s="1">
        <v>45633</v>
      </c>
      <c r="Q956" s="1">
        <v>46088</v>
      </c>
      <c r="R956" s="2">
        <v>111.68</v>
      </c>
      <c r="S956">
        <v>1</v>
      </c>
      <c r="T956" t="s">
        <v>58</v>
      </c>
      <c r="U956" t="s">
        <v>156</v>
      </c>
      <c r="V956" s="3">
        <v>0.15</v>
      </c>
      <c r="W956" s="2">
        <v>0</v>
      </c>
      <c r="X956">
        <v>0</v>
      </c>
      <c r="Y956" t="s">
        <v>157</v>
      </c>
      <c r="Z956" t="s">
        <v>135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16.75</v>
      </c>
      <c r="AN956" s="2">
        <v>16.75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46062</v>
      </c>
      <c r="B957" t="s">
        <v>48</v>
      </c>
      <c r="C957">
        <v>649163</v>
      </c>
      <c r="D957">
        <v>2025815281</v>
      </c>
      <c r="E957" t="s">
        <v>504</v>
      </c>
      <c r="F957" t="s">
        <v>505</v>
      </c>
      <c r="G957" t="s">
        <v>51</v>
      </c>
      <c r="H957" t="s">
        <v>78</v>
      </c>
      <c r="I957" t="s">
        <v>383</v>
      </c>
      <c r="J957" t="s">
        <v>385</v>
      </c>
      <c r="K957">
        <v>651818</v>
      </c>
      <c r="L957" t="s">
        <v>80</v>
      </c>
      <c r="M957" t="s">
        <v>81</v>
      </c>
      <c r="N957" t="s">
        <v>57</v>
      </c>
      <c r="O957" s="1">
        <v>45633</v>
      </c>
      <c r="Q957" s="1">
        <v>46088</v>
      </c>
      <c r="R957" s="2">
        <v>21.83</v>
      </c>
      <c r="S957">
        <v>1</v>
      </c>
      <c r="T957" t="s">
        <v>58</v>
      </c>
      <c r="U957" t="s">
        <v>156</v>
      </c>
      <c r="V957" s="3">
        <v>0.1</v>
      </c>
      <c r="W957" s="2">
        <v>0</v>
      </c>
      <c r="X957">
        <v>0</v>
      </c>
      <c r="Y957" t="s">
        <v>157</v>
      </c>
      <c r="Z957" t="s">
        <v>135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2.1800000000000002</v>
      </c>
      <c r="AN957" s="2">
        <v>2.1800000000000002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46062</v>
      </c>
      <c r="B958" t="s">
        <v>48</v>
      </c>
      <c r="C958">
        <v>649163</v>
      </c>
      <c r="D958">
        <v>2025815282</v>
      </c>
      <c r="E958" t="s">
        <v>504</v>
      </c>
      <c r="F958" t="s">
        <v>505</v>
      </c>
      <c r="G958" t="s">
        <v>51</v>
      </c>
      <c r="H958" t="s">
        <v>78</v>
      </c>
      <c r="I958" t="s">
        <v>383</v>
      </c>
      <c r="J958" t="s">
        <v>384</v>
      </c>
      <c r="K958">
        <v>651818</v>
      </c>
      <c r="L958" t="s">
        <v>80</v>
      </c>
      <c r="M958" t="s">
        <v>81</v>
      </c>
      <c r="N958" t="s">
        <v>57</v>
      </c>
      <c r="O958" s="1">
        <v>45633</v>
      </c>
      <c r="Q958" s="1">
        <v>46088</v>
      </c>
      <c r="R958" s="2">
        <v>31.28</v>
      </c>
      <c r="S958">
        <v>1</v>
      </c>
      <c r="T958" t="s">
        <v>58</v>
      </c>
      <c r="U958" t="s">
        <v>156</v>
      </c>
      <c r="V958" s="3">
        <v>0.15</v>
      </c>
      <c r="W958" s="2">
        <v>0</v>
      </c>
      <c r="X958">
        <v>0</v>
      </c>
      <c r="Y958" t="s">
        <v>157</v>
      </c>
      <c r="Z958" t="s">
        <v>135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4.6900000000000004</v>
      </c>
      <c r="AN958" s="2">
        <v>4.6900000000000004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46062</v>
      </c>
      <c r="B959" t="s">
        <v>48</v>
      </c>
      <c r="C959">
        <v>649163</v>
      </c>
      <c r="D959">
        <v>2025863138</v>
      </c>
      <c r="E959" t="s">
        <v>507</v>
      </c>
      <c r="F959" t="s">
        <v>508</v>
      </c>
      <c r="G959" t="s">
        <v>51</v>
      </c>
      <c r="H959" t="s">
        <v>90</v>
      </c>
      <c r="I959" t="s">
        <v>383</v>
      </c>
      <c r="J959" t="s">
        <v>384</v>
      </c>
      <c r="K959">
        <v>651818</v>
      </c>
      <c r="L959" t="s">
        <v>80</v>
      </c>
      <c r="M959" t="s">
        <v>81</v>
      </c>
      <c r="N959" t="s">
        <v>57</v>
      </c>
      <c r="O959" s="1">
        <v>45633</v>
      </c>
      <c r="Q959" s="1">
        <v>46088</v>
      </c>
      <c r="R959" s="2">
        <v>129.22</v>
      </c>
      <c r="S959">
        <v>1</v>
      </c>
      <c r="T959" t="s">
        <v>58</v>
      </c>
      <c r="U959" t="s">
        <v>156</v>
      </c>
      <c r="V959" s="3">
        <v>0.15</v>
      </c>
      <c r="W959" s="2">
        <v>0</v>
      </c>
      <c r="X959">
        <v>0</v>
      </c>
      <c r="Y959" t="s">
        <v>157</v>
      </c>
      <c r="Z959" t="s">
        <v>135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19.38</v>
      </c>
      <c r="AN959" s="2">
        <v>19.38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46062</v>
      </c>
      <c r="B960" t="s">
        <v>48</v>
      </c>
      <c r="C960">
        <v>649163</v>
      </c>
      <c r="D960">
        <v>2025884354</v>
      </c>
      <c r="E960" t="s">
        <v>145</v>
      </c>
      <c r="F960" t="s">
        <v>666</v>
      </c>
      <c r="G960" t="s">
        <v>51</v>
      </c>
      <c r="H960" t="s">
        <v>90</v>
      </c>
      <c r="I960" t="s">
        <v>383</v>
      </c>
      <c r="J960" t="s">
        <v>384</v>
      </c>
      <c r="K960">
        <v>651818</v>
      </c>
      <c r="L960" t="s">
        <v>80</v>
      </c>
      <c r="M960" t="s">
        <v>81</v>
      </c>
      <c r="N960" t="s">
        <v>57</v>
      </c>
      <c r="O960" s="1">
        <v>45633</v>
      </c>
      <c r="Q960" s="1">
        <v>46088</v>
      </c>
      <c r="R960" s="2">
        <v>83</v>
      </c>
      <c r="S960">
        <v>1</v>
      </c>
      <c r="T960" t="s">
        <v>58</v>
      </c>
      <c r="U960" t="s">
        <v>156</v>
      </c>
      <c r="V960" s="3">
        <v>0.15</v>
      </c>
      <c r="W960" s="2">
        <v>0</v>
      </c>
      <c r="X960">
        <v>0</v>
      </c>
      <c r="Y960" t="s">
        <v>157</v>
      </c>
      <c r="Z960" t="s">
        <v>135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12.45</v>
      </c>
      <c r="AN960" s="2">
        <v>12.45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46062</v>
      </c>
      <c r="B961" t="s">
        <v>48</v>
      </c>
      <c r="C961">
        <v>649163</v>
      </c>
      <c r="D961">
        <v>2025885800</v>
      </c>
      <c r="E961" t="s">
        <v>1204</v>
      </c>
      <c r="F961" t="s">
        <v>1205</v>
      </c>
      <c r="G961" t="s">
        <v>51</v>
      </c>
      <c r="H961" t="s">
        <v>333</v>
      </c>
      <c r="I961" t="s">
        <v>383</v>
      </c>
      <c r="J961" t="s">
        <v>384</v>
      </c>
      <c r="K961">
        <v>651818</v>
      </c>
      <c r="L961" t="s">
        <v>80</v>
      </c>
      <c r="M961" t="s">
        <v>81</v>
      </c>
      <c r="N961" t="s">
        <v>57</v>
      </c>
      <c r="O961" s="1">
        <v>45633</v>
      </c>
      <c r="Q961" s="1">
        <v>46088</v>
      </c>
      <c r="R961" s="2">
        <v>187.04</v>
      </c>
      <c r="S961">
        <v>1</v>
      </c>
      <c r="T961" t="s">
        <v>58</v>
      </c>
      <c r="U961" t="s">
        <v>156</v>
      </c>
      <c r="V961" s="3">
        <v>0.15</v>
      </c>
      <c r="W961" s="2">
        <v>0</v>
      </c>
      <c r="X961">
        <v>0</v>
      </c>
      <c r="Y961" t="s">
        <v>157</v>
      </c>
      <c r="Z961" t="s">
        <v>135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28.06</v>
      </c>
      <c r="AN961" s="2">
        <v>28.06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46062</v>
      </c>
      <c r="B962" t="s">
        <v>48</v>
      </c>
      <c r="C962">
        <v>649163</v>
      </c>
      <c r="D962">
        <v>2025887934</v>
      </c>
      <c r="E962" t="s">
        <v>509</v>
      </c>
      <c r="F962" t="s">
        <v>510</v>
      </c>
      <c r="G962" t="s">
        <v>51</v>
      </c>
      <c r="H962" t="s">
        <v>112</v>
      </c>
      <c r="I962" t="s">
        <v>383</v>
      </c>
      <c r="J962" t="s">
        <v>384</v>
      </c>
      <c r="K962">
        <v>651818</v>
      </c>
      <c r="L962" t="s">
        <v>80</v>
      </c>
      <c r="M962" t="s">
        <v>81</v>
      </c>
      <c r="N962" t="s">
        <v>57</v>
      </c>
      <c r="O962" s="1">
        <v>45633</v>
      </c>
      <c r="Q962" s="1">
        <v>46088</v>
      </c>
      <c r="R962" s="2">
        <v>122.32</v>
      </c>
      <c r="S962">
        <v>1</v>
      </c>
      <c r="T962" t="s">
        <v>58</v>
      </c>
      <c r="U962" t="s">
        <v>156</v>
      </c>
      <c r="V962" s="3">
        <v>0.15</v>
      </c>
      <c r="W962" s="2">
        <v>0</v>
      </c>
      <c r="X962">
        <v>0</v>
      </c>
      <c r="Y962" t="s">
        <v>157</v>
      </c>
      <c r="Z962" t="s">
        <v>135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18.350000000000001</v>
      </c>
      <c r="AN962" s="2">
        <v>18.350000000000001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46062</v>
      </c>
      <c r="B963" t="s">
        <v>48</v>
      </c>
      <c r="C963">
        <v>649163</v>
      </c>
      <c r="D963">
        <v>2025896511</v>
      </c>
      <c r="E963" t="s">
        <v>511</v>
      </c>
      <c r="F963" t="s">
        <v>512</v>
      </c>
      <c r="G963" t="s">
        <v>51</v>
      </c>
      <c r="H963" t="s">
        <v>458</v>
      </c>
      <c r="I963" t="s">
        <v>383</v>
      </c>
      <c r="J963" t="s">
        <v>384</v>
      </c>
      <c r="K963">
        <v>651818</v>
      </c>
      <c r="L963" t="s">
        <v>80</v>
      </c>
      <c r="M963" t="s">
        <v>81</v>
      </c>
      <c r="N963" t="s">
        <v>57</v>
      </c>
      <c r="O963" s="1">
        <v>45633</v>
      </c>
      <c r="Q963" s="1">
        <v>46088</v>
      </c>
      <c r="R963" s="2">
        <v>40</v>
      </c>
      <c r="S963">
        <v>1</v>
      </c>
      <c r="T963" t="s">
        <v>58</v>
      </c>
      <c r="U963" t="s">
        <v>156</v>
      </c>
      <c r="V963" s="3">
        <v>0.15</v>
      </c>
      <c r="W963" s="2">
        <v>0</v>
      </c>
      <c r="X963">
        <v>0</v>
      </c>
      <c r="Y963" t="s">
        <v>157</v>
      </c>
      <c r="Z963" t="s">
        <v>135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6</v>
      </c>
      <c r="AN963" s="2">
        <v>6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46062</v>
      </c>
      <c r="B964" t="s">
        <v>48</v>
      </c>
      <c r="C964">
        <v>649163</v>
      </c>
      <c r="D964">
        <v>2025973879</v>
      </c>
      <c r="E964" t="s">
        <v>1206</v>
      </c>
      <c r="F964" t="s">
        <v>1207</v>
      </c>
      <c r="G964" t="s">
        <v>51</v>
      </c>
      <c r="H964" t="s">
        <v>112</v>
      </c>
      <c r="I964" t="s">
        <v>383</v>
      </c>
      <c r="J964" t="s">
        <v>385</v>
      </c>
      <c r="K964">
        <v>753748</v>
      </c>
      <c r="L964" t="s">
        <v>74</v>
      </c>
      <c r="M964" t="s">
        <v>75</v>
      </c>
      <c r="N964" t="s">
        <v>57</v>
      </c>
      <c r="O964" s="1">
        <v>45658</v>
      </c>
      <c r="Q964" s="1">
        <v>46082</v>
      </c>
      <c r="R964" s="2">
        <v>83.63</v>
      </c>
      <c r="S964">
        <v>1</v>
      </c>
      <c r="T964" t="s">
        <v>58</v>
      </c>
      <c r="U964" t="s">
        <v>156</v>
      </c>
      <c r="V964" s="3">
        <v>0.1</v>
      </c>
      <c r="W964" s="2">
        <v>0</v>
      </c>
      <c r="X964">
        <v>0</v>
      </c>
      <c r="Y964" t="s">
        <v>157</v>
      </c>
      <c r="Z964" t="s">
        <v>135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8.36</v>
      </c>
      <c r="AN964" s="2">
        <v>8.36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46062</v>
      </c>
      <c r="B965" t="s">
        <v>48</v>
      </c>
      <c r="C965">
        <v>649163</v>
      </c>
      <c r="D965">
        <v>2026028784</v>
      </c>
      <c r="E965" t="s">
        <v>717</v>
      </c>
      <c r="F965" t="s">
        <v>1208</v>
      </c>
      <c r="G965" t="s">
        <v>51</v>
      </c>
      <c r="H965" t="s">
        <v>66</v>
      </c>
      <c r="I965" t="s">
        <v>383</v>
      </c>
      <c r="J965" t="s">
        <v>384</v>
      </c>
      <c r="K965">
        <v>651818</v>
      </c>
      <c r="L965" t="s">
        <v>80</v>
      </c>
      <c r="M965" t="s">
        <v>81</v>
      </c>
      <c r="N965" t="s">
        <v>57</v>
      </c>
      <c r="O965" s="1">
        <v>45664</v>
      </c>
      <c r="Q965" s="1">
        <v>46088</v>
      </c>
      <c r="R965" s="2">
        <v>96</v>
      </c>
      <c r="S965">
        <v>1</v>
      </c>
      <c r="T965" t="s">
        <v>58</v>
      </c>
      <c r="U965" t="s">
        <v>156</v>
      </c>
      <c r="V965" s="3">
        <v>0.15</v>
      </c>
      <c r="W965" s="2">
        <v>0</v>
      </c>
      <c r="X965">
        <v>0</v>
      </c>
      <c r="Y965" t="s">
        <v>157</v>
      </c>
      <c r="Z965" t="s">
        <v>135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14.4</v>
      </c>
      <c r="AN965" s="2">
        <v>14.4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46062</v>
      </c>
      <c r="B966" t="s">
        <v>48</v>
      </c>
      <c r="C966">
        <v>649163</v>
      </c>
      <c r="D966">
        <v>2026036712</v>
      </c>
      <c r="E966" t="s">
        <v>513</v>
      </c>
      <c r="F966" t="s">
        <v>211</v>
      </c>
      <c r="G966" t="s">
        <v>51</v>
      </c>
      <c r="H966" t="s">
        <v>66</v>
      </c>
      <c r="I966" t="s">
        <v>383</v>
      </c>
      <c r="J966" t="s">
        <v>384</v>
      </c>
      <c r="K966">
        <v>651818</v>
      </c>
      <c r="L966" t="s">
        <v>80</v>
      </c>
      <c r="M966" t="s">
        <v>81</v>
      </c>
      <c r="N966" t="s">
        <v>57</v>
      </c>
      <c r="O966" s="1">
        <v>45664</v>
      </c>
      <c r="Q966" s="1">
        <v>46088</v>
      </c>
      <c r="R966" s="2">
        <v>74.58</v>
      </c>
      <c r="S966">
        <v>1</v>
      </c>
      <c r="T966" t="s">
        <v>58</v>
      </c>
      <c r="U966" t="s">
        <v>156</v>
      </c>
      <c r="V966" s="3">
        <v>0.15</v>
      </c>
      <c r="W966" s="2">
        <v>0</v>
      </c>
      <c r="X966">
        <v>0</v>
      </c>
      <c r="Y966" t="s">
        <v>157</v>
      </c>
      <c r="Z966" t="s">
        <v>135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11.19</v>
      </c>
      <c r="AN966" s="2">
        <v>11.19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46062</v>
      </c>
      <c r="B967" t="s">
        <v>48</v>
      </c>
      <c r="C967">
        <v>649163</v>
      </c>
      <c r="D967">
        <v>2026043419</v>
      </c>
      <c r="E967" t="s">
        <v>272</v>
      </c>
      <c r="F967" t="s">
        <v>1209</v>
      </c>
      <c r="G967" t="s">
        <v>51</v>
      </c>
      <c r="H967" t="s">
        <v>84</v>
      </c>
      <c r="I967" t="s">
        <v>383</v>
      </c>
      <c r="J967" t="s">
        <v>384</v>
      </c>
      <c r="K967">
        <v>651818</v>
      </c>
      <c r="L967" t="s">
        <v>80</v>
      </c>
      <c r="M967" t="s">
        <v>81</v>
      </c>
      <c r="N967" t="s">
        <v>57</v>
      </c>
      <c r="O967" s="1">
        <v>45664</v>
      </c>
      <c r="Q967" s="1">
        <v>46088</v>
      </c>
      <c r="R967" s="2">
        <v>79.33</v>
      </c>
      <c r="S967">
        <v>1</v>
      </c>
      <c r="T967" t="s">
        <v>58</v>
      </c>
      <c r="U967" t="s">
        <v>156</v>
      </c>
      <c r="V967" s="3">
        <v>0.15</v>
      </c>
      <c r="W967" s="2">
        <v>0</v>
      </c>
      <c r="X967">
        <v>0</v>
      </c>
      <c r="Y967" t="s">
        <v>157</v>
      </c>
      <c r="Z967" t="s">
        <v>135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11.9</v>
      </c>
      <c r="AN967" s="2">
        <v>11.9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46062</v>
      </c>
      <c r="B968" t="s">
        <v>48</v>
      </c>
      <c r="C968">
        <v>649163</v>
      </c>
      <c r="D968">
        <v>2026050470</v>
      </c>
      <c r="E968" t="s">
        <v>514</v>
      </c>
      <c r="F968" t="s">
        <v>240</v>
      </c>
      <c r="G968" t="s">
        <v>51</v>
      </c>
      <c r="H968" t="s">
        <v>274</v>
      </c>
      <c r="I968" t="s">
        <v>383</v>
      </c>
      <c r="J968" t="s">
        <v>384</v>
      </c>
      <c r="K968">
        <v>796984</v>
      </c>
      <c r="L968" t="s">
        <v>491</v>
      </c>
      <c r="M968" t="s">
        <v>492</v>
      </c>
      <c r="N968" t="s">
        <v>57</v>
      </c>
      <c r="O968" s="1">
        <v>45632</v>
      </c>
      <c r="Q968" s="1">
        <v>46087</v>
      </c>
      <c r="R968" s="2">
        <v>9.6999999999999993</v>
      </c>
      <c r="S968">
        <v>1</v>
      </c>
      <c r="T968" t="s">
        <v>58</v>
      </c>
      <c r="U968" t="s">
        <v>156</v>
      </c>
      <c r="V968" s="3">
        <v>0.15</v>
      </c>
      <c r="W968" s="2">
        <v>0</v>
      </c>
      <c r="X968">
        <v>0</v>
      </c>
      <c r="Y968" t="s">
        <v>157</v>
      </c>
      <c r="Z968" t="s">
        <v>135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1.46</v>
      </c>
      <c r="AN968" s="2">
        <v>1.46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46062</v>
      </c>
      <c r="B969" t="s">
        <v>48</v>
      </c>
      <c r="C969">
        <v>649163</v>
      </c>
      <c r="D969">
        <v>2026053294</v>
      </c>
      <c r="E969" t="s">
        <v>515</v>
      </c>
      <c r="F969" t="s">
        <v>107</v>
      </c>
      <c r="G969" t="s">
        <v>51</v>
      </c>
      <c r="H969" t="s">
        <v>66</v>
      </c>
      <c r="I969" t="s">
        <v>383</v>
      </c>
      <c r="J969" t="s">
        <v>384</v>
      </c>
      <c r="K969">
        <v>651818</v>
      </c>
      <c r="L969" t="s">
        <v>80</v>
      </c>
      <c r="M969" t="s">
        <v>81</v>
      </c>
      <c r="N969" t="s">
        <v>57</v>
      </c>
      <c r="O969" s="1">
        <v>45664</v>
      </c>
      <c r="Q969" s="1">
        <v>46088</v>
      </c>
      <c r="R969" s="2">
        <v>124.72</v>
      </c>
      <c r="S969">
        <v>1</v>
      </c>
      <c r="T969" t="s">
        <v>58</v>
      </c>
      <c r="U969" t="s">
        <v>156</v>
      </c>
      <c r="V969" s="3">
        <v>0.15</v>
      </c>
      <c r="W969" s="2">
        <v>0</v>
      </c>
      <c r="X969">
        <v>0</v>
      </c>
      <c r="Y969" t="s">
        <v>157</v>
      </c>
      <c r="Z969" t="s">
        <v>135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18.71</v>
      </c>
      <c r="AN969" s="2">
        <v>18.71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46062</v>
      </c>
      <c r="B970" t="s">
        <v>48</v>
      </c>
      <c r="C970">
        <v>649163</v>
      </c>
      <c r="D970">
        <v>2026056484</v>
      </c>
      <c r="E970" t="s">
        <v>1210</v>
      </c>
      <c r="F970" t="s">
        <v>556</v>
      </c>
      <c r="G970" t="s">
        <v>51</v>
      </c>
      <c r="H970" t="s">
        <v>78</v>
      </c>
      <c r="I970" t="s">
        <v>383</v>
      </c>
      <c r="J970" t="s">
        <v>384</v>
      </c>
      <c r="K970">
        <v>651818</v>
      </c>
      <c r="L970" t="s">
        <v>80</v>
      </c>
      <c r="M970" t="s">
        <v>81</v>
      </c>
      <c r="N970" t="s">
        <v>57</v>
      </c>
      <c r="O970" s="1">
        <v>45664</v>
      </c>
      <c r="Q970" s="1">
        <v>46088</v>
      </c>
      <c r="R970" s="2">
        <v>46.72</v>
      </c>
      <c r="S970">
        <v>1</v>
      </c>
      <c r="T970" t="s">
        <v>58</v>
      </c>
      <c r="U970" t="s">
        <v>156</v>
      </c>
      <c r="V970" s="3">
        <v>0.15</v>
      </c>
      <c r="W970" s="2">
        <v>0</v>
      </c>
      <c r="X970">
        <v>0</v>
      </c>
      <c r="Y970" t="s">
        <v>157</v>
      </c>
      <c r="Z970" t="s">
        <v>135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7.01</v>
      </c>
      <c r="AN970" s="2">
        <v>7.01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46062</v>
      </c>
      <c r="B971" t="s">
        <v>48</v>
      </c>
      <c r="C971">
        <v>649163</v>
      </c>
      <c r="D971">
        <v>2026073907</v>
      </c>
      <c r="E971" t="s">
        <v>1211</v>
      </c>
      <c r="F971" t="s">
        <v>1212</v>
      </c>
      <c r="G971" t="s">
        <v>51</v>
      </c>
      <c r="H971" t="s">
        <v>90</v>
      </c>
      <c r="I971" t="s">
        <v>383</v>
      </c>
      <c r="J971" t="s">
        <v>384</v>
      </c>
      <c r="K971">
        <v>778902</v>
      </c>
      <c r="L971" t="s">
        <v>1213</v>
      </c>
      <c r="M971" t="s">
        <v>683</v>
      </c>
      <c r="N971" t="s">
        <v>57</v>
      </c>
      <c r="O971" s="1">
        <v>45658</v>
      </c>
      <c r="Q971" s="1">
        <v>46082</v>
      </c>
      <c r="R971" s="2">
        <v>56.91</v>
      </c>
      <c r="S971">
        <v>1</v>
      </c>
      <c r="T971" t="s">
        <v>58</v>
      </c>
      <c r="U971" t="s">
        <v>156</v>
      </c>
      <c r="V971" s="3">
        <v>0.15</v>
      </c>
      <c r="W971" s="2">
        <v>0</v>
      </c>
      <c r="X971">
        <v>0</v>
      </c>
      <c r="Y971" t="s">
        <v>157</v>
      </c>
      <c r="Z971" t="s">
        <v>135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8.5399999999999991</v>
      </c>
      <c r="AN971" s="2">
        <v>8.5399999999999991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46062</v>
      </c>
      <c r="B972" t="s">
        <v>48</v>
      </c>
      <c r="C972">
        <v>649163</v>
      </c>
      <c r="D972">
        <v>2026077464</v>
      </c>
      <c r="E972" t="s">
        <v>267</v>
      </c>
      <c r="F972" t="s">
        <v>545</v>
      </c>
      <c r="G972" t="s">
        <v>51</v>
      </c>
      <c r="H972" t="s">
        <v>66</v>
      </c>
      <c r="I972" t="s">
        <v>383</v>
      </c>
      <c r="J972" t="s">
        <v>384</v>
      </c>
      <c r="K972">
        <v>651818</v>
      </c>
      <c r="L972" t="s">
        <v>80</v>
      </c>
      <c r="M972" t="s">
        <v>81</v>
      </c>
      <c r="N972" t="s">
        <v>57</v>
      </c>
      <c r="O972" s="1">
        <v>45664</v>
      </c>
      <c r="Q972" s="1">
        <v>46088</v>
      </c>
      <c r="R972" s="2">
        <v>198.36</v>
      </c>
      <c r="S972">
        <v>1</v>
      </c>
      <c r="T972" t="s">
        <v>58</v>
      </c>
      <c r="U972" t="s">
        <v>156</v>
      </c>
      <c r="V972" s="3">
        <v>0.15</v>
      </c>
      <c r="W972" s="2">
        <v>0</v>
      </c>
      <c r="X972">
        <v>0</v>
      </c>
      <c r="Y972" t="s">
        <v>157</v>
      </c>
      <c r="Z972" t="s">
        <v>135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29.75</v>
      </c>
      <c r="AN972" s="2">
        <v>29.75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46062</v>
      </c>
      <c r="B973" t="s">
        <v>48</v>
      </c>
      <c r="C973">
        <v>649163</v>
      </c>
      <c r="D973">
        <v>2026082701</v>
      </c>
      <c r="E973" t="s">
        <v>516</v>
      </c>
      <c r="F973" t="s">
        <v>259</v>
      </c>
      <c r="G973" t="s">
        <v>51</v>
      </c>
      <c r="H973" t="s">
        <v>96</v>
      </c>
      <c r="I973" t="s">
        <v>383</v>
      </c>
      <c r="J973" t="s">
        <v>385</v>
      </c>
      <c r="K973">
        <v>651818</v>
      </c>
      <c r="L973" t="s">
        <v>80</v>
      </c>
      <c r="M973" t="s">
        <v>81</v>
      </c>
      <c r="N973" t="s">
        <v>57</v>
      </c>
      <c r="O973" s="1">
        <v>45664</v>
      </c>
      <c r="Q973" s="1">
        <v>46088</v>
      </c>
      <c r="R973" s="2">
        <v>74</v>
      </c>
      <c r="S973">
        <v>1</v>
      </c>
      <c r="T973" t="s">
        <v>58</v>
      </c>
      <c r="U973" t="s">
        <v>156</v>
      </c>
      <c r="V973" s="3">
        <v>0.1</v>
      </c>
      <c r="W973" s="2">
        <v>0</v>
      </c>
      <c r="X973">
        <v>0</v>
      </c>
      <c r="Y973" t="s">
        <v>157</v>
      </c>
      <c r="Z973" t="s">
        <v>135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7.4</v>
      </c>
      <c r="AN973" s="2">
        <v>7.4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46062</v>
      </c>
      <c r="B974" t="s">
        <v>48</v>
      </c>
      <c r="C974">
        <v>649163</v>
      </c>
      <c r="D974">
        <v>2026082702</v>
      </c>
      <c r="E974" t="s">
        <v>516</v>
      </c>
      <c r="F974" t="s">
        <v>259</v>
      </c>
      <c r="G974" t="s">
        <v>51</v>
      </c>
      <c r="H974" t="s">
        <v>96</v>
      </c>
      <c r="I974" t="s">
        <v>383</v>
      </c>
      <c r="J974" t="s">
        <v>384</v>
      </c>
      <c r="K974">
        <v>651818</v>
      </c>
      <c r="L974" t="s">
        <v>80</v>
      </c>
      <c r="M974" t="s">
        <v>81</v>
      </c>
      <c r="N974" t="s">
        <v>57</v>
      </c>
      <c r="O974" s="1">
        <v>45664</v>
      </c>
      <c r="Q974" s="1">
        <v>46088</v>
      </c>
      <c r="R974" s="2">
        <v>32.979999999999997</v>
      </c>
      <c r="S974">
        <v>1</v>
      </c>
      <c r="T974" t="s">
        <v>58</v>
      </c>
      <c r="U974" t="s">
        <v>156</v>
      </c>
      <c r="V974" s="3">
        <v>0.15</v>
      </c>
      <c r="W974" s="2">
        <v>0</v>
      </c>
      <c r="X974">
        <v>0</v>
      </c>
      <c r="Y974" t="s">
        <v>157</v>
      </c>
      <c r="Z974" t="s">
        <v>135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4.95</v>
      </c>
      <c r="AN974" s="2">
        <v>4.95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46062</v>
      </c>
      <c r="B975" t="s">
        <v>48</v>
      </c>
      <c r="C975">
        <v>649163</v>
      </c>
      <c r="D975">
        <v>2026084802</v>
      </c>
      <c r="E975" t="s">
        <v>1214</v>
      </c>
      <c r="F975" t="s">
        <v>500</v>
      </c>
      <c r="G975" t="s">
        <v>51</v>
      </c>
      <c r="H975" t="s">
        <v>66</v>
      </c>
      <c r="I975" t="s">
        <v>383</v>
      </c>
      <c r="J975" t="s">
        <v>384</v>
      </c>
      <c r="K975">
        <v>651818</v>
      </c>
      <c r="L975" t="s">
        <v>80</v>
      </c>
      <c r="M975" t="s">
        <v>81</v>
      </c>
      <c r="N975" t="s">
        <v>57</v>
      </c>
      <c r="O975" s="1">
        <v>45664</v>
      </c>
      <c r="Q975" s="1">
        <v>46088</v>
      </c>
      <c r="R975" s="2">
        <v>105.02</v>
      </c>
      <c r="S975">
        <v>1</v>
      </c>
      <c r="T975" t="s">
        <v>58</v>
      </c>
      <c r="U975" t="s">
        <v>156</v>
      </c>
      <c r="V975" s="3">
        <v>0.15</v>
      </c>
      <c r="W975" s="2">
        <v>0</v>
      </c>
      <c r="X975">
        <v>0</v>
      </c>
      <c r="Y975" t="s">
        <v>157</v>
      </c>
      <c r="Z975" t="s">
        <v>135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15.75</v>
      </c>
      <c r="AN975" s="2">
        <v>15.75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46062</v>
      </c>
      <c r="B976" t="s">
        <v>48</v>
      </c>
      <c r="C976">
        <v>649163</v>
      </c>
      <c r="D976">
        <v>2026099501</v>
      </c>
      <c r="E976" t="s">
        <v>517</v>
      </c>
      <c r="F976" t="s">
        <v>500</v>
      </c>
      <c r="G976" t="s">
        <v>51</v>
      </c>
      <c r="H976" t="s">
        <v>78</v>
      </c>
      <c r="I976" t="s">
        <v>383</v>
      </c>
      <c r="J976" t="s">
        <v>384</v>
      </c>
      <c r="K976">
        <v>651818</v>
      </c>
      <c r="L976" t="s">
        <v>80</v>
      </c>
      <c r="M976" t="s">
        <v>81</v>
      </c>
      <c r="N976" t="s">
        <v>57</v>
      </c>
      <c r="O976" s="1">
        <v>45664</v>
      </c>
      <c r="Q976" s="1">
        <v>46088</v>
      </c>
      <c r="R976" s="2">
        <v>31.28</v>
      </c>
      <c r="S976">
        <v>1</v>
      </c>
      <c r="T976" t="s">
        <v>58</v>
      </c>
      <c r="U976" t="s">
        <v>156</v>
      </c>
      <c r="V976" s="3">
        <v>0.15</v>
      </c>
      <c r="W976" s="2">
        <v>0</v>
      </c>
      <c r="X976">
        <v>0</v>
      </c>
      <c r="Y976" t="s">
        <v>157</v>
      </c>
      <c r="Z976" t="s">
        <v>135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4.6900000000000004</v>
      </c>
      <c r="AN976" s="2">
        <v>4.6900000000000004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46062</v>
      </c>
      <c r="B977" t="s">
        <v>48</v>
      </c>
      <c r="C977">
        <v>649163</v>
      </c>
      <c r="D977">
        <v>2026113523</v>
      </c>
      <c r="E977" t="s">
        <v>518</v>
      </c>
      <c r="F977" t="s">
        <v>248</v>
      </c>
      <c r="G977" t="s">
        <v>51</v>
      </c>
      <c r="H977" t="s">
        <v>66</v>
      </c>
      <c r="I977" t="s">
        <v>383</v>
      </c>
      <c r="J977" t="s">
        <v>384</v>
      </c>
      <c r="K977">
        <v>651818</v>
      </c>
      <c r="L977" t="s">
        <v>80</v>
      </c>
      <c r="M977" t="s">
        <v>81</v>
      </c>
      <c r="N977" t="s">
        <v>57</v>
      </c>
      <c r="O977" s="1">
        <v>45664</v>
      </c>
      <c r="Q977" s="1">
        <v>46088</v>
      </c>
      <c r="R977" s="2">
        <v>284.54000000000002</v>
      </c>
      <c r="S977">
        <v>1</v>
      </c>
      <c r="T977" t="s">
        <v>58</v>
      </c>
      <c r="U977" t="s">
        <v>156</v>
      </c>
      <c r="V977" s="3">
        <v>0.15</v>
      </c>
      <c r="W977" s="2">
        <v>0</v>
      </c>
      <c r="X977">
        <v>0</v>
      </c>
      <c r="Y977" t="s">
        <v>157</v>
      </c>
      <c r="Z977" t="s">
        <v>135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42.68</v>
      </c>
      <c r="AN977" s="2">
        <v>42.68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46062</v>
      </c>
      <c r="B978" t="s">
        <v>48</v>
      </c>
      <c r="C978">
        <v>649163</v>
      </c>
      <c r="D978">
        <v>2026119932</v>
      </c>
      <c r="E978" t="s">
        <v>670</v>
      </c>
      <c r="F978" t="s">
        <v>460</v>
      </c>
      <c r="G978" t="s">
        <v>51</v>
      </c>
      <c r="H978" t="s">
        <v>397</v>
      </c>
      <c r="I978" t="s">
        <v>383</v>
      </c>
      <c r="J978" t="s">
        <v>384</v>
      </c>
      <c r="K978">
        <v>651818</v>
      </c>
      <c r="L978" t="s">
        <v>80</v>
      </c>
      <c r="M978" t="s">
        <v>81</v>
      </c>
      <c r="N978" t="s">
        <v>57</v>
      </c>
      <c r="O978" s="1">
        <v>45664</v>
      </c>
      <c r="Q978" s="1">
        <v>46088</v>
      </c>
      <c r="R978" s="2">
        <v>110.16</v>
      </c>
      <c r="S978">
        <v>1</v>
      </c>
      <c r="T978" t="s">
        <v>58</v>
      </c>
      <c r="U978" t="s">
        <v>156</v>
      </c>
      <c r="V978" s="3">
        <v>0.15</v>
      </c>
      <c r="W978" s="2">
        <v>0</v>
      </c>
      <c r="X978">
        <v>0</v>
      </c>
      <c r="Y978" t="s">
        <v>157</v>
      </c>
      <c r="Z978" t="s">
        <v>135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16.52</v>
      </c>
      <c r="AN978" s="2">
        <v>16.52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46062</v>
      </c>
      <c r="B979" t="s">
        <v>48</v>
      </c>
      <c r="C979">
        <v>649163</v>
      </c>
      <c r="D979">
        <v>2026126660</v>
      </c>
      <c r="E979" t="s">
        <v>504</v>
      </c>
      <c r="F979" t="s">
        <v>519</v>
      </c>
      <c r="G979" t="s">
        <v>51</v>
      </c>
      <c r="H979" t="s">
        <v>90</v>
      </c>
      <c r="I979" t="s">
        <v>383</v>
      </c>
      <c r="J979" t="s">
        <v>384</v>
      </c>
      <c r="K979">
        <v>651818</v>
      </c>
      <c r="L979" t="s">
        <v>80</v>
      </c>
      <c r="M979" t="s">
        <v>81</v>
      </c>
      <c r="N979" t="s">
        <v>57</v>
      </c>
      <c r="O979" s="1">
        <v>45664</v>
      </c>
      <c r="Q979" s="1">
        <v>46088</v>
      </c>
      <c r="R979" s="2">
        <v>140.6</v>
      </c>
      <c r="S979">
        <v>1</v>
      </c>
      <c r="T979" t="s">
        <v>58</v>
      </c>
      <c r="U979" t="s">
        <v>156</v>
      </c>
      <c r="V979" s="3">
        <v>0.15</v>
      </c>
      <c r="W979" s="2">
        <v>0</v>
      </c>
      <c r="X979">
        <v>0</v>
      </c>
      <c r="Y979" t="s">
        <v>157</v>
      </c>
      <c r="Z979" t="s">
        <v>135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21.09</v>
      </c>
      <c r="AN979" s="2">
        <v>21.09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46062</v>
      </c>
      <c r="B980" t="s">
        <v>48</v>
      </c>
      <c r="C980">
        <v>649163</v>
      </c>
      <c r="D980">
        <v>2026131288</v>
      </c>
      <c r="E980" t="s">
        <v>1215</v>
      </c>
      <c r="F980" t="s">
        <v>1216</v>
      </c>
      <c r="G980" t="s">
        <v>51</v>
      </c>
      <c r="H980" t="s">
        <v>90</v>
      </c>
      <c r="I980" t="s">
        <v>383</v>
      </c>
      <c r="J980" t="s">
        <v>384</v>
      </c>
      <c r="K980">
        <v>651818</v>
      </c>
      <c r="L980" t="s">
        <v>80</v>
      </c>
      <c r="M980" t="s">
        <v>81</v>
      </c>
      <c r="N980" t="s">
        <v>57</v>
      </c>
      <c r="O980" s="1">
        <v>45664</v>
      </c>
      <c r="Q980" s="1">
        <v>46088</v>
      </c>
      <c r="R980" s="2">
        <v>176.94</v>
      </c>
      <c r="S980">
        <v>1</v>
      </c>
      <c r="T980" t="s">
        <v>58</v>
      </c>
      <c r="U980" t="s">
        <v>156</v>
      </c>
      <c r="V980" s="3">
        <v>0.15</v>
      </c>
      <c r="W980" s="2">
        <v>0</v>
      </c>
      <c r="X980">
        <v>0</v>
      </c>
      <c r="Y980" t="s">
        <v>157</v>
      </c>
      <c r="Z980" t="s">
        <v>135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26.54</v>
      </c>
      <c r="AN980" s="2">
        <v>26.54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46062</v>
      </c>
      <c r="B981" t="s">
        <v>48</v>
      </c>
      <c r="C981">
        <v>649163</v>
      </c>
      <c r="D981">
        <v>2026133998</v>
      </c>
      <c r="E981" t="s">
        <v>491</v>
      </c>
      <c r="F981" t="s">
        <v>520</v>
      </c>
      <c r="G981" t="s">
        <v>51</v>
      </c>
      <c r="H981" t="s">
        <v>274</v>
      </c>
      <c r="I981" t="s">
        <v>383</v>
      </c>
      <c r="J981" t="s">
        <v>384</v>
      </c>
      <c r="K981">
        <v>816021</v>
      </c>
      <c r="L981" t="s">
        <v>275</v>
      </c>
      <c r="M981" t="s">
        <v>276</v>
      </c>
      <c r="N981" t="s">
        <v>57</v>
      </c>
      <c r="O981" s="1">
        <v>45638</v>
      </c>
      <c r="Q981" s="1">
        <v>46093</v>
      </c>
      <c r="R981" s="2">
        <v>18.2</v>
      </c>
      <c r="S981">
        <v>1</v>
      </c>
      <c r="T981" t="s">
        <v>58</v>
      </c>
      <c r="U981" t="s">
        <v>156</v>
      </c>
      <c r="V981" s="3">
        <v>0.15</v>
      </c>
      <c r="W981" s="2">
        <v>0</v>
      </c>
      <c r="X981">
        <v>0</v>
      </c>
      <c r="Y981" t="s">
        <v>157</v>
      </c>
      <c r="Z981" t="s">
        <v>135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2.73</v>
      </c>
      <c r="AN981" s="2">
        <v>2.73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46062</v>
      </c>
      <c r="B982" t="s">
        <v>48</v>
      </c>
      <c r="C982">
        <v>649163</v>
      </c>
      <c r="D982">
        <v>2026145112</v>
      </c>
      <c r="E982" t="s">
        <v>521</v>
      </c>
      <c r="F982" t="s">
        <v>188</v>
      </c>
      <c r="G982" t="s">
        <v>51</v>
      </c>
      <c r="H982" t="s">
        <v>353</v>
      </c>
      <c r="I982" t="s">
        <v>383</v>
      </c>
      <c r="J982" t="s">
        <v>384</v>
      </c>
      <c r="K982">
        <v>651818</v>
      </c>
      <c r="L982" t="s">
        <v>80</v>
      </c>
      <c r="M982" t="s">
        <v>81</v>
      </c>
      <c r="N982" t="s">
        <v>57</v>
      </c>
      <c r="O982" s="1">
        <v>45664</v>
      </c>
      <c r="Q982" s="1">
        <v>46088</v>
      </c>
      <c r="R982" s="2">
        <v>50.48</v>
      </c>
      <c r="S982">
        <v>1</v>
      </c>
      <c r="T982" t="s">
        <v>58</v>
      </c>
      <c r="U982" t="s">
        <v>156</v>
      </c>
      <c r="V982" s="3">
        <v>0.15</v>
      </c>
      <c r="W982" s="2">
        <v>0</v>
      </c>
      <c r="X982">
        <v>0</v>
      </c>
      <c r="Y982" t="s">
        <v>157</v>
      </c>
      <c r="Z982" t="s">
        <v>135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7.57</v>
      </c>
      <c r="AN982" s="2">
        <v>7.57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46062</v>
      </c>
      <c r="B983" t="s">
        <v>48</v>
      </c>
      <c r="C983">
        <v>649163</v>
      </c>
      <c r="D983">
        <v>2026150039</v>
      </c>
      <c r="E983" t="s">
        <v>522</v>
      </c>
      <c r="F983" t="s">
        <v>477</v>
      </c>
      <c r="G983" t="s">
        <v>51</v>
      </c>
      <c r="H983" t="s">
        <v>66</v>
      </c>
      <c r="I983" t="s">
        <v>383</v>
      </c>
      <c r="J983" t="s">
        <v>384</v>
      </c>
      <c r="K983">
        <v>651818</v>
      </c>
      <c r="L983" t="s">
        <v>80</v>
      </c>
      <c r="M983" t="s">
        <v>81</v>
      </c>
      <c r="N983" t="s">
        <v>57</v>
      </c>
      <c r="O983" s="1">
        <v>45664</v>
      </c>
      <c r="Q983" s="1">
        <v>46088</v>
      </c>
      <c r="R983" s="2">
        <v>72.760000000000005</v>
      </c>
      <c r="S983">
        <v>1</v>
      </c>
      <c r="T983" t="s">
        <v>58</v>
      </c>
      <c r="U983" t="s">
        <v>156</v>
      </c>
      <c r="V983" s="3">
        <v>0.15</v>
      </c>
      <c r="W983" s="2">
        <v>0</v>
      </c>
      <c r="X983">
        <v>0</v>
      </c>
      <c r="Y983" t="s">
        <v>157</v>
      </c>
      <c r="Z983" t="s">
        <v>135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10.91</v>
      </c>
      <c r="AN983" s="2">
        <v>10.91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46062</v>
      </c>
      <c r="B984" t="s">
        <v>48</v>
      </c>
      <c r="C984">
        <v>649163</v>
      </c>
      <c r="D984">
        <v>2026153889</v>
      </c>
      <c r="E984" t="s">
        <v>1217</v>
      </c>
      <c r="F984" t="s">
        <v>1218</v>
      </c>
      <c r="G984" t="s">
        <v>51</v>
      </c>
      <c r="H984" t="s">
        <v>886</v>
      </c>
      <c r="I984" t="s">
        <v>383</v>
      </c>
      <c r="J984" t="s">
        <v>384</v>
      </c>
      <c r="K984">
        <v>651818</v>
      </c>
      <c r="L984" t="s">
        <v>80</v>
      </c>
      <c r="M984" t="s">
        <v>81</v>
      </c>
      <c r="N984" t="s">
        <v>57</v>
      </c>
      <c r="O984" s="1">
        <v>45664</v>
      </c>
      <c r="Q984" s="1">
        <v>46088</v>
      </c>
      <c r="R984" s="2">
        <v>60.76</v>
      </c>
      <c r="S984">
        <v>1</v>
      </c>
      <c r="T984" t="s">
        <v>58</v>
      </c>
      <c r="U984" t="s">
        <v>156</v>
      </c>
      <c r="V984" s="3">
        <v>0.15</v>
      </c>
      <c r="W984" s="2">
        <v>0</v>
      </c>
      <c r="X984">
        <v>0</v>
      </c>
      <c r="Y984" t="s">
        <v>157</v>
      </c>
      <c r="Z984" t="s">
        <v>135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9.11</v>
      </c>
      <c r="AN984" s="2">
        <v>9.11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46062</v>
      </c>
      <c r="B985" t="s">
        <v>48</v>
      </c>
      <c r="C985">
        <v>649163</v>
      </c>
      <c r="D985">
        <v>2026154680</v>
      </c>
      <c r="E985" t="s">
        <v>523</v>
      </c>
      <c r="F985" t="s">
        <v>524</v>
      </c>
      <c r="G985" t="s">
        <v>51</v>
      </c>
      <c r="H985" t="s">
        <v>78</v>
      </c>
      <c r="I985" t="s">
        <v>383</v>
      </c>
      <c r="J985" t="s">
        <v>384</v>
      </c>
      <c r="K985">
        <v>651818</v>
      </c>
      <c r="L985" t="s">
        <v>80</v>
      </c>
      <c r="M985" t="s">
        <v>81</v>
      </c>
      <c r="N985" t="s">
        <v>57</v>
      </c>
      <c r="O985" s="1">
        <v>45664</v>
      </c>
      <c r="Q985" s="1">
        <v>46088</v>
      </c>
      <c r="R985" s="2">
        <v>46.72</v>
      </c>
      <c r="S985">
        <v>1</v>
      </c>
      <c r="T985" t="s">
        <v>58</v>
      </c>
      <c r="U985" t="s">
        <v>156</v>
      </c>
      <c r="V985" s="3">
        <v>0.15</v>
      </c>
      <c r="W985" s="2">
        <v>0</v>
      </c>
      <c r="X985">
        <v>0</v>
      </c>
      <c r="Y985" t="s">
        <v>157</v>
      </c>
      <c r="Z985" t="s">
        <v>135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7.01</v>
      </c>
      <c r="AN985" s="2">
        <v>7.01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46062</v>
      </c>
      <c r="B986" t="s">
        <v>48</v>
      </c>
      <c r="C986">
        <v>649163</v>
      </c>
      <c r="D986">
        <v>2026155452</v>
      </c>
      <c r="E986" t="s">
        <v>525</v>
      </c>
      <c r="F986" t="s">
        <v>526</v>
      </c>
      <c r="G986" t="s">
        <v>51</v>
      </c>
      <c r="H986" t="s">
        <v>527</v>
      </c>
      <c r="I986" t="s">
        <v>383</v>
      </c>
      <c r="J986" t="s">
        <v>384</v>
      </c>
      <c r="K986">
        <v>651818</v>
      </c>
      <c r="L986" t="s">
        <v>80</v>
      </c>
      <c r="M986" t="s">
        <v>81</v>
      </c>
      <c r="N986" t="s">
        <v>57</v>
      </c>
      <c r="O986" s="1">
        <v>45664</v>
      </c>
      <c r="Q986" s="1">
        <v>46088</v>
      </c>
      <c r="R986" s="2">
        <v>135.84</v>
      </c>
      <c r="S986">
        <v>1</v>
      </c>
      <c r="T986" t="s">
        <v>58</v>
      </c>
      <c r="U986" t="s">
        <v>156</v>
      </c>
      <c r="V986" s="3">
        <v>0.15</v>
      </c>
      <c r="W986" s="2">
        <v>0</v>
      </c>
      <c r="X986">
        <v>0</v>
      </c>
      <c r="Y986" t="s">
        <v>157</v>
      </c>
      <c r="Z986" t="s">
        <v>135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20.38</v>
      </c>
      <c r="AN986" s="2">
        <v>20.38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46062</v>
      </c>
      <c r="B987" t="s">
        <v>48</v>
      </c>
      <c r="C987">
        <v>649163</v>
      </c>
      <c r="D987">
        <v>2026175248</v>
      </c>
      <c r="E987" t="s">
        <v>530</v>
      </c>
      <c r="F987" t="s">
        <v>230</v>
      </c>
      <c r="G987" t="s">
        <v>51</v>
      </c>
      <c r="H987" t="s">
        <v>66</v>
      </c>
      <c r="I987" t="s">
        <v>383</v>
      </c>
      <c r="J987" t="s">
        <v>384</v>
      </c>
      <c r="K987">
        <v>651818</v>
      </c>
      <c r="L987" t="s">
        <v>80</v>
      </c>
      <c r="M987" t="s">
        <v>81</v>
      </c>
      <c r="N987" t="s">
        <v>57</v>
      </c>
      <c r="O987" s="1">
        <v>45664</v>
      </c>
      <c r="Q987" s="1">
        <v>46088</v>
      </c>
      <c r="R987" s="2">
        <v>52</v>
      </c>
      <c r="S987">
        <v>1</v>
      </c>
      <c r="T987" t="s">
        <v>58</v>
      </c>
      <c r="U987" t="s">
        <v>156</v>
      </c>
      <c r="V987" s="3">
        <v>0.15</v>
      </c>
      <c r="W987" s="2">
        <v>0</v>
      </c>
      <c r="X987">
        <v>0</v>
      </c>
      <c r="Y987" t="s">
        <v>157</v>
      </c>
      <c r="Z987" t="s">
        <v>135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7.8</v>
      </c>
      <c r="AN987" s="2">
        <v>7.8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46062</v>
      </c>
      <c r="B988" t="s">
        <v>48</v>
      </c>
      <c r="C988">
        <v>649163</v>
      </c>
      <c r="D988">
        <v>2026185826</v>
      </c>
      <c r="E988" t="s">
        <v>531</v>
      </c>
      <c r="F988" t="s">
        <v>1219</v>
      </c>
      <c r="G988" t="s">
        <v>51</v>
      </c>
      <c r="H988" t="s">
        <v>66</v>
      </c>
      <c r="I988" t="s">
        <v>383</v>
      </c>
      <c r="J988" t="s">
        <v>385</v>
      </c>
      <c r="K988">
        <v>651818</v>
      </c>
      <c r="L988" t="s">
        <v>80</v>
      </c>
      <c r="M988" t="s">
        <v>81</v>
      </c>
      <c r="N988" t="s">
        <v>57</v>
      </c>
      <c r="O988" s="1">
        <v>45664</v>
      </c>
      <c r="Q988" s="1">
        <v>46088</v>
      </c>
      <c r="R988" s="2">
        <v>99.25</v>
      </c>
      <c r="S988">
        <v>1</v>
      </c>
      <c r="T988" t="s">
        <v>58</v>
      </c>
      <c r="U988" t="s">
        <v>156</v>
      </c>
      <c r="V988" s="3">
        <v>0.1</v>
      </c>
      <c r="W988" s="2">
        <v>0</v>
      </c>
      <c r="X988">
        <v>0</v>
      </c>
      <c r="Y988" t="s">
        <v>157</v>
      </c>
      <c r="Z988" t="s">
        <v>135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9.92</v>
      </c>
      <c r="AN988" s="2">
        <v>9.92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46062</v>
      </c>
      <c r="B989" t="s">
        <v>48</v>
      </c>
      <c r="C989">
        <v>649163</v>
      </c>
      <c r="D989">
        <v>2026187011</v>
      </c>
      <c r="E989" t="s">
        <v>533</v>
      </c>
      <c r="F989" t="s">
        <v>534</v>
      </c>
      <c r="G989" t="s">
        <v>51</v>
      </c>
      <c r="H989" t="s">
        <v>170</v>
      </c>
      <c r="I989" t="s">
        <v>383</v>
      </c>
      <c r="J989" t="s">
        <v>384</v>
      </c>
      <c r="K989">
        <v>767312</v>
      </c>
      <c r="L989" t="s">
        <v>310</v>
      </c>
      <c r="M989" t="s">
        <v>311</v>
      </c>
      <c r="N989" t="s">
        <v>144</v>
      </c>
      <c r="O989" s="1">
        <v>45658</v>
      </c>
      <c r="P989" s="1">
        <v>46062</v>
      </c>
      <c r="Q989" s="1">
        <v>46082</v>
      </c>
      <c r="R989" s="2">
        <v>-90.13</v>
      </c>
      <c r="S989">
        <v>1</v>
      </c>
      <c r="T989" t="s">
        <v>58</v>
      </c>
      <c r="U989" t="s">
        <v>156</v>
      </c>
      <c r="V989" s="3">
        <v>0.15</v>
      </c>
      <c r="W989" s="2">
        <v>0</v>
      </c>
      <c r="X989">
        <v>-1</v>
      </c>
      <c r="Y989" t="s">
        <v>157</v>
      </c>
      <c r="Z989" t="s">
        <v>135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-13.52</v>
      </c>
      <c r="AN989" s="2">
        <v>-13.52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46062</v>
      </c>
      <c r="B990" t="s">
        <v>48</v>
      </c>
      <c r="C990">
        <v>649163</v>
      </c>
      <c r="D990">
        <v>2026189683</v>
      </c>
      <c r="E990" t="s">
        <v>1220</v>
      </c>
      <c r="F990" t="s">
        <v>999</v>
      </c>
      <c r="G990" t="s">
        <v>51</v>
      </c>
      <c r="H990" t="s">
        <v>170</v>
      </c>
      <c r="I990" t="s">
        <v>383</v>
      </c>
      <c r="J990" t="s">
        <v>384</v>
      </c>
      <c r="K990">
        <v>778902</v>
      </c>
      <c r="L990" t="s">
        <v>1213</v>
      </c>
      <c r="M990" t="s">
        <v>683</v>
      </c>
      <c r="N990" t="s">
        <v>144</v>
      </c>
      <c r="O990" s="1">
        <v>45658</v>
      </c>
      <c r="P990" s="1">
        <v>46062</v>
      </c>
      <c r="Q990" s="1">
        <v>46082</v>
      </c>
      <c r="R990" s="2">
        <v>-18.38</v>
      </c>
      <c r="S990">
        <v>1</v>
      </c>
      <c r="T990" t="s">
        <v>58</v>
      </c>
      <c r="U990" t="s">
        <v>156</v>
      </c>
      <c r="V990" s="3">
        <v>0.15</v>
      </c>
      <c r="W990" s="2">
        <v>0</v>
      </c>
      <c r="X990">
        <v>-1</v>
      </c>
      <c r="Y990" t="s">
        <v>157</v>
      </c>
      <c r="Z990" t="s">
        <v>135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-2.76</v>
      </c>
      <c r="AN990" s="2">
        <v>-2.76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46062</v>
      </c>
      <c r="B991" t="s">
        <v>48</v>
      </c>
      <c r="C991">
        <v>649163</v>
      </c>
      <c r="D991">
        <v>2026298484</v>
      </c>
      <c r="E991" t="s">
        <v>536</v>
      </c>
      <c r="F991" t="s">
        <v>537</v>
      </c>
      <c r="G991" t="s">
        <v>51</v>
      </c>
      <c r="H991" t="s">
        <v>66</v>
      </c>
      <c r="I991" t="s">
        <v>383</v>
      </c>
      <c r="J991" t="s">
        <v>384</v>
      </c>
      <c r="K991">
        <v>651818</v>
      </c>
      <c r="L991" t="s">
        <v>80</v>
      </c>
      <c r="M991" t="s">
        <v>81</v>
      </c>
      <c r="N991" t="s">
        <v>57</v>
      </c>
      <c r="O991" s="1">
        <v>45664</v>
      </c>
      <c r="Q991" s="1">
        <v>46088</v>
      </c>
      <c r="R991" s="2">
        <v>58.24</v>
      </c>
      <c r="S991">
        <v>1</v>
      </c>
      <c r="T991" t="s">
        <v>58</v>
      </c>
      <c r="U991" t="s">
        <v>156</v>
      </c>
      <c r="V991" s="3">
        <v>0.15</v>
      </c>
      <c r="W991" s="2">
        <v>0</v>
      </c>
      <c r="X991">
        <v>0</v>
      </c>
      <c r="Y991" t="s">
        <v>157</v>
      </c>
      <c r="Z991" t="s">
        <v>135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8.74</v>
      </c>
      <c r="AN991" s="2">
        <v>8.74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46062</v>
      </c>
      <c r="B992" t="s">
        <v>48</v>
      </c>
      <c r="C992">
        <v>649163</v>
      </c>
      <c r="D992">
        <v>2026515689</v>
      </c>
      <c r="E992" t="s">
        <v>863</v>
      </c>
      <c r="F992" t="s">
        <v>864</v>
      </c>
      <c r="G992" t="s">
        <v>51</v>
      </c>
      <c r="H992" t="s">
        <v>52</v>
      </c>
      <c r="I992" t="s">
        <v>383</v>
      </c>
      <c r="J992" t="s">
        <v>385</v>
      </c>
      <c r="K992">
        <v>702406</v>
      </c>
      <c r="L992" t="s">
        <v>630</v>
      </c>
      <c r="M992" t="s">
        <v>65</v>
      </c>
      <c r="N992" t="s">
        <v>57</v>
      </c>
      <c r="O992" s="1">
        <v>45666</v>
      </c>
      <c r="Q992" s="1">
        <v>46090</v>
      </c>
      <c r="R992" s="2">
        <v>99.25</v>
      </c>
      <c r="S992">
        <v>1</v>
      </c>
      <c r="T992" t="s">
        <v>58</v>
      </c>
      <c r="U992" t="s">
        <v>156</v>
      </c>
      <c r="V992" s="3">
        <v>0.1</v>
      </c>
      <c r="W992" s="2">
        <v>0</v>
      </c>
      <c r="X992">
        <v>0</v>
      </c>
      <c r="Y992" t="s">
        <v>157</v>
      </c>
      <c r="Z992" t="s">
        <v>135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9.92</v>
      </c>
      <c r="AN992" s="2">
        <v>9.92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46062</v>
      </c>
      <c r="B993" t="s">
        <v>48</v>
      </c>
      <c r="C993">
        <v>649163</v>
      </c>
      <c r="D993">
        <v>2026521340</v>
      </c>
      <c r="E993" t="s">
        <v>50</v>
      </c>
      <c r="F993" t="s">
        <v>540</v>
      </c>
      <c r="G993" t="s">
        <v>51</v>
      </c>
      <c r="H993" t="s">
        <v>78</v>
      </c>
      <c r="I993" t="s">
        <v>383</v>
      </c>
      <c r="J993" t="s">
        <v>384</v>
      </c>
      <c r="K993">
        <v>651818</v>
      </c>
      <c r="L993" t="s">
        <v>80</v>
      </c>
      <c r="M993" t="s">
        <v>81</v>
      </c>
      <c r="N993" t="s">
        <v>57</v>
      </c>
      <c r="O993" s="1">
        <v>45695</v>
      </c>
      <c r="Q993" s="1">
        <v>46088</v>
      </c>
      <c r="R993" s="2">
        <v>31.28</v>
      </c>
      <c r="S993">
        <v>1</v>
      </c>
      <c r="T993" t="s">
        <v>58</v>
      </c>
      <c r="U993" t="s">
        <v>156</v>
      </c>
      <c r="V993" s="3">
        <v>0.15</v>
      </c>
      <c r="W993" s="2">
        <v>0</v>
      </c>
      <c r="X993">
        <v>0</v>
      </c>
      <c r="Y993" t="s">
        <v>157</v>
      </c>
      <c r="Z993" t="s">
        <v>135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4.6900000000000004</v>
      </c>
      <c r="AN993" s="2">
        <v>4.6900000000000004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46062</v>
      </c>
      <c r="B994" t="s">
        <v>48</v>
      </c>
      <c r="C994">
        <v>649163</v>
      </c>
      <c r="D994">
        <v>2026539798</v>
      </c>
      <c r="E994" t="s">
        <v>1221</v>
      </c>
      <c r="F994" t="s">
        <v>1222</v>
      </c>
      <c r="G994" t="s">
        <v>51</v>
      </c>
      <c r="H994" t="s">
        <v>170</v>
      </c>
      <c r="I994" t="s">
        <v>383</v>
      </c>
      <c r="J994" t="s">
        <v>384</v>
      </c>
      <c r="K994">
        <v>757039</v>
      </c>
      <c r="L994" t="s">
        <v>1223</v>
      </c>
      <c r="M994" t="s">
        <v>999</v>
      </c>
      <c r="N994" t="s">
        <v>57</v>
      </c>
      <c r="O994" s="1">
        <v>45668</v>
      </c>
      <c r="Q994" s="1">
        <v>46092</v>
      </c>
      <c r="R994" s="2">
        <v>25.97</v>
      </c>
      <c r="S994">
        <v>1</v>
      </c>
      <c r="T994" t="s">
        <v>58</v>
      </c>
      <c r="U994" t="s">
        <v>156</v>
      </c>
      <c r="V994" s="3">
        <v>0.15</v>
      </c>
      <c r="W994" s="2">
        <v>0</v>
      </c>
      <c r="X994">
        <v>0</v>
      </c>
      <c r="Y994" t="s">
        <v>157</v>
      </c>
      <c r="Z994" t="s">
        <v>135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3.9</v>
      </c>
      <c r="AN994" s="2">
        <v>3.9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46062</v>
      </c>
      <c r="B995" t="s">
        <v>48</v>
      </c>
      <c r="C995">
        <v>649163</v>
      </c>
      <c r="D995">
        <v>2026589574</v>
      </c>
      <c r="E995" t="s">
        <v>1224</v>
      </c>
      <c r="F995" t="s">
        <v>188</v>
      </c>
      <c r="G995" t="s">
        <v>51</v>
      </c>
      <c r="H995" t="s">
        <v>886</v>
      </c>
      <c r="I995" t="s">
        <v>383</v>
      </c>
      <c r="J995" t="s">
        <v>385</v>
      </c>
      <c r="K995">
        <v>651818</v>
      </c>
      <c r="L995" t="s">
        <v>80</v>
      </c>
      <c r="M995" t="s">
        <v>81</v>
      </c>
      <c r="N995" t="s">
        <v>57</v>
      </c>
      <c r="O995" s="1">
        <v>45695</v>
      </c>
      <c r="Q995" s="1">
        <v>46088</v>
      </c>
      <c r="R995" s="2">
        <v>83.63</v>
      </c>
      <c r="S995">
        <v>1</v>
      </c>
      <c r="T995" t="s">
        <v>58</v>
      </c>
      <c r="U995" t="s">
        <v>156</v>
      </c>
      <c r="V995" s="3">
        <v>0.1</v>
      </c>
      <c r="W995" s="2">
        <v>0</v>
      </c>
      <c r="X995">
        <v>0</v>
      </c>
      <c r="Y995" t="s">
        <v>157</v>
      </c>
      <c r="Z995" t="s">
        <v>135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8.36</v>
      </c>
      <c r="AN995" s="2">
        <v>8.36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46062</v>
      </c>
      <c r="B996" t="s">
        <v>48</v>
      </c>
      <c r="C996">
        <v>649163</v>
      </c>
      <c r="D996">
        <v>2026599463</v>
      </c>
      <c r="E996" t="s">
        <v>542</v>
      </c>
      <c r="F996" t="s">
        <v>543</v>
      </c>
      <c r="G996" t="s">
        <v>51</v>
      </c>
      <c r="H996" t="s">
        <v>147</v>
      </c>
      <c r="I996" t="s">
        <v>383</v>
      </c>
      <c r="J996" t="s">
        <v>385</v>
      </c>
      <c r="K996">
        <v>651818</v>
      </c>
      <c r="L996" t="s">
        <v>80</v>
      </c>
      <c r="M996" t="s">
        <v>81</v>
      </c>
      <c r="N996" t="s">
        <v>57</v>
      </c>
      <c r="O996" s="1">
        <v>45695</v>
      </c>
      <c r="Q996" s="1">
        <v>46088</v>
      </c>
      <c r="R996" s="2">
        <v>48.08</v>
      </c>
      <c r="S996">
        <v>1</v>
      </c>
      <c r="T996" t="s">
        <v>58</v>
      </c>
      <c r="U996" t="s">
        <v>156</v>
      </c>
      <c r="V996" s="3">
        <v>0.1</v>
      </c>
      <c r="W996" s="2">
        <v>0</v>
      </c>
      <c r="X996">
        <v>0</v>
      </c>
      <c r="Y996" t="s">
        <v>157</v>
      </c>
      <c r="Z996" t="s">
        <v>135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4.8099999999999996</v>
      </c>
      <c r="AN996" s="2">
        <v>4.8099999999999996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46062</v>
      </c>
      <c r="B997" t="s">
        <v>48</v>
      </c>
      <c r="C997">
        <v>649163</v>
      </c>
      <c r="D997">
        <v>2026599465</v>
      </c>
      <c r="E997" t="s">
        <v>542</v>
      </c>
      <c r="F997" t="s">
        <v>543</v>
      </c>
      <c r="G997" t="s">
        <v>51</v>
      </c>
      <c r="H997" t="s">
        <v>147</v>
      </c>
      <c r="I997" t="s">
        <v>383</v>
      </c>
      <c r="J997" t="s">
        <v>384</v>
      </c>
      <c r="K997">
        <v>651818</v>
      </c>
      <c r="L997" t="s">
        <v>80</v>
      </c>
      <c r="M997" t="s">
        <v>81</v>
      </c>
      <c r="N997" t="s">
        <v>57</v>
      </c>
      <c r="O997" s="1">
        <v>45695</v>
      </c>
      <c r="Q997" s="1">
        <v>46088</v>
      </c>
      <c r="R997" s="2">
        <v>103.64</v>
      </c>
      <c r="S997">
        <v>1</v>
      </c>
      <c r="T997" t="s">
        <v>58</v>
      </c>
      <c r="U997" t="s">
        <v>156</v>
      </c>
      <c r="V997" s="3">
        <v>0.15</v>
      </c>
      <c r="W997" s="2">
        <v>0</v>
      </c>
      <c r="X997">
        <v>0</v>
      </c>
      <c r="Y997" t="s">
        <v>157</v>
      </c>
      <c r="Z997" t="s">
        <v>135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15.55</v>
      </c>
      <c r="AN997" s="2">
        <v>15.55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46062</v>
      </c>
      <c r="B998" t="s">
        <v>48</v>
      </c>
      <c r="C998">
        <v>649163</v>
      </c>
      <c r="D998">
        <v>2026617926</v>
      </c>
      <c r="E998" t="s">
        <v>544</v>
      </c>
      <c r="F998" t="s">
        <v>545</v>
      </c>
      <c r="G998" t="s">
        <v>51</v>
      </c>
      <c r="H998" t="s">
        <v>90</v>
      </c>
      <c r="I998" t="s">
        <v>383</v>
      </c>
      <c r="J998" t="s">
        <v>384</v>
      </c>
      <c r="K998">
        <v>651818</v>
      </c>
      <c r="L998" t="s">
        <v>80</v>
      </c>
      <c r="M998" t="s">
        <v>81</v>
      </c>
      <c r="N998" t="s">
        <v>57</v>
      </c>
      <c r="O998" s="1">
        <v>45695</v>
      </c>
      <c r="Q998" s="1">
        <v>46088</v>
      </c>
      <c r="R998" s="2">
        <v>129.22</v>
      </c>
      <c r="S998">
        <v>1</v>
      </c>
      <c r="T998" t="s">
        <v>58</v>
      </c>
      <c r="U998" t="s">
        <v>156</v>
      </c>
      <c r="V998" s="3">
        <v>0.15</v>
      </c>
      <c r="W998" s="2">
        <v>0</v>
      </c>
      <c r="X998">
        <v>0</v>
      </c>
      <c r="Y998" t="s">
        <v>157</v>
      </c>
      <c r="Z998" t="s">
        <v>135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19.38</v>
      </c>
      <c r="AN998" s="2">
        <v>19.38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46062</v>
      </c>
      <c r="B999" t="s">
        <v>48</v>
      </c>
      <c r="C999">
        <v>649163</v>
      </c>
      <c r="D999">
        <v>2026627935</v>
      </c>
      <c r="E999" t="s">
        <v>675</v>
      </c>
      <c r="F999" t="s">
        <v>676</v>
      </c>
      <c r="G999" t="s">
        <v>51</v>
      </c>
      <c r="H999" t="s">
        <v>274</v>
      </c>
      <c r="I999" t="s">
        <v>383</v>
      </c>
      <c r="J999" t="s">
        <v>384</v>
      </c>
      <c r="K999">
        <v>816021</v>
      </c>
      <c r="L999" t="s">
        <v>275</v>
      </c>
      <c r="M999" t="s">
        <v>276</v>
      </c>
      <c r="N999" t="s">
        <v>144</v>
      </c>
      <c r="O999" s="1">
        <v>45689</v>
      </c>
      <c r="P999" s="1">
        <v>46055</v>
      </c>
      <c r="Q999" s="1">
        <v>46082</v>
      </c>
      <c r="R999" s="2">
        <v>-18.2</v>
      </c>
      <c r="S999">
        <v>1</v>
      </c>
      <c r="T999" t="s">
        <v>58</v>
      </c>
      <c r="U999" t="s">
        <v>156</v>
      </c>
      <c r="V999" s="3">
        <v>0.15</v>
      </c>
      <c r="W999" s="2">
        <v>0</v>
      </c>
      <c r="X999">
        <v>-1</v>
      </c>
      <c r="Y999" t="s">
        <v>157</v>
      </c>
      <c r="Z999" t="s">
        <v>135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-2.73</v>
      </c>
      <c r="AN999" s="2">
        <v>-2.73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46062</v>
      </c>
      <c r="B1000" t="s">
        <v>48</v>
      </c>
      <c r="C1000">
        <v>649163</v>
      </c>
      <c r="D1000">
        <v>2026628666</v>
      </c>
      <c r="E1000" t="s">
        <v>546</v>
      </c>
      <c r="F1000" t="s">
        <v>180</v>
      </c>
      <c r="G1000" t="s">
        <v>51</v>
      </c>
      <c r="H1000" t="s">
        <v>66</v>
      </c>
      <c r="I1000" t="s">
        <v>383</v>
      </c>
      <c r="J1000" t="s">
        <v>384</v>
      </c>
      <c r="K1000">
        <v>651818</v>
      </c>
      <c r="L1000" t="s">
        <v>80</v>
      </c>
      <c r="M1000" t="s">
        <v>81</v>
      </c>
      <c r="N1000" t="s">
        <v>57</v>
      </c>
      <c r="O1000" s="1">
        <v>45695</v>
      </c>
      <c r="Q1000" s="1">
        <v>46088</v>
      </c>
      <c r="R1000" s="2">
        <v>58.24</v>
      </c>
      <c r="S1000">
        <v>1</v>
      </c>
      <c r="T1000" t="s">
        <v>58</v>
      </c>
      <c r="U1000" t="s">
        <v>156</v>
      </c>
      <c r="V1000" s="3">
        <v>0.15</v>
      </c>
      <c r="W1000" s="2">
        <v>0</v>
      </c>
      <c r="X1000">
        <v>0</v>
      </c>
      <c r="Y1000" t="s">
        <v>157</v>
      </c>
      <c r="Z1000" t="s">
        <v>135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8.74</v>
      </c>
      <c r="AN1000" s="2">
        <v>8.74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46062</v>
      </c>
      <c r="B1001" t="s">
        <v>48</v>
      </c>
      <c r="C1001">
        <v>649163</v>
      </c>
      <c r="D1001">
        <v>2026637123</v>
      </c>
      <c r="E1001" t="s">
        <v>547</v>
      </c>
      <c r="F1001" t="s">
        <v>302</v>
      </c>
      <c r="G1001" t="s">
        <v>51</v>
      </c>
      <c r="H1001" t="s">
        <v>353</v>
      </c>
      <c r="I1001" t="s">
        <v>383</v>
      </c>
      <c r="J1001" t="s">
        <v>385</v>
      </c>
      <c r="K1001">
        <v>651818</v>
      </c>
      <c r="L1001" t="s">
        <v>80</v>
      </c>
      <c r="M1001" t="s">
        <v>81</v>
      </c>
      <c r="N1001" t="s">
        <v>57</v>
      </c>
      <c r="O1001" s="1">
        <v>45695</v>
      </c>
      <c r="Q1001" s="1">
        <v>46088</v>
      </c>
      <c r="R1001" s="2">
        <v>145.08000000000001</v>
      </c>
      <c r="S1001">
        <v>1</v>
      </c>
      <c r="T1001" t="s">
        <v>58</v>
      </c>
      <c r="U1001" t="s">
        <v>156</v>
      </c>
      <c r="V1001" s="3">
        <v>0.1</v>
      </c>
      <c r="W1001" s="2">
        <v>0</v>
      </c>
      <c r="X1001">
        <v>0</v>
      </c>
      <c r="Y1001" t="s">
        <v>157</v>
      </c>
      <c r="Z1001" t="s">
        <v>135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14.51</v>
      </c>
      <c r="AN1001" s="2">
        <v>14.51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46062</v>
      </c>
      <c r="B1002" t="s">
        <v>48</v>
      </c>
      <c r="C1002">
        <v>649163</v>
      </c>
      <c r="D1002">
        <v>2026655556</v>
      </c>
      <c r="E1002" t="s">
        <v>548</v>
      </c>
      <c r="F1002" t="s">
        <v>298</v>
      </c>
      <c r="G1002" t="s">
        <v>51</v>
      </c>
      <c r="H1002" t="s">
        <v>66</v>
      </c>
      <c r="I1002" t="s">
        <v>383</v>
      </c>
      <c r="J1002" t="s">
        <v>384</v>
      </c>
      <c r="K1002">
        <v>651818</v>
      </c>
      <c r="L1002" t="s">
        <v>80</v>
      </c>
      <c r="M1002" t="s">
        <v>81</v>
      </c>
      <c r="N1002" t="s">
        <v>57</v>
      </c>
      <c r="O1002" s="1">
        <v>45695</v>
      </c>
      <c r="Q1002" s="1">
        <v>46088</v>
      </c>
      <c r="R1002" s="2">
        <v>52</v>
      </c>
      <c r="S1002">
        <v>1</v>
      </c>
      <c r="T1002" t="s">
        <v>58</v>
      </c>
      <c r="U1002" t="s">
        <v>156</v>
      </c>
      <c r="V1002" s="3">
        <v>0.15</v>
      </c>
      <c r="W1002" s="2">
        <v>0</v>
      </c>
      <c r="X1002">
        <v>0</v>
      </c>
      <c r="Y1002" t="s">
        <v>157</v>
      </c>
      <c r="Z1002" t="s">
        <v>135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7.8</v>
      </c>
      <c r="AN1002" s="2">
        <v>7.8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46062</v>
      </c>
      <c r="B1003" t="s">
        <v>48</v>
      </c>
      <c r="C1003">
        <v>649163</v>
      </c>
      <c r="D1003">
        <v>2026680616</v>
      </c>
      <c r="E1003" t="s">
        <v>547</v>
      </c>
      <c r="F1003" t="s">
        <v>549</v>
      </c>
      <c r="G1003" t="s">
        <v>51</v>
      </c>
      <c r="H1003" t="s">
        <v>333</v>
      </c>
      <c r="I1003" t="s">
        <v>383</v>
      </c>
      <c r="J1003" t="s">
        <v>384</v>
      </c>
      <c r="K1003">
        <v>651818</v>
      </c>
      <c r="L1003" t="s">
        <v>80</v>
      </c>
      <c r="M1003" t="s">
        <v>81</v>
      </c>
      <c r="N1003" t="s">
        <v>57</v>
      </c>
      <c r="O1003" s="1">
        <v>45695</v>
      </c>
      <c r="Q1003" s="1">
        <v>46088</v>
      </c>
      <c r="R1003" s="2">
        <v>40.78</v>
      </c>
      <c r="S1003">
        <v>1</v>
      </c>
      <c r="T1003" t="s">
        <v>58</v>
      </c>
      <c r="U1003" t="s">
        <v>156</v>
      </c>
      <c r="V1003" s="3">
        <v>0.15</v>
      </c>
      <c r="W1003" s="2">
        <v>0</v>
      </c>
      <c r="X1003">
        <v>0</v>
      </c>
      <c r="Y1003" t="s">
        <v>157</v>
      </c>
      <c r="Z1003" t="s">
        <v>135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6.12</v>
      </c>
      <c r="AN1003" s="2">
        <v>6.12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46062</v>
      </c>
      <c r="B1004" t="s">
        <v>48</v>
      </c>
      <c r="C1004">
        <v>649163</v>
      </c>
      <c r="D1004">
        <v>2026682346</v>
      </c>
      <c r="E1004" t="s">
        <v>550</v>
      </c>
      <c r="F1004" t="s">
        <v>551</v>
      </c>
      <c r="G1004" t="s">
        <v>51</v>
      </c>
      <c r="H1004" t="s">
        <v>66</v>
      </c>
      <c r="I1004" t="s">
        <v>383</v>
      </c>
      <c r="J1004" t="s">
        <v>384</v>
      </c>
      <c r="K1004">
        <v>651818</v>
      </c>
      <c r="L1004" t="s">
        <v>80</v>
      </c>
      <c r="M1004" t="s">
        <v>81</v>
      </c>
      <c r="N1004" t="s">
        <v>57</v>
      </c>
      <c r="O1004" s="1">
        <v>45695</v>
      </c>
      <c r="Q1004" s="1">
        <v>46088</v>
      </c>
      <c r="R1004" s="2">
        <v>58.24</v>
      </c>
      <c r="S1004">
        <v>1</v>
      </c>
      <c r="T1004" t="s">
        <v>58</v>
      </c>
      <c r="U1004" t="s">
        <v>156</v>
      </c>
      <c r="V1004" s="3">
        <v>0.15</v>
      </c>
      <c r="W1004" s="2">
        <v>0</v>
      </c>
      <c r="X1004">
        <v>0</v>
      </c>
      <c r="Y1004" t="s">
        <v>157</v>
      </c>
      <c r="Z1004" t="s">
        <v>135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8.74</v>
      </c>
      <c r="AN1004" s="2">
        <v>8.74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46062</v>
      </c>
      <c r="B1005" t="s">
        <v>48</v>
      </c>
      <c r="C1005">
        <v>649163</v>
      </c>
      <c r="D1005">
        <v>2026683721</v>
      </c>
      <c r="E1005" t="s">
        <v>480</v>
      </c>
      <c r="F1005" t="s">
        <v>65</v>
      </c>
      <c r="G1005" t="s">
        <v>51</v>
      </c>
      <c r="H1005" t="s">
        <v>78</v>
      </c>
      <c r="I1005" t="s">
        <v>383</v>
      </c>
      <c r="J1005" t="s">
        <v>384</v>
      </c>
      <c r="K1005">
        <v>651818</v>
      </c>
      <c r="L1005" t="s">
        <v>80</v>
      </c>
      <c r="M1005" t="s">
        <v>81</v>
      </c>
      <c r="N1005" t="s">
        <v>57</v>
      </c>
      <c r="O1005" s="1">
        <v>45695</v>
      </c>
      <c r="Q1005" s="1">
        <v>46088</v>
      </c>
      <c r="R1005" s="2">
        <v>46.72</v>
      </c>
      <c r="S1005">
        <v>1</v>
      </c>
      <c r="T1005" t="s">
        <v>58</v>
      </c>
      <c r="U1005" t="s">
        <v>156</v>
      </c>
      <c r="V1005" s="3">
        <v>0.15</v>
      </c>
      <c r="W1005" s="2">
        <v>0</v>
      </c>
      <c r="X1005">
        <v>0</v>
      </c>
      <c r="Y1005" t="s">
        <v>157</v>
      </c>
      <c r="Z1005" t="s">
        <v>135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7.01</v>
      </c>
      <c r="AN1005" s="2">
        <v>7.01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46062</v>
      </c>
      <c r="B1006" t="s">
        <v>48</v>
      </c>
      <c r="C1006">
        <v>649163</v>
      </c>
      <c r="D1006">
        <v>2026698495</v>
      </c>
      <c r="E1006" t="s">
        <v>552</v>
      </c>
      <c r="F1006" t="s">
        <v>553</v>
      </c>
      <c r="G1006" t="s">
        <v>51</v>
      </c>
      <c r="H1006" t="s">
        <v>78</v>
      </c>
      <c r="I1006" t="s">
        <v>383</v>
      </c>
      <c r="J1006" t="s">
        <v>384</v>
      </c>
      <c r="K1006">
        <v>651818</v>
      </c>
      <c r="L1006" t="s">
        <v>80</v>
      </c>
      <c r="M1006" t="s">
        <v>81</v>
      </c>
      <c r="N1006" t="s">
        <v>57</v>
      </c>
      <c r="O1006" s="1">
        <v>45695</v>
      </c>
      <c r="Q1006" s="1">
        <v>46088</v>
      </c>
      <c r="R1006" s="2">
        <v>17.64</v>
      </c>
      <c r="S1006">
        <v>1</v>
      </c>
      <c r="T1006" t="s">
        <v>58</v>
      </c>
      <c r="U1006" t="s">
        <v>156</v>
      </c>
      <c r="V1006" s="3">
        <v>0.15</v>
      </c>
      <c r="W1006" s="2">
        <v>0</v>
      </c>
      <c r="X1006">
        <v>0</v>
      </c>
      <c r="Y1006" t="s">
        <v>157</v>
      </c>
      <c r="Z1006" t="s">
        <v>135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2.65</v>
      </c>
      <c r="AN1006" s="2">
        <v>2.65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46062</v>
      </c>
      <c r="B1007" t="s">
        <v>48</v>
      </c>
      <c r="C1007">
        <v>649163</v>
      </c>
      <c r="D1007">
        <v>2026721808</v>
      </c>
      <c r="E1007" t="s">
        <v>1225</v>
      </c>
      <c r="F1007" t="s">
        <v>1107</v>
      </c>
      <c r="G1007" t="s">
        <v>51</v>
      </c>
      <c r="H1007" t="s">
        <v>90</v>
      </c>
      <c r="I1007" t="s">
        <v>383</v>
      </c>
      <c r="J1007" t="s">
        <v>385</v>
      </c>
      <c r="K1007">
        <v>651818</v>
      </c>
      <c r="L1007" t="s">
        <v>80</v>
      </c>
      <c r="M1007" t="s">
        <v>81</v>
      </c>
      <c r="N1007" t="s">
        <v>57</v>
      </c>
      <c r="O1007" s="1">
        <v>45695</v>
      </c>
      <c r="Q1007" s="1">
        <v>46088</v>
      </c>
      <c r="R1007" s="2">
        <v>23.05</v>
      </c>
      <c r="S1007">
        <v>1</v>
      </c>
      <c r="T1007" t="s">
        <v>58</v>
      </c>
      <c r="U1007" t="s">
        <v>156</v>
      </c>
      <c r="V1007" s="3">
        <v>0.1</v>
      </c>
      <c r="W1007" s="2">
        <v>0</v>
      </c>
      <c r="X1007">
        <v>0</v>
      </c>
      <c r="Y1007" t="s">
        <v>157</v>
      </c>
      <c r="Z1007" t="s">
        <v>135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2.2999999999999998</v>
      </c>
      <c r="AN1007" s="2">
        <v>2.2999999999999998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46062</v>
      </c>
      <c r="B1008" t="s">
        <v>48</v>
      </c>
      <c r="C1008">
        <v>649163</v>
      </c>
      <c r="D1008">
        <v>2026733978</v>
      </c>
      <c r="E1008" t="s">
        <v>617</v>
      </c>
      <c r="F1008" t="s">
        <v>1226</v>
      </c>
      <c r="G1008" t="s">
        <v>51</v>
      </c>
      <c r="H1008" t="s">
        <v>66</v>
      </c>
      <c r="I1008" t="s">
        <v>383</v>
      </c>
      <c r="J1008" t="s">
        <v>384</v>
      </c>
      <c r="K1008">
        <v>651818</v>
      </c>
      <c r="L1008" t="s">
        <v>80</v>
      </c>
      <c r="M1008" t="s">
        <v>81</v>
      </c>
      <c r="N1008" t="s">
        <v>57</v>
      </c>
      <c r="O1008" s="1">
        <v>45695</v>
      </c>
      <c r="Q1008" s="1">
        <v>46088</v>
      </c>
      <c r="R1008" s="2">
        <v>122.22</v>
      </c>
      <c r="S1008">
        <v>1</v>
      </c>
      <c r="T1008" t="s">
        <v>58</v>
      </c>
      <c r="U1008" t="s">
        <v>156</v>
      </c>
      <c r="V1008" s="3">
        <v>0.15</v>
      </c>
      <c r="W1008" s="2">
        <v>0</v>
      </c>
      <c r="X1008">
        <v>0</v>
      </c>
      <c r="Y1008" t="s">
        <v>157</v>
      </c>
      <c r="Z1008" t="s">
        <v>135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18.329999999999998</v>
      </c>
      <c r="AN1008" s="2">
        <v>18.329999999999998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46062</v>
      </c>
      <c r="B1009" t="s">
        <v>48</v>
      </c>
      <c r="C1009">
        <v>649163</v>
      </c>
      <c r="D1009">
        <v>2026737140</v>
      </c>
      <c r="E1009" t="s">
        <v>1227</v>
      </c>
      <c r="F1009" t="s">
        <v>1228</v>
      </c>
      <c r="G1009" t="s">
        <v>51</v>
      </c>
      <c r="H1009" t="s">
        <v>66</v>
      </c>
      <c r="I1009" t="s">
        <v>383</v>
      </c>
      <c r="J1009" t="s">
        <v>384</v>
      </c>
      <c r="K1009">
        <v>651818</v>
      </c>
      <c r="L1009" t="s">
        <v>80</v>
      </c>
      <c r="M1009" t="s">
        <v>81</v>
      </c>
      <c r="N1009" t="s">
        <v>57</v>
      </c>
      <c r="O1009" s="1">
        <v>45695</v>
      </c>
      <c r="Q1009" s="1">
        <v>46088</v>
      </c>
      <c r="R1009" s="2">
        <v>124.72</v>
      </c>
      <c r="S1009">
        <v>1</v>
      </c>
      <c r="T1009" t="s">
        <v>58</v>
      </c>
      <c r="U1009" t="s">
        <v>156</v>
      </c>
      <c r="V1009" s="3">
        <v>0.15</v>
      </c>
      <c r="W1009" s="2">
        <v>0</v>
      </c>
      <c r="X1009">
        <v>0</v>
      </c>
      <c r="Y1009" t="s">
        <v>157</v>
      </c>
      <c r="Z1009" t="s">
        <v>135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18.71</v>
      </c>
      <c r="AN1009" s="2">
        <v>18.71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46062</v>
      </c>
      <c r="B1010" t="s">
        <v>48</v>
      </c>
      <c r="C1010">
        <v>649163</v>
      </c>
      <c r="D1010">
        <v>2026755178</v>
      </c>
      <c r="E1010" t="s">
        <v>677</v>
      </c>
      <c r="F1010" t="s">
        <v>678</v>
      </c>
      <c r="G1010" t="s">
        <v>51</v>
      </c>
      <c r="H1010" t="s">
        <v>209</v>
      </c>
      <c r="I1010" t="s">
        <v>383</v>
      </c>
      <c r="J1010" t="s">
        <v>384</v>
      </c>
      <c r="K1010">
        <v>673059</v>
      </c>
      <c r="L1010" t="s">
        <v>162</v>
      </c>
      <c r="M1010" t="s">
        <v>180</v>
      </c>
      <c r="N1010" t="s">
        <v>144</v>
      </c>
      <c r="O1010" s="1">
        <v>45689</v>
      </c>
      <c r="P1010" s="1">
        <v>46055</v>
      </c>
      <c r="Q1010" s="1">
        <v>46082</v>
      </c>
      <c r="R1010" s="2">
        <v>-152.07</v>
      </c>
      <c r="S1010">
        <v>1</v>
      </c>
      <c r="T1010" t="s">
        <v>58</v>
      </c>
      <c r="U1010" t="s">
        <v>156</v>
      </c>
      <c r="V1010" s="3">
        <v>0.15</v>
      </c>
      <c r="W1010" s="2">
        <v>0</v>
      </c>
      <c r="X1010">
        <v>-1</v>
      </c>
      <c r="Y1010" t="s">
        <v>157</v>
      </c>
      <c r="Z1010" t="s">
        <v>135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-22.81</v>
      </c>
      <c r="AN1010" s="2">
        <v>-22.81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46062</v>
      </c>
      <c r="B1011" t="s">
        <v>48</v>
      </c>
      <c r="C1011">
        <v>649163</v>
      </c>
      <c r="D1011">
        <v>2026827011</v>
      </c>
      <c r="E1011" t="s">
        <v>1229</v>
      </c>
      <c r="F1011" t="s">
        <v>299</v>
      </c>
      <c r="G1011" t="s">
        <v>51</v>
      </c>
      <c r="H1011" t="s">
        <v>112</v>
      </c>
      <c r="I1011" t="s">
        <v>383</v>
      </c>
      <c r="J1011" t="s">
        <v>384</v>
      </c>
      <c r="K1011">
        <v>651818</v>
      </c>
      <c r="L1011" t="s">
        <v>80</v>
      </c>
      <c r="M1011" t="s">
        <v>81</v>
      </c>
      <c r="N1011" t="s">
        <v>57</v>
      </c>
      <c r="O1011" s="1">
        <v>45695</v>
      </c>
      <c r="Q1011" s="1">
        <v>46088</v>
      </c>
      <c r="R1011" s="2">
        <v>122.32</v>
      </c>
      <c r="S1011">
        <v>1</v>
      </c>
      <c r="T1011" t="s">
        <v>58</v>
      </c>
      <c r="U1011" t="s">
        <v>156</v>
      </c>
      <c r="V1011" s="3">
        <v>0.15</v>
      </c>
      <c r="W1011" s="2">
        <v>0</v>
      </c>
      <c r="X1011">
        <v>0</v>
      </c>
      <c r="Y1011" t="s">
        <v>157</v>
      </c>
      <c r="Z1011" t="s">
        <v>135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18.350000000000001</v>
      </c>
      <c r="AN1011" s="2">
        <v>18.350000000000001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46062</v>
      </c>
      <c r="B1012" t="s">
        <v>48</v>
      </c>
      <c r="C1012">
        <v>649163</v>
      </c>
      <c r="D1012">
        <v>2026832448</v>
      </c>
      <c r="E1012" t="s">
        <v>74</v>
      </c>
      <c r="F1012" t="s">
        <v>172</v>
      </c>
      <c r="G1012" t="s">
        <v>51</v>
      </c>
      <c r="H1012" t="s">
        <v>96</v>
      </c>
      <c r="I1012" t="s">
        <v>383</v>
      </c>
      <c r="J1012" t="s">
        <v>384</v>
      </c>
      <c r="K1012">
        <v>651818</v>
      </c>
      <c r="L1012" t="s">
        <v>80</v>
      </c>
      <c r="M1012" t="s">
        <v>81</v>
      </c>
      <c r="N1012" t="s">
        <v>57</v>
      </c>
      <c r="O1012" s="1">
        <v>45695</v>
      </c>
      <c r="Q1012" s="1">
        <v>46088</v>
      </c>
      <c r="R1012" s="2">
        <v>32.979999999999997</v>
      </c>
      <c r="S1012">
        <v>1</v>
      </c>
      <c r="T1012" t="s">
        <v>58</v>
      </c>
      <c r="U1012" t="s">
        <v>156</v>
      </c>
      <c r="V1012" s="3">
        <v>0.15</v>
      </c>
      <c r="W1012" s="2">
        <v>0</v>
      </c>
      <c r="X1012">
        <v>0</v>
      </c>
      <c r="Y1012" t="s">
        <v>157</v>
      </c>
      <c r="Z1012" t="s">
        <v>135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4.95</v>
      </c>
      <c r="AN1012" s="2">
        <v>4.95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46062</v>
      </c>
      <c r="B1013" t="s">
        <v>48</v>
      </c>
      <c r="C1013">
        <v>649163</v>
      </c>
      <c r="D1013">
        <v>2026832450</v>
      </c>
      <c r="E1013" t="s">
        <v>74</v>
      </c>
      <c r="F1013" t="s">
        <v>172</v>
      </c>
      <c r="G1013" t="s">
        <v>51</v>
      </c>
      <c r="H1013" t="s">
        <v>96</v>
      </c>
      <c r="I1013" t="s">
        <v>383</v>
      </c>
      <c r="J1013" t="s">
        <v>385</v>
      </c>
      <c r="K1013">
        <v>651818</v>
      </c>
      <c r="L1013" t="s">
        <v>80</v>
      </c>
      <c r="M1013" t="s">
        <v>81</v>
      </c>
      <c r="N1013" t="s">
        <v>57</v>
      </c>
      <c r="O1013" s="1">
        <v>45695</v>
      </c>
      <c r="Q1013" s="1">
        <v>46088</v>
      </c>
      <c r="R1013" s="2">
        <v>41.25</v>
      </c>
      <c r="S1013">
        <v>1</v>
      </c>
      <c r="T1013" t="s">
        <v>58</v>
      </c>
      <c r="U1013" t="s">
        <v>156</v>
      </c>
      <c r="V1013" s="3">
        <v>0.1</v>
      </c>
      <c r="W1013" s="2">
        <v>0</v>
      </c>
      <c r="X1013">
        <v>0</v>
      </c>
      <c r="Y1013" t="s">
        <v>157</v>
      </c>
      <c r="Z1013" t="s">
        <v>135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4.12</v>
      </c>
      <c r="AN1013" s="2">
        <v>4.12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46062</v>
      </c>
      <c r="B1014" t="s">
        <v>48</v>
      </c>
      <c r="C1014">
        <v>649163</v>
      </c>
      <c r="D1014">
        <v>2026844913</v>
      </c>
      <c r="E1014" t="s">
        <v>554</v>
      </c>
      <c r="F1014" t="s">
        <v>120</v>
      </c>
      <c r="G1014" t="s">
        <v>51</v>
      </c>
      <c r="H1014" t="s">
        <v>66</v>
      </c>
      <c r="I1014" t="s">
        <v>383</v>
      </c>
      <c r="J1014" t="s">
        <v>384</v>
      </c>
      <c r="K1014">
        <v>651818</v>
      </c>
      <c r="L1014" t="s">
        <v>80</v>
      </c>
      <c r="M1014" t="s">
        <v>81</v>
      </c>
      <c r="N1014" t="s">
        <v>57</v>
      </c>
      <c r="O1014" s="1">
        <v>45695</v>
      </c>
      <c r="Q1014" s="1">
        <v>46088</v>
      </c>
      <c r="R1014" s="2">
        <v>78.400000000000006</v>
      </c>
      <c r="S1014">
        <v>1</v>
      </c>
      <c r="T1014" t="s">
        <v>58</v>
      </c>
      <c r="U1014" t="s">
        <v>156</v>
      </c>
      <c r="V1014" s="3">
        <v>0.15</v>
      </c>
      <c r="W1014" s="2">
        <v>0</v>
      </c>
      <c r="X1014">
        <v>0</v>
      </c>
      <c r="Y1014" t="s">
        <v>157</v>
      </c>
      <c r="Z1014" t="s">
        <v>135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11.76</v>
      </c>
      <c r="AN1014" s="2">
        <v>11.76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46062</v>
      </c>
      <c r="B1015" t="s">
        <v>48</v>
      </c>
      <c r="C1015">
        <v>649163</v>
      </c>
      <c r="D1015">
        <v>2026860056</v>
      </c>
      <c r="E1015" t="s">
        <v>538</v>
      </c>
      <c r="F1015" t="s">
        <v>539</v>
      </c>
      <c r="G1015" t="s">
        <v>51</v>
      </c>
      <c r="H1015" t="s">
        <v>90</v>
      </c>
      <c r="I1015" t="s">
        <v>383</v>
      </c>
      <c r="J1015" t="s">
        <v>384</v>
      </c>
      <c r="K1015">
        <v>651818</v>
      </c>
      <c r="L1015" t="s">
        <v>80</v>
      </c>
      <c r="M1015" t="s">
        <v>81</v>
      </c>
      <c r="N1015" t="s">
        <v>57</v>
      </c>
      <c r="O1015" s="1">
        <v>45695</v>
      </c>
      <c r="Q1015" s="1">
        <v>46088</v>
      </c>
      <c r="R1015" s="2">
        <v>13</v>
      </c>
      <c r="S1015">
        <v>1</v>
      </c>
      <c r="T1015" t="s">
        <v>58</v>
      </c>
      <c r="U1015" t="s">
        <v>156</v>
      </c>
      <c r="V1015" s="3">
        <v>0.15</v>
      </c>
      <c r="W1015" s="2">
        <v>0</v>
      </c>
      <c r="X1015">
        <v>0</v>
      </c>
      <c r="Y1015" t="s">
        <v>157</v>
      </c>
      <c r="Z1015" t="s">
        <v>135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1.95</v>
      </c>
      <c r="AN1015" s="2">
        <v>1.95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46062</v>
      </c>
      <c r="B1016" t="s">
        <v>48</v>
      </c>
      <c r="C1016">
        <v>649163</v>
      </c>
      <c r="D1016">
        <v>2026970604</v>
      </c>
      <c r="E1016" t="s">
        <v>555</v>
      </c>
      <c r="F1016" t="s">
        <v>556</v>
      </c>
      <c r="G1016" t="s">
        <v>51</v>
      </c>
      <c r="H1016" t="s">
        <v>90</v>
      </c>
      <c r="I1016" t="s">
        <v>383</v>
      </c>
      <c r="J1016" t="s">
        <v>385</v>
      </c>
      <c r="K1016">
        <v>651818</v>
      </c>
      <c r="L1016" t="s">
        <v>80</v>
      </c>
      <c r="M1016" t="s">
        <v>81</v>
      </c>
      <c r="N1016" t="s">
        <v>57</v>
      </c>
      <c r="O1016" s="1">
        <v>45723</v>
      </c>
      <c r="Q1016" s="1">
        <v>46088</v>
      </c>
      <c r="R1016" s="2">
        <v>99.25</v>
      </c>
      <c r="S1016">
        <v>1</v>
      </c>
      <c r="T1016" t="s">
        <v>58</v>
      </c>
      <c r="U1016" t="s">
        <v>156</v>
      </c>
      <c r="V1016" s="3">
        <v>0.9</v>
      </c>
      <c r="W1016" s="2">
        <v>0</v>
      </c>
      <c r="X1016">
        <v>0</v>
      </c>
      <c r="Y1016" t="s">
        <v>60</v>
      </c>
      <c r="Z1016" t="s">
        <v>135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89.32</v>
      </c>
      <c r="AN1016" s="2">
        <v>89.32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46062</v>
      </c>
      <c r="B1017" t="s">
        <v>48</v>
      </c>
      <c r="C1017">
        <v>649163</v>
      </c>
      <c r="D1017">
        <v>2026978414</v>
      </c>
      <c r="E1017" t="s">
        <v>1230</v>
      </c>
      <c r="F1017" t="s">
        <v>1231</v>
      </c>
      <c r="G1017" t="s">
        <v>51</v>
      </c>
      <c r="H1017" t="s">
        <v>66</v>
      </c>
      <c r="I1017" t="s">
        <v>383</v>
      </c>
      <c r="J1017" t="s">
        <v>384</v>
      </c>
      <c r="K1017">
        <v>813181</v>
      </c>
      <c r="L1017" t="s">
        <v>1232</v>
      </c>
      <c r="M1017" t="s">
        <v>107</v>
      </c>
      <c r="N1017" t="s">
        <v>57</v>
      </c>
      <c r="O1017" s="1">
        <v>45695</v>
      </c>
      <c r="Q1017" s="1">
        <v>46088</v>
      </c>
      <c r="R1017" s="2">
        <v>56.5</v>
      </c>
      <c r="S1017">
        <v>1</v>
      </c>
      <c r="T1017" t="s">
        <v>58</v>
      </c>
      <c r="U1017" t="s">
        <v>156</v>
      </c>
      <c r="V1017" s="3">
        <v>0.15</v>
      </c>
      <c r="W1017" s="2">
        <v>0</v>
      </c>
      <c r="X1017">
        <v>0</v>
      </c>
      <c r="Y1017" t="s">
        <v>157</v>
      </c>
      <c r="Z1017" t="s">
        <v>135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8.48</v>
      </c>
      <c r="AN1017" s="2">
        <v>8.48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46062</v>
      </c>
      <c r="B1018" t="s">
        <v>48</v>
      </c>
      <c r="C1018">
        <v>649163</v>
      </c>
      <c r="D1018">
        <v>2026978805</v>
      </c>
      <c r="E1018" t="s">
        <v>679</v>
      </c>
      <c r="F1018" t="s">
        <v>680</v>
      </c>
      <c r="G1018" t="s">
        <v>51</v>
      </c>
      <c r="H1018" t="s">
        <v>66</v>
      </c>
      <c r="I1018" t="s">
        <v>383</v>
      </c>
      <c r="J1018" t="s">
        <v>384</v>
      </c>
      <c r="K1018">
        <v>824062</v>
      </c>
      <c r="L1018" t="s">
        <v>569</v>
      </c>
      <c r="M1018" t="s">
        <v>570</v>
      </c>
      <c r="N1018" t="s">
        <v>57</v>
      </c>
      <c r="O1018" s="1">
        <v>45695</v>
      </c>
      <c r="Q1018" s="1">
        <v>46088</v>
      </c>
      <c r="R1018" s="2">
        <v>15.75</v>
      </c>
      <c r="S1018">
        <v>1</v>
      </c>
      <c r="T1018" t="s">
        <v>58</v>
      </c>
      <c r="U1018" t="s">
        <v>156</v>
      </c>
      <c r="V1018" s="3">
        <v>0.15</v>
      </c>
      <c r="W1018" s="2">
        <v>0</v>
      </c>
      <c r="X1018">
        <v>0</v>
      </c>
      <c r="Y1018" t="s">
        <v>157</v>
      </c>
      <c r="Z1018" t="s">
        <v>135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2.36</v>
      </c>
      <c r="AN1018" s="2">
        <v>2.36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46062</v>
      </c>
      <c r="B1019" t="s">
        <v>48</v>
      </c>
      <c r="C1019">
        <v>649163</v>
      </c>
      <c r="D1019">
        <v>2027001808</v>
      </c>
      <c r="E1019" t="s">
        <v>557</v>
      </c>
      <c r="F1019" t="s">
        <v>190</v>
      </c>
      <c r="G1019" t="s">
        <v>51</v>
      </c>
      <c r="H1019" t="s">
        <v>274</v>
      </c>
      <c r="I1019" t="s">
        <v>383</v>
      </c>
      <c r="J1019" t="s">
        <v>384</v>
      </c>
      <c r="K1019">
        <v>816021</v>
      </c>
      <c r="L1019" t="s">
        <v>275</v>
      </c>
      <c r="M1019" t="s">
        <v>276</v>
      </c>
      <c r="N1019" t="s">
        <v>57</v>
      </c>
      <c r="O1019" s="1">
        <v>45698</v>
      </c>
      <c r="Q1019" s="1">
        <v>46091</v>
      </c>
      <c r="R1019" s="2">
        <v>7.11</v>
      </c>
      <c r="S1019">
        <v>1</v>
      </c>
      <c r="T1019" t="s">
        <v>58</v>
      </c>
      <c r="U1019" t="s">
        <v>156</v>
      </c>
      <c r="V1019" s="3">
        <v>0.15</v>
      </c>
      <c r="W1019" s="2">
        <v>0</v>
      </c>
      <c r="X1019">
        <v>0</v>
      </c>
      <c r="Y1019" t="s">
        <v>157</v>
      </c>
      <c r="Z1019" t="s">
        <v>135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1.07</v>
      </c>
      <c r="AN1019" s="2">
        <v>1.07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46062</v>
      </c>
      <c r="B1020" t="s">
        <v>48</v>
      </c>
      <c r="C1020">
        <v>649163</v>
      </c>
      <c r="D1020">
        <v>2027003321</v>
      </c>
      <c r="E1020" t="s">
        <v>558</v>
      </c>
      <c r="F1020" t="s">
        <v>559</v>
      </c>
      <c r="G1020" t="s">
        <v>51</v>
      </c>
      <c r="H1020" t="s">
        <v>274</v>
      </c>
      <c r="I1020" t="s">
        <v>383</v>
      </c>
      <c r="J1020" t="s">
        <v>384</v>
      </c>
      <c r="K1020">
        <v>816021</v>
      </c>
      <c r="L1020" t="s">
        <v>275</v>
      </c>
      <c r="M1020" t="s">
        <v>276</v>
      </c>
      <c r="N1020" t="s">
        <v>57</v>
      </c>
      <c r="O1020" s="1">
        <v>45696</v>
      </c>
      <c r="Q1020" s="1">
        <v>46089</v>
      </c>
      <c r="R1020" s="2">
        <v>29.2</v>
      </c>
      <c r="S1020">
        <v>1</v>
      </c>
      <c r="T1020" t="s">
        <v>58</v>
      </c>
      <c r="U1020" t="s">
        <v>156</v>
      </c>
      <c r="V1020" s="3">
        <v>0.15</v>
      </c>
      <c r="W1020" s="2">
        <v>0</v>
      </c>
      <c r="X1020">
        <v>0</v>
      </c>
      <c r="Y1020" t="s">
        <v>157</v>
      </c>
      <c r="Z1020" t="s">
        <v>135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4.38</v>
      </c>
      <c r="AN1020" s="2">
        <v>4.38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46062</v>
      </c>
      <c r="B1021" t="s">
        <v>48</v>
      </c>
      <c r="C1021">
        <v>649163</v>
      </c>
      <c r="D1021">
        <v>2027003322</v>
      </c>
      <c r="E1021" t="s">
        <v>558</v>
      </c>
      <c r="F1021" t="s">
        <v>559</v>
      </c>
      <c r="G1021" t="s">
        <v>51</v>
      </c>
      <c r="H1021" t="s">
        <v>274</v>
      </c>
      <c r="I1021" t="s">
        <v>383</v>
      </c>
      <c r="J1021" t="s">
        <v>1172</v>
      </c>
      <c r="K1021">
        <v>816021</v>
      </c>
      <c r="L1021" t="s">
        <v>275</v>
      </c>
      <c r="M1021" t="s">
        <v>276</v>
      </c>
      <c r="N1021" t="s">
        <v>57</v>
      </c>
      <c r="O1021" s="1">
        <v>45696</v>
      </c>
      <c r="Q1021" s="1">
        <v>46089</v>
      </c>
      <c r="R1021" s="2">
        <v>20.95</v>
      </c>
      <c r="S1021">
        <v>1</v>
      </c>
      <c r="T1021" t="s">
        <v>58</v>
      </c>
      <c r="U1021" t="s">
        <v>156</v>
      </c>
      <c r="V1021" s="3">
        <v>0.15</v>
      </c>
      <c r="W1021" s="2">
        <v>0</v>
      </c>
      <c r="X1021">
        <v>0</v>
      </c>
      <c r="Y1021" t="s">
        <v>157</v>
      </c>
      <c r="Z1021" t="s">
        <v>135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3.14</v>
      </c>
      <c r="AN1021" s="2">
        <v>3.14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46062</v>
      </c>
      <c r="B1022" t="s">
        <v>48</v>
      </c>
      <c r="C1022">
        <v>649163</v>
      </c>
      <c r="D1022">
        <v>2027003552</v>
      </c>
      <c r="E1022" t="s">
        <v>560</v>
      </c>
      <c r="F1022" t="s">
        <v>92</v>
      </c>
      <c r="G1022" t="s">
        <v>51</v>
      </c>
      <c r="H1022" t="s">
        <v>274</v>
      </c>
      <c r="I1022" t="s">
        <v>383</v>
      </c>
      <c r="J1022" t="s">
        <v>384</v>
      </c>
      <c r="K1022">
        <v>816021</v>
      </c>
      <c r="L1022" t="s">
        <v>275</v>
      </c>
      <c r="M1022" t="s">
        <v>276</v>
      </c>
      <c r="N1022" t="s">
        <v>57</v>
      </c>
      <c r="O1022" s="1">
        <v>45698</v>
      </c>
      <c r="Q1022" s="1">
        <v>46091</v>
      </c>
      <c r="R1022" s="2">
        <v>27.38</v>
      </c>
      <c r="S1022">
        <v>1</v>
      </c>
      <c r="T1022" t="s">
        <v>58</v>
      </c>
      <c r="U1022" t="s">
        <v>156</v>
      </c>
      <c r="V1022" s="3">
        <v>0.15</v>
      </c>
      <c r="W1022" s="2">
        <v>0</v>
      </c>
      <c r="X1022">
        <v>0</v>
      </c>
      <c r="Y1022" t="s">
        <v>157</v>
      </c>
      <c r="Z1022" t="s">
        <v>135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4.1100000000000003</v>
      </c>
      <c r="AN1022" s="2">
        <v>4.1100000000000003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46062</v>
      </c>
      <c r="B1023" t="s">
        <v>48</v>
      </c>
      <c r="C1023">
        <v>649163</v>
      </c>
      <c r="D1023">
        <v>2027010991</v>
      </c>
      <c r="E1023" t="s">
        <v>547</v>
      </c>
      <c r="F1023" t="s">
        <v>561</v>
      </c>
      <c r="G1023" t="s">
        <v>51</v>
      </c>
      <c r="H1023" t="s">
        <v>274</v>
      </c>
      <c r="I1023" t="s">
        <v>383</v>
      </c>
      <c r="J1023" t="s">
        <v>384</v>
      </c>
      <c r="K1023">
        <v>816021</v>
      </c>
      <c r="L1023" t="s">
        <v>275</v>
      </c>
      <c r="M1023" t="s">
        <v>276</v>
      </c>
      <c r="N1023" t="s">
        <v>57</v>
      </c>
      <c r="O1023" s="1">
        <v>45697</v>
      </c>
      <c r="Q1023" s="1">
        <v>46090</v>
      </c>
      <c r="R1023" s="2">
        <v>9.6999999999999993</v>
      </c>
      <c r="S1023">
        <v>1</v>
      </c>
      <c r="T1023" t="s">
        <v>58</v>
      </c>
      <c r="U1023" t="s">
        <v>156</v>
      </c>
      <c r="V1023" s="3">
        <v>0.15</v>
      </c>
      <c r="W1023" s="2">
        <v>0</v>
      </c>
      <c r="X1023">
        <v>0</v>
      </c>
      <c r="Y1023" t="s">
        <v>157</v>
      </c>
      <c r="Z1023" t="s">
        <v>135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1.46</v>
      </c>
      <c r="AN1023" s="2">
        <v>1.46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46062</v>
      </c>
      <c r="B1024" t="s">
        <v>48</v>
      </c>
      <c r="C1024">
        <v>649163</v>
      </c>
      <c r="D1024">
        <v>2027010993</v>
      </c>
      <c r="E1024" t="s">
        <v>547</v>
      </c>
      <c r="F1024" t="s">
        <v>561</v>
      </c>
      <c r="G1024" t="s">
        <v>51</v>
      </c>
      <c r="H1024" t="s">
        <v>274</v>
      </c>
      <c r="I1024" t="s">
        <v>383</v>
      </c>
      <c r="J1024" t="s">
        <v>1172</v>
      </c>
      <c r="K1024">
        <v>816021</v>
      </c>
      <c r="L1024" t="s">
        <v>275</v>
      </c>
      <c r="M1024" t="s">
        <v>276</v>
      </c>
      <c r="N1024" t="s">
        <v>57</v>
      </c>
      <c r="O1024" s="1">
        <v>45697</v>
      </c>
      <c r="Q1024" s="1">
        <v>46090</v>
      </c>
      <c r="R1024" s="2">
        <v>6.3</v>
      </c>
      <c r="S1024">
        <v>1</v>
      </c>
      <c r="T1024" t="s">
        <v>58</v>
      </c>
      <c r="U1024" t="s">
        <v>156</v>
      </c>
      <c r="V1024" s="3">
        <v>0.15</v>
      </c>
      <c r="W1024" s="2">
        <v>0</v>
      </c>
      <c r="X1024">
        <v>0</v>
      </c>
      <c r="Y1024" t="s">
        <v>157</v>
      </c>
      <c r="Z1024" t="s">
        <v>135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0.94</v>
      </c>
      <c r="AN1024" s="2">
        <v>0.94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46062</v>
      </c>
      <c r="B1025" t="s">
        <v>48</v>
      </c>
      <c r="C1025">
        <v>649163</v>
      </c>
      <c r="D1025">
        <v>2027014990</v>
      </c>
      <c r="E1025" t="s">
        <v>681</v>
      </c>
      <c r="F1025" t="s">
        <v>592</v>
      </c>
      <c r="G1025" t="s">
        <v>51</v>
      </c>
      <c r="H1025" t="s">
        <v>397</v>
      </c>
      <c r="I1025" t="s">
        <v>383</v>
      </c>
      <c r="J1025" t="s">
        <v>384</v>
      </c>
      <c r="K1025">
        <v>673059</v>
      </c>
      <c r="L1025" t="s">
        <v>162</v>
      </c>
      <c r="M1025" t="s">
        <v>180</v>
      </c>
      <c r="N1025" t="s">
        <v>57</v>
      </c>
      <c r="O1025" s="1">
        <v>45696</v>
      </c>
      <c r="Q1025" s="1">
        <v>46089</v>
      </c>
      <c r="R1025" s="2">
        <v>10.82</v>
      </c>
      <c r="S1025">
        <v>1</v>
      </c>
      <c r="T1025" t="s">
        <v>58</v>
      </c>
      <c r="U1025" t="s">
        <v>156</v>
      </c>
      <c r="V1025" s="3">
        <v>0.15</v>
      </c>
      <c r="W1025" s="2">
        <v>0</v>
      </c>
      <c r="X1025">
        <v>0</v>
      </c>
      <c r="Y1025" t="s">
        <v>157</v>
      </c>
      <c r="Z1025" t="s">
        <v>135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1.62</v>
      </c>
      <c r="AN1025" s="2">
        <v>1.62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46062</v>
      </c>
      <c r="B1026" t="s">
        <v>48</v>
      </c>
      <c r="C1026">
        <v>649163</v>
      </c>
      <c r="D1026">
        <v>2027025171</v>
      </c>
      <c r="E1026" t="s">
        <v>562</v>
      </c>
      <c r="F1026" t="s">
        <v>349</v>
      </c>
      <c r="G1026" t="s">
        <v>51</v>
      </c>
      <c r="H1026" t="s">
        <v>274</v>
      </c>
      <c r="I1026" t="s">
        <v>383</v>
      </c>
      <c r="J1026" t="s">
        <v>384</v>
      </c>
      <c r="K1026">
        <v>824082</v>
      </c>
      <c r="L1026" t="s">
        <v>563</v>
      </c>
      <c r="M1026" t="s">
        <v>564</v>
      </c>
      <c r="N1026" t="s">
        <v>57</v>
      </c>
      <c r="O1026" s="1">
        <v>45697</v>
      </c>
      <c r="Q1026" s="1">
        <v>46090</v>
      </c>
      <c r="R1026" s="2">
        <v>29.2</v>
      </c>
      <c r="S1026">
        <v>1</v>
      </c>
      <c r="T1026" t="s">
        <v>58</v>
      </c>
      <c r="U1026" t="s">
        <v>156</v>
      </c>
      <c r="V1026" s="3">
        <v>0.15</v>
      </c>
      <c r="W1026" s="2">
        <v>0</v>
      </c>
      <c r="X1026">
        <v>0</v>
      </c>
      <c r="Y1026" t="s">
        <v>157</v>
      </c>
      <c r="Z1026" t="s">
        <v>135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4.38</v>
      </c>
      <c r="AN1026" s="2">
        <v>4.38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46062</v>
      </c>
      <c r="B1027" t="s">
        <v>48</v>
      </c>
      <c r="C1027">
        <v>649163</v>
      </c>
      <c r="D1027">
        <v>2027035339</v>
      </c>
      <c r="E1027" t="s">
        <v>303</v>
      </c>
      <c r="F1027" t="s">
        <v>111</v>
      </c>
      <c r="G1027" t="s">
        <v>51</v>
      </c>
      <c r="H1027" t="s">
        <v>333</v>
      </c>
      <c r="I1027" t="s">
        <v>383</v>
      </c>
      <c r="J1027" t="s">
        <v>384</v>
      </c>
      <c r="K1027">
        <v>813184</v>
      </c>
      <c r="L1027" t="s">
        <v>303</v>
      </c>
      <c r="M1027" t="s">
        <v>304</v>
      </c>
      <c r="N1027" t="s">
        <v>57</v>
      </c>
      <c r="O1027" s="1">
        <v>45698</v>
      </c>
      <c r="Q1027" s="1">
        <v>46091</v>
      </c>
      <c r="R1027" s="2">
        <v>39.25</v>
      </c>
      <c r="S1027">
        <v>1</v>
      </c>
      <c r="T1027" t="s">
        <v>58</v>
      </c>
      <c r="U1027" t="s">
        <v>156</v>
      </c>
      <c r="V1027" s="3">
        <v>0.15</v>
      </c>
      <c r="W1027" s="2">
        <v>0</v>
      </c>
      <c r="X1027">
        <v>0</v>
      </c>
      <c r="Y1027" t="s">
        <v>157</v>
      </c>
      <c r="Z1027" t="s">
        <v>135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5.89</v>
      </c>
      <c r="AN1027" s="2">
        <v>5.89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46062</v>
      </c>
      <c r="B1028" t="s">
        <v>48</v>
      </c>
      <c r="C1028">
        <v>649163</v>
      </c>
      <c r="D1028">
        <v>2027052528</v>
      </c>
      <c r="E1028" t="s">
        <v>682</v>
      </c>
      <c r="F1028" t="s">
        <v>683</v>
      </c>
      <c r="G1028" t="s">
        <v>51</v>
      </c>
      <c r="H1028" t="s">
        <v>66</v>
      </c>
      <c r="I1028" t="s">
        <v>383</v>
      </c>
      <c r="J1028" t="s">
        <v>384</v>
      </c>
      <c r="K1028">
        <v>766747</v>
      </c>
      <c r="L1028" t="s">
        <v>645</v>
      </c>
      <c r="M1028" t="s">
        <v>188</v>
      </c>
      <c r="N1028" t="s">
        <v>57</v>
      </c>
      <c r="O1028" s="1">
        <v>45699</v>
      </c>
      <c r="Q1028" s="1">
        <v>46092</v>
      </c>
      <c r="R1028" s="2">
        <v>11.5</v>
      </c>
      <c r="S1028">
        <v>1</v>
      </c>
      <c r="T1028" t="s">
        <v>58</v>
      </c>
      <c r="U1028" t="s">
        <v>156</v>
      </c>
      <c r="V1028" s="3">
        <v>0.15</v>
      </c>
      <c r="W1028" s="2">
        <v>0</v>
      </c>
      <c r="X1028">
        <v>0</v>
      </c>
      <c r="Y1028" t="s">
        <v>157</v>
      </c>
      <c r="Z1028" t="s">
        <v>135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1.72</v>
      </c>
      <c r="AN1028" s="2">
        <v>1.72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46062</v>
      </c>
      <c r="B1029" t="s">
        <v>48</v>
      </c>
      <c r="C1029">
        <v>649163</v>
      </c>
      <c r="D1029">
        <v>2027055700</v>
      </c>
      <c r="E1029" t="s">
        <v>684</v>
      </c>
      <c r="F1029" t="s">
        <v>685</v>
      </c>
      <c r="G1029" t="s">
        <v>51</v>
      </c>
      <c r="H1029" t="s">
        <v>274</v>
      </c>
      <c r="I1029" t="s">
        <v>383</v>
      </c>
      <c r="J1029" t="s">
        <v>384</v>
      </c>
      <c r="K1029">
        <v>816021</v>
      </c>
      <c r="L1029" t="s">
        <v>275</v>
      </c>
      <c r="M1029" t="s">
        <v>276</v>
      </c>
      <c r="N1029" t="s">
        <v>57</v>
      </c>
      <c r="O1029" s="1">
        <v>45699</v>
      </c>
      <c r="Q1029" s="1">
        <v>46092</v>
      </c>
      <c r="R1029" s="2">
        <v>9.1</v>
      </c>
      <c r="S1029">
        <v>1</v>
      </c>
      <c r="T1029" t="s">
        <v>58</v>
      </c>
      <c r="U1029" t="s">
        <v>156</v>
      </c>
      <c r="V1029" s="3">
        <v>0.15</v>
      </c>
      <c r="W1029" s="2">
        <v>0</v>
      </c>
      <c r="X1029">
        <v>0</v>
      </c>
      <c r="Y1029" t="s">
        <v>157</v>
      </c>
      <c r="Z1029" t="s">
        <v>135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1.36</v>
      </c>
      <c r="AN1029" s="2">
        <v>1.36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46062</v>
      </c>
      <c r="B1030" t="s">
        <v>48</v>
      </c>
      <c r="C1030">
        <v>649163</v>
      </c>
      <c r="D1030">
        <v>2027059396</v>
      </c>
      <c r="E1030" t="s">
        <v>346</v>
      </c>
      <c r="F1030" t="s">
        <v>686</v>
      </c>
      <c r="G1030" t="s">
        <v>51</v>
      </c>
      <c r="H1030" t="s">
        <v>66</v>
      </c>
      <c r="I1030" t="s">
        <v>383</v>
      </c>
      <c r="J1030" t="s">
        <v>384</v>
      </c>
      <c r="K1030">
        <v>824062</v>
      </c>
      <c r="L1030" t="s">
        <v>569</v>
      </c>
      <c r="M1030" t="s">
        <v>570</v>
      </c>
      <c r="N1030" t="s">
        <v>57</v>
      </c>
      <c r="O1030" s="1">
        <v>45700</v>
      </c>
      <c r="Q1030" s="1">
        <v>46093</v>
      </c>
      <c r="R1030" s="2">
        <v>41.5</v>
      </c>
      <c r="S1030">
        <v>1</v>
      </c>
      <c r="T1030" t="s">
        <v>58</v>
      </c>
      <c r="U1030" t="s">
        <v>156</v>
      </c>
      <c r="V1030" s="3">
        <v>0.15</v>
      </c>
      <c r="W1030" s="2">
        <v>0</v>
      </c>
      <c r="X1030">
        <v>0</v>
      </c>
      <c r="Y1030" t="s">
        <v>157</v>
      </c>
      <c r="Z1030" t="s">
        <v>135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6.22</v>
      </c>
      <c r="AN1030" s="2">
        <v>6.22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46062</v>
      </c>
      <c r="B1031" t="s">
        <v>48</v>
      </c>
      <c r="C1031">
        <v>649163</v>
      </c>
      <c r="D1031">
        <v>2027064140</v>
      </c>
      <c r="E1031" t="s">
        <v>983</v>
      </c>
      <c r="F1031" t="s">
        <v>180</v>
      </c>
      <c r="G1031" t="s">
        <v>51</v>
      </c>
      <c r="H1031" t="s">
        <v>209</v>
      </c>
      <c r="I1031" t="s">
        <v>383</v>
      </c>
      <c r="J1031" t="s">
        <v>1172</v>
      </c>
      <c r="K1031">
        <v>673059</v>
      </c>
      <c r="L1031" t="s">
        <v>162</v>
      </c>
      <c r="M1031" t="s">
        <v>180</v>
      </c>
      <c r="N1031" t="s">
        <v>57</v>
      </c>
      <c r="O1031" s="1">
        <v>45700</v>
      </c>
      <c r="Q1031" s="1">
        <v>46093</v>
      </c>
      <c r="R1031" s="2">
        <v>23.39</v>
      </c>
      <c r="S1031">
        <v>1</v>
      </c>
      <c r="T1031" t="s">
        <v>58</v>
      </c>
      <c r="U1031" t="s">
        <v>156</v>
      </c>
      <c r="V1031" s="3">
        <v>0.15</v>
      </c>
      <c r="W1031" s="2">
        <v>0</v>
      </c>
      <c r="X1031">
        <v>0</v>
      </c>
      <c r="Y1031" t="s">
        <v>157</v>
      </c>
      <c r="Z1031" t="s">
        <v>135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3.51</v>
      </c>
      <c r="AN1031" s="2">
        <v>3.51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46062</v>
      </c>
      <c r="B1032" t="s">
        <v>48</v>
      </c>
      <c r="C1032">
        <v>649163</v>
      </c>
      <c r="D1032">
        <v>2027064142</v>
      </c>
      <c r="E1032" t="s">
        <v>983</v>
      </c>
      <c r="F1032" t="s">
        <v>180</v>
      </c>
      <c r="G1032" t="s">
        <v>51</v>
      </c>
      <c r="H1032" t="s">
        <v>209</v>
      </c>
      <c r="I1032" t="s">
        <v>383</v>
      </c>
      <c r="J1032" t="s">
        <v>384</v>
      </c>
      <c r="K1032">
        <v>673059</v>
      </c>
      <c r="L1032" t="s">
        <v>162</v>
      </c>
      <c r="M1032" t="s">
        <v>180</v>
      </c>
      <c r="N1032" t="s">
        <v>57</v>
      </c>
      <c r="O1032" s="1">
        <v>45700</v>
      </c>
      <c r="Q1032" s="1">
        <v>46093</v>
      </c>
      <c r="R1032" s="2">
        <v>115.91</v>
      </c>
      <c r="S1032">
        <v>1</v>
      </c>
      <c r="T1032" t="s">
        <v>58</v>
      </c>
      <c r="U1032" t="s">
        <v>156</v>
      </c>
      <c r="V1032" s="3">
        <v>0.15</v>
      </c>
      <c r="W1032" s="2">
        <v>0</v>
      </c>
      <c r="X1032">
        <v>0</v>
      </c>
      <c r="Y1032" t="s">
        <v>157</v>
      </c>
      <c r="Z1032" t="s">
        <v>135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17.39</v>
      </c>
      <c r="AN1032" s="2">
        <v>17.39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46062</v>
      </c>
      <c r="B1033" t="s">
        <v>48</v>
      </c>
      <c r="C1033">
        <v>649163</v>
      </c>
      <c r="D1033">
        <v>2027235545</v>
      </c>
      <c r="E1033" t="s">
        <v>911</v>
      </c>
      <c r="F1033" t="s">
        <v>984</v>
      </c>
      <c r="G1033" t="s">
        <v>51</v>
      </c>
      <c r="H1033" t="s">
        <v>353</v>
      </c>
      <c r="I1033" t="s">
        <v>383</v>
      </c>
      <c r="J1033" t="s">
        <v>384</v>
      </c>
      <c r="K1033">
        <v>651818</v>
      </c>
      <c r="L1033" t="s">
        <v>80</v>
      </c>
      <c r="M1033" t="s">
        <v>81</v>
      </c>
      <c r="N1033" t="s">
        <v>57</v>
      </c>
      <c r="O1033" s="1">
        <v>45723</v>
      </c>
      <c r="Q1033" s="1">
        <v>46088</v>
      </c>
      <c r="R1033" s="2">
        <v>122.53</v>
      </c>
      <c r="S1033">
        <v>1</v>
      </c>
      <c r="T1033" t="s">
        <v>58</v>
      </c>
      <c r="U1033" t="s">
        <v>156</v>
      </c>
      <c r="V1033" s="3">
        <v>0.7</v>
      </c>
      <c r="W1033" s="2">
        <v>0</v>
      </c>
      <c r="X1033">
        <v>0</v>
      </c>
      <c r="Y1033" t="s">
        <v>60</v>
      </c>
      <c r="Z1033" t="s">
        <v>135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85.77</v>
      </c>
      <c r="AN1033" s="2">
        <v>85.77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46062</v>
      </c>
      <c r="B1034" t="s">
        <v>48</v>
      </c>
      <c r="C1034">
        <v>649163</v>
      </c>
      <c r="D1034">
        <v>2027298067</v>
      </c>
      <c r="E1034" t="s">
        <v>985</v>
      </c>
      <c r="F1034" t="s">
        <v>986</v>
      </c>
      <c r="G1034" t="s">
        <v>51</v>
      </c>
      <c r="H1034" t="s">
        <v>112</v>
      </c>
      <c r="I1034" t="s">
        <v>383</v>
      </c>
      <c r="J1034" t="s">
        <v>384</v>
      </c>
      <c r="K1034">
        <v>651818</v>
      </c>
      <c r="L1034" t="s">
        <v>80</v>
      </c>
      <c r="M1034" t="s">
        <v>81</v>
      </c>
      <c r="N1034" t="s">
        <v>57</v>
      </c>
      <c r="O1034" s="1">
        <v>45723</v>
      </c>
      <c r="Q1034" s="1">
        <v>46088</v>
      </c>
      <c r="R1034" s="2">
        <v>73.56</v>
      </c>
      <c r="S1034">
        <v>1</v>
      </c>
      <c r="T1034" t="s">
        <v>58</v>
      </c>
      <c r="U1034" t="s">
        <v>156</v>
      </c>
      <c r="V1034" s="3">
        <v>0.7</v>
      </c>
      <c r="W1034" s="2">
        <v>0</v>
      </c>
      <c r="X1034">
        <v>0</v>
      </c>
      <c r="Y1034" t="s">
        <v>60</v>
      </c>
      <c r="Z1034" t="s">
        <v>135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51.49</v>
      </c>
      <c r="AN1034" s="2">
        <v>51.49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46062</v>
      </c>
      <c r="B1035" t="s">
        <v>48</v>
      </c>
      <c r="C1035">
        <v>649163</v>
      </c>
      <c r="D1035">
        <v>2027298068</v>
      </c>
      <c r="E1035" t="s">
        <v>985</v>
      </c>
      <c r="F1035" t="s">
        <v>986</v>
      </c>
      <c r="G1035" t="s">
        <v>51</v>
      </c>
      <c r="H1035" t="s">
        <v>112</v>
      </c>
      <c r="I1035" t="s">
        <v>383</v>
      </c>
      <c r="J1035" t="s">
        <v>385</v>
      </c>
      <c r="K1035">
        <v>651818</v>
      </c>
      <c r="L1035" t="s">
        <v>80</v>
      </c>
      <c r="M1035" t="s">
        <v>81</v>
      </c>
      <c r="N1035" t="s">
        <v>57</v>
      </c>
      <c r="O1035" s="1">
        <v>45723</v>
      </c>
      <c r="Q1035" s="1">
        <v>46088</v>
      </c>
      <c r="R1035" s="2">
        <v>64.92</v>
      </c>
      <c r="S1035">
        <v>1</v>
      </c>
      <c r="T1035" t="s">
        <v>58</v>
      </c>
      <c r="U1035" t="s">
        <v>156</v>
      </c>
      <c r="V1035" s="3">
        <v>0.9</v>
      </c>
      <c r="W1035" s="2">
        <v>0</v>
      </c>
      <c r="X1035">
        <v>0</v>
      </c>
      <c r="Y1035" t="s">
        <v>60</v>
      </c>
      <c r="Z1035" t="s">
        <v>135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58.43</v>
      </c>
      <c r="AN1035" s="2">
        <v>58.43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46062</v>
      </c>
      <c r="B1036" t="s">
        <v>48</v>
      </c>
      <c r="C1036">
        <v>649163</v>
      </c>
      <c r="D1036">
        <v>2027380471</v>
      </c>
      <c r="E1036" t="s">
        <v>687</v>
      </c>
      <c r="F1036" t="s">
        <v>688</v>
      </c>
      <c r="G1036" t="s">
        <v>51</v>
      </c>
      <c r="H1036" t="s">
        <v>66</v>
      </c>
      <c r="I1036" t="s">
        <v>383</v>
      </c>
      <c r="J1036" t="s">
        <v>384</v>
      </c>
      <c r="K1036">
        <v>822733</v>
      </c>
      <c r="L1036" t="s">
        <v>442</v>
      </c>
      <c r="M1036" t="s">
        <v>443</v>
      </c>
      <c r="N1036" t="s">
        <v>57</v>
      </c>
      <c r="O1036" s="1">
        <v>45723</v>
      </c>
      <c r="Q1036" s="1">
        <v>46088</v>
      </c>
      <c r="R1036" s="2">
        <v>11.5</v>
      </c>
      <c r="S1036">
        <v>1</v>
      </c>
      <c r="T1036" t="s">
        <v>58</v>
      </c>
      <c r="U1036" t="s">
        <v>156</v>
      </c>
      <c r="V1036" s="3">
        <v>0.7</v>
      </c>
      <c r="W1036" s="2">
        <v>0</v>
      </c>
      <c r="X1036">
        <v>0</v>
      </c>
      <c r="Y1036" t="s">
        <v>60</v>
      </c>
      <c r="Z1036" t="s">
        <v>135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8.0500000000000007</v>
      </c>
      <c r="AN1036" s="2">
        <v>8.0500000000000007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46062</v>
      </c>
      <c r="B1037" t="s">
        <v>48</v>
      </c>
      <c r="C1037">
        <v>649163</v>
      </c>
      <c r="D1037">
        <v>2027429539</v>
      </c>
      <c r="E1037" t="s">
        <v>989</v>
      </c>
      <c r="F1037" t="s">
        <v>529</v>
      </c>
      <c r="G1037" t="s">
        <v>51</v>
      </c>
      <c r="H1037" t="s">
        <v>112</v>
      </c>
      <c r="I1037" t="s">
        <v>383</v>
      </c>
      <c r="J1037" t="s">
        <v>384</v>
      </c>
      <c r="K1037">
        <v>651818</v>
      </c>
      <c r="L1037" t="s">
        <v>80</v>
      </c>
      <c r="M1037" t="s">
        <v>81</v>
      </c>
      <c r="N1037" t="s">
        <v>57</v>
      </c>
      <c r="O1037" s="1">
        <v>45723</v>
      </c>
      <c r="Q1037" s="1">
        <v>46088</v>
      </c>
      <c r="R1037" s="2">
        <v>161.30000000000001</v>
      </c>
      <c r="S1037">
        <v>1</v>
      </c>
      <c r="T1037" t="s">
        <v>58</v>
      </c>
      <c r="U1037" t="s">
        <v>156</v>
      </c>
      <c r="V1037" s="3">
        <v>0.7</v>
      </c>
      <c r="W1037" s="2">
        <v>0</v>
      </c>
      <c r="X1037">
        <v>0</v>
      </c>
      <c r="Y1037" t="s">
        <v>60</v>
      </c>
      <c r="Z1037" t="s">
        <v>135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112.91</v>
      </c>
      <c r="AN1037" s="2">
        <v>112.91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46062</v>
      </c>
      <c r="B1038" t="s">
        <v>48</v>
      </c>
      <c r="C1038">
        <v>649163</v>
      </c>
      <c r="D1038">
        <v>2027482812</v>
      </c>
      <c r="E1038" t="s">
        <v>444</v>
      </c>
      <c r="F1038" t="s">
        <v>298</v>
      </c>
      <c r="G1038" t="s">
        <v>51</v>
      </c>
      <c r="H1038" t="s">
        <v>112</v>
      </c>
      <c r="I1038" t="s">
        <v>383</v>
      </c>
      <c r="J1038" t="s">
        <v>384</v>
      </c>
      <c r="K1038">
        <v>651818</v>
      </c>
      <c r="L1038" t="s">
        <v>80</v>
      </c>
      <c r="M1038" t="s">
        <v>81</v>
      </c>
      <c r="N1038" t="s">
        <v>57</v>
      </c>
      <c r="O1038" s="1">
        <v>45723</v>
      </c>
      <c r="Q1038" s="1">
        <v>46088</v>
      </c>
      <c r="R1038" s="2">
        <v>28.73</v>
      </c>
      <c r="S1038">
        <v>1</v>
      </c>
      <c r="T1038" t="s">
        <v>58</v>
      </c>
      <c r="U1038" t="s">
        <v>156</v>
      </c>
      <c r="V1038" s="3">
        <v>0.7</v>
      </c>
      <c r="W1038" s="2">
        <v>0</v>
      </c>
      <c r="X1038">
        <v>0</v>
      </c>
      <c r="Y1038" t="s">
        <v>60</v>
      </c>
      <c r="Z1038" t="s">
        <v>135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20.11</v>
      </c>
      <c r="AN1038" s="2">
        <v>20.11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46062</v>
      </c>
      <c r="B1039" t="s">
        <v>48</v>
      </c>
      <c r="C1039">
        <v>649163</v>
      </c>
      <c r="D1039">
        <v>2027482813</v>
      </c>
      <c r="E1039" t="s">
        <v>444</v>
      </c>
      <c r="F1039" t="s">
        <v>298</v>
      </c>
      <c r="G1039" t="s">
        <v>51</v>
      </c>
      <c r="H1039" t="s">
        <v>112</v>
      </c>
      <c r="I1039" t="s">
        <v>383</v>
      </c>
      <c r="J1039" t="s">
        <v>385</v>
      </c>
      <c r="K1039">
        <v>651818</v>
      </c>
      <c r="L1039" t="s">
        <v>80</v>
      </c>
      <c r="M1039" t="s">
        <v>81</v>
      </c>
      <c r="N1039" t="s">
        <v>57</v>
      </c>
      <c r="O1039" s="1">
        <v>45723</v>
      </c>
      <c r="Q1039" s="1">
        <v>46088</v>
      </c>
      <c r="R1039" s="2">
        <v>29.25</v>
      </c>
      <c r="S1039">
        <v>1</v>
      </c>
      <c r="T1039" t="s">
        <v>58</v>
      </c>
      <c r="U1039" t="s">
        <v>156</v>
      </c>
      <c r="V1039" s="3">
        <v>0.9</v>
      </c>
      <c r="W1039" s="2">
        <v>0</v>
      </c>
      <c r="X1039">
        <v>0</v>
      </c>
      <c r="Y1039" t="s">
        <v>60</v>
      </c>
      <c r="Z1039" t="s">
        <v>135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26.32</v>
      </c>
      <c r="AN1039" s="2">
        <v>26.32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46062</v>
      </c>
      <c r="B1040" t="s">
        <v>48</v>
      </c>
      <c r="C1040">
        <v>649163</v>
      </c>
      <c r="D1040">
        <v>2027501753</v>
      </c>
      <c r="E1040" t="s">
        <v>990</v>
      </c>
      <c r="F1040" t="s">
        <v>991</v>
      </c>
      <c r="G1040" t="s">
        <v>51</v>
      </c>
      <c r="H1040" t="s">
        <v>392</v>
      </c>
      <c r="I1040" t="s">
        <v>383</v>
      </c>
      <c r="J1040" t="s">
        <v>1172</v>
      </c>
      <c r="K1040">
        <v>652037</v>
      </c>
      <c r="L1040" t="s">
        <v>171</v>
      </c>
      <c r="M1040" t="s">
        <v>172</v>
      </c>
      <c r="N1040" t="s">
        <v>57</v>
      </c>
      <c r="O1040" s="1">
        <v>45718</v>
      </c>
      <c r="Q1040" s="1">
        <v>46083</v>
      </c>
      <c r="R1040" s="2">
        <v>24.61</v>
      </c>
      <c r="S1040">
        <v>1</v>
      </c>
      <c r="T1040" t="s">
        <v>58</v>
      </c>
      <c r="U1040" t="s">
        <v>156</v>
      </c>
      <c r="V1040" s="3">
        <v>0.7</v>
      </c>
      <c r="W1040" s="2">
        <v>0</v>
      </c>
      <c r="X1040">
        <v>0</v>
      </c>
      <c r="Y1040" t="s">
        <v>60</v>
      </c>
      <c r="Z1040" t="s">
        <v>135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17.23</v>
      </c>
      <c r="AN1040" s="2">
        <v>17.23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46062</v>
      </c>
      <c r="B1041" t="s">
        <v>48</v>
      </c>
      <c r="C1041">
        <v>649163</v>
      </c>
      <c r="D1041">
        <v>2027501755</v>
      </c>
      <c r="E1041" t="s">
        <v>990</v>
      </c>
      <c r="F1041" t="s">
        <v>991</v>
      </c>
      <c r="G1041" t="s">
        <v>51</v>
      </c>
      <c r="H1041" t="s">
        <v>392</v>
      </c>
      <c r="I1041" t="s">
        <v>383</v>
      </c>
      <c r="J1041" t="s">
        <v>843</v>
      </c>
      <c r="K1041">
        <v>652037</v>
      </c>
      <c r="L1041" t="s">
        <v>171</v>
      </c>
      <c r="M1041" t="s">
        <v>172</v>
      </c>
      <c r="N1041" t="s">
        <v>57</v>
      </c>
      <c r="O1041" s="1">
        <v>45718</v>
      </c>
      <c r="Q1041" s="1">
        <v>46083</v>
      </c>
      <c r="R1041" s="2">
        <v>36.299999999999997</v>
      </c>
      <c r="S1041">
        <v>1</v>
      </c>
      <c r="T1041" t="s">
        <v>58</v>
      </c>
      <c r="U1041" t="s">
        <v>156</v>
      </c>
      <c r="V1041" s="3">
        <v>0.42</v>
      </c>
      <c r="W1041" s="2">
        <v>0</v>
      </c>
      <c r="X1041">
        <v>0</v>
      </c>
      <c r="Y1041" t="s">
        <v>60</v>
      </c>
      <c r="Z1041" t="s">
        <v>135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15.25</v>
      </c>
      <c r="AN1041" s="2">
        <v>15.25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46062</v>
      </c>
      <c r="B1042" t="s">
        <v>48</v>
      </c>
      <c r="C1042">
        <v>649163</v>
      </c>
      <c r="D1042">
        <v>2027545459</v>
      </c>
      <c r="E1042" t="s">
        <v>693</v>
      </c>
      <c r="F1042" t="s">
        <v>694</v>
      </c>
      <c r="G1042" t="s">
        <v>51</v>
      </c>
      <c r="H1042" t="s">
        <v>66</v>
      </c>
      <c r="I1042" t="s">
        <v>383</v>
      </c>
      <c r="J1042" t="s">
        <v>385</v>
      </c>
      <c r="K1042">
        <v>651818</v>
      </c>
      <c r="L1042" t="s">
        <v>80</v>
      </c>
      <c r="M1042" t="s">
        <v>81</v>
      </c>
      <c r="N1042" t="s">
        <v>57</v>
      </c>
      <c r="O1042" s="1">
        <v>45723</v>
      </c>
      <c r="Q1042" s="1">
        <v>46088</v>
      </c>
      <c r="R1042" s="2">
        <v>25</v>
      </c>
      <c r="S1042">
        <v>1</v>
      </c>
      <c r="T1042" t="s">
        <v>58</v>
      </c>
      <c r="U1042" t="s">
        <v>156</v>
      </c>
      <c r="V1042" s="3">
        <v>0.9</v>
      </c>
      <c r="W1042" s="2">
        <v>0</v>
      </c>
      <c r="X1042">
        <v>0</v>
      </c>
      <c r="Y1042" t="s">
        <v>60</v>
      </c>
      <c r="Z1042" t="s">
        <v>135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22.5</v>
      </c>
      <c r="AN1042" s="2">
        <v>22.5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46062</v>
      </c>
      <c r="B1043" t="s">
        <v>48</v>
      </c>
      <c r="C1043">
        <v>649163</v>
      </c>
      <c r="D1043">
        <v>2027573958</v>
      </c>
      <c r="E1043" t="s">
        <v>695</v>
      </c>
      <c r="F1043" t="s">
        <v>174</v>
      </c>
      <c r="G1043" t="s">
        <v>51</v>
      </c>
      <c r="H1043" t="s">
        <v>209</v>
      </c>
      <c r="I1043" t="s">
        <v>383</v>
      </c>
      <c r="J1043" t="s">
        <v>384</v>
      </c>
      <c r="K1043">
        <v>673059</v>
      </c>
      <c r="L1043" t="s">
        <v>162</v>
      </c>
      <c r="M1043" t="s">
        <v>180</v>
      </c>
      <c r="N1043" t="s">
        <v>57</v>
      </c>
      <c r="O1043" s="1">
        <v>45757</v>
      </c>
      <c r="Q1043" s="1">
        <v>46091</v>
      </c>
      <c r="R1043" s="2">
        <v>130.27000000000001</v>
      </c>
      <c r="S1043">
        <v>1</v>
      </c>
      <c r="T1043" t="s">
        <v>58</v>
      </c>
      <c r="U1043" t="s">
        <v>156</v>
      </c>
      <c r="V1043" s="3">
        <v>0.7</v>
      </c>
      <c r="W1043" s="2">
        <v>0</v>
      </c>
      <c r="X1043">
        <v>0</v>
      </c>
      <c r="Y1043" t="s">
        <v>60</v>
      </c>
      <c r="Z1043" t="s">
        <v>135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91.19</v>
      </c>
      <c r="AN1043" s="2">
        <v>91.19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46062</v>
      </c>
      <c r="B1044" t="s">
        <v>48</v>
      </c>
      <c r="C1044">
        <v>649163</v>
      </c>
      <c r="D1044">
        <v>2027606915</v>
      </c>
      <c r="E1044" t="s">
        <v>284</v>
      </c>
      <c r="F1044" t="s">
        <v>285</v>
      </c>
      <c r="G1044" t="s">
        <v>51</v>
      </c>
      <c r="H1044" t="s">
        <v>66</v>
      </c>
      <c r="I1044" t="s">
        <v>383</v>
      </c>
      <c r="J1044" t="s">
        <v>384</v>
      </c>
      <c r="K1044">
        <v>814033</v>
      </c>
      <c r="L1044" t="s">
        <v>284</v>
      </c>
      <c r="M1044" t="s">
        <v>285</v>
      </c>
      <c r="N1044" t="s">
        <v>57</v>
      </c>
      <c r="O1044" s="1">
        <v>45722</v>
      </c>
      <c r="Q1044" s="1">
        <v>46087</v>
      </c>
      <c r="R1044" s="2">
        <v>11.5</v>
      </c>
      <c r="S1044">
        <v>1</v>
      </c>
      <c r="T1044" t="s">
        <v>58</v>
      </c>
      <c r="U1044" t="s">
        <v>156</v>
      </c>
      <c r="V1044" s="3">
        <v>0.7</v>
      </c>
      <c r="W1044" s="2">
        <v>0</v>
      </c>
      <c r="X1044">
        <v>0</v>
      </c>
      <c r="Y1044" t="s">
        <v>60</v>
      </c>
      <c r="Z1044" t="s">
        <v>135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8.0500000000000007</v>
      </c>
      <c r="AN1044" s="2">
        <v>8.0500000000000007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46062</v>
      </c>
      <c r="B1045" t="s">
        <v>48</v>
      </c>
      <c r="C1045">
        <v>649163</v>
      </c>
      <c r="D1045">
        <v>2027625564</v>
      </c>
      <c r="E1045" t="s">
        <v>1233</v>
      </c>
      <c r="F1045" t="s">
        <v>1234</v>
      </c>
      <c r="G1045" t="s">
        <v>51</v>
      </c>
      <c r="H1045" t="s">
        <v>66</v>
      </c>
      <c r="I1045" t="s">
        <v>383</v>
      </c>
      <c r="J1045" t="s">
        <v>384</v>
      </c>
      <c r="K1045">
        <v>760902</v>
      </c>
      <c r="L1045" t="s">
        <v>1235</v>
      </c>
      <c r="M1045" t="s">
        <v>1236</v>
      </c>
      <c r="N1045" t="s">
        <v>57</v>
      </c>
      <c r="O1045" s="1">
        <v>45725</v>
      </c>
      <c r="Q1045" s="1">
        <v>46090</v>
      </c>
      <c r="R1045" s="2">
        <v>19</v>
      </c>
      <c r="S1045">
        <v>1</v>
      </c>
      <c r="T1045" t="s">
        <v>58</v>
      </c>
      <c r="U1045" t="s">
        <v>156</v>
      </c>
      <c r="V1045" s="3">
        <v>0.7</v>
      </c>
      <c r="W1045" s="2">
        <v>0</v>
      </c>
      <c r="X1045">
        <v>0</v>
      </c>
      <c r="Y1045" t="s">
        <v>60</v>
      </c>
      <c r="Z1045" t="s">
        <v>135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13.3</v>
      </c>
      <c r="AN1045" s="2">
        <v>13.3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46062</v>
      </c>
      <c r="B1046" t="s">
        <v>48</v>
      </c>
      <c r="C1046">
        <v>649163</v>
      </c>
      <c r="D1046">
        <v>2027642346</v>
      </c>
      <c r="E1046" t="s">
        <v>992</v>
      </c>
      <c r="F1046" t="s">
        <v>370</v>
      </c>
      <c r="G1046" t="s">
        <v>51</v>
      </c>
      <c r="H1046" t="s">
        <v>780</v>
      </c>
      <c r="I1046" t="s">
        <v>383</v>
      </c>
      <c r="J1046" t="s">
        <v>1172</v>
      </c>
      <c r="K1046">
        <v>651818</v>
      </c>
      <c r="L1046" t="s">
        <v>80</v>
      </c>
      <c r="M1046" t="s">
        <v>81</v>
      </c>
      <c r="N1046" t="s">
        <v>57</v>
      </c>
      <c r="O1046" s="1">
        <v>45754</v>
      </c>
      <c r="Q1046" s="1">
        <v>46088</v>
      </c>
      <c r="R1046" s="2">
        <v>21.44</v>
      </c>
      <c r="S1046">
        <v>1</v>
      </c>
      <c r="T1046" t="s">
        <v>58</v>
      </c>
      <c r="U1046" t="s">
        <v>156</v>
      </c>
      <c r="V1046" s="3">
        <v>0.7</v>
      </c>
      <c r="W1046" s="2">
        <v>0</v>
      </c>
      <c r="X1046">
        <v>0</v>
      </c>
      <c r="Y1046" t="s">
        <v>60</v>
      </c>
      <c r="Z1046" t="s">
        <v>135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15.01</v>
      </c>
      <c r="AN1046" s="2">
        <v>15.01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46062</v>
      </c>
      <c r="B1047" t="s">
        <v>48</v>
      </c>
      <c r="C1047">
        <v>649163</v>
      </c>
      <c r="D1047">
        <v>2027706490</v>
      </c>
      <c r="E1047" t="s">
        <v>696</v>
      </c>
      <c r="F1047" t="s">
        <v>92</v>
      </c>
      <c r="G1047" t="s">
        <v>51</v>
      </c>
      <c r="H1047" t="s">
        <v>66</v>
      </c>
      <c r="I1047" t="s">
        <v>383</v>
      </c>
      <c r="J1047" t="s">
        <v>384</v>
      </c>
      <c r="K1047">
        <v>768887</v>
      </c>
      <c r="L1047" t="s">
        <v>295</v>
      </c>
      <c r="M1047" t="s">
        <v>296</v>
      </c>
      <c r="N1047" t="s">
        <v>57</v>
      </c>
      <c r="O1047" s="1">
        <v>45727</v>
      </c>
      <c r="Q1047" s="1">
        <v>46092</v>
      </c>
      <c r="R1047" s="2">
        <v>145.41999999999999</v>
      </c>
      <c r="S1047">
        <v>1</v>
      </c>
      <c r="T1047" t="s">
        <v>58</v>
      </c>
      <c r="U1047" t="s">
        <v>156</v>
      </c>
      <c r="V1047" s="3">
        <v>0.7</v>
      </c>
      <c r="W1047" s="2">
        <v>0</v>
      </c>
      <c r="X1047">
        <v>0</v>
      </c>
      <c r="Y1047" t="s">
        <v>60</v>
      </c>
      <c r="Z1047" t="s">
        <v>135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101.79</v>
      </c>
      <c r="AN1047" s="2">
        <v>101.79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46062</v>
      </c>
      <c r="B1048" t="s">
        <v>48</v>
      </c>
      <c r="C1048">
        <v>649163</v>
      </c>
      <c r="D1048">
        <v>2027721564</v>
      </c>
      <c r="E1048" t="s">
        <v>1237</v>
      </c>
      <c r="F1048" t="s">
        <v>1238</v>
      </c>
      <c r="G1048" t="s">
        <v>51</v>
      </c>
      <c r="H1048" t="s">
        <v>66</v>
      </c>
      <c r="I1048" t="s">
        <v>383</v>
      </c>
      <c r="J1048" t="s">
        <v>384</v>
      </c>
      <c r="K1048">
        <v>768887</v>
      </c>
      <c r="L1048" t="s">
        <v>295</v>
      </c>
      <c r="M1048" t="s">
        <v>296</v>
      </c>
      <c r="N1048" t="s">
        <v>57</v>
      </c>
      <c r="O1048" s="1">
        <v>45727</v>
      </c>
      <c r="Q1048" s="1">
        <v>46092</v>
      </c>
      <c r="R1048" s="2">
        <v>145.41999999999999</v>
      </c>
      <c r="S1048">
        <v>1</v>
      </c>
      <c r="T1048" t="s">
        <v>58</v>
      </c>
      <c r="U1048" t="s">
        <v>156</v>
      </c>
      <c r="V1048" s="3">
        <v>0.7</v>
      </c>
      <c r="W1048" s="2">
        <v>0</v>
      </c>
      <c r="X1048">
        <v>0</v>
      </c>
      <c r="Y1048" t="s">
        <v>60</v>
      </c>
      <c r="Z1048" t="s">
        <v>135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101.79</v>
      </c>
      <c r="AN1048" s="2">
        <v>101.79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46062</v>
      </c>
      <c r="B1049" t="s">
        <v>48</v>
      </c>
      <c r="C1049">
        <v>649163</v>
      </c>
      <c r="D1049">
        <v>2027729457</v>
      </c>
      <c r="E1049" t="s">
        <v>697</v>
      </c>
      <c r="F1049" t="s">
        <v>636</v>
      </c>
      <c r="G1049" t="s">
        <v>51</v>
      </c>
      <c r="H1049" t="s">
        <v>66</v>
      </c>
      <c r="I1049" t="s">
        <v>383</v>
      </c>
      <c r="J1049" t="s">
        <v>384</v>
      </c>
      <c r="K1049">
        <v>812782</v>
      </c>
      <c r="L1049" t="s">
        <v>325</v>
      </c>
      <c r="M1049" t="s">
        <v>326</v>
      </c>
      <c r="N1049" t="s">
        <v>57</v>
      </c>
      <c r="O1049" s="1">
        <v>45728</v>
      </c>
      <c r="Q1049" s="1">
        <v>46093</v>
      </c>
      <c r="R1049" s="2">
        <v>15.75</v>
      </c>
      <c r="S1049">
        <v>1</v>
      </c>
      <c r="T1049" t="s">
        <v>58</v>
      </c>
      <c r="U1049" t="s">
        <v>156</v>
      </c>
      <c r="V1049" s="3">
        <v>0.7</v>
      </c>
      <c r="W1049" s="2">
        <v>0</v>
      </c>
      <c r="X1049">
        <v>0</v>
      </c>
      <c r="Y1049" t="s">
        <v>60</v>
      </c>
      <c r="Z1049" t="s">
        <v>135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11.02</v>
      </c>
      <c r="AN1049" s="2">
        <v>11.02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46062</v>
      </c>
      <c r="B1050" t="s">
        <v>48</v>
      </c>
      <c r="C1050">
        <v>649163</v>
      </c>
      <c r="D1050">
        <v>2027738389</v>
      </c>
      <c r="E1050" t="s">
        <v>1239</v>
      </c>
      <c r="F1050" t="s">
        <v>973</v>
      </c>
      <c r="G1050" t="s">
        <v>51</v>
      </c>
      <c r="H1050" t="s">
        <v>309</v>
      </c>
      <c r="I1050" t="s">
        <v>383</v>
      </c>
      <c r="J1050" t="s">
        <v>384</v>
      </c>
      <c r="K1050">
        <v>767312</v>
      </c>
      <c r="L1050" t="s">
        <v>310</v>
      </c>
      <c r="M1050" t="s">
        <v>311</v>
      </c>
      <c r="N1050" t="s">
        <v>57</v>
      </c>
      <c r="O1050" s="1">
        <v>45728</v>
      </c>
      <c r="Q1050" s="1">
        <v>46093</v>
      </c>
      <c r="R1050" s="2">
        <v>77.48</v>
      </c>
      <c r="S1050">
        <v>1</v>
      </c>
      <c r="T1050" t="s">
        <v>58</v>
      </c>
      <c r="U1050" t="s">
        <v>156</v>
      </c>
      <c r="V1050" s="3">
        <v>0.7</v>
      </c>
      <c r="W1050" s="2">
        <v>0</v>
      </c>
      <c r="X1050">
        <v>0</v>
      </c>
      <c r="Y1050" t="s">
        <v>60</v>
      </c>
      <c r="Z1050" t="s">
        <v>135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54.24</v>
      </c>
      <c r="AN1050" s="2">
        <v>54.24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46062</v>
      </c>
      <c r="B1051" t="s">
        <v>48</v>
      </c>
      <c r="C1051">
        <v>649163</v>
      </c>
      <c r="D1051">
        <v>2027738390</v>
      </c>
      <c r="E1051" t="s">
        <v>1239</v>
      </c>
      <c r="F1051" t="s">
        <v>973</v>
      </c>
      <c r="G1051" t="s">
        <v>51</v>
      </c>
      <c r="H1051" t="s">
        <v>309</v>
      </c>
      <c r="I1051" t="s">
        <v>383</v>
      </c>
      <c r="J1051" t="s">
        <v>385</v>
      </c>
      <c r="K1051">
        <v>767312</v>
      </c>
      <c r="L1051" t="s">
        <v>310</v>
      </c>
      <c r="M1051" t="s">
        <v>311</v>
      </c>
      <c r="N1051" t="s">
        <v>57</v>
      </c>
      <c r="O1051" s="1">
        <v>45728</v>
      </c>
      <c r="Q1051" s="1">
        <v>46093</v>
      </c>
      <c r="R1051" s="2">
        <v>30.83</v>
      </c>
      <c r="S1051">
        <v>1</v>
      </c>
      <c r="T1051" t="s">
        <v>58</v>
      </c>
      <c r="U1051" t="s">
        <v>156</v>
      </c>
      <c r="V1051" s="3">
        <v>0.9</v>
      </c>
      <c r="W1051" s="2">
        <v>0</v>
      </c>
      <c r="X1051">
        <v>0</v>
      </c>
      <c r="Y1051" t="s">
        <v>60</v>
      </c>
      <c r="Z1051" t="s">
        <v>135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27.75</v>
      </c>
      <c r="AN1051" s="2">
        <v>27.75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46062</v>
      </c>
      <c r="B1052" t="s">
        <v>48</v>
      </c>
      <c r="C1052">
        <v>649163</v>
      </c>
      <c r="D1052">
        <v>2027767677</v>
      </c>
      <c r="E1052" t="s">
        <v>698</v>
      </c>
      <c r="F1052" t="s">
        <v>668</v>
      </c>
      <c r="G1052" t="s">
        <v>51</v>
      </c>
      <c r="H1052" t="s">
        <v>333</v>
      </c>
      <c r="I1052" t="s">
        <v>383</v>
      </c>
      <c r="J1052" t="s">
        <v>384</v>
      </c>
      <c r="K1052">
        <v>764123</v>
      </c>
      <c r="L1052" t="s">
        <v>292</v>
      </c>
      <c r="M1052" t="s">
        <v>293</v>
      </c>
      <c r="N1052" t="s">
        <v>57</v>
      </c>
      <c r="O1052" s="1">
        <v>45729</v>
      </c>
      <c r="Q1052" s="1">
        <v>46094</v>
      </c>
      <c r="R1052" s="2">
        <v>56.55</v>
      </c>
      <c r="S1052">
        <v>1</v>
      </c>
      <c r="T1052" t="s">
        <v>58</v>
      </c>
      <c r="U1052" t="s">
        <v>156</v>
      </c>
      <c r="V1052" s="3">
        <v>0.7</v>
      </c>
      <c r="W1052" s="2">
        <v>0</v>
      </c>
      <c r="X1052">
        <v>0</v>
      </c>
      <c r="Y1052" t="s">
        <v>60</v>
      </c>
      <c r="Z1052" t="s">
        <v>135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39.58</v>
      </c>
      <c r="AN1052" s="2">
        <v>39.58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46062</v>
      </c>
      <c r="B1053" t="s">
        <v>48</v>
      </c>
      <c r="C1053">
        <v>649163</v>
      </c>
      <c r="D1053">
        <v>2027859846</v>
      </c>
      <c r="E1053" t="s">
        <v>993</v>
      </c>
      <c r="F1053" t="s">
        <v>590</v>
      </c>
      <c r="G1053" t="s">
        <v>51</v>
      </c>
      <c r="H1053" t="s">
        <v>84</v>
      </c>
      <c r="I1053" t="s">
        <v>383</v>
      </c>
      <c r="J1053" t="s">
        <v>385</v>
      </c>
      <c r="K1053">
        <v>651818</v>
      </c>
      <c r="L1053" t="s">
        <v>80</v>
      </c>
      <c r="M1053" t="s">
        <v>81</v>
      </c>
      <c r="N1053" t="s">
        <v>57</v>
      </c>
      <c r="O1053" s="1">
        <v>45754</v>
      </c>
      <c r="Q1053" s="1">
        <v>46088</v>
      </c>
      <c r="R1053" s="2">
        <v>248.92</v>
      </c>
      <c r="S1053">
        <v>1</v>
      </c>
      <c r="T1053" t="s">
        <v>58</v>
      </c>
      <c r="U1053" t="s">
        <v>156</v>
      </c>
      <c r="V1053" s="3">
        <v>0.9</v>
      </c>
      <c r="W1053" s="2">
        <v>0</v>
      </c>
      <c r="X1053">
        <v>0</v>
      </c>
      <c r="Y1053" t="s">
        <v>60</v>
      </c>
      <c r="Z1053" t="s">
        <v>135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224.03</v>
      </c>
      <c r="AN1053" s="2">
        <v>224.03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46062</v>
      </c>
      <c r="B1054" t="s">
        <v>48</v>
      </c>
      <c r="C1054">
        <v>649163</v>
      </c>
      <c r="D1054">
        <v>2027859847</v>
      </c>
      <c r="E1054" t="s">
        <v>993</v>
      </c>
      <c r="F1054" t="s">
        <v>590</v>
      </c>
      <c r="G1054" t="s">
        <v>51</v>
      </c>
      <c r="H1054" t="s">
        <v>84</v>
      </c>
      <c r="I1054" t="s">
        <v>383</v>
      </c>
      <c r="J1054" t="s">
        <v>384</v>
      </c>
      <c r="K1054">
        <v>651818</v>
      </c>
      <c r="L1054" t="s">
        <v>80</v>
      </c>
      <c r="M1054" t="s">
        <v>81</v>
      </c>
      <c r="N1054" t="s">
        <v>57</v>
      </c>
      <c r="O1054" s="1">
        <v>45754</v>
      </c>
      <c r="Q1054" s="1">
        <v>46088</v>
      </c>
      <c r="R1054" s="2">
        <v>51</v>
      </c>
      <c r="S1054">
        <v>1</v>
      </c>
      <c r="T1054" t="s">
        <v>58</v>
      </c>
      <c r="U1054" t="s">
        <v>156</v>
      </c>
      <c r="V1054" s="3">
        <v>0.7</v>
      </c>
      <c r="W1054" s="2">
        <v>0</v>
      </c>
      <c r="X1054">
        <v>0</v>
      </c>
      <c r="Y1054" t="s">
        <v>60</v>
      </c>
      <c r="Z1054" t="s">
        <v>135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35.700000000000003</v>
      </c>
      <c r="AN1054" s="2">
        <v>35.700000000000003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46062</v>
      </c>
      <c r="B1055" t="s">
        <v>48</v>
      </c>
      <c r="C1055">
        <v>649163</v>
      </c>
      <c r="D1055">
        <v>2027863479</v>
      </c>
      <c r="E1055" t="s">
        <v>993</v>
      </c>
      <c r="F1055" t="s">
        <v>994</v>
      </c>
      <c r="G1055" t="s">
        <v>51</v>
      </c>
      <c r="H1055" t="s">
        <v>84</v>
      </c>
      <c r="I1055" t="s">
        <v>383</v>
      </c>
      <c r="J1055" t="s">
        <v>385</v>
      </c>
      <c r="K1055">
        <v>651818</v>
      </c>
      <c r="L1055" t="s">
        <v>80</v>
      </c>
      <c r="M1055" t="s">
        <v>81</v>
      </c>
      <c r="N1055" t="s">
        <v>57</v>
      </c>
      <c r="O1055" s="1">
        <v>45754</v>
      </c>
      <c r="Q1055" s="1">
        <v>46088</v>
      </c>
      <c r="R1055" s="2">
        <v>26.25</v>
      </c>
      <c r="S1055">
        <v>1</v>
      </c>
      <c r="T1055" t="s">
        <v>58</v>
      </c>
      <c r="U1055" t="s">
        <v>156</v>
      </c>
      <c r="V1055" s="3">
        <v>0.9</v>
      </c>
      <c r="W1055" s="2">
        <v>0</v>
      </c>
      <c r="X1055">
        <v>0</v>
      </c>
      <c r="Y1055" t="s">
        <v>60</v>
      </c>
      <c r="Z1055" t="s">
        <v>135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23.62</v>
      </c>
      <c r="AN1055" s="2">
        <v>23.62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46062</v>
      </c>
      <c r="B1056" t="s">
        <v>48</v>
      </c>
      <c r="C1056">
        <v>649163</v>
      </c>
      <c r="D1056">
        <v>2027863480</v>
      </c>
      <c r="E1056" t="s">
        <v>993</v>
      </c>
      <c r="F1056" t="s">
        <v>994</v>
      </c>
      <c r="G1056" t="s">
        <v>51</v>
      </c>
      <c r="H1056" t="s">
        <v>84</v>
      </c>
      <c r="I1056" t="s">
        <v>383</v>
      </c>
      <c r="J1056" t="s">
        <v>384</v>
      </c>
      <c r="K1056">
        <v>651818</v>
      </c>
      <c r="L1056" t="s">
        <v>80</v>
      </c>
      <c r="M1056" t="s">
        <v>81</v>
      </c>
      <c r="N1056" t="s">
        <v>57</v>
      </c>
      <c r="O1056" s="1">
        <v>45754</v>
      </c>
      <c r="Q1056" s="1">
        <v>46088</v>
      </c>
      <c r="R1056" s="2">
        <v>34</v>
      </c>
      <c r="S1056">
        <v>1</v>
      </c>
      <c r="T1056" t="s">
        <v>58</v>
      </c>
      <c r="U1056" t="s">
        <v>156</v>
      </c>
      <c r="V1056" s="3">
        <v>0.7</v>
      </c>
      <c r="W1056" s="2">
        <v>0</v>
      </c>
      <c r="X1056">
        <v>0</v>
      </c>
      <c r="Y1056" t="s">
        <v>60</v>
      </c>
      <c r="Z1056" t="s">
        <v>135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23.8</v>
      </c>
      <c r="AN1056" s="2">
        <v>23.8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46062</v>
      </c>
      <c r="B1057" t="s">
        <v>48</v>
      </c>
      <c r="C1057">
        <v>649163</v>
      </c>
      <c r="D1057">
        <v>2027887271</v>
      </c>
      <c r="E1057" t="s">
        <v>995</v>
      </c>
      <c r="F1057" t="s">
        <v>180</v>
      </c>
      <c r="G1057" t="s">
        <v>51</v>
      </c>
      <c r="H1057" t="s">
        <v>84</v>
      </c>
      <c r="I1057" t="s">
        <v>383</v>
      </c>
      <c r="J1057" t="s">
        <v>385</v>
      </c>
      <c r="K1057">
        <v>651818</v>
      </c>
      <c r="L1057" t="s">
        <v>80</v>
      </c>
      <c r="M1057" t="s">
        <v>81</v>
      </c>
      <c r="N1057" t="s">
        <v>57</v>
      </c>
      <c r="O1057" s="1">
        <v>45754</v>
      </c>
      <c r="Q1057" s="1">
        <v>46088</v>
      </c>
      <c r="R1057" s="2">
        <v>35.46</v>
      </c>
      <c r="S1057">
        <v>1</v>
      </c>
      <c r="T1057" t="s">
        <v>58</v>
      </c>
      <c r="U1057" t="s">
        <v>156</v>
      </c>
      <c r="V1057" s="3">
        <v>0.9</v>
      </c>
      <c r="W1057" s="2">
        <v>0</v>
      </c>
      <c r="X1057">
        <v>0</v>
      </c>
      <c r="Y1057" t="s">
        <v>60</v>
      </c>
      <c r="Z1057" t="s">
        <v>135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31.91</v>
      </c>
      <c r="AN1057" s="2">
        <v>31.91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46062</v>
      </c>
      <c r="B1058" t="s">
        <v>48</v>
      </c>
      <c r="C1058">
        <v>649163</v>
      </c>
      <c r="D1058">
        <v>2027887272</v>
      </c>
      <c r="E1058" t="s">
        <v>995</v>
      </c>
      <c r="F1058" t="s">
        <v>180</v>
      </c>
      <c r="G1058" t="s">
        <v>51</v>
      </c>
      <c r="H1058" t="s">
        <v>84</v>
      </c>
      <c r="I1058" t="s">
        <v>383</v>
      </c>
      <c r="J1058" t="s">
        <v>384</v>
      </c>
      <c r="K1058">
        <v>651818</v>
      </c>
      <c r="L1058" t="s">
        <v>80</v>
      </c>
      <c r="M1058" t="s">
        <v>81</v>
      </c>
      <c r="N1058" t="s">
        <v>57</v>
      </c>
      <c r="O1058" s="1">
        <v>45754</v>
      </c>
      <c r="Q1058" s="1">
        <v>46088</v>
      </c>
      <c r="R1058" s="2">
        <v>34</v>
      </c>
      <c r="S1058">
        <v>1</v>
      </c>
      <c r="T1058" t="s">
        <v>58</v>
      </c>
      <c r="U1058" t="s">
        <v>156</v>
      </c>
      <c r="V1058" s="3">
        <v>0.7</v>
      </c>
      <c r="W1058" s="2">
        <v>0</v>
      </c>
      <c r="X1058">
        <v>0</v>
      </c>
      <c r="Y1058" t="s">
        <v>60</v>
      </c>
      <c r="Z1058" t="s">
        <v>135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23.8</v>
      </c>
      <c r="AN1058" s="2">
        <v>23.8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46062</v>
      </c>
      <c r="B1059" t="s">
        <v>48</v>
      </c>
      <c r="C1059">
        <v>649163</v>
      </c>
      <c r="D1059">
        <v>2027887273</v>
      </c>
      <c r="E1059" t="s">
        <v>995</v>
      </c>
      <c r="F1059" t="s">
        <v>180</v>
      </c>
      <c r="G1059" t="s">
        <v>51</v>
      </c>
      <c r="H1059" t="s">
        <v>84</v>
      </c>
      <c r="I1059" t="s">
        <v>383</v>
      </c>
      <c r="J1059" t="s">
        <v>843</v>
      </c>
      <c r="K1059">
        <v>651818</v>
      </c>
      <c r="L1059" t="s">
        <v>80</v>
      </c>
      <c r="M1059" t="s">
        <v>81</v>
      </c>
      <c r="N1059" t="s">
        <v>57</v>
      </c>
      <c r="O1059" s="1">
        <v>45754</v>
      </c>
      <c r="Q1059" s="1">
        <v>46088</v>
      </c>
      <c r="R1059" s="2">
        <v>22.53</v>
      </c>
      <c r="S1059">
        <v>1</v>
      </c>
      <c r="T1059" t="s">
        <v>58</v>
      </c>
      <c r="U1059" t="s">
        <v>156</v>
      </c>
      <c r="V1059" s="3">
        <v>0.42</v>
      </c>
      <c r="W1059" s="2">
        <v>0</v>
      </c>
      <c r="X1059">
        <v>0</v>
      </c>
      <c r="Y1059" t="s">
        <v>60</v>
      </c>
      <c r="Z1059" t="s">
        <v>135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9.4600000000000009</v>
      </c>
      <c r="AN1059" s="2">
        <v>9.4600000000000009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46062</v>
      </c>
      <c r="B1060" t="s">
        <v>48</v>
      </c>
      <c r="C1060">
        <v>649163</v>
      </c>
      <c r="D1060">
        <v>2027956292</v>
      </c>
      <c r="E1060" t="s">
        <v>1240</v>
      </c>
      <c r="F1060" t="s">
        <v>1241</v>
      </c>
      <c r="G1060" t="s">
        <v>51</v>
      </c>
      <c r="H1060" t="s">
        <v>971</v>
      </c>
      <c r="I1060" t="s">
        <v>383</v>
      </c>
      <c r="J1060" t="s">
        <v>384</v>
      </c>
      <c r="K1060">
        <v>812782</v>
      </c>
      <c r="L1060" t="s">
        <v>325</v>
      </c>
      <c r="M1060" t="s">
        <v>326</v>
      </c>
      <c r="N1060" t="s">
        <v>144</v>
      </c>
      <c r="O1060" s="1">
        <v>45748</v>
      </c>
      <c r="P1060" s="1">
        <v>46055</v>
      </c>
      <c r="Q1060" s="1">
        <v>46082</v>
      </c>
      <c r="R1060" s="2">
        <v>-67.62</v>
      </c>
      <c r="S1060">
        <v>1</v>
      </c>
      <c r="T1060" t="s">
        <v>58</v>
      </c>
      <c r="U1060" t="s">
        <v>156</v>
      </c>
      <c r="V1060" s="3">
        <v>0.7</v>
      </c>
      <c r="W1060" s="2">
        <v>0</v>
      </c>
      <c r="X1060">
        <v>-1</v>
      </c>
      <c r="Y1060" t="s">
        <v>60</v>
      </c>
      <c r="Z1060" t="s">
        <v>135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-47.33</v>
      </c>
      <c r="AN1060" s="2">
        <v>-47.33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46062</v>
      </c>
      <c r="B1061" t="s">
        <v>48</v>
      </c>
      <c r="C1061">
        <v>649163</v>
      </c>
      <c r="D1061">
        <v>2028073917</v>
      </c>
      <c r="E1061" t="s">
        <v>1242</v>
      </c>
      <c r="F1061" t="s">
        <v>1243</v>
      </c>
      <c r="G1061" t="s">
        <v>51</v>
      </c>
      <c r="H1061" t="s">
        <v>90</v>
      </c>
      <c r="I1061" t="s">
        <v>383</v>
      </c>
      <c r="J1061" t="s">
        <v>384</v>
      </c>
      <c r="K1061">
        <v>822733</v>
      </c>
      <c r="L1061" t="s">
        <v>442</v>
      </c>
      <c r="M1061" t="s">
        <v>443</v>
      </c>
      <c r="N1061" t="s">
        <v>57</v>
      </c>
      <c r="O1061" s="1">
        <v>45754</v>
      </c>
      <c r="Q1061" s="1">
        <v>46088</v>
      </c>
      <c r="R1061" s="2">
        <v>129.22</v>
      </c>
      <c r="S1061">
        <v>1</v>
      </c>
      <c r="T1061" t="s">
        <v>58</v>
      </c>
      <c r="U1061" t="s">
        <v>156</v>
      </c>
      <c r="V1061" s="3">
        <v>0.7</v>
      </c>
      <c r="W1061" s="2">
        <v>0</v>
      </c>
      <c r="X1061">
        <v>0</v>
      </c>
      <c r="Y1061" t="s">
        <v>60</v>
      </c>
      <c r="Z1061" t="s">
        <v>135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90.45</v>
      </c>
      <c r="AN1061" s="2">
        <v>90.45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46062</v>
      </c>
      <c r="B1062" t="s">
        <v>48</v>
      </c>
      <c r="C1062">
        <v>649163</v>
      </c>
      <c r="D1062">
        <v>2028108469</v>
      </c>
      <c r="E1062" t="s">
        <v>996</v>
      </c>
      <c r="F1062" t="s">
        <v>997</v>
      </c>
      <c r="G1062" t="s">
        <v>51</v>
      </c>
      <c r="H1062" t="s">
        <v>66</v>
      </c>
      <c r="I1062" t="s">
        <v>383</v>
      </c>
      <c r="J1062" t="s">
        <v>384</v>
      </c>
      <c r="K1062">
        <v>651818</v>
      </c>
      <c r="L1062" t="s">
        <v>80</v>
      </c>
      <c r="M1062" t="s">
        <v>81</v>
      </c>
      <c r="N1062" t="s">
        <v>57</v>
      </c>
      <c r="O1062" s="1">
        <v>45754</v>
      </c>
      <c r="Q1062" s="1">
        <v>46088</v>
      </c>
      <c r="R1062" s="2">
        <v>198.36</v>
      </c>
      <c r="S1062">
        <v>1</v>
      </c>
      <c r="T1062" t="s">
        <v>58</v>
      </c>
      <c r="U1062" t="s">
        <v>156</v>
      </c>
      <c r="V1062" s="3">
        <v>0.7</v>
      </c>
      <c r="W1062" s="2">
        <v>0</v>
      </c>
      <c r="X1062">
        <v>0</v>
      </c>
      <c r="Y1062" t="s">
        <v>60</v>
      </c>
      <c r="Z1062" t="s">
        <v>135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138.85</v>
      </c>
      <c r="AN1062" s="2">
        <v>138.85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46062</v>
      </c>
      <c r="B1063" t="s">
        <v>48</v>
      </c>
      <c r="C1063">
        <v>649163</v>
      </c>
      <c r="D1063">
        <v>2028143929</v>
      </c>
      <c r="E1063" t="s">
        <v>1244</v>
      </c>
      <c r="F1063" t="s">
        <v>1245</v>
      </c>
      <c r="G1063" t="s">
        <v>51</v>
      </c>
      <c r="H1063" t="s">
        <v>90</v>
      </c>
      <c r="I1063" t="s">
        <v>383</v>
      </c>
      <c r="J1063" t="s">
        <v>384</v>
      </c>
      <c r="K1063">
        <v>822733</v>
      </c>
      <c r="L1063" t="s">
        <v>442</v>
      </c>
      <c r="M1063" t="s">
        <v>443</v>
      </c>
      <c r="N1063" t="s">
        <v>57</v>
      </c>
      <c r="O1063" s="1">
        <v>45754</v>
      </c>
      <c r="Q1063" s="1">
        <v>46088</v>
      </c>
      <c r="R1063" s="2">
        <v>48.76</v>
      </c>
      <c r="S1063">
        <v>1</v>
      </c>
      <c r="T1063" t="s">
        <v>58</v>
      </c>
      <c r="U1063" t="s">
        <v>156</v>
      </c>
      <c r="V1063" s="3">
        <v>0.7</v>
      </c>
      <c r="W1063" s="2">
        <v>0</v>
      </c>
      <c r="X1063">
        <v>0</v>
      </c>
      <c r="Y1063" t="s">
        <v>60</v>
      </c>
      <c r="Z1063" t="s">
        <v>135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34.130000000000003</v>
      </c>
      <c r="AN1063" s="2">
        <v>34.130000000000003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46062</v>
      </c>
      <c r="B1064" t="s">
        <v>48</v>
      </c>
      <c r="C1064">
        <v>649163</v>
      </c>
      <c r="D1064">
        <v>2028174266</v>
      </c>
      <c r="E1064" t="s">
        <v>454</v>
      </c>
      <c r="F1064" t="s">
        <v>701</v>
      </c>
      <c r="G1064" t="s">
        <v>51</v>
      </c>
      <c r="H1064" t="s">
        <v>66</v>
      </c>
      <c r="I1064" t="s">
        <v>383</v>
      </c>
      <c r="J1064" t="s">
        <v>384</v>
      </c>
      <c r="K1064">
        <v>843573</v>
      </c>
      <c r="L1064" t="s">
        <v>365</v>
      </c>
      <c r="M1064" t="s">
        <v>366</v>
      </c>
      <c r="N1064" t="s">
        <v>57</v>
      </c>
      <c r="O1064" s="1">
        <v>45758</v>
      </c>
      <c r="Q1064" s="1">
        <v>46092</v>
      </c>
      <c r="R1064" s="2">
        <v>19</v>
      </c>
      <c r="S1064">
        <v>1</v>
      </c>
      <c r="T1064" t="s">
        <v>58</v>
      </c>
      <c r="U1064" t="s">
        <v>156</v>
      </c>
      <c r="V1064" s="3">
        <v>0.7</v>
      </c>
      <c r="W1064" s="2">
        <v>0</v>
      </c>
      <c r="X1064">
        <v>0</v>
      </c>
      <c r="Y1064" t="s">
        <v>60</v>
      </c>
      <c r="Z1064" t="s">
        <v>135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13.3</v>
      </c>
      <c r="AN1064" s="2">
        <v>13.3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46062</v>
      </c>
      <c r="B1065" t="s">
        <v>48</v>
      </c>
      <c r="C1065">
        <v>649163</v>
      </c>
      <c r="D1065">
        <v>2028248979</v>
      </c>
      <c r="E1065" t="s">
        <v>998</v>
      </c>
      <c r="F1065" t="s">
        <v>999</v>
      </c>
      <c r="G1065" t="s">
        <v>51</v>
      </c>
      <c r="H1065" t="s">
        <v>971</v>
      </c>
      <c r="I1065" t="s">
        <v>383</v>
      </c>
      <c r="J1065" t="s">
        <v>384</v>
      </c>
      <c r="K1065">
        <v>651818</v>
      </c>
      <c r="L1065" t="s">
        <v>80</v>
      </c>
      <c r="M1065" t="s">
        <v>81</v>
      </c>
      <c r="N1065" t="s">
        <v>57</v>
      </c>
      <c r="O1065" s="1">
        <v>45784</v>
      </c>
      <c r="Q1065" s="1">
        <v>46088</v>
      </c>
      <c r="R1065" s="2">
        <v>120.5</v>
      </c>
      <c r="S1065">
        <v>1</v>
      </c>
      <c r="T1065" t="s">
        <v>58</v>
      </c>
      <c r="U1065" t="s">
        <v>156</v>
      </c>
      <c r="V1065" s="3">
        <v>0.7</v>
      </c>
      <c r="W1065" s="2">
        <v>0</v>
      </c>
      <c r="X1065">
        <v>0</v>
      </c>
      <c r="Y1065" t="s">
        <v>60</v>
      </c>
      <c r="Z1065" t="s">
        <v>135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84.35</v>
      </c>
      <c r="AN1065" s="2">
        <v>84.35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46062</v>
      </c>
      <c r="B1066" t="s">
        <v>48</v>
      </c>
      <c r="C1066">
        <v>649163</v>
      </c>
      <c r="D1066">
        <v>2028281048</v>
      </c>
      <c r="E1066" t="s">
        <v>704</v>
      </c>
      <c r="F1066" t="s">
        <v>705</v>
      </c>
      <c r="G1066" t="s">
        <v>51</v>
      </c>
      <c r="H1066" t="s">
        <v>66</v>
      </c>
      <c r="I1066" t="s">
        <v>383</v>
      </c>
      <c r="J1066" t="s">
        <v>384</v>
      </c>
      <c r="K1066">
        <v>806645</v>
      </c>
      <c r="L1066" t="s">
        <v>344</v>
      </c>
      <c r="M1066" t="s">
        <v>345</v>
      </c>
      <c r="N1066" t="s">
        <v>57</v>
      </c>
      <c r="O1066" s="1">
        <v>45755</v>
      </c>
      <c r="Q1066" s="1">
        <v>46089</v>
      </c>
      <c r="R1066" s="2">
        <v>24.65</v>
      </c>
      <c r="S1066">
        <v>1</v>
      </c>
      <c r="T1066" t="s">
        <v>58</v>
      </c>
      <c r="U1066" t="s">
        <v>156</v>
      </c>
      <c r="V1066" s="3">
        <v>0.7</v>
      </c>
      <c r="W1066" s="2">
        <v>0</v>
      </c>
      <c r="X1066">
        <v>0</v>
      </c>
      <c r="Y1066" t="s">
        <v>60</v>
      </c>
      <c r="Z1066" t="s">
        <v>135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17.260000000000002</v>
      </c>
      <c r="AN1066" s="2">
        <v>17.260000000000002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46062</v>
      </c>
      <c r="B1067" t="s">
        <v>48</v>
      </c>
      <c r="C1067">
        <v>649163</v>
      </c>
      <c r="D1067">
        <v>2028281147</v>
      </c>
      <c r="E1067" t="s">
        <v>706</v>
      </c>
      <c r="F1067" t="s">
        <v>155</v>
      </c>
      <c r="G1067" t="s">
        <v>51</v>
      </c>
      <c r="H1067" t="s">
        <v>274</v>
      </c>
      <c r="I1067" t="s">
        <v>383</v>
      </c>
      <c r="J1067" t="s">
        <v>384</v>
      </c>
      <c r="K1067">
        <v>816021</v>
      </c>
      <c r="L1067" t="s">
        <v>275</v>
      </c>
      <c r="M1067" t="s">
        <v>276</v>
      </c>
      <c r="N1067" t="s">
        <v>57</v>
      </c>
      <c r="O1067" s="1">
        <v>45755</v>
      </c>
      <c r="Q1067" s="1">
        <v>46089</v>
      </c>
      <c r="R1067" s="2">
        <v>18.2</v>
      </c>
      <c r="S1067">
        <v>1</v>
      </c>
      <c r="T1067" t="s">
        <v>58</v>
      </c>
      <c r="U1067" t="s">
        <v>156</v>
      </c>
      <c r="V1067" s="3">
        <v>0.7</v>
      </c>
      <c r="W1067" s="2">
        <v>0</v>
      </c>
      <c r="X1067">
        <v>0</v>
      </c>
      <c r="Y1067" t="s">
        <v>60</v>
      </c>
      <c r="Z1067" t="s">
        <v>135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12.74</v>
      </c>
      <c r="AN1067" s="2">
        <v>12.74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46062</v>
      </c>
      <c r="B1068" t="s">
        <v>48</v>
      </c>
      <c r="C1068">
        <v>649163</v>
      </c>
      <c r="D1068">
        <v>2028286563</v>
      </c>
      <c r="E1068" t="s">
        <v>1246</v>
      </c>
      <c r="F1068" t="s">
        <v>1247</v>
      </c>
      <c r="G1068" t="s">
        <v>51</v>
      </c>
      <c r="H1068" t="s">
        <v>66</v>
      </c>
      <c r="I1068" t="s">
        <v>383</v>
      </c>
      <c r="J1068" t="s">
        <v>384</v>
      </c>
      <c r="K1068">
        <v>807212</v>
      </c>
      <c r="L1068" t="s">
        <v>801</v>
      </c>
      <c r="M1068" t="s">
        <v>802</v>
      </c>
      <c r="N1068" t="s">
        <v>57</v>
      </c>
      <c r="O1068" s="1">
        <v>45755</v>
      </c>
      <c r="Q1068" s="1">
        <v>46089</v>
      </c>
      <c r="R1068" s="2">
        <v>56.5</v>
      </c>
      <c r="S1068">
        <v>1</v>
      </c>
      <c r="T1068" t="s">
        <v>58</v>
      </c>
      <c r="U1068" t="s">
        <v>156</v>
      </c>
      <c r="V1068" s="3">
        <v>0.7</v>
      </c>
      <c r="W1068" s="2">
        <v>0</v>
      </c>
      <c r="X1068">
        <v>0</v>
      </c>
      <c r="Y1068" t="s">
        <v>60</v>
      </c>
      <c r="Z1068" t="s">
        <v>135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39.549999999999997</v>
      </c>
      <c r="AN1068" s="2">
        <v>39.549999999999997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46062</v>
      </c>
      <c r="B1069" t="s">
        <v>48</v>
      </c>
      <c r="C1069">
        <v>649163</v>
      </c>
      <c r="D1069">
        <v>2028297704</v>
      </c>
      <c r="E1069" t="s">
        <v>707</v>
      </c>
      <c r="F1069" t="s">
        <v>490</v>
      </c>
      <c r="G1069" t="s">
        <v>51</v>
      </c>
      <c r="H1069" t="s">
        <v>397</v>
      </c>
      <c r="I1069" t="s">
        <v>383</v>
      </c>
      <c r="J1069" t="s">
        <v>384</v>
      </c>
      <c r="K1069">
        <v>822865</v>
      </c>
      <c r="L1069" t="s">
        <v>691</v>
      </c>
      <c r="M1069" t="s">
        <v>692</v>
      </c>
      <c r="N1069" t="s">
        <v>57</v>
      </c>
      <c r="O1069" s="1">
        <v>45756</v>
      </c>
      <c r="Q1069" s="1">
        <v>46090</v>
      </c>
      <c r="R1069" s="2">
        <v>33.54</v>
      </c>
      <c r="S1069">
        <v>1</v>
      </c>
      <c r="T1069" t="s">
        <v>58</v>
      </c>
      <c r="U1069" t="s">
        <v>156</v>
      </c>
      <c r="V1069" s="3">
        <v>0.7</v>
      </c>
      <c r="W1069" s="2">
        <v>0</v>
      </c>
      <c r="X1069">
        <v>0</v>
      </c>
      <c r="Y1069" t="s">
        <v>60</v>
      </c>
      <c r="Z1069" t="s">
        <v>135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23.48</v>
      </c>
      <c r="AN1069" s="2">
        <v>23.48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46062</v>
      </c>
      <c r="B1070" t="s">
        <v>48</v>
      </c>
      <c r="C1070">
        <v>649163</v>
      </c>
      <c r="D1070">
        <v>2028315762</v>
      </c>
      <c r="E1070" t="s">
        <v>1000</v>
      </c>
      <c r="F1070" t="s">
        <v>545</v>
      </c>
      <c r="G1070" t="s">
        <v>51</v>
      </c>
      <c r="H1070" t="s">
        <v>116</v>
      </c>
      <c r="I1070" t="s">
        <v>383</v>
      </c>
      <c r="J1070" t="s">
        <v>400</v>
      </c>
      <c r="K1070">
        <v>673059</v>
      </c>
      <c r="L1070" t="s">
        <v>162</v>
      </c>
      <c r="M1070" t="s">
        <v>180</v>
      </c>
      <c r="N1070" t="s">
        <v>144</v>
      </c>
      <c r="O1070" s="1">
        <v>45778</v>
      </c>
      <c r="P1070" s="1">
        <v>46055</v>
      </c>
      <c r="Q1070" s="1">
        <v>46082</v>
      </c>
      <c r="R1070" s="2">
        <v>-8.3699999999999992</v>
      </c>
      <c r="S1070">
        <v>1</v>
      </c>
      <c r="T1070" t="s">
        <v>58</v>
      </c>
      <c r="U1070" t="s">
        <v>156</v>
      </c>
      <c r="V1070" s="3">
        <v>0.7</v>
      </c>
      <c r="W1070" s="2">
        <v>0</v>
      </c>
      <c r="X1070">
        <v>-1</v>
      </c>
      <c r="Y1070" t="s">
        <v>60</v>
      </c>
      <c r="Z1070" t="s">
        <v>135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-5.86</v>
      </c>
      <c r="AN1070" s="2">
        <v>-5.86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46062</v>
      </c>
      <c r="B1071" t="s">
        <v>48</v>
      </c>
      <c r="C1071">
        <v>649163</v>
      </c>
      <c r="D1071">
        <v>2028367116</v>
      </c>
      <c r="E1071" t="s">
        <v>708</v>
      </c>
      <c r="F1071" t="s">
        <v>709</v>
      </c>
      <c r="G1071" t="s">
        <v>51</v>
      </c>
      <c r="H1071" t="s">
        <v>397</v>
      </c>
      <c r="I1071" t="s">
        <v>383</v>
      </c>
      <c r="J1071" t="s">
        <v>384</v>
      </c>
      <c r="K1071">
        <v>673059</v>
      </c>
      <c r="L1071" t="s">
        <v>162</v>
      </c>
      <c r="M1071" t="s">
        <v>180</v>
      </c>
      <c r="N1071" t="s">
        <v>57</v>
      </c>
      <c r="O1071" s="1">
        <v>45759</v>
      </c>
      <c r="Q1071" s="1">
        <v>46093</v>
      </c>
      <c r="R1071" s="2">
        <v>63.95</v>
      </c>
      <c r="S1071">
        <v>1</v>
      </c>
      <c r="T1071" t="s">
        <v>58</v>
      </c>
      <c r="U1071" t="s">
        <v>156</v>
      </c>
      <c r="V1071" s="3">
        <v>0.7</v>
      </c>
      <c r="W1071" s="2">
        <v>0</v>
      </c>
      <c r="X1071">
        <v>0</v>
      </c>
      <c r="Y1071" t="s">
        <v>60</v>
      </c>
      <c r="Z1071" t="s">
        <v>135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44.76</v>
      </c>
      <c r="AN1071" s="2">
        <v>44.76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46062</v>
      </c>
      <c r="B1072" t="s">
        <v>48</v>
      </c>
      <c r="C1072">
        <v>649163</v>
      </c>
      <c r="D1072">
        <v>2028368523</v>
      </c>
      <c r="E1072" t="s">
        <v>797</v>
      </c>
      <c r="F1072" t="s">
        <v>545</v>
      </c>
      <c r="G1072" t="s">
        <v>51</v>
      </c>
      <c r="H1072" t="s">
        <v>90</v>
      </c>
      <c r="I1072" t="s">
        <v>383</v>
      </c>
      <c r="J1072" t="s">
        <v>384</v>
      </c>
      <c r="K1072">
        <v>822733</v>
      </c>
      <c r="L1072" t="s">
        <v>442</v>
      </c>
      <c r="M1072" t="s">
        <v>443</v>
      </c>
      <c r="N1072" t="s">
        <v>57</v>
      </c>
      <c r="O1072" s="1">
        <v>45784</v>
      </c>
      <c r="Q1072" s="1">
        <v>46088</v>
      </c>
      <c r="R1072" s="2">
        <v>48.76</v>
      </c>
      <c r="S1072">
        <v>1</v>
      </c>
      <c r="T1072" t="s">
        <v>58</v>
      </c>
      <c r="U1072" t="s">
        <v>156</v>
      </c>
      <c r="V1072" s="3">
        <v>0.7</v>
      </c>
      <c r="W1072" s="2">
        <v>0</v>
      </c>
      <c r="X1072">
        <v>0</v>
      </c>
      <c r="Y1072" t="s">
        <v>60</v>
      </c>
      <c r="Z1072" t="s">
        <v>135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34.130000000000003</v>
      </c>
      <c r="AN1072" s="2">
        <v>34.130000000000003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46062</v>
      </c>
      <c r="B1073" t="s">
        <v>48</v>
      </c>
      <c r="C1073">
        <v>649163</v>
      </c>
      <c r="D1073">
        <v>2028379892</v>
      </c>
      <c r="E1073" t="s">
        <v>710</v>
      </c>
      <c r="F1073" t="s">
        <v>711</v>
      </c>
      <c r="G1073" t="s">
        <v>51</v>
      </c>
      <c r="H1073" t="s">
        <v>90</v>
      </c>
      <c r="I1073" t="s">
        <v>383</v>
      </c>
      <c r="J1073" t="s">
        <v>384</v>
      </c>
      <c r="K1073">
        <v>822865</v>
      </c>
      <c r="L1073" t="s">
        <v>691</v>
      </c>
      <c r="M1073" t="s">
        <v>692</v>
      </c>
      <c r="N1073" t="s">
        <v>57</v>
      </c>
      <c r="O1073" s="1">
        <v>45760</v>
      </c>
      <c r="Q1073" s="1">
        <v>46094</v>
      </c>
      <c r="R1073" s="2">
        <v>129.22</v>
      </c>
      <c r="S1073">
        <v>1</v>
      </c>
      <c r="T1073" t="s">
        <v>58</v>
      </c>
      <c r="U1073" t="s">
        <v>156</v>
      </c>
      <c r="V1073" s="3">
        <v>0.7</v>
      </c>
      <c r="W1073" s="2">
        <v>0</v>
      </c>
      <c r="X1073">
        <v>0</v>
      </c>
      <c r="Y1073" t="s">
        <v>60</v>
      </c>
      <c r="Z1073" t="s">
        <v>135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90.45</v>
      </c>
      <c r="AN1073" s="2">
        <v>90.45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46062</v>
      </c>
      <c r="B1074" t="s">
        <v>48</v>
      </c>
      <c r="C1074">
        <v>649163</v>
      </c>
      <c r="D1074">
        <v>2028412597</v>
      </c>
      <c r="E1074" t="s">
        <v>1001</v>
      </c>
      <c r="F1074" t="s">
        <v>492</v>
      </c>
      <c r="G1074" t="s">
        <v>51</v>
      </c>
      <c r="H1074" t="s">
        <v>66</v>
      </c>
      <c r="I1074" t="s">
        <v>383</v>
      </c>
      <c r="J1074" t="s">
        <v>384</v>
      </c>
      <c r="K1074">
        <v>651818</v>
      </c>
      <c r="L1074" t="s">
        <v>80</v>
      </c>
      <c r="M1074" t="s">
        <v>81</v>
      </c>
      <c r="N1074" t="s">
        <v>57</v>
      </c>
      <c r="O1074" s="1">
        <v>45784</v>
      </c>
      <c r="Q1074" s="1">
        <v>46088</v>
      </c>
      <c r="R1074" s="2">
        <v>80.14</v>
      </c>
      <c r="S1074">
        <v>1</v>
      </c>
      <c r="T1074" t="s">
        <v>58</v>
      </c>
      <c r="U1074" t="s">
        <v>156</v>
      </c>
      <c r="V1074" s="3">
        <v>0.7</v>
      </c>
      <c r="W1074" s="2">
        <v>0</v>
      </c>
      <c r="X1074">
        <v>0</v>
      </c>
      <c r="Y1074" t="s">
        <v>60</v>
      </c>
      <c r="Z1074" t="s">
        <v>135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56.1</v>
      </c>
      <c r="AN1074" s="2">
        <v>56.1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46062</v>
      </c>
      <c r="B1075" t="s">
        <v>48</v>
      </c>
      <c r="C1075">
        <v>649163</v>
      </c>
      <c r="D1075">
        <v>2028427596</v>
      </c>
      <c r="E1075" t="s">
        <v>1002</v>
      </c>
      <c r="F1075" t="s">
        <v>501</v>
      </c>
      <c r="G1075" t="s">
        <v>51</v>
      </c>
      <c r="H1075" t="s">
        <v>116</v>
      </c>
      <c r="I1075" t="s">
        <v>383</v>
      </c>
      <c r="J1075" t="s">
        <v>384</v>
      </c>
      <c r="K1075">
        <v>753748</v>
      </c>
      <c r="L1075" t="s">
        <v>74</v>
      </c>
      <c r="M1075" t="s">
        <v>75</v>
      </c>
      <c r="N1075" t="s">
        <v>144</v>
      </c>
      <c r="O1075" s="1">
        <v>45778</v>
      </c>
      <c r="P1075" s="1">
        <v>46055</v>
      </c>
      <c r="Q1075" s="1">
        <v>46082</v>
      </c>
      <c r="R1075" s="2">
        <v>-23.97</v>
      </c>
      <c r="S1075">
        <v>1</v>
      </c>
      <c r="T1075" t="s">
        <v>58</v>
      </c>
      <c r="U1075" t="s">
        <v>156</v>
      </c>
      <c r="V1075" s="3">
        <v>0.7</v>
      </c>
      <c r="W1075" s="2">
        <v>0</v>
      </c>
      <c r="X1075">
        <v>-1</v>
      </c>
      <c r="Y1075" t="s">
        <v>60</v>
      </c>
      <c r="Z1075" t="s">
        <v>135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-16.78</v>
      </c>
      <c r="AN1075" s="2">
        <v>-16.78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46062</v>
      </c>
      <c r="B1076" t="s">
        <v>48</v>
      </c>
      <c r="C1076">
        <v>649163</v>
      </c>
      <c r="D1076">
        <v>2028436941</v>
      </c>
      <c r="E1076" t="s">
        <v>370</v>
      </c>
      <c r="F1076" t="s">
        <v>1248</v>
      </c>
      <c r="G1076" t="s">
        <v>51</v>
      </c>
      <c r="H1076" t="s">
        <v>886</v>
      </c>
      <c r="I1076" t="s">
        <v>383</v>
      </c>
      <c r="J1076" t="s">
        <v>384</v>
      </c>
      <c r="K1076">
        <v>651818</v>
      </c>
      <c r="L1076" t="s">
        <v>80</v>
      </c>
      <c r="M1076" t="s">
        <v>81</v>
      </c>
      <c r="N1076" t="s">
        <v>57</v>
      </c>
      <c r="O1076" s="1">
        <v>45784</v>
      </c>
      <c r="Q1076" s="1">
        <v>46088</v>
      </c>
      <c r="R1076" s="2">
        <v>77.12</v>
      </c>
      <c r="S1076">
        <v>1</v>
      </c>
      <c r="T1076" t="s">
        <v>58</v>
      </c>
      <c r="U1076" t="s">
        <v>156</v>
      </c>
      <c r="V1076" s="3">
        <v>0.7</v>
      </c>
      <c r="W1076" s="2">
        <v>0</v>
      </c>
      <c r="X1076">
        <v>0</v>
      </c>
      <c r="Y1076" t="s">
        <v>60</v>
      </c>
      <c r="Z1076" t="s">
        <v>135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53.98</v>
      </c>
      <c r="AN1076" s="2">
        <v>53.98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46062</v>
      </c>
      <c r="B1077" t="s">
        <v>48</v>
      </c>
      <c r="C1077">
        <v>649163</v>
      </c>
      <c r="D1077">
        <v>2028520983</v>
      </c>
      <c r="E1077" t="s">
        <v>531</v>
      </c>
      <c r="F1077" t="s">
        <v>712</v>
      </c>
      <c r="G1077" t="s">
        <v>51</v>
      </c>
      <c r="H1077" t="s">
        <v>66</v>
      </c>
      <c r="I1077" t="s">
        <v>383</v>
      </c>
      <c r="J1077" t="s">
        <v>384</v>
      </c>
      <c r="K1077">
        <v>824062</v>
      </c>
      <c r="L1077" t="s">
        <v>569</v>
      </c>
      <c r="M1077" t="s">
        <v>570</v>
      </c>
      <c r="N1077" t="s">
        <v>144</v>
      </c>
      <c r="O1077" s="1">
        <v>45778</v>
      </c>
      <c r="P1077" s="1">
        <v>46062</v>
      </c>
      <c r="Q1077" s="1">
        <v>46082</v>
      </c>
      <c r="R1077" s="2">
        <v>-44.43</v>
      </c>
      <c r="S1077">
        <v>1</v>
      </c>
      <c r="T1077" t="s">
        <v>58</v>
      </c>
      <c r="U1077" t="s">
        <v>156</v>
      </c>
      <c r="V1077" s="3">
        <v>0.7</v>
      </c>
      <c r="W1077" s="2">
        <v>0</v>
      </c>
      <c r="X1077">
        <v>-1</v>
      </c>
      <c r="Y1077" t="s">
        <v>60</v>
      </c>
      <c r="Z1077" t="s">
        <v>135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-31.1</v>
      </c>
      <c r="AN1077" s="2">
        <v>-31.1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46062</v>
      </c>
      <c r="B1078" t="s">
        <v>48</v>
      </c>
      <c r="C1078">
        <v>649163</v>
      </c>
      <c r="D1078">
        <v>2028549154</v>
      </c>
      <c r="E1078" t="s">
        <v>995</v>
      </c>
      <c r="F1078" t="s">
        <v>709</v>
      </c>
      <c r="G1078" t="s">
        <v>51</v>
      </c>
      <c r="H1078" t="s">
        <v>84</v>
      </c>
      <c r="I1078" t="s">
        <v>383</v>
      </c>
      <c r="J1078" t="s">
        <v>385</v>
      </c>
      <c r="K1078">
        <v>651818</v>
      </c>
      <c r="L1078" t="s">
        <v>80</v>
      </c>
      <c r="M1078" t="s">
        <v>81</v>
      </c>
      <c r="N1078" t="s">
        <v>57</v>
      </c>
      <c r="O1078" s="1">
        <v>45784</v>
      </c>
      <c r="Q1078" s="1">
        <v>46088</v>
      </c>
      <c r="R1078" s="2">
        <v>26.25</v>
      </c>
      <c r="S1078">
        <v>1</v>
      </c>
      <c r="T1078" t="s">
        <v>58</v>
      </c>
      <c r="U1078" t="s">
        <v>156</v>
      </c>
      <c r="V1078" s="3">
        <v>0.9</v>
      </c>
      <c r="W1078" s="2">
        <v>0</v>
      </c>
      <c r="X1078">
        <v>0</v>
      </c>
      <c r="Y1078" t="s">
        <v>60</v>
      </c>
      <c r="Z1078" t="s">
        <v>135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23.62</v>
      </c>
      <c r="AN1078" s="2">
        <v>23.62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46062</v>
      </c>
      <c r="B1079" t="s">
        <v>48</v>
      </c>
      <c r="C1079">
        <v>649163</v>
      </c>
      <c r="D1079">
        <v>2028582349</v>
      </c>
      <c r="E1079" t="s">
        <v>428</v>
      </c>
      <c r="F1079" t="s">
        <v>1249</v>
      </c>
      <c r="G1079" t="s">
        <v>51</v>
      </c>
      <c r="H1079" t="s">
        <v>66</v>
      </c>
      <c r="I1079" t="s">
        <v>383</v>
      </c>
      <c r="J1079" t="s">
        <v>384</v>
      </c>
      <c r="K1079">
        <v>821015</v>
      </c>
      <c r="L1079" t="s">
        <v>735</v>
      </c>
      <c r="M1079" t="s">
        <v>736</v>
      </c>
      <c r="N1079" t="s">
        <v>57</v>
      </c>
      <c r="O1079" s="1">
        <v>45784</v>
      </c>
      <c r="Q1079" s="1">
        <v>46088</v>
      </c>
      <c r="R1079" s="2">
        <v>77.52</v>
      </c>
      <c r="S1079">
        <v>1</v>
      </c>
      <c r="T1079" t="s">
        <v>58</v>
      </c>
      <c r="U1079" t="s">
        <v>156</v>
      </c>
      <c r="V1079" s="3">
        <v>0.7</v>
      </c>
      <c r="W1079" s="2">
        <v>0</v>
      </c>
      <c r="X1079">
        <v>0</v>
      </c>
      <c r="Y1079" t="s">
        <v>60</v>
      </c>
      <c r="Z1079" t="s">
        <v>135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54.26</v>
      </c>
      <c r="AN1079" s="2">
        <v>54.26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46062</v>
      </c>
      <c r="B1080" t="s">
        <v>48</v>
      </c>
      <c r="C1080">
        <v>649163</v>
      </c>
      <c r="D1080">
        <v>2028683415</v>
      </c>
      <c r="E1080" t="s">
        <v>713</v>
      </c>
      <c r="F1080" t="s">
        <v>713</v>
      </c>
      <c r="G1080" t="s">
        <v>51</v>
      </c>
      <c r="H1080" t="s">
        <v>66</v>
      </c>
      <c r="I1080" t="s">
        <v>383</v>
      </c>
      <c r="J1080" t="s">
        <v>384</v>
      </c>
      <c r="K1080">
        <v>824076</v>
      </c>
      <c r="L1080" t="s">
        <v>340</v>
      </c>
      <c r="M1080" t="s">
        <v>341</v>
      </c>
      <c r="N1080" t="s">
        <v>57</v>
      </c>
      <c r="O1080" s="1">
        <v>45778</v>
      </c>
      <c r="Q1080" s="1">
        <v>46082</v>
      </c>
      <c r="R1080" s="2">
        <v>56.62</v>
      </c>
      <c r="S1080">
        <v>1</v>
      </c>
      <c r="T1080" t="s">
        <v>58</v>
      </c>
      <c r="U1080" t="s">
        <v>156</v>
      </c>
      <c r="V1080" s="3">
        <v>0.7</v>
      </c>
      <c r="W1080" s="2">
        <v>0</v>
      </c>
      <c r="X1080">
        <v>0</v>
      </c>
      <c r="Y1080" t="s">
        <v>60</v>
      </c>
      <c r="Z1080" t="s">
        <v>135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39.630000000000003</v>
      </c>
      <c r="AN1080" s="2">
        <v>39.630000000000003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46062</v>
      </c>
      <c r="B1081" t="s">
        <v>48</v>
      </c>
      <c r="C1081">
        <v>649163</v>
      </c>
      <c r="D1081">
        <v>2028773700</v>
      </c>
      <c r="E1081" t="s">
        <v>1004</v>
      </c>
      <c r="F1081" t="s">
        <v>180</v>
      </c>
      <c r="G1081" t="s">
        <v>51</v>
      </c>
      <c r="H1081" t="s">
        <v>84</v>
      </c>
      <c r="I1081" t="s">
        <v>383</v>
      </c>
      <c r="J1081" t="s">
        <v>385</v>
      </c>
      <c r="K1081">
        <v>651818</v>
      </c>
      <c r="L1081" t="s">
        <v>80</v>
      </c>
      <c r="M1081" t="s">
        <v>81</v>
      </c>
      <c r="N1081" t="s">
        <v>57</v>
      </c>
      <c r="O1081" s="1">
        <v>45815</v>
      </c>
      <c r="Q1081" s="1">
        <v>46088</v>
      </c>
      <c r="R1081" s="2">
        <v>33.25</v>
      </c>
      <c r="S1081">
        <v>1</v>
      </c>
      <c r="T1081" t="s">
        <v>58</v>
      </c>
      <c r="U1081" t="s">
        <v>156</v>
      </c>
      <c r="V1081" s="3">
        <v>0.9</v>
      </c>
      <c r="W1081" s="2">
        <v>0</v>
      </c>
      <c r="X1081">
        <v>0</v>
      </c>
      <c r="Y1081" t="s">
        <v>60</v>
      </c>
      <c r="Z1081" t="s">
        <v>135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29.92</v>
      </c>
      <c r="AN1081" s="2">
        <v>29.92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46062</v>
      </c>
      <c r="B1082" t="s">
        <v>48</v>
      </c>
      <c r="C1082">
        <v>649163</v>
      </c>
      <c r="D1082">
        <v>2028781143</v>
      </c>
      <c r="E1082" t="s">
        <v>1250</v>
      </c>
      <c r="F1082" t="s">
        <v>1251</v>
      </c>
      <c r="G1082" t="s">
        <v>51</v>
      </c>
      <c r="H1082" t="s">
        <v>66</v>
      </c>
      <c r="I1082" t="s">
        <v>383</v>
      </c>
      <c r="J1082" t="s">
        <v>385</v>
      </c>
      <c r="K1082">
        <v>807212</v>
      </c>
      <c r="L1082" t="s">
        <v>801</v>
      </c>
      <c r="M1082" t="s">
        <v>802</v>
      </c>
      <c r="N1082" t="s">
        <v>57</v>
      </c>
      <c r="O1082" s="1">
        <v>45783</v>
      </c>
      <c r="Q1082" s="1">
        <v>46087</v>
      </c>
      <c r="R1082" s="2">
        <v>25.29</v>
      </c>
      <c r="S1082">
        <v>1</v>
      </c>
      <c r="T1082" t="s">
        <v>58</v>
      </c>
      <c r="U1082" t="s">
        <v>156</v>
      </c>
      <c r="V1082" s="3">
        <v>0.9</v>
      </c>
      <c r="W1082" s="2">
        <v>0</v>
      </c>
      <c r="X1082">
        <v>0</v>
      </c>
      <c r="Y1082" t="s">
        <v>60</v>
      </c>
      <c r="Z1082" t="s">
        <v>135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22.76</v>
      </c>
      <c r="AN1082" s="2">
        <v>22.76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46062</v>
      </c>
      <c r="B1083" t="s">
        <v>48</v>
      </c>
      <c r="C1083">
        <v>649163</v>
      </c>
      <c r="D1083">
        <v>2028792968</v>
      </c>
      <c r="E1083" t="s">
        <v>645</v>
      </c>
      <c r="F1083" t="s">
        <v>188</v>
      </c>
      <c r="G1083" t="s">
        <v>51</v>
      </c>
      <c r="H1083" t="s">
        <v>66</v>
      </c>
      <c r="I1083" t="s">
        <v>383</v>
      </c>
      <c r="J1083" t="s">
        <v>384</v>
      </c>
      <c r="K1083">
        <v>766747</v>
      </c>
      <c r="L1083" t="s">
        <v>645</v>
      </c>
      <c r="M1083" t="s">
        <v>188</v>
      </c>
      <c r="N1083" t="s">
        <v>57</v>
      </c>
      <c r="O1083" s="1">
        <v>45784</v>
      </c>
      <c r="Q1083" s="1">
        <v>46088</v>
      </c>
      <c r="R1083" s="2">
        <v>33.119999999999997</v>
      </c>
      <c r="S1083">
        <v>1</v>
      </c>
      <c r="T1083" t="s">
        <v>58</v>
      </c>
      <c r="U1083" t="s">
        <v>156</v>
      </c>
      <c r="V1083" s="3">
        <v>0.7</v>
      </c>
      <c r="W1083" s="2">
        <v>0</v>
      </c>
      <c r="X1083">
        <v>0</v>
      </c>
      <c r="Y1083" t="s">
        <v>60</v>
      </c>
      <c r="Z1083" t="s">
        <v>135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23.18</v>
      </c>
      <c r="AN1083" s="2">
        <v>23.18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46062</v>
      </c>
      <c r="B1084" t="s">
        <v>48</v>
      </c>
      <c r="C1084">
        <v>649163</v>
      </c>
      <c r="D1084">
        <v>2028803828</v>
      </c>
      <c r="E1084" t="s">
        <v>718</v>
      </c>
      <c r="F1084" t="s">
        <v>719</v>
      </c>
      <c r="G1084" t="s">
        <v>51</v>
      </c>
      <c r="H1084" t="s">
        <v>66</v>
      </c>
      <c r="I1084" t="s">
        <v>383</v>
      </c>
      <c r="J1084" t="s">
        <v>384</v>
      </c>
      <c r="K1084">
        <v>669316</v>
      </c>
      <c r="L1084" t="s">
        <v>720</v>
      </c>
      <c r="M1084" t="s">
        <v>252</v>
      </c>
      <c r="N1084" t="s">
        <v>57</v>
      </c>
      <c r="O1084" s="1">
        <v>45809</v>
      </c>
      <c r="Q1084" s="1">
        <v>46082</v>
      </c>
      <c r="R1084" s="2">
        <v>66.510000000000005</v>
      </c>
      <c r="S1084">
        <v>1</v>
      </c>
      <c r="T1084" t="s">
        <v>58</v>
      </c>
      <c r="U1084" t="s">
        <v>156</v>
      </c>
      <c r="V1084" s="3">
        <v>0.7</v>
      </c>
      <c r="W1084" s="2">
        <v>0</v>
      </c>
      <c r="X1084">
        <v>0</v>
      </c>
      <c r="Y1084" t="s">
        <v>60</v>
      </c>
      <c r="Z1084" t="s">
        <v>135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46.56</v>
      </c>
      <c r="AN1084" s="2">
        <v>46.56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46062</v>
      </c>
      <c r="B1085" t="s">
        <v>48</v>
      </c>
      <c r="C1085">
        <v>649163</v>
      </c>
      <c r="D1085">
        <v>2028819908</v>
      </c>
      <c r="E1085" t="s">
        <v>721</v>
      </c>
      <c r="F1085" t="s">
        <v>722</v>
      </c>
      <c r="G1085" t="s">
        <v>51</v>
      </c>
      <c r="H1085" t="s">
        <v>52</v>
      </c>
      <c r="I1085" t="s">
        <v>383</v>
      </c>
      <c r="J1085" t="s">
        <v>1172</v>
      </c>
      <c r="K1085">
        <v>650218</v>
      </c>
      <c r="L1085" t="s">
        <v>246</v>
      </c>
      <c r="M1085" t="s">
        <v>195</v>
      </c>
      <c r="N1085" t="s">
        <v>57</v>
      </c>
      <c r="O1085" s="1">
        <v>45785</v>
      </c>
      <c r="Q1085" s="1">
        <v>46089</v>
      </c>
      <c r="R1085" s="2">
        <v>25.73</v>
      </c>
      <c r="S1085">
        <v>1</v>
      </c>
      <c r="T1085" t="s">
        <v>58</v>
      </c>
      <c r="U1085" t="s">
        <v>156</v>
      </c>
      <c r="V1085" s="3">
        <v>0.7</v>
      </c>
      <c r="W1085" s="2">
        <v>0</v>
      </c>
      <c r="X1085">
        <v>0</v>
      </c>
      <c r="Y1085" t="s">
        <v>60</v>
      </c>
      <c r="Z1085" t="s">
        <v>135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18.010000000000002</v>
      </c>
      <c r="AN1085" s="2">
        <v>18.010000000000002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46062</v>
      </c>
      <c r="B1086" t="s">
        <v>48</v>
      </c>
      <c r="C1086">
        <v>649163</v>
      </c>
      <c r="D1086">
        <v>2028890707</v>
      </c>
      <c r="E1086" t="s">
        <v>1252</v>
      </c>
      <c r="F1086" t="s">
        <v>1253</v>
      </c>
      <c r="G1086" t="s">
        <v>51</v>
      </c>
      <c r="H1086" t="s">
        <v>66</v>
      </c>
      <c r="I1086" t="s">
        <v>383</v>
      </c>
      <c r="J1086" t="s">
        <v>384</v>
      </c>
      <c r="K1086">
        <v>807212</v>
      </c>
      <c r="L1086" t="s">
        <v>801</v>
      </c>
      <c r="M1086" t="s">
        <v>802</v>
      </c>
      <c r="N1086" t="s">
        <v>57</v>
      </c>
      <c r="O1086" s="1">
        <v>45790</v>
      </c>
      <c r="Q1086" s="1">
        <v>46094</v>
      </c>
      <c r="R1086" s="2">
        <v>95.68</v>
      </c>
      <c r="S1086">
        <v>1</v>
      </c>
      <c r="T1086" t="s">
        <v>58</v>
      </c>
      <c r="U1086" t="s">
        <v>156</v>
      </c>
      <c r="V1086" s="3">
        <v>0.7</v>
      </c>
      <c r="W1086" s="2">
        <v>0</v>
      </c>
      <c r="X1086">
        <v>0</v>
      </c>
      <c r="Y1086" t="s">
        <v>60</v>
      </c>
      <c r="Z1086" t="s">
        <v>135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66.98</v>
      </c>
      <c r="AN1086" s="2">
        <v>66.98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46062</v>
      </c>
      <c r="B1087" t="s">
        <v>48</v>
      </c>
      <c r="C1087">
        <v>649163</v>
      </c>
      <c r="D1087">
        <v>2028890708</v>
      </c>
      <c r="E1087" t="s">
        <v>1252</v>
      </c>
      <c r="F1087" t="s">
        <v>1253</v>
      </c>
      <c r="G1087" t="s">
        <v>51</v>
      </c>
      <c r="H1087" t="s">
        <v>66</v>
      </c>
      <c r="I1087" t="s">
        <v>383</v>
      </c>
      <c r="J1087" t="s">
        <v>385</v>
      </c>
      <c r="K1087">
        <v>807212</v>
      </c>
      <c r="L1087" t="s">
        <v>801</v>
      </c>
      <c r="M1087" t="s">
        <v>802</v>
      </c>
      <c r="N1087" t="s">
        <v>57</v>
      </c>
      <c r="O1087" s="1">
        <v>45790</v>
      </c>
      <c r="Q1087" s="1">
        <v>46094</v>
      </c>
      <c r="R1087" s="2">
        <v>23.05</v>
      </c>
      <c r="S1087">
        <v>1</v>
      </c>
      <c r="T1087" t="s">
        <v>58</v>
      </c>
      <c r="U1087" t="s">
        <v>156</v>
      </c>
      <c r="V1087" s="3">
        <v>0.9</v>
      </c>
      <c r="W1087" s="2">
        <v>0</v>
      </c>
      <c r="X1087">
        <v>0</v>
      </c>
      <c r="Y1087" t="s">
        <v>60</v>
      </c>
      <c r="Z1087" t="s">
        <v>135</v>
      </c>
      <c r="AA1087">
        <v>0</v>
      </c>
      <c r="AB1087" s="2">
        <v>0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20.74</v>
      </c>
      <c r="AN1087" s="2">
        <v>20.74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46062</v>
      </c>
      <c r="B1088" t="s">
        <v>48</v>
      </c>
      <c r="C1088">
        <v>649163</v>
      </c>
      <c r="D1088">
        <v>2028942347</v>
      </c>
      <c r="E1088" t="s">
        <v>1254</v>
      </c>
      <c r="F1088" t="s">
        <v>1255</v>
      </c>
      <c r="G1088" t="s">
        <v>51</v>
      </c>
      <c r="H1088" t="s">
        <v>66</v>
      </c>
      <c r="I1088" t="s">
        <v>383</v>
      </c>
      <c r="J1088" t="s">
        <v>384</v>
      </c>
      <c r="K1088">
        <v>823350</v>
      </c>
      <c r="L1088" t="s">
        <v>108</v>
      </c>
      <c r="M1088" t="s">
        <v>394</v>
      </c>
      <c r="N1088" t="s">
        <v>144</v>
      </c>
      <c r="O1088" s="1">
        <v>45801</v>
      </c>
      <c r="P1088" s="1">
        <v>46062</v>
      </c>
      <c r="Q1088" s="1">
        <v>46077</v>
      </c>
      <c r="R1088" s="2">
        <v>-385.22</v>
      </c>
      <c r="S1088">
        <v>1</v>
      </c>
      <c r="T1088" t="s">
        <v>58</v>
      </c>
      <c r="U1088" t="s">
        <v>156</v>
      </c>
      <c r="V1088" s="3">
        <v>0.7</v>
      </c>
      <c r="W1088" s="2">
        <v>0</v>
      </c>
      <c r="X1088">
        <v>-1</v>
      </c>
      <c r="Y1088" t="s">
        <v>60</v>
      </c>
      <c r="Z1088" t="s">
        <v>135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-269.64999999999998</v>
      </c>
      <c r="AN1088" s="2">
        <v>-269.64999999999998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46062</v>
      </c>
      <c r="B1089" t="s">
        <v>48</v>
      </c>
      <c r="C1089">
        <v>649163</v>
      </c>
      <c r="D1089">
        <v>2028960907</v>
      </c>
      <c r="E1089" t="s">
        <v>727</v>
      </c>
      <c r="F1089" t="s">
        <v>728</v>
      </c>
      <c r="G1089" t="s">
        <v>51</v>
      </c>
      <c r="H1089" t="s">
        <v>66</v>
      </c>
      <c r="I1089" t="s">
        <v>383</v>
      </c>
      <c r="J1089" t="s">
        <v>385</v>
      </c>
      <c r="K1089">
        <v>856163</v>
      </c>
      <c r="L1089" t="s">
        <v>108</v>
      </c>
      <c r="M1089" t="s">
        <v>109</v>
      </c>
      <c r="N1089" t="s">
        <v>57</v>
      </c>
      <c r="O1089" s="1">
        <v>45809</v>
      </c>
      <c r="Q1089" s="1">
        <v>46082</v>
      </c>
      <c r="R1089" s="2">
        <v>12.92</v>
      </c>
      <c r="S1089">
        <v>1</v>
      </c>
      <c r="T1089" t="s">
        <v>58</v>
      </c>
      <c r="U1089" t="s">
        <v>156</v>
      </c>
      <c r="V1089" s="3">
        <v>0.9</v>
      </c>
      <c r="W1089" s="2">
        <v>0</v>
      </c>
      <c r="X1089">
        <v>0</v>
      </c>
      <c r="Y1089" t="s">
        <v>60</v>
      </c>
      <c r="Z1089" t="s">
        <v>135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11.63</v>
      </c>
      <c r="AN1089" s="2">
        <v>11.63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46062</v>
      </c>
      <c r="B1090" t="s">
        <v>48</v>
      </c>
      <c r="C1090">
        <v>649163</v>
      </c>
      <c r="D1090">
        <v>2028982416</v>
      </c>
      <c r="E1090" t="s">
        <v>1256</v>
      </c>
      <c r="F1090" t="s">
        <v>389</v>
      </c>
      <c r="G1090" t="s">
        <v>51</v>
      </c>
      <c r="H1090" t="s">
        <v>66</v>
      </c>
      <c r="I1090" t="s">
        <v>383</v>
      </c>
      <c r="J1090" t="s">
        <v>384</v>
      </c>
      <c r="K1090">
        <v>651818</v>
      </c>
      <c r="L1090" t="s">
        <v>80</v>
      </c>
      <c r="M1090" t="s">
        <v>81</v>
      </c>
      <c r="N1090" t="s">
        <v>57</v>
      </c>
      <c r="O1090" s="1">
        <v>45815</v>
      </c>
      <c r="Q1090" s="1">
        <v>46088</v>
      </c>
      <c r="R1090" s="2">
        <v>101.38</v>
      </c>
      <c r="S1090">
        <v>1</v>
      </c>
      <c r="T1090" t="s">
        <v>58</v>
      </c>
      <c r="U1090" t="s">
        <v>156</v>
      </c>
      <c r="V1090" s="3">
        <v>0.7</v>
      </c>
      <c r="W1090" s="2">
        <v>0</v>
      </c>
      <c r="X1090">
        <v>0</v>
      </c>
      <c r="Y1090" t="s">
        <v>60</v>
      </c>
      <c r="Z1090" t="s">
        <v>135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70.97</v>
      </c>
      <c r="AN1090" s="2">
        <v>70.97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46062</v>
      </c>
      <c r="B1091" t="s">
        <v>48</v>
      </c>
      <c r="C1091">
        <v>649163</v>
      </c>
      <c r="D1091">
        <v>2028982417</v>
      </c>
      <c r="E1091" t="s">
        <v>1256</v>
      </c>
      <c r="F1091" t="s">
        <v>389</v>
      </c>
      <c r="G1091" t="s">
        <v>51</v>
      </c>
      <c r="H1091" t="s">
        <v>66</v>
      </c>
      <c r="I1091" t="s">
        <v>383</v>
      </c>
      <c r="J1091" t="s">
        <v>385</v>
      </c>
      <c r="K1091">
        <v>651818</v>
      </c>
      <c r="L1091" t="s">
        <v>80</v>
      </c>
      <c r="M1091" t="s">
        <v>81</v>
      </c>
      <c r="N1091" t="s">
        <v>57</v>
      </c>
      <c r="O1091" s="1">
        <v>45815</v>
      </c>
      <c r="Q1091" s="1">
        <v>46088</v>
      </c>
      <c r="R1091" s="2">
        <v>146.88</v>
      </c>
      <c r="S1091">
        <v>1</v>
      </c>
      <c r="T1091" t="s">
        <v>58</v>
      </c>
      <c r="U1091" t="s">
        <v>156</v>
      </c>
      <c r="V1091" s="3">
        <v>0.9</v>
      </c>
      <c r="W1091" s="2">
        <v>0</v>
      </c>
      <c r="X1091">
        <v>0</v>
      </c>
      <c r="Y1091" t="s">
        <v>60</v>
      </c>
      <c r="Z1091" t="s">
        <v>135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132.19</v>
      </c>
      <c r="AN1091" s="2">
        <v>132.19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46062</v>
      </c>
      <c r="B1092" t="s">
        <v>48</v>
      </c>
      <c r="C1092">
        <v>649163</v>
      </c>
      <c r="D1092">
        <v>2029026298</v>
      </c>
      <c r="E1092" t="s">
        <v>145</v>
      </c>
      <c r="F1092" t="s">
        <v>732</v>
      </c>
      <c r="G1092" t="s">
        <v>51</v>
      </c>
      <c r="H1092" t="s">
        <v>112</v>
      </c>
      <c r="I1092" t="s">
        <v>383</v>
      </c>
      <c r="J1092" t="s">
        <v>385</v>
      </c>
      <c r="K1092">
        <v>767312</v>
      </c>
      <c r="L1092" t="s">
        <v>310</v>
      </c>
      <c r="M1092" t="s">
        <v>311</v>
      </c>
      <c r="N1092" t="s">
        <v>57</v>
      </c>
      <c r="O1092" s="1">
        <v>45798</v>
      </c>
      <c r="Q1092" s="1">
        <v>46074</v>
      </c>
      <c r="R1092" s="2">
        <v>44.13</v>
      </c>
      <c r="S1092">
        <v>1</v>
      </c>
      <c r="T1092" t="s">
        <v>58</v>
      </c>
      <c r="U1092" t="s">
        <v>156</v>
      </c>
      <c r="V1092" s="3">
        <v>0.9</v>
      </c>
      <c r="W1092" s="2">
        <v>0</v>
      </c>
      <c r="X1092">
        <v>0</v>
      </c>
      <c r="Y1092" t="s">
        <v>60</v>
      </c>
      <c r="Z1092" t="s">
        <v>135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39.72</v>
      </c>
      <c r="AN1092" s="2">
        <v>39.72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46062</v>
      </c>
      <c r="B1093" t="s">
        <v>48</v>
      </c>
      <c r="C1093">
        <v>649163</v>
      </c>
      <c r="D1093">
        <v>2029183288</v>
      </c>
      <c r="E1093" t="s">
        <v>687</v>
      </c>
      <c r="F1093" t="s">
        <v>345</v>
      </c>
      <c r="G1093" t="s">
        <v>51</v>
      </c>
      <c r="H1093" t="s">
        <v>90</v>
      </c>
      <c r="I1093" t="s">
        <v>383</v>
      </c>
      <c r="J1093" t="s">
        <v>384</v>
      </c>
      <c r="K1093">
        <v>806645</v>
      </c>
      <c r="L1093" t="s">
        <v>344</v>
      </c>
      <c r="M1093" t="s">
        <v>345</v>
      </c>
      <c r="N1093" t="s">
        <v>144</v>
      </c>
      <c r="O1093" s="1">
        <v>45807</v>
      </c>
      <c r="P1093" s="1">
        <v>46055</v>
      </c>
      <c r="Q1093" s="1">
        <v>46081</v>
      </c>
      <c r="R1093" s="2">
        <v>-1.68</v>
      </c>
      <c r="S1093">
        <v>1</v>
      </c>
      <c r="T1093" t="s">
        <v>58</v>
      </c>
      <c r="U1093" t="s">
        <v>156</v>
      </c>
      <c r="V1093" s="3">
        <v>0.7</v>
      </c>
      <c r="W1093" s="2">
        <v>0</v>
      </c>
      <c r="X1093">
        <v>-1</v>
      </c>
      <c r="Y1093" t="s">
        <v>60</v>
      </c>
      <c r="Z1093" t="s">
        <v>135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-1.18</v>
      </c>
      <c r="AN1093" s="2">
        <v>-1.18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46062</v>
      </c>
      <c r="B1094" t="s">
        <v>48</v>
      </c>
      <c r="C1094">
        <v>649163</v>
      </c>
      <c r="D1094">
        <v>2029275520</v>
      </c>
      <c r="E1094" t="s">
        <v>733</v>
      </c>
      <c r="F1094" t="s">
        <v>734</v>
      </c>
      <c r="G1094" t="s">
        <v>51</v>
      </c>
      <c r="H1094" t="s">
        <v>66</v>
      </c>
      <c r="I1094" t="s">
        <v>383</v>
      </c>
      <c r="J1094" t="s">
        <v>385</v>
      </c>
      <c r="K1094">
        <v>821015</v>
      </c>
      <c r="L1094" t="s">
        <v>735</v>
      </c>
      <c r="M1094" t="s">
        <v>736</v>
      </c>
      <c r="N1094" t="s">
        <v>57</v>
      </c>
      <c r="O1094" s="1">
        <v>45815</v>
      </c>
      <c r="Q1094" s="1">
        <v>46088</v>
      </c>
      <c r="R1094" s="2">
        <v>75.75</v>
      </c>
      <c r="S1094">
        <v>1</v>
      </c>
      <c r="T1094" t="s">
        <v>58</v>
      </c>
      <c r="U1094" t="s">
        <v>156</v>
      </c>
      <c r="V1094" s="3">
        <v>0.9</v>
      </c>
      <c r="W1094" s="2">
        <v>0</v>
      </c>
      <c r="X1094">
        <v>0</v>
      </c>
      <c r="Y1094" t="s">
        <v>60</v>
      </c>
      <c r="Z1094" t="s">
        <v>135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68.180000000000007</v>
      </c>
      <c r="AN1094" s="2">
        <v>68.180000000000007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46062</v>
      </c>
      <c r="B1095" t="s">
        <v>48</v>
      </c>
      <c r="C1095">
        <v>649163</v>
      </c>
      <c r="D1095">
        <v>2029275521</v>
      </c>
      <c r="E1095" t="s">
        <v>733</v>
      </c>
      <c r="F1095" t="s">
        <v>734</v>
      </c>
      <c r="G1095" t="s">
        <v>51</v>
      </c>
      <c r="H1095" t="s">
        <v>66</v>
      </c>
      <c r="I1095" t="s">
        <v>383</v>
      </c>
      <c r="J1095" t="s">
        <v>384</v>
      </c>
      <c r="K1095">
        <v>821015</v>
      </c>
      <c r="L1095" t="s">
        <v>735</v>
      </c>
      <c r="M1095" t="s">
        <v>736</v>
      </c>
      <c r="N1095" t="s">
        <v>57</v>
      </c>
      <c r="O1095" s="1">
        <v>45815</v>
      </c>
      <c r="Q1095" s="1">
        <v>46088</v>
      </c>
      <c r="R1095" s="2">
        <v>341.13</v>
      </c>
      <c r="S1095">
        <v>1</v>
      </c>
      <c r="T1095" t="s">
        <v>58</v>
      </c>
      <c r="U1095" t="s">
        <v>156</v>
      </c>
      <c r="V1095" s="3">
        <v>0.7</v>
      </c>
      <c r="W1095" s="2">
        <v>0</v>
      </c>
      <c r="X1095">
        <v>0</v>
      </c>
      <c r="Y1095" t="s">
        <v>60</v>
      </c>
      <c r="Z1095" t="s">
        <v>135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238.79</v>
      </c>
      <c r="AN1095" s="2">
        <v>238.79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46062</v>
      </c>
      <c r="B1096" t="s">
        <v>48</v>
      </c>
      <c r="C1096">
        <v>649163</v>
      </c>
      <c r="D1096">
        <v>2029283859</v>
      </c>
      <c r="E1096" t="s">
        <v>1009</v>
      </c>
      <c r="F1096" t="s">
        <v>1010</v>
      </c>
      <c r="G1096" t="s">
        <v>51</v>
      </c>
      <c r="H1096" t="s">
        <v>392</v>
      </c>
      <c r="I1096" t="s">
        <v>383</v>
      </c>
      <c r="J1096" t="s">
        <v>400</v>
      </c>
      <c r="K1096">
        <v>823068</v>
      </c>
      <c r="L1096" t="s">
        <v>355</v>
      </c>
      <c r="M1096" t="s">
        <v>356</v>
      </c>
      <c r="N1096" t="s">
        <v>57</v>
      </c>
      <c r="O1096" s="1">
        <v>45818</v>
      </c>
      <c r="Q1096" s="1">
        <v>46091</v>
      </c>
      <c r="R1096" s="2">
        <v>24.61</v>
      </c>
      <c r="S1096">
        <v>1</v>
      </c>
      <c r="T1096" t="s">
        <v>58</v>
      </c>
      <c r="U1096" t="s">
        <v>156</v>
      </c>
      <c r="V1096" s="3">
        <v>0.7</v>
      </c>
      <c r="W1096" s="2">
        <v>0</v>
      </c>
      <c r="X1096">
        <v>0</v>
      </c>
      <c r="Y1096" t="s">
        <v>60</v>
      </c>
      <c r="Z1096" t="s">
        <v>135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17.23</v>
      </c>
      <c r="AN1096" s="2">
        <v>17.23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46062</v>
      </c>
      <c r="B1097" t="s">
        <v>48</v>
      </c>
      <c r="C1097">
        <v>649163</v>
      </c>
      <c r="D1097">
        <v>2029319950</v>
      </c>
      <c r="E1097" t="s">
        <v>1257</v>
      </c>
      <c r="F1097" t="s">
        <v>1258</v>
      </c>
      <c r="G1097" t="s">
        <v>51</v>
      </c>
      <c r="H1097" t="s">
        <v>66</v>
      </c>
      <c r="I1097" t="s">
        <v>383</v>
      </c>
      <c r="J1097" t="s">
        <v>384</v>
      </c>
      <c r="K1097">
        <v>807212</v>
      </c>
      <c r="L1097" t="s">
        <v>801</v>
      </c>
      <c r="M1097" t="s">
        <v>802</v>
      </c>
      <c r="N1097" t="s">
        <v>57</v>
      </c>
      <c r="O1097" s="1">
        <v>45814</v>
      </c>
      <c r="Q1097" s="1">
        <v>46087</v>
      </c>
      <c r="R1097" s="2">
        <v>37.18</v>
      </c>
      <c r="S1097">
        <v>1</v>
      </c>
      <c r="T1097" t="s">
        <v>58</v>
      </c>
      <c r="U1097" t="s">
        <v>156</v>
      </c>
      <c r="V1097" s="3">
        <v>0.7</v>
      </c>
      <c r="W1097" s="2">
        <v>0</v>
      </c>
      <c r="X1097">
        <v>0</v>
      </c>
      <c r="Y1097" t="s">
        <v>60</v>
      </c>
      <c r="Z1097" t="s">
        <v>135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26.03</v>
      </c>
      <c r="AN1097" s="2">
        <v>26.03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46062</v>
      </c>
      <c r="B1098" t="s">
        <v>48</v>
      </c>
      <c r="C1098">
        <v>649163</v>
      </c>
      <c r="D1098">
        <v>2029331330</v>
      </c>
      <c r="E1098" t="s">
        <v>1259</v>
      </c>
      <c r="F1098" t="s">
        <v>1260</v>
      </c>
      <c r="G1098" t="s">
        <v>51</v>
      </c>
      <c r="H1098" t="s">
        <v>66</v>
      </c>
      <c r="I1098" t="s">
        <v>383</v>
      </c>
      <c r="J1098" t="s">
        <v>384</v>
      </c>
      <c r="K1098">
        <v>812656</v>
      </c>
      <c r="L1098" t="s">
        <v>740</v>
      </c>
      <c r="M1098" t="s">
        <v>741</v>
      </c>
      <c r="N1098" t="s">
        <v>57</v>
      </c>
      <c r="O1098" s="1">
        <v>45815</v>
      </c>
      <c r="Q1098" s="1">
        <v>46088</v>
      </c>
      <c r="R1098" s="2">
        <v>100.21</v>
      </c>
      <c r="S1098">
        <v>1</v>
      </c>
      <c r="T1098" t="s">
        <v>58</v>
      </c>
      <c r="U1098" t="s">
        <v>156</v>
      </c>
      <c r="V1098" s="3">
        <v>0.7</v>
      </c>
      <c r="W1098" s="2">
        <v>0</v>
      </c>
      <c r="X1098">
        <v>0</v>
      </c>
      <c r="Y1098" t="s">
        <v>60</v>
      </c>
      <c r="Z1098" t="s">
        <v>135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70.150000000000006</v>
      </c>
      <c r="AN1098" s="2">
        <v>70.150000000000006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46062</v>
      </c>
      <c r="B1099" t="s">
        <v>48</v>
      </c>
      <c r="C1099">
        <v>649163</v>
      </c>
      <c r="D1099">
        <v>2029378057</v>
      </c>
      <c r="E1099" t="s">
        <v>737</v>
      </c>
      <c r="F1099" t="s">
        <v>738</v>
      </c>
      <c r="G1099" t="s">
        <v>51</v>
      </c>
      <c r="H1099" t="s">
        <v>90</v>
      </c>
      <c r="I1099" t="s">
        <v>383</v>
      </c>
      <c r="J1099" t="s">
        <v>384</v>
      </c>
      <c r="K1099">
        <v>823350</v>
      </c>
      <c r="L1099" t="s">
        <v>108</v>
      </c>
      <c r="M1099" t="s">
        <v>394</v>
      </c>
      <c r="N1099" t="s">
        <v>57</v>
      </c>
      <c r="O1099" s="1">
        <v>45820</v>
      </c>
      <c r="Q1099" s="1">
        <v>46093</v>
      </c>
      <c r="R1099" s="2">
        <v>261</v>
      </c>
      <c r="S1099">
        <v>1</v>
      </c>
      <c r="T1099" t="s">
        <v>58</v>
      </c>
      <c r="U1099" t="s">
        <v>156</v>
      </c>
      <c r="V1099" s="3">
        <v>0.7</v>
      </c>
      <c r="W1099" s="2">
        <v>0</v>
      </c>
      <c r="X1099">
        <v>0</v>
      </c>
      <c r="Y1099" t="s">
        <v>60</v>
      </c>
      <c r="Z1099" t="s">
        <v>135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182.7</v>
      </c>
      <c r="AN1099" s="2">
        <v>182.7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46062</v>
      </c>
      <c r="B1100" t="s">
        <v>48</v>
      </c>
      <c r="C1100">
        <v>649163</v>
      </c>
      <c r="D1100">
        <v>2029378058</v>
      </c>
      <c r="E1100" t="s">
        <v>737</v>
      </c>
      <c r="F1100" t="s">
        <v>738</v>
      </c>
      <c r="G1100" t="s">
        <v>51</v>
      </c>
      <c r="H1100" t="s">
        <v>90</v>
      </c>
      <c r="I1100" t="s">
        <v>383</v>
      </c>
      <c r="J1100" t="s">
        <v>385</v>
      </c>
      <c r="K1100">
        <v>823350</v>
      </c>
      <c r="L1100" t="s">
        <v>108</v>
      </c>
      <c r="M1100" t="s">
        <v>394</v>
      </c>
      <c r="N1100" t="s">
        <v>57</v>
      </c>
      <c r="O1100" s="1">
        <v>45820</v>
      </c>
      <c r="Q1100" s="1">
        <v>46093</v>
      </c>
      <c r="R1100" s="2">
        <v>103.75</v>
      </c>
      <c r="S1100">
        <v>1</v>
      </c>
      <c r="T1100" t="s">
        <v>58</v>
      </c>
      <c r="U1100" t="s">
        <v>156</v>
      </c>
      <c r="V1100" s="3">
        <v>0.9</v>
      </c>
      <c r="W1100" s="2">
        <v>0</v>
      </c>
      <c r="X1100">
        <v>0</v>
      </c>
      <c r="Y1100" t="s">
        <v>60</v>
      </c>
      <c r="Z1100" t="s">
        <v>135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93.38</v>
      </c>
      <c r="AN1100" s="2">
        <v>93.38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46062</v>
      </c>
      <c r="B1101" t="s">
        <v>48</v>
      </c>
      <c r="C1101">
        <v>649163</v>
      </c>
      <c r="D1101">
        <v>2029378241</v>
      </c>
      <c r="E1101" t="s">
        <v>739</v>
      </c>
      <c r="F1101" t="s">
        <v>614</v>
      </c>
      <c r="G1101" t="s">
        <v>51</v>
      </c>
      <c r="H1101" t="s">
        <v>193</v>
      </c>
      <c r="I1101" t="s">
        <v>383</v>
      </c>
      <c r="J1101" t="s">
        <v>384</v>
      </c>
      <c r="K1101">
        <v>812656</v>
      </c>
      <c r="L1101" t="s">
        <v>740</v>
      </c>
      <c r="M1101" t="s">
        <v>741</v>
      </c>
      <c r="N1101" t="s">
        <v>57</v>
      </c>
      <c r="O1101" s="1">
        <v>45818</v>
      </c>
      <c r="Q1101" s="1">
        <v>46091</v>
      </c>
      <c r="R1101" s="2">
        <v>42.15</v>
      </c>
      <c r="S1101">
        <v>1</v>
      </c>
      <c r="T1101" t="s">
        <v>58</v>
      </c>
      <c r="U1101" t="s">
        <v>156</v>
      </c>
      <c r="V1101" s="3">
        <v>0.7</v>
      </c>
      <c r="W1101" s="2">
        <v>0</v>
      </c>
      <c r="X1101">
        <v>0</v>
      </c>
      <c r="Y1101" t="s">
        <v>60</v>
      </c>
      <c r="Z1101" t="s">
        <v>135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29.5</v>
      </c>
      <c r="AN1101" s="2">
        <v>29.5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46062</v>
      </c>
      <c r="B1102" t="s">
        <v>48</v>
      </c>
      <c r="C1102">
        <v>649163</v>
      </c>
      <c r="D1102">
        <v>2029398822</v>
      </c>
      <c r="E1102" t="s">
        <v>1261</v>
      </c>
      <c r="F1102" t="s">
        <v>197</v>
      </c>
      <c r="G1102" t="s">
        <v>51</v>
      </c>
      <c r="H1102" t="s">
        <v>1073</v>
      </c>
      <c r="I1102" t="s">
        <v>383</v>
      </c>
      <c r="J1102" t="s">
        <v>843</v>
      </c>
      <c r="K1102">
        <v>856824</v>
      </c>
      <c r="L1102" t="s">
        <v>126</v>
      </c>
      <c r="M1102" t="s">
        <v>127</v>
      </c>
      <c r="N1102" t="s">
        <v>57</v>
      </c>
      <c r="O1102" s="1">
        <v>45819</v>
      </c>
      <c r="Q1102" s="1">
        <v>46092</v>
      </c>
      <c r="R1102" s="2">
        <v>12.83</v>
      </c>
      <c r="S1102">
        <v>1</v>
      </c>
      <c r="T1102" t="s">
        <v>58</v>
      </c>
      <c r="U1102" t="s">
        <v>156</v>
      </c>
      <c r="V1102" s="3">
        <v>0.42</v>
      </c>
      <c r="W1102" s="2">
        <v>0</v>
      </c>
      <c r="X1102">
        <v>0</v>
      </c>
      <c r="Y1102" t="s">
        <v>60</v>
      </c>
      <c r="Z1102" t="s">
        <v>135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5.39</v>
      </c>
      <c r="AN1102" s="2">
        <v>5.39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46062</v>
      </c>
      <c r="B1103" t="s">
        <v>48</v>
      </c>
      <c r="C1103">
        <v>649163</v>
      </c>
      <c r="D1103">
        <v>2029402295</v>
      </c>
      <c r="E1103" t="s">
        <v>1262</v>
      </c>
      <c r="F1103" t="s">
        <v>1263</v>
      </c>
      <c r="G1103" t="s">
        <v>51</v>
      </c>
      <c r="H1103" t="s">
        <v>66</v>
      </c>
      <c r="I1103" t="s">
        <v>383</v>
      </c>
      <c r="J1103" t="s">
        <v>384</v>
      </c>
      <c r="K1103">
        <v>843573</v>
      </c>
      <c r="L1103" t="s">
        <v>365</v>
      </c>
      <c r="M1103" t="s">
        <v>366</v>
      </c>
      <c r="N1103" t="s">
        <v>57</v>
      </c>
      <c r="O1103" s="1">
        <v>45821</v>
      </c>
      <c r="Q1103" s="1">
        <v>46094</v>
      </c>
      <c r="R1103" s="2">
        <v>42.38</v>
      </c>
      <c r="S1103">
        <v>1</v>
      </c>
      <c r="T1103" t="s">
        <v>58</v>
      </c>
      <c r="U1103" t="s">
        <v>156</v>
      </c>
      <c r="V1103" s="3">
        <v>0.7</v>
      </c>
      <c r="W1103" s="2">
        <v>0</v>
      </c>
      <c r="X1103">
        <v>0</v>
      </c>
      <c r="Y1103" t="s">
        <v>60</v>
      </c>
      <c r="Z1103" t="s">
        <v>135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29.67</v>
      </c>
      <c r="AN1103" s="2">
        <v>29.67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46062</v>
      </c>
      <c r="B1104" t="s">
        <v>48</v>
      </c>
      <c r="C1104">
        <v>649163</v>
      </c>
      <c r="D1104">
        <v>2029413864</v>
      </c>
      <c r="E1104" t="s">
        <v>390</v>
      </c>
      <c r="F1104" t="s">
        <v>743</v>
      </c>
      <c r="G1104" t="s">
        <v>51</v>
      </c>
      <c r="H1104" t="s">
        <v>90</v>
      </c>
      <c r="I1104" t="s">
        <v>383</v>
      </c>
      <c r="J1104" t="s">
        <v>384</v>
      </c>
      <c r="K1104">
        <v>823350</v>
      </c>
      <c r="L1104" t="s">
        <v>108</v>
      </c>
      <c r="M1104" t="s">
        <v>394</v>
      </c>
      <c r="N1104" t="s">
        <v>57</v>
      </c>
      <c r="O1104" s="1">
        <v>45820</v>
      </c>
      <c r="Q1104" s="1">
        <v>46093</v>
      </c>
      <c r="R1104" s="2">
        <v>13</v>
      </c>
      <c r="S1104">
        <v>1</v>
      </c>
      <c r="T1104" t="s">
        <v>58</v>
      </c>
      <c r="U1104" t="s">
        <v>156</v>
      </c>
      <c r="V1104" s="3">
        <v>0.7</v>
      </c>
      <c r="W1104" s="2">
        <v>0</v>
      </c>
      <c r="X1104">
        <v>0</v>
      </c>
      <c r="Y1104" t="s">
        <v>60</v>
      </c>
      <c r="Z1104" t="s">
        <v>135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9.1</v>
      </c>
      <c r="AN1104" s="2">
        <v>9.1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46062</v>
      </c>
      <c r="B1105" t="s">
        <v>48</v>
      </c>
      <c r="C1105">
        <v>649163</v>
      </c>
      <c r="D1105">
        <v>2029432398</v>
      </c>
      <c r="E1105" t="s">
        <v>1264</v>
      </c>
      <c r="F1105" t="s">
        <v>1265</v>
      </c>
      <c r="G1105" t="s">
        <v>51</v>
      </c>
      <c r="H1105" t="s">
        <v>66</v>
      </c>
      <c r="I1105" t="s">
        <v>383</v>
      </c>
      <c r="J1105" t="s">
        <v>384</v>
      </c>
      <c r="K1105">
        <v>807212</v>
      </c>
      <c r="L1105" t="s">
        <v>801</v>
      </c>
      <c r="M1105" t="s">
        <v>802</v>
      </c>
      <c r="N1105" t="s">
        <v>57</v>
      </c>
      <c r="O1105" s="1">
        <v>45821</v>
      </c>
      <c r="Q1105" s="1">
        <v>46094</v>
      </c>
      <c r="R1105" s="2">
        <v>19</v>
      </c>
      <c r="S1105">
        <v>1</v>
      </c>
      <c r="T1105" t="s">
        <v>58</v>
      </c>
      <c r="U1105" t="s">
        <v>156</v>
      </c>
      <c r="V1105" s="3">
        <v>0.7</v>
      </c>
      <c r="W1105" s="2">
        <v>0</v>
      </c>
      <c r="X1105">
        <v>0</v>
      </c>
      <c r="Y1105" t="s">
        <v>60</v>
      </c>
      <c r="Z1105" t="s">
        <v>135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13.3</v>
      </c>
      <c r="AN1105" s="2">
        <v>13.3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46062</v>
      </c>
      <c r="B1106" t="s">
        <v>48</v>
      </c>
      <c r="C1106">
        <v>649163</v>
      </c>
      <c r="D1106">
        <v>2029434655</v>
      </c>
      <c r="E1106" t="s">
        <v>1266</v>
      </c>
      <c r="F1106" t="s">
        <v>1070</v>
      </c>
      <c r="G1106" t="s">
        <v>51</v>
      </c>
      <c r="H1106" t="s">
        <v>170</v>
      </c>
      <c r="I1106" t="s">
        <v>383</v>
      </c>
      <c r="J1106" t="s">
        <v>384</v>
      </c>
      <c r="K1106">
        <v>812782</v>
      </c>
      <c r="L1106" t="s">
        <v>325</v>
      </c>
      <c r="M1106" t="s">
        <v>326</v>
      </c>
      <c r="N1106" t="s">
        <v>57</v>
      </c>
      <c r="O1106" s="1">
        <v>45821</v>
      </c>
      <c r="Q1106" s="1">
        <v>46094</v>
      </c>
      <c r="R1106" s="2">
        <v>83.79</v>
      </c>
      <c r="S1106">
        <v>1</v>
      </c>
      <c r="T1106" t="s">
        <v>58</v>
      </c>
      <c r="U1106" t="s">
        <v>156</v>
      </c>
      <c r="V1106" s="3">
        <v>0.7</v>
      </c>
      <c r="W1106" s="2">
        <v>0</v>
      </c>
      <c r="X1106">
        <v>0</v>
      </c>
      <c r="Y1106" t="s">
        <v>60</v>
      </c>
      <c r="Z1106" t="s">
        <v>135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58.65</v>
      </c>
      <c r="AN1106" s="2">
        <v>58.65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46062</v>
      </c>
      <c r="B1107" t="s">
        <v>48</v>
      </c>
      <c r="C1107">
        <v>649163</v>
      </c>
      <c r="D1107">
        <v>2029531080</v>
      </c>
      <c r="E1107" t="s">
        <v>1012</v>
      </c>
      <c r="F1107" t="s">
        <v>1013</v>
      </c>
      <c r="G1107" t="s">
        <v>51</v>
      </c>
      <c r="H1107" t="s">
        <v>971</v>
      </c>
      <c r="I1107" t="s">
        <v>383</v>
      </c>
      <c r="J1107" t="s">
        <v>384</v>
      </c>
      <c r="K1107">
        <v>673059</v>
      </c>
      <c r="L1107" t="s">
        <v>162</v>
      </c>
      <c r="M1107" t="s">
        <v>180</v>
      </c>
      <c r="N1107" t="s">
        <v>57</v>
      </c>
      <c r="O1107" s="1">
        <v>45847</v>
      </c>
      <c r="Q1107" s="1">
        <v>46090</v>
      </c>
      <c r="R1107" s="2">
        <v>120.5</v>
      </c>
      <c r="S1107">
        <v>1</v>
      </c>
      <c r="T1107" t="s">
        <v>58</v>
      </c>
      <c r="U1107" t="s">
        <v>156</v>
      </c>
      <c r="V1107" s="3">
        <v>0.7</v>
      </c>
      <c r="W1107" s="2">
        <v>0</v>
      </c>
      <c r="X1107">
        <v>0</v>
      </c>
      <c r="Y1107" t="s">
        <v>60</v>
      </c>
      <c r="Z1107" t="s">
        <v>135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84.35</v>
      </c>
      <c r="AN1107" s="2">
        <v>84.35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46062</v>
      </c>
      <c r="B1108" t="s">
        <v>48</v>
      </c>
      <c r="C1108">
        <v>649163</v>
      </c>
      <c r="D1108">
        <v>2029609656</v>
      </c>
      <c r="E1108" t="s">
        <v>240</v>
      </c>
      <c r="F1108" t="s">
        <v>305</v>
      </c>
      <c r="G1108" t="s">
        <v>51</v>
      </c>
      <c r="H1108" t="s">
        <v>90</v>
      </c>
      <c r="I1108" t="s">
        <v>383</v>
      </c>
      <c r="J1108" t="s">
        <v>385</v>
      </c>
      <c r="K1108">
        <v>651818</v>
      </c>
      <c r="L1108" t="s">
        <v>80</v>
      </c>
      <c r="M1108" t="s">
        <v>81</v>
      </c>
      <c r="N1108" t="s">
        <v>57</v>
      </c>
      <c r="O1108" s="1">
        <v>45845</v>
      </c>
      <c r="Q1108" s="1">
        <v>46088</v>
      </c>
      <c r="R1108" s="2">
        <v>35.85</v>
      </c>
      <c r="S1108">
        <v>1</v>
      </c>
      <c r="T1108" t="s">
        <v>58</v>
      </c>
      <c r="U1108" t="s">
        <v>156</v>
      </c>
      <c r="V1108" s="3">
        <v>0.9</v>
      </c>
      <c r="W1108" s="2">
        <v>0</v>
      </c>
      <c r="X1108">
        <v>0</v>
      </c>
      <c r="Y1108" t="s">
        <v>60</v>
      </c>
      <c r="Z1108" t="s">
        <v>135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32.26</v>
      </c>
      <c r="AN1108" s="2">
        <v>32.26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46062</v>
      </c>
      <c r="B1109" t="s">
        <v>48</v>
      </c>
      <c r="C1109">
        <v>649163</v>
      </c>
      <c r="D1109">
        <v>2029658015</v>
      </c>
      <c r="E1109" t="s">
        <v>537</v>
      </c>
      <c r="F1109" t="s">
        <v>718</v>
      </c>
      <c r="G1109" t="s">
        <v>51</v>
      </c>
      <c r="H1109" t="s">
        <v>170</v>
      </c>
      <c r="I1109" t="s">
        <v>383</v>
      </c>
      <c r="J1109" t="s">
        <v>384</v>
      </c>
      <c r="K1109">
        <v>812782</v>
      </c>
      <c r="L1109" t="s">
        <v>325</v>
      </c>
      <c r="M1109" t="s">
        <v>326</v>
      </c>
      <c r="N1109" t="s">
        <v>57</v>
      </c>
      <c r="O1109" s="1">
        <v>45845</v>
      </c>
      <c r="Q1109" s="1">
        <v>46088</v>
      </c>
      <c r="R1109" s="2">
        <v>22.72</v>
      </c>
      <c r="S1109">
        <v>1</v>
      </c>
      <c r="T1109" t="s">
        <v>58</v>
      </c>
      <c r="U1109" t="s">
        <v>156</v>
      </c>
      <c r="V1109" s="3">
        <v>0.7</v>
      </c>
      <c r="W1109" s="2">
        <v>0</v>
      </c>
      <c r="X1109">
        <v>0</v>
      </c>
      <c r="Y1109" t="s">
        <v>60</v>
      </c>
      <c r="Z1109" t="s">
        <v>135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15.9</v>
      </c>
      <c r="AN1109" s="2">
        <v>15.9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46062</v>
      </c>
      <c r="B1110" t="s">
        <v>48</v>
      </c>
      <c r="C1110">
        <v>649163</v>
      </c>
      <c r="D1110">
        <v>2029772060</v>
      </c>
      <c r="E1110" t="s">
        <v>339</v>
      </c>
      <c r="F1110" t="s">
        <v>747</v>
      </c>
      <c r="G1110" t="s">
        <v>51</v>
      </c>
      <c r="H1110" t="s">
        <v>66</v>
      </c>
      <c r="I1110" t="s">
        <v>383</v>
      </c>
      <c r="J1110" t="s">
        <v>384</v>
      </c>
      <c r="K1110">
        <v>824076</v>
      </c>
      <c r="L1110" t="s">
        <v>340</v>
      </c>
      <c r="M1110" t="s">
        <v>341</v>
      </c>
      <c r="N1110" t="s">
        <v>144</v>
      </c>
      <c r="O1110" s="1">
        <v>45841</v>
      </c>
      <c r="P1110" s="1">
        <v>46062</v>
      </c>
      <c r="Q1110" s="1">
        <v>46084</v>
      </c>
      <c r="R1110" s="2">
        <v>-126.1</v>
      </c>
      <c r="S1110">
        <v>1</v>
      </c>
      <c r="T1110" t="s">
        <v>58</v>
      </c>
      <c r="U1110" t="s">
        <v>156</v>
      </c>
      <c r="V1110" s="3">
        <v>0.7</v>
      </c>
      <c r="W1110" s="2">
        <v>0</v>
      </c>
      <c r="X1110">
        <v>-1</v>
      </c>
      <c r="Y1110" t="s">
        <v>60</v>
      </c>
      <c r="Z1110" t="s">
        <v>135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-88.27</v>
      </c>
      <c r="AN1110" s="2">
        <v>-88.27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46062</v>
      </c>
      <c r="B1111" t="s">
        <v>48</v>
      </c>
      <c r="C1111">
        <v>649163</v>
      </c>
      <c r="D1111">
        <v>2029842748</v>
      </c>
      <c r="E1111" t="s">
        <v>1014</v>
      </c>
      <c r="F1111" t="s">
        <v>1015</v>
      </c>
      <c r="G1111" t="s">
        <v>51</v>
      </c>
      <c r="H1111" t="s">
        <v>84</v>
      </c>
      <c r="I1111" t="s">
        <v>383</v>
      </c>
      <c r="J1111" t="s">
        <v>384</v>
      </c>
      <c r="K1111">
        <v>651818</v>
      </c>
      <c r="L1111" t="s">
        <v>80</v>
      </c>
      <c r="M1111" t="s">
        <v>81</v>
      </c>
      <c r="N1111" t="s">
        <v>57</v>
      </c>
      <c r="O1111" s="1">
        <v>45876</v>
      </c>
      <c r="Q1111" s="1">
        <v>46088</v>
      </c>
      <c r="R1111" s="2">
        <v>51</v>
      </c>
      <c r="S1111">
        <v>1</v>
      </c>
      <c r="T1111" t="s">
        <v>58</v>
      </c>
      <c r="U1111" t="s">
        <v>156</v>
      </c>
      <c r="V1111" s="3">
        <v>0.7</v>
      </c>
      <c r="W1111" s="2">
        <v>0</v>
      </c>
      <c r="X1111">
        <v>0</v>
      </c>
      <c r="Y1111" t="s">
        <v>60</v>
      </c>
      <c r="Z1111" t="s">
        <v>135</v>
      </c>
      <c r="AA1111">
        <v>0</v>
      </c>
      <c r="AB1111" s="2">
        <v>0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35.700000000000003</v>
      </c>
      <c r="AN1111" s="2">
        <v>35.700000000000003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46062</v>
      </c>
      <c r="B1112" t="s">
        <v>48</v>
      </c>
      <c r="C1112">
        <v>649163</v>
      </c>
      <c r="D1112">
        <v>2029844783</v>
      </c>
      <c r="E1112" t="s">
        <v>211</v>
      </c>
      <c r="F1112" t="s">
        <v>294</v>
      </c>
      <c r="G1112" t="s">
        <v>51</v>
      </c>
      <c r="H1112" t="s">
        <v>66</v>
      </c>
      <c r="I1112" t="s">
        <v>383</v>
      </c>
      <c r="J1112" t="s">
        <v>384</v>
      </c>
      <c r="K1112">
        <v>768887</v>
      </c>
      <c r="L1112" t="s">
        <v>295</v>
      </c>
      <c r="M1112" t="s">
        <v>296</v>
      </c>
      <c r="N1112" t="s">
        <v>144</v>
      </c>
      <c r="O1112" s="1">
        <v>45849</v>
      </c>
      <c r="P1112" s="1">
        <v>46062</v>
      </c>
      <c r="Q1112" s="1">
        <v>46064</v>
      </c>
      <c r="R1112" s="2">
        <v>-167.86</v>
      </c>
      <c r="S1112">
        <v>1</v>
      </c>
      <c r="T1112" t="s">
        <v>58</v>
      </c>
      <c r="U1112" t="s">
        <v>156</v>
      </c>
      <c r="V1112" s="3">
        <v>0.7</v>
      </c>
      <c r="W1112" s="2">
        <v>0</v>
      </c>
      <c r="X1112">
        <v>-1</v>
      </c>
      <c r="Y1112" t="s">
        <v>60</v>
      </c>
      <c r="Z1112" t="s">
        <v>135</v>
      </c>
      <c r="AA1112">
        <v>0</v>
      </c>
      <c r="AB1112" s="2">
        <v>0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-117.5</v>
      </c>
      <c r="AN1112" s="2">
        <v>-117.5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46062</v>
      </c>
      <c r="B1113" t="s">
        <v>48</v>
      </c>
      <c r="C1113">
        <v>649163</v>
      </c>
      <c r="D1113">
        <v>2029872568</v>
      </c>
      <c r="E1113" t="s">
        <v>1267</v>
      </c>
      <c r="F1113" t="s">
        <v>726</v>
      </c>
      <c r="G1113" t="s">
        <v>51</v>
      </c>
      <c r="H1113" t="s">
        <v>66</v>
      </c>
      <c r="I1113" t="s">
        <v>383</v>
      </c>
      <c r="J1113" t="s">
        <v>384</v>
      </c>
      <c r="K1113">
        <v>812994</v>
      </c>
      <c r="L1113" t="s">
        <v>730</v>
      </c>
      <c r="M1113" t="s">
        <v>731</v>
      </c>
      <c r="N1113" t="s">
        <v>57</v>
      </c>
      <c r="O1113" s="1">
        <v>45848</v>
      </c>
      <c r="Q1113" s="1">
        <v>46091</v>
      </c>
      <c r="R1113" s="2">
        <v>30</v>
      </c>
      <c r="S1113">
        <v>1</v>
      </c>
      <c r="T1113" t="s">
        <v>58</v>
      </c>
      <c r="U1113" t="s">
        <v>156</v>
      </c>
      <c r="V1113" s="3">
        <v>0.7</v>
      </c>
      <c r="W1113" s="2">
        <v>0</v>
      </c>
      <c r="X1113">
        <v>0</v>
      </c>
      <c r="Y1113" t="s">
        <v>60</v>
      </c>
      <c r="Z1113" t="s">
        <v>135</v>
      </c>
      <c r="AA1113">
        <v>0</v>
      </c>
      <c r="AB1113" s="2">
        <v>0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21</v>
      </c>
      <c r="AN1113" s="2">
        <v>21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46062</v>
      </c>
      <c r="B1114" t="s">
        <v>48</v>
      </c>
      <c r="C1114">
        <v>649163</v>
      </c>
      <c r="D1114">
        <v>2029880677</v>
      </c>
      <c r="E1114" t="s">
        <v>753</v>
      </c>
      <c r="F1114" t="s">
        <v>324</v>
      </c>
      <c r="G1114" t="s">
        <v>51</v>
      </c>
      <c r="H1114" t="s">
        <v>66</v>
      </c>
      <c r="I1114" t="s">
        <v>383</v>
      </c>
      <c r="J1114" t="s">
        <v>384</v>
      </c>
      <c r="K1114">
        <v>812994</v>
      </c>
      <c r="L1114" t="s">
        <v>730</v>
      </c>
      <c r="M1114" t="s">
        <v>731</v>
      </c>
      <c r="N1114" t="s">
        <v>57</v>
      </c>
      <c r="O1114" s="1">
        <v>45848</v>
      </c>
      <c r="Q1114" s="1">
        <v>46091</v>
      </c>
      <c r="R1114" s="2">
        <v>88.96</v>
      </c>
      <c r="S1114">
        <v>1</v>
      </c>
      <c r="T1114" t="s">
        <v>58</v>
      </c>
      <c r="U1114" t="s">
        <v>156</v>
      </c>
      <c r="V1114" s="3">
        <v>0.7</v>
      </c>
      <c r="W1114" s="2">
        <v>0</v>
      </c>
      <c r="X1114">
        <v>0</v>
      </c>
      <c r="Y1114" t="s">
        <v>60</v>
      </c>
      <c r="Z1114" t="s">
        <v>135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62.27</v>
      </c>
      <c r="AN1114" s="2">
        <v>62.27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46062</v>
      </c>
      <c r="B1115" t="s">
        <v>48</v>
      </c>
      <c r="C1115">
        <v>649163</v>
      </c>
      <c r="D1115">
        <v>2029894409</v>
      </c>
      <c r="E1115" t="s">
        <v>240</v>
      </c>
      <c r="F1115" t="s">
        <v>754</v>
      </c>
      <c r="G1115" t="s">
        <v>51</v>
      </c>
      <c r="H1115" t="s">
        <v>116</v>
      </c>
      <c r="I1115" t="s">
        <v>383</v>
      </c>
      <c r="J1115" t="s">
        <v>384</v>
      </c>
      <c r="K1115">
        <v>877790</v>
      </c>
      <c r="L1115" t="s">
        <v>132</v>
      </c>
      <c r="M1115" t="s">
        <v>133</v>
      </c>
      <c r="N1115" t="s">
        <v>57</v>
      </c>
      <c r="O1115" s="1">
        <v>45849</v>
      </c>
      <c r="Q1115" s="1">
        <v>46092</v>
      </c>
      <c r="R1115" s="2">
        <v>4.7699999999999996</v>
      </c>
      <c r="S1115">
        <v>1</v>
      </c>
      <c r="T1115" t="s">
        <v>58</v>
      </c>
      <c r="U1115" t="s">
        <v>156</v>
      </c>
      <c r="V1115" s="3">
        <v>0.7</v>
      </c>
      <c r="W1115" s="2">
        <v>0</v>
      </c>
      <c r="X1115">
        <v>0</v>
      </c>
      <c r="Y1115" t="s">
        <v>60</v>
      </c>
      <c r="Z1115" t="s">
        <v>135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3.34</v>
      </c>
      <c r="AN1115" s="2">
        <v>3.34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46062</v>
      </c>
      <c r="B1116" t="s">
        <v>48</v>
      </c>
      <c r="C1116">
        <v>649163</v>
      </c>
      <c r="D1116">
        <v>2029904976</v>
      </c>
      <c r="E1116" t="s">
        <v>755</v>
      </c>
      <c r="F1116" t="s">
        <v>756</v>
      </c>
      <c r="G1116" t="s">
        <v>51</v>
      </c>
      <c r="H1116" t="s">
        <v>170</v>
      </c>
      <c r="I1116" t="s">
        <v>383</v>
      </c>
      <c r="J1116" t="s">
        <v>384</v>
      </c>
      <c r="K1116">
        <v>651818</v>
      </c>
      <c r="L1116" t="s">
        <v>80</v>
      </c>
      <c r="M1116" t="s">
        <v>81</v>
      </c>
      <c r="N1116" t="s">
        <v>57</v>
      </c>
      <c r="O1116" s="1">
        <v>45850</v>
      </c>
      <c r="Q1116" s="1">
        <v>46093</v>
      </c>
      <c r="R1116" s="2">
        <v>10.35</v>
      </c>
      <c r="S1116">
        <v>1</v>
      </c>
      <c r="T1116" t="s">
        <v>58</v>
      </c>
      <c r="U1116" t="s">
        <v>156</v>
      </c>
      <c r="V1116" s="3">
        <v>0.7</v>
      </c>
      <c r="W1116" s="2">
        <v>0</v>
      </c>
      <c r="X1116">
        <v>0</v>
      </c>
      <c r="Y1116" t="s">
        <v>60</v>
      </c>
      <c r="Z1116" t="s">
        <v>135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7.24</v>
      </c>
      <c r="AN1116" s="2">
        <v>7.24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46062</v>
      </c>
      <c r="B1117" t="s">
        <v>48</v>
      </c>
      <c r="C1117">
        <v>649163</v>
      </c>
      <c r="D1117">
        <v>2029907849</v>
      </c>
      <c r="E1117" t="s">
        <v>477</v>
      </c>
      <c r="F1117" t="s">
        <v>1268</v>
      </c>
      <c r="G1117" t="s">
        <v>51</v>
      </c>
      <c r="H1117" t="s">
        <v>116</v>
      </c>
      <c r="I1117" t="s">
        <v>383</v>
      </c>
      <c r="J1117" t="s">
        <v>385</v>
      </c>
      <c r="K1117">
        <v>877790</v>
      </c>
      <c r="L1117" t="s">
        <v>132</v>
      </c>
      <c r="M1117" t="s">
        <v>133</v>
      </c>
      <c r="N1117" t="s">
        <v>57</v>
      </c>
      <c r="O1117" s="1">
        <v>45850</v>
      </c>
      <c r="Q1117" s="1">
        <v>46093</v>
      </c>
      <c r="R1117" s="2">
        <v>14.75</v>
      </c>
      <c r="S1117">
        <v>1</v>
      </c>
      <c r="T1117" t="s">
        <v>58</v>
      </c>
      <c r="U1117" t="s">
        <v>156</v>
      </c>
      <c r="V1117" s="3">
        <v>0.9</v>
      </c>
      <c r="W1117" s="2">
        <v>0</v>
      </c>
      <c r="X1117">
        <v>0</v>
      </c>
      <c r="Y1117" t="s">
        <v>60</v>
      </c>
      <c r="Z1117" t="s">
        <v>135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13.28</v>
      </c>
      <c r="AN1117" s="2">
        <v>13.28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46062</v>
      </c>
      <c r="B1118" t="s">
        <v>48</v>
      </c>
      <c r="C1118">
        <v>649163</v>
      </c>
      <c r="D1118">
        <v>2029910891</v>
      </c>
      <c r="E1118" t="s">
        <v>757</v>
      </c>
      <c r="F1118" t="s">
        <v>758</v>
      </c>
      <c r="G1118" t="s">
        <v>51</v>
      </c>
      <c r="H1118" t="s">
        <v>90</v>
      </c>
      <c r="I1118" t="s">
        <v>383</v>
      </c>
      <c r="J1118" t="s">
        <v>384</v>
      </c>
      <c r="K1118">
        <v>856824</v>
      </c>
      <c r="L1118" t="s">
        <v>126</v>
      </c>
      <c r="M1118" t="s">
        <v>127</v>
      </c>
      <c r="N1118" t="s">
        <v>57</v>
      </c>
      <c r="O1118" s="1">
        <v>45850</v>
      </c>
      <c r="Q1118" s="1">
        <v>46093</v>
      </c>
      <c r="R1118" s="2">
        <v>44.15</v>
      </c>
      <c r="S1118">
        <v>1</v>
      </c>
      <c r="T1118" t="s">
        <v>58</v>
      </c>
      <c r="U1118" t="s">
        <v>156</v>
      </c>
      <c r="V1118" s="3">
        <v>0.7</v>
      </c>
      <c r="W1118" s="2">
        <v>0</v>
      </c>
      <c r="X1118">
        <v>0</v>
      </c>
      <c r="Y1118" t="s">
        <v>60</v>
      </c>
      <c r="Z1118" t="s">
        <v>135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30.9</v>
      </c>
      <c r="AN1118" s="2">
        <v>30.9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46062</v>
      </c>
      <c r="B1119" t="s">
        <v>48</v>
      </c>
      <c r="C1119">
        <v>649163</v>
      </c>
      <c r="D1119">
        <v>2029919052</v>
      </c>
      <c r="E1119" t="s">
        <v>1016</v>
      </c>
      <c r="F1119" t="s">
        <v>1017</v>
      </c>
      <c r="G1119" t="s">
        <v>51</v>
      </c>
      <c r="H1119" t="s">
        <v>886</v>
      </c>
      <c r="I1119" t="s">
        <v>383</v>
      </c>
      <c r="J1119" t="s">
        <v>384</v>
      </c>
      <c r="K1119">
        <v>651818</v>
      </c>
      <c r="L1119" t="s">
        <v>80</v>
      </c>
      <c r="M1119" t="s">
        <v>81</v>
      </c>
      <c r="N1119" t="s">
        <v>57</v>
      </c>
      <c r="O1119" s="1">
        <v>45876</v>
      </c>
      <c r="Q1119" s="1">
        <v>46088</v>
      </c>
      <c r="R1119" s="2">
        <v>69.37</v>
      </c>
      <c r="S1119">
        <v>1</v>
      </c>
      <c r="T1119" t="s">
        <v>58</v>
      </c>
      <c r="U1119" t="s">
        <v>156</v>
      </c>
      <c r="V1119" s="3">
        <v>0.7</v>
      </c>
      <c r="W1119" s="2">
        <v>0</v>
      </c>
      <c r="X1119">
        <v>0</v>
      </c>
      <c r="Y1119" t="s">
        <v>60</v>
      </c>
      <c r="Z1119" t="s">
        <v>135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48.56</v>
      </c>
      <c r="AN1119" s="2">
        <v>48.56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46062</v>
      </c>
      <c r="B1120" t="s">
        <v>48</v>
      </c>
      <c r="C1120">
        <v>649163</v>
      </c>
      <c r="D1120">
        <v>2029955372</v>
      </c>
      <c r="E1120" t="s">
        <v>759</v>
      </c>
      <c r="F1120" t="s">
        <v>622</v>
      </c>
      <c r="G1120" t="s">
        <v>51</v>
      </c>
      <c r="H1120" t="s">
        <v>274</v>
      </c>
      <c r="I1120" t="s">
        <v>383</v>
      </c>
      <c r="J1120" t="s">
        <v>384</v>
      </c>
      <c r="K1120">
        <v>824082</v>
      </c>
      <c r="L1120" t="s">
        <v>563</v>
      </c>
      <c r="M1120" t="s">
        <v>564</v>
      </c>
      <c r="N1120" t="s">
        <v>144</v>
      </c>
      <c r="O1120" s="1">
        <v>45853</v>
      </c>
      <c r="P1120" s="1">
        <v>46062</v>
      </c>
      <c r="Q1120" s="1">
        <v>46068</v>
      </c>
      <c r="R1120" s="2">
        <v>-12.52</v>
      </c>
      <c r="S1120">
        <v>1</v>
      </c>
      <c r="T1120" t="s">
        <v>58</v>
      </c>
      <c r="U1120" t="s">
        <v>156</v>
      </c>
      <c r="V1120" s="3">
        <v>0.7</v>
      </c>
      <c r="W1120" s="2">
        <v>0</v>
      </c>
      <c r="X1120">
        <v>-1</v>
      </c>
      <c r="Y1120" t="s">
        <v>60</v>
      </c>
      <c r="Z1120" t="s">
        <v>135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-8.76</v>
      </c>
      <c r="AN1120" s="2">
        <v>-8.76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46062</v>
      </c>
      <c r="B1121" t="s">
        <v>48</v>
      </c>
      <c r="C1121">
        <v>649163</v>
      </c>
      <c r="D1121">
        <v>2029959147</v>
      </c>
      <c r="E1121" t="s">
        <v>1018</v>
      </c>
      <c r="F1121" t="s">
        <v>1019</v>
      </c>
      <c r="G1121" t="s">
        <v>51</v>
      </c>
      <c r="H1121" t="s">
        <v>87</v>
      </c>
      <c r="I1121" t="s">
        <v>383</v>
      </c>
      <c r="J1121" t="s">
        <v>384</v>
      </c>
      <c r="K1121">
        <v>651818</v>
      </c>
      <c r="L1121" t="s">
        <v>80</v>
      </c>
      <c r="M1121" t="s">
        <v>81</v>
      </c>
      <c r="N1121" t="s">
        <v>57</v>
      </c>
      <c r="O1121" s="1">
        <v>45876</v>
      </c>
      <c r="Q1121" s="1">
        <v>46088</v>
      </c>
      <c r="R1121" s="2">
        <v>122.32</v>
      </c>
      <c r="S1121">
        <v>1</v>
      </c>
      <c r="T1121" t="s">
        <v>58</v>
      </c>
      <c r="U1121" t="s">
        <v>156</v>
      </c>
      <c r="V1121" s="3">
        <v>0.7</v>
      </c>
      <c r="W1121" s="2">
        <v>0</v>
      </c>
      <c r="X1121">
        <v>0</v>
      </c>
      <c r="Y1121" t="s">
        <v>60</v>
      </c>
      <c r="Z1121" t="s">
        <v>135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85.62</v>
      </c>
      <c r="AN1121" s="2">
        <v>85.62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46062</v>
      </c>
      <c r="B1122" t="s">
        <v>48</v>
      </c>
      <c r="C1122">
        <v>649163</v>
      </c>
      <c r="D1122">
        <v>2030013620</v>
      </c>
      <c r="E1122" t="s">
        <v>847</v>
      </c>
      <c r="F1122" t="s">
        <v>1021</v>
      </c>
      <c r="G1122" t="s">
        <v>51</v>
      </c>
      <c r="H1122" t="s">
        <v>87</v>
      </c>
      <c r="I1122" t="s">
        <v>383</v>
      </c>
      <c r="J1122" t="s">
        <v>384</v>
      </c>
      <c r="K1122">
        <v>651818</v>
      </c>
      <c r="L1122" t="s">
        <v>80</v>
      </c>
      <c r="M1122" t="s">
        <v>81</v>
      </c>
      <c r="N1122" t="s">
        <v>57</v>
      </c>
      <c r="O1122" s="1">
        <v>45876</v>
      </c>
      <c r="Q1122" s="1">
        <v>46088</v>
      </c>
      <c r="R1122" s="2">
        <v>64.63</v>
      </c>
      <c r="S1122">
        <v>1</v>
      </c>
      <c r="T1122" t="s">
        <v>58</v>
      </c>
      <c r="U1122" t="s">
        <v>156</v>
      </c>
      <c r="V1122" s="3">
        <v>0.7</v>
      </c>
      <c r="W1122" s="2">
        <v>0</v>
      </c>
      <c r="X1122">
        <v>0</v>
      </c>
      <c r="Y1122" t="s">
        <v>60</v>
      </c>
      <c r="Z1122" t="s">
        <v>135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45.24</v>
      </c>
      <c r="AN1122" s="2">
        <v>45.24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46062</v>
      </c>
      <c r="B1123" t="s">
        <v>48</v>
      </c>
      <c r="C1123">
        <v>649163</v>
      </c>
      <c r="D1123">
        <v>2030013621</v>
      </c>
      <c r="E1123" t="s">
        <v>847</v>
      </c>
      <c r="F1123" t="s">
        <v>1021</v>
      </c>
      <c r="G1123" t="s">
        <v>51</v>
      </c>
      <c r="H1123" t="s">
        <v>87</v>
      </c>
      <c r="I1123" t="s">
        <v>383</v>
      </c>
      <c r="J1123" t="s">
        <v>385</v>
      </c>
      <c r="K1123">
        <v>651818</v>
      </c>
      <c r="L1123" t="s">
        <v>80</v>
      </c>
      <c r="M1123" t="s">
        <v>81</v>
      </c>
      <c r="N1123" t="s">
        <v>57</v>
      </c>
      <c r="O1123" s="1">
        <v>45876</v>
      </c>
      <c r="Q1123" s="1">
        <v>46088</v>
      </c>
      <c r="R1123" s="2">
        <v>47.08</v>
      </c>
      <c r="S1123">
        <v>1</v>
      </c>
      <c r="T1123" t="s">
        <v>58</v>
      </c>
      <c r="U1123" t="s">
        <v>156</v>
      </c>
      <c r="V1123" s="3">
        <v>0.9</v>
      </c>
      <c r="W1123" s="2">
        <v>0</v>
      </c>
      <c r="X1123">
        <v>0</v>
      </c>
      <c r="Y1123" t="s">
        <v>60</v>
      </c>
      <c r="Z1123" t="s">
        <v>135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42.37</v>
      </c>
      <c r="AN1123" s="2">
        <v>42.37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46062</v>
      </c>
      <c r="B1124" t="s">
        <v>48</v>
      </c>
      <c r="C1124">
        <v>649163</v>
      </c>
      <c r="D1124">
        <v>2030047486</v>
      </c>
      <c r="E1124" t="s">
        <v>115</v>
      </c>
      <c r="F1124" t="s">
        <v>1022</v>
      </c>
      <c r="G1124" t="s">
        <v>51</v>
      </c>
      <c r="H1124" t="s">
        <v>87</v>
      </c>
      <c r="I1124" t="s">
        <v>383</v>
      </c>
      <c r="J1124" t="s">
        <v>384</v>
      </c>
      <c r="K1124">
        <v>651818</v>
      </c>
      <c r="L1124" t="s">
        <v>80</v>
      </c>
      <c r="M1124" t="s">
        <v>81</v>
      </c>
      <c r="N1124" t="s">
        <v>57</v>
      </c>
      <c r="O1124" s="1">
        <v>45876</v>
      </c>
      <c r="Q1124" s="1">
        <v>46088</v>
      </c>
      <c r="R1124" s="2">
        <v>94.38</v>
      </c>
      <c r="S1124">
        <v>1</v>
      </c>
      <c r="T1124" t="s">
        <v>58</v>
      </c>
      <c r="U1124" t="s">
        <v>156</v>
      </c>
      <c r="V1124" s="3">
        <v>0.7</v>
      </c>
      <c r="W1124" s="2">
        <v>0</v>
      </c>
      <c r="X1124">
        <v>0</v>
      </c>
      <c r="Y1124" t="s">
        <v>60</v>
      </c>
      <c r="Z1124" t="s">
        <v>135</v>
      </c>
      <c r="AA1124">
        <v>0</v>
      </c>
      <c r="AB1124" s="2">
        <v>0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66.069999999999993</v>
      </c>
      <c r="AN1124" s="2">
        <v>66.069999999999993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46062</v>
      </c>
      <c r="B1125" t="s">
        <v>48</v>
      </c>
      <c r="C1125">
        <v>649163</v>
      </c>
      <c r="D1125">
        <v>2030090691</v>
      </c>
      <c r="E1125" t="s">
        <v>741</v>
      </c>
      <c r="F1125" t="s">
        <v>1023</v>
      </c>
      <c r="G1125" t="s">
        <v>51</v>
      </c>
      <c r="H1125" t="s">
        <v>96</v>
      </c>
      <c r="I1125" t="s">
        <v>383</v>
      </c>
      <c r="J1125" t="s">
        <v>385</v>
      </c>
      <c r="K1125">
        <v>651818</v>
      </c>
      <c r="L1125" t="s">
        <v>80</v>
      </c>
      <c r="M1125" t="s">
        <v>81</v>
      </c>
      <c r="N1125" t="s">
        <v>57</v>
      </c>
      <c r="O1125" s="1">
        <v>45876</v>
      </c>
      <c r="Q1125" s="1">
        <v>46088</v>
      </c>
      <c r="R1125" s="2">
        <v>13.31</v>
      </c>
      <c r="S1125">
        <v>1</v>
      </c>
      <c r="T1125" t="s">
        <v>58</v>
      </c>
      <c r="U1125" t="s">
        <v>156</v>
      </c>
      <c r="V1125" s="3">
        <v>0.9</v>
      </c>
      <c r="W1125" s="2">
        <v>0</v>
      </c>
      <c r="X1125">
        <v>0</v>
      </c>
      <c r="Y1125" t="s">
        <v>60</v>
      </c>
      <c r="Z1125" t="s">
        <v>135</v>
      </c>
      <c r="AA1125">
        <v>0</v>
      </c>
      <c r="AB1125" s="2">
        <v>0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11.98</v>
      </c>
      <c r="AN1125" s="2">
        <v>11.98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46062</v>
      </c>
      <c r="B1126" t="s">
        <v>48</v>
      </c>
      <c r="C1126">
        <v>649163</v>
      </c>
      <c r="D1126">
        <v>2030189267</v>
      </c>
      <c r="E1126" t="s">
        <v>760</v>
      </c>
      <c r="F1126" t="s">
        <v>761</v>
      </c>
      <c r="G1126" t="s">
        <v>51</v>
      </c>
      <c r="H1126" t="s">
        <v>193</v>
      </c>
      <c r="I1126" t="s">
        <v>383</v>
      </c>
      <c r="J1126" t="s">
        <v>1172</v>
      </c>
      <c r="K1126">
        <v>651818</v>
      </c>
      <c r="L1126" t="s">
        <v>80</v>
      </c>
      <c r="M1126" t="s">
        <v>81</v>
      </c>
      <c r="N1126" t="s">
        <v>57</v>
      </c>
      <c r="O1126" s="1">
        <v>45876</v>
      </c>
      <c r="Q1126" s="1">
        <v>46088</v>
      </c>
      <c r="R1126" s="2">
        <v>25.73</v>
      </c>
      <c r="S1126">
        <v>1</v>
      </c>
      <c r="T1126" t="s">
        <v>58</v>
      </c>
      <c r="U1126" t="s">
        <v>156</v>
      </c>
      <c r="V1126" s="3">
        <v>0.7</v>
      </c>
      <c r="W1126" s="2">
        <v>0</v>
      </c>
      <c r="X1126">
        <v>0</v>
      </c>
      <c r="Y1126" t="s">
        <v>60</v>
      </c>
      <c r="Z1126" t="s">
        <v>135</v>
      </c>
      <c r="AA1126">
        <v>0</v>
      </c>
      <c r="AB1126" s="2">
        <v>0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18.010000000000002</v>
      </c>
      <c r="AN1126" s="2">
        <v>18.010000000000002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46062</v>
      </c>
      <c r="B1127" t="s">
        <v>48</v>
      </c>
      <c r="C1127">
        <v>649163</v>
      </c>
      <c r="D1127">
        <v>2030192140</v>
      </c>
      <c r="E1127" t="s">
        <v>1024</v>
      </c>
      <c r="F1127" t="s">
        <v>1025</v>
      </c>
      <c r="G1127" t="s">
        <v>51</v>
      </c>
      <c r="H1127" t="s">
        <v>84</v>
      </c>
      <c r="I1127" t="s">
        <v>383</v>
      </c>
      <c r="J1127" t="s">
        <v>384</v>
      </c>
      <c r="K1127">
        <v>651818</v>
      </c>
      <c r="L1127" t="s">
        <v>80</v>
      </c>
      <c r="M1127" t="s">
        <v>81</v>
      </c>
      <c r="N1127" t="s">
        <v>57</v>
      </c>
      <c r="O1127" s="1">
        <v>45876</v>
      </c>
      <c r="Q1127" s="1">
        <v>46088</v>
      </c>
      <c r="R1127" s="2">
        <v>34</v>
      </c>
      <c r="S1127">
        <v>1</v>
      </c>
      <c r="T1127" t="s">
        <v>58</v>
      </c>
      <c r="U1127" t="s">
        <v>156</v>
      </c>
      <c r="V1127" s="3">
        <v>0.7</v>
      </c>
      <c r="W1127" s="2">
        <v>0</v>
      </c>
      <c r="X1127">
        <v>0</v>
      </c>
      <c r="Y1127" t="s">
        <v>60</v>
      </c>
      <c r="Z1127" t="s">
        <v>135</v>
      </c>
      <c r="AA1127">
        <v>0</v>
      </c>
      <c r="AB1127" s="2">
        <v>0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23.8</v>
      </c>
      <c r="AN1127" s="2">
        <v>23.8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46062</v>
      </c>
      <c r="B1128" t="s">
        <v>48</v>
      </c>
      <c r="C1128">
        <v>649163</v>
      </c>
      <c r="D1128">
        <v>2030193265</v>
      </c>
      <c r="E1128" t="s">
        <v>1269</v>
      </c>
      <c r="F1128" t="s">
        <v>854</v>
      </c>
      <c r="G1128" t="s">
        <v>51</v>
      </c>
      <c r="H1128" t="s">
        <v>66</v>
      </c>
      <c r="I1128" t="s">
        <v>383</v>
      </c>
      <c r="J1128" t="s">
        <v>384</v>
      </c>
      <c r="K1128">
        <v>651818</v>
      </c>
      <c r="L1128" t="s">
        <v>80</v>
      </c>
      <c r="M1128" t="s">
        <v>81</v>
      </c>
      <c r="N1128" t="s">
        <v>57</v>
      </c>
      <c r="O1128" s="1">
        <v>45875</v>
      </c>
      <c r="Q1128" s="1">
        <v>46087</v>
      </c>
      <c r="R1128" s="2">
        <v>117.94</v>
      </c>
      <c r="S1128">
        <v>1</v>
      </c>
      <c r="T1128" t="s">
        <v>58</v>
      </c>
      <c r="U1128" t="s">
        <v>156</v>
      </c>
      <c r="V1128" s="3">
        <v>0.7</v>
      </c>
      <c r="W1128" s="2">
        <v>0</v>
      </c>
      <c r="X1128">
        <v>0</v>
      </c>
      <c r="Y1128" t="s">
        <v>60</v>
      </c>
      <c r="Z1128" t="s">
        <v>135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82.56</v>
      </c>
      <c r="AN1128" s="2">
        <v>82.56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46062</v>
      </c>
      <c r="B1129" t="s">
        <v>48</v>
      </c>
      <c r="C1129">
        <v>649163</v>
      </c>
      <c r="D1129">
        <v>2030228487</v>
      </c>
      <c r="E1129" t="s">
        <v>773</v>
      </c>
      <c r="F1129" t="s">
        <v>1026</v>
      </c>
      <c r="G1129" t="s">
        <v>51</v>
      </c>
      <c r="H1129" t="s">
        <v>90</v>
      </c>
      <c r="I1129" t="s">
        <v>383</v>
      </c>
      <c r="J1129" t="s">
        <v>384</v>
      </c>
      <c r="K1129">
        <v>673059</v>
      </c>
      <c r="L1129" t="s">
        <v>162</v>
      </c>
      <c r="M1129" t="s">
        <v>180</v>
      </c>
      <c r="N1129" t="s">
        <v>57</v>
      </c>
      <c r="O1129" s="1">
        <v>45875</v>
      </c>
      <c r="Q1129" s="1">
        <v>46087</v>
      </c>
      <c r="R1129" s="2">
        <v>103.76</v>
      </c>
      <c r="S1129">
        <v>1</v>
      </c>
      <c r="T1129" t="s">
        <v>58</v>
      </c>
      <c r="U1129" t="s">
        <v>156</v>
      </c>
      <c r="V1129" s="3">
        <v>0.7</v>
      </c>
      <c r="W1129" s="2">
        <v>0</v>
      </c>
      <c r="X1129">
        <v>0</v>
      </c>
      <c r="Y1129" t="s">
        <v>60</v>
      </c>
      <c r="Z1129" t="s">
        <v>135</v>
      </c>
      <c r="AA1129">
        <v>0</v>
      </c>
      <c r="AB1129" s="2">
        <v>0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0.01</v>
      </c>
      <c r="AM1129" s="2">
        <v>72.62</v>
      </c>
      <c r="AN1129" s="2">
        <v>72.62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46062</v>
      </c>
      <c r="B1130" t="s">
        <v>48</v>
      </c>
      <c r="C1130">
        <v>649163</v>
      </c>
      <c r="D1130">
        <v>2030228488</v>
      </c>
      <c r="E1130" t="s">
        <v>773</v>
      </c>
      <c r="F1130" t="s">
        <v>1026</v>
      </c>
      <c r="G1130" t="s">
        <v>51</v>
      </c>
      <c r="H1130" t="s">
        <v>90</v>
      </c>
      <c r="I1130" t="s">
        <v>383</v>
      </c>
      <c r="J1130" t="s">
        <v>1172</v>
      </c>
      <c r="K1130">
        <v>673059</v>
      </c>
      <c r="L1130" t="s">
        <v>162</v>
      </c>
      <c r="M1130" t="s">
        <v>180</v>
      </c>
      <c r="N1130" t="s">
        <v>57</v>
      </c>
      <c r="O1130" s="1">
        <v>45875</v>
      </c>
      <c r="Q1130" s="1">
        <v>46087</v>
      </c>
      <c r="R1130" s="2">
        <v>25.73</v>
      </c>
      <c r="S1130">
        <v>1</v>
      </c>
      <c r="T1130" t="s">
        <v>58</v>
      </c>
      <c r="U1130" t="s">
        <v>156</v>
      </c>
      <c r="V1130" s="3">
        <v>0.7</v>
      </c>
      <c r="W1130" s="2">
        <v>0</v>
      </c>
      <c r="X1130">
        <v>0</v>
      </c>
      <c r="Y1130" t="s">
        <v>60</v>
      </c>
      <c r="Z1130" t="s">
        <v>135</v>
      </c>
      <c r="AA1130">
        <v>0</v>
      </c>
      <c r="AB1130" s="2">
        <v>0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0.01</v>
      </c>
      <c r="AM1130" s="2">
        <v>18</v>
      </c>
      <c r="AN1130" s="2">
        <v>18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46062</v>
      </c>
      <c r="B1131" t="s">
        <v>48</v>
      </c>
      <c r="C1131">
        <v>649163</v>
      </c>
      <c r="D1131">
        <v>2030240611</v>
      </c>
      <c r="E1131" t="s">
        <v>762</v>
      </c>
      <c r="F1131" t="s">
        <v>763</v>
      </c>
      <c r="G1131" t="s">
        <v>51</v>
      </c>
      <c r="H1131" t="s">
        <v>66</v>
      </c>
      <c r="I1131" t="s">
        <v>383</v>
      </c>
      <c r="J1131" t="s">
        <v>385</v>
      </c>
      <c r="K1131">
        <v>824062</v>
      </c>
      <c r="L1131" t="s">
        <v>569</v>
      </c>
      <c r="M1131" t="s">
        <v>570</v>
      </c>
      <c r="N1131" t="s">
        <v>144</v>
      </c>
      <c r="O1131" s="1">
        <v>45901</v>
      </c>
      <c r="P1131" s="1">
        <v>46062</v>
      </c>
      <c r="Q1131" s="1">
        <v>46082</v>
      </c>
      <c r="R1131" s="2">
        <v>-163.25</v>
      </c>
      <c r="S1131">
        <v>1</v>
      </c>
      <c r="T1131" t="s">
        <v>58</v>
      </c>
      <c r="U1131" t="s">
        <v>156</v>
      </c>
      <c r="V1131" s="3">
        <v>0.9</v>
      </c>
      <c r="W1131" s="2">
        <v>0</v>
      </c>
      <c r="X1131">
        <v>-1</v>
      </c>
      <c r="Y1131" t="s">
        <v>60</v>
      </c>
      <c r="Z1131" t="s">
        <v>135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-146.91999999999999</v>
      </c>
      <c r="AN1131" s="2">
        <v>-146.91999999999999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46062</v>
      </c>
      <c r="B1132" t="s">
        <v>48</v>
      </c>
      <c r="C1132">
        <v>649163</v>
      </c>
      <c r="D1132">
        <v>2030240612</v>
      </c>
      <c r="E1132" t="s">
        <v>762</v>
      </c>
      <c r="F1132" t="s">
        <v>763</v>
      </c>
      <c r="G1132" t="s">
        <v>51</v>
      </c>
      <c r="H1132" t="s">
        <v>66</v>
      </c>
      <c r="I1132" t="s">
        <v>383</v>
      </c>
      <c r="J1132" t="s">
        <v>384</v>
      </c>
      <c r="K1132">
        <v>824062</v>
      </c>
      <c r="L1132" t="s">
        <v>569</v>
      </c>
      <c r="M1132" t="s">
        <v>570</v>
      </c>
      <c r="N1132" t="s">
        <v>144</v>
      </c>
      <c r="O1132" s="1">
        <v>45901</v>
      </c>
      <c r="P1132" s="1">
        <v>46062</v>
      </c>
      <c r="Q1132" s="1">
        <v>46082</v>
      </c>
      <c r="R1132" s="2">
        <v>-61.08</v>
      </c>
      <c r="S1132">
        <v>1</v>
      </c>
      <c r="T1132" t="s">
        <v>58</v>
      </c>
      <c r="U1132" t="s">
        <v>156</v>
      </c>
      <c r="V1132" s="3">
        <v>0.7</v>
      </c>
      <c r="W1132" s="2">
        <v>0</v>
      </c>
      <c r="X1132">
        <v>-1</v>
      </c>
      <c r="Y1132" t="s">
        <v>60</v>
      </c>
      <c r="Z1132" t="s">
        <v>135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-42.76</v>
      </c>
      <c r="AN1132" s="2">
        <v>-42.76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46062</v>
      </c>
      <c r="B1133" t="s">
        <v>48</v>
      </c>
      <c r="C1133">
        <v>649163</v>
      </c>
      <c r="D1133">
        <v>2030302641</v>
      </c>
      <c r="E1133" t="s">
        <v>302</v>
      </c>
      <c r="F1133" t="s">
        <v>1270</v>
      </c>
      <c r="G1133" t="s">
        <v>51</v>
      </c>
      <c r="H1133" t="s">
        <v>71</v>
      </c>
      <c r="I1133" t="s">
        <v>383</v>
      </c>
      <c r="J1133" t="s">
        <v>384</v>
      </c>
      <c r="K1133">
        <v>822733</v>
      </c>
      <c r="L1133" t="s">
        <v>442</v>
      </c>
      <c r="M1133" t="s">
        <v>443</v>
      </c>
      <c r="N1133" t="s">
        <v>57</v>
      </c>
      <c r="O1133" s="1">
        <v>45876</v>
      </c>
      <c r="Q1133" s="1">
        <v>46088</v>
      </c>
      <c r="R1133" s="2">
        <v>45.46</v>
      </c>
      <c r="S1133">
        <v>1</v>
      </c>
      <c r="T1133" t="s">
        <v>58</v>
      </c>
      <c r="U1133" t="s">
        <v>156</v>
      </c>
      <c r="V1133" s="3">
        <v>0.7</v>
      </c>
      <c r="W1133" s="2">
        <v>0</v>
      </c>
      <c r="X1133">
        <v>0</v>
      </c>
      <c r="Y1133" t="s">
        <v>60</v>
      </c>
      <c r="Z1133" t="s">
        <v>135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0.01</v>
      </c>
      <c r="AM1133" s="2">
        <v>31.81</v>
      </c>
      <c r="AN1133" s="2">
        <v>31.81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46062</v>
      </c>
      <c r="B1134" t="s">
        <v>48</v>
      </c>
      <c r="C1134">
        <v>649163</v>
      </c>
      <c r="D1134">
        <v>2030317595</v>
      </c>
      <c r="E1134" t="s">
        <v>1027</v>
      </c>
      <c r="F1134" t="s">
        <v>551</v>
      </c>
      <c r="G1134" t="s">
        <v>51</v>
      </c>
      <c r="H1134" t="s">
        <v>66</v>
      </c>
      <c r="I1134" t="s">
        <v>383</v>
      </c>
      <c r="J1134" t="s">
        <v>384</v>
      </c>
      <c r="K1134">
        <v>651818</v>
      </c>
      <c r="L1134" t="s">
        <v>80</v>
      </c>
      <c r="M1134" t="s">
        <v>81</v>
      </c>
      <c r="N1134" t="s">
        <v>57</v>
      </c>
      <c r="O1134" s="1">
        <v>45906</v>
      </c>
      <c r="Q1134" s="1">
        <v>46087</v>
      </c>
      <c r="R1134" s="2">
        <v>115.38</v>
      </c>
      <c r="S1134">
        <v>1</v>
      </c>
      <c r="T1134" t="s">
        <v>58</v>
      </c>
      <c r="U1134" t="s">
        <v>156</v>
      </c>
      <c r="V1134" s="3">
        <v>0.7</v>
      </c>
      <c r="W1134" s="2">
        <v>0</v>
      </c>
      <c r="X1134">
        <v>0</v>
      </c>
      <c r="Y1134" t="s">
        <v>60</v>
      </c>
      <c r="Z1134" t="s">
        <v>135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80.77</v>
      </c>
      <c r="AN1134" s="2">
        <v>80.77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46062</v>
      </c>
      <c r="B1135" t="s">
        <v>48</v>
      </c>
      <c r="C1135">
        <v>649163</v>
      </c>
      <c r="D1135">
        <v>2030329363</v>
      </c>
      <c r="E1135" t="s">
        <v>460</v>
      </c>
      <c r="F1135" t="s">
        <v>1028</v>
      </c>
      <c r="G1135" t="s">
        <v>51</v>
      </c>
      <c r="H1135" t="s">
        <v>392</v>
      </c>
      <c r="I1135" t="s">
        <v>383</v>
      </c>
      <c r="J1135" t="s">
        <v>843</v>
      </c>
      <c r="K1135">
        <v>823068</v>
      </c>
      <c r="L1135" t="s">
        <v>355</v>
      </c>
      <c r="M1135" t="s">
        <v>356</v>
      </c>
      <c r="N1135" t="s">
        <v>57</v>
      </c>
      <c r="O1135" s="1">
        <v>45878</v>
      </c>
      <c r="Q1135" s="1">
        <v>46090</v>
      </c>
      <c r="R1135" s="2">
        <v>43.86</v>
      </c>
      <c r="S1135">
        <v>1</v>
      </c>
      <c r="T1135" t="s">
        <v>58</v>
      </c>
      <c r="U1135" t="s">
        <v>156</v>
      </c>
      <c r="V1135" s="3">
        <v>0.42</v>
      </c>
      <c r="W1135" s="2">
        <v>0</v>
      </c>
      <c r="X1135">
        <v>0</v>
      </c>
      <c r="Y1135" t="s">
        <v>60</v>
      </c>
      <c r="Z1135" t="s">
        <v>135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0.01</v>
      </c>
      <c r="AM1135" s="2">
        <v>18.41</v>
      </c>
      <c r="AN1135" s="2">
        <v>18.41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46062</v>
      </c>
      <c r="B1136" t="s">
        <v>48</v>
      </c>
      <c r="C1136">
        <v>649163</v>
      </c>
      <c r="D1136">
        <v>2030329364</v>
      </c>
      <c r="E1136" t="s">
        <v>460</v>
      </c>
      <c r="F1136" t="s">
        <v>1028</v>
      </c>
      <c r="G1136" t="s">
        <v>51</v>
      </c>
      <c r="H1136" t="s">
        <v>392</v>
      </c>
      <c r="I1136" t="s">
        <v>383</v>
      </c>
      <c r="J1136" t="s">
        <v>1172</v>
      </c>
      <c r="K1136">
        <v>823068</v>
      </c>
      <c r="L1136" t="s">
        <v>355</v>
      </c>
      <c r="M1136" t="s">
        <v>356</v>
      </c>
      <c r="N1136" t="s">
        <v>57</v>
      </c>
      <c r="O1136" s="1">
        <v>45878</v>
      </c>
      <c r="Q1136" s="1">
        <v>46090</v>
      </c>
      <c r="R1136" s="2">
        <v>24.61</v>
      </c>
      <c r="S1136">
        <v>1</v>
      </c>
      <c r="T1136" t="s">
        <v>58</v>
      </c>
      <c r="U1136" t="s">
        <v>156</v>
      </c>
      <c r="V1136" s="3">
        <v>0.7</v>
      </c>
      <c r="W1136" s="2">
        <v>0</v>
      </c>
      <c r="X1136">
        <v>0</v>
      </c>
      <c r="Y1136" t="s">
        <v>60</v>
      </c>
      <c r="Z1136" t="s">
        <v>135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17.23</v>
      </c>
      <c r="AN1136" s="2">
        <v>17.23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46062</v>
      </c>
      <c r="B1137" t="s">
        <v>48</v>
      </c>
      <c r="C1137">
        <v>649163</v>
      </c>
      <c r="D1137">
        <v>2030336752</v>
      </c>
      <c r="E1137" t="s">
        <v>1029</v>
      </c>
      <c r="F1137" t="s">
        <v>1030</v>
      </c>
      <c r="G1137" t="s">
        <v>51</v>
      </c>
      <c r="H1137" t="s">
        <v>112</v>
      </c>
      <c r="I1137" t="s">
        <v>383</v>
      </c>
      <c r="J1137" t="s">
        <v>384</v>
      </c>
      <c r="K1137">
        <v>651818</v>
      </c>
      <c r="L1137" t="s">
        <v>80</v>
      </c>
      <c r="M1137" t="s">
        <v>81</v>
      </c>
      <c r="N1137" t="s">
        <v>57</v>
      </c>
      <c r="O1137" s="1">
        <v>45906</v>
      </c>
      <c r="Q1137" s="1">
        <v>46087</v>
      </c>
      <c r="R1137" s="2">
        <v>31.88</v>
      </c>
      <c r="S1137">
        <v>1</v>
      </c>
      <c r="T1137" t="s">
        <v>58</v>
      </c>
      <c r="U1137" t="s">
        <v>156</v>
      </c>
      <c r="V1137" s="3">
        <v>0.7</v>
      </c>
      <c r="W1137" s="2">
        <v>0</v>
      </c>
      <c r="X1137">
        <v>0</v>
      </c>
      <c r="Y1137" t="s">
        <v>60</v>
      </c>
      <c r="Z1137" t="s">
        <v>135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22.32</v>
      </c>
      <c r="AN1137" s="2">
        <v>22.32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46062</v>
      </c>
      <c r="B1138" t="s">
        <v>48</v>
      </c>
      <c r="C1138">
        <v>649163</v>
      </c>
      <c r="D1138">
        <v>2030339441</v>
      </c>
      <c r="E1138" t="s">
        <v>1271</v>
      </c>
      <c r="F1138" t="s">
        <v>1272</v>
      </c>
      <c r="G1138" t="s">
        <v>51</v>
      </c>
      <c r="H1138" t="s">
        <v>66</v>
      </c>
      <c r="I1138" t="s">
        <v>383</v>
      </c>
      <c r="J1138" t="s">
        <v>384</v>
      </c>
      <c r="K1138">
        <v>807212</v>
      </c>
      <c r="L1138" t="s">
        <v>801</v>
      </c>
      <c r="M1138" t="s">
        <v>802</v>
      </c>
      <c r="N1138" t="s">
        <v>57</v>
      </c>
      <c r="O1138" s="1">
        <v>45875</v>
      </c>
      <c r="Q1138" s="1">
        <v>46087</v>
      </c>
      <c r="R1138" s="2">
        <v>49.8</v>
      </c>
      <c r="S1138">
        <v>1</v>
      </c>
      <c r="T1138" t="s">
        <v>58</v>
      </c>
      <c r="U1138" t="s">
        <v>156</v>
      </c>
      <c r="V1138" s="3">
        <v>0.7</v>
      </c>
      <c r="W1138" s="2">
        <v>0</v>
      </c>
      <c r="X1138">
        <v>0</v>
      </c>
      <c r="Y1138" t="s">
        <v>60</v>
      </c>
      <c r="Z1138" t="s">
        <v>135</v>
      </c>
      <c r="AA1138">
        <v>0</v>
      </c>
      <c r="AB1138" s="2">
        <v>0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34.86</v>
      </c>
      <c r="AN1138" s="2">
        <v>34.86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46062</v>
      </c>
      <c r="B1139" t="s">
        <v>48</v>
      </c>
      <c r="C1139">
        <v>649163</v>
      </c>
      <c r="D1139">
        <v>2030345986</v>
      </c>
      <c r="E1139" t="s">
        <v>302</v>
      </c>
      <c r="F1139" t="s">
        <v>1031</v>
      </c>
      <c r="G1139" t="s">
        <v>51</v>
      </c>
      <c r="H1139" t="s">
        <v>392</v>
      </c>
      <c r="I1139" t="s">
        <v>383</v>
      </c>
      <c r="J1139" t="s">
        <v>1172</v>
      </c>
      <c r="K1139">
        <v>823068</v>
      </c>
      <c r="L1139" t="s">
        <v>355</v>
      </c>
      <c r="M1139" t="s">
        <v>356</v>
      </c>
      <c r="N1139" t="s">
        <v>57</v>
      </c>
      <c r="O1139" s="1">
        <v>45876</v>
      </c>
      <c r="Q1139" s="1">
        <v>46088</v>
      </c>
      <c r="R1139" s="2">
        <v>24.61</v>
      </c>
      <c r="S1139">
        <v>1</v>
      </c>
      <c r="T1139" t="s">
        <v>58</v>
      </c>
      <c r="U1139" t="s">
        <v>156</v>
      </c>
      <c r="V1139" s="3">
        <v>0.7</v>
      </c>
      <c r="W1139" s="2">
        <v>0</v>
      </c>
      <c r="X1139">
        <v>0</v>
      </c>
      <c r="Y1139" t="s">
        <v>60</v>
      </c>
      <c r="Z1139" t="s">
        <v>135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17.23</v>
      </c>
      <c r="AN1139" s="2">
        <v>17.23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46062</v>
      </c>
      <c r="B1140" t="s">
        <v>48</v>
      </c>
      <c r="C1140">
        <v>649163</v>
      </c>
      <c r="D1140">
        <v>2030349978</v>
      </c>
      <c r="E1140" t="s">
        <v>1032</v>
      </c>
      <c r="F1140" t="s">
        <v>1033</v>
      </c>
      <c r="G1140" t="s">
        <v>51</v>
      </c>
      <c r="H1140" t="s">
        <v>84</v>
      </c>
      <c r="I1140" t="s">
        <v>383</v>
      </c>
      <c r="J1140" t="s">
        <v>843</v>
      </c>
      <c r="K1140">
        <v>767312</v>
      </c>
      <c r="L1140" t="s">
        <v>310</v>
      </c>
      <c r="M1140" t="s">
        <v>311</v>
      </c>
      <c r="N1140" t="s">
        <v>57</v>
      </c>
      <c r="O1140" s="1">
        <v>45879</v>
      </c>
      <c r="Q1140" s="1">
        <v>46091</v>
      </c>
      <c r="R1140" s="2">
        <v>70.81</v>
      </c>
      <c r="S1140">
        <v>1</v>
      </c>
      <c r="T1140" t="s">
        <v>58</v>
      </c>
      <c r="U1140" t="s">
        <v>156</v>
      </c>
      <c r="V1140" s="3">
        <v>0.42</v>
      </c>
      <c r="W1140" s="2">
        <v>0</v>
      </c>
      <c r="X1140">
        <v>0</v>
      </c>
      <c r="Y1140" t="s">
        <v>60</v>
      </c>
      <c r="Z1140" t="s">
        <v>135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29.74</v>
      </c>
      <c r="AN1140" s="2">
        <v>29.74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46062</v>
      </c>
      <c r="B1141" t="s">
        <v>48</v>
      </c>
      <c r="C1141">
        <v>649163</v>
      </c>
      <c r="D1141">
        <v>2030359699</v>
      </c>
      <c r="E1141" t="s">
        <v>1273</v>
      </c>
      <c r="F1141" t="s">
        <v>1274</v>
      </c>
      <c r="G1141" t="s">
        <v>51</v>
      </c>
      <c r="H1141" t="s">
        <v>66</v>
      </c>
      <c r="I1141" t="s">
        <v>383</v>
      </c>
      <c r="J1141" t="s">
        <v>384</v>
      </c>
      <c r="K1141">
        <v>807212</v>
      </c>
      <c r="L1141" t="s">
        <v>801</v>
      </c>
      <c r="M1141" t="s">
        <v>802</v>
      </c>
      <c r="N1141" t="s">
        <v>57</v>
      </c>
      <c r="O1141" s="1">
        <v>45876</v>
      </c>
      <c r="Q1141" s="1">
        <v>46088</v>
      </c>
      <c r="R1141" s="2">
        <v>58.24</v>
      </c>
      <c r="S1141">
        <v>1</v>
      </c>
      <c r="T1141" t="s">
        <v>58</v>
      </c>
      <c r="U1141" t="s">
        <v>156</v>
      </c>
      <c r="V1141" s="3">
        <v>0.7</v>
      </c>
      <c r="W1141" s="2">
        <v>0</v>
      </c>
      <c r="X1141">
        <v>0</v>
      </c>
      <c r="Y1141" t="s">
        <v>60</v>
      </c>
      <c r="Z1141" t="s">
        <v>135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40.770000000000003</v>
      </c>
      <c r="AN1141" s="2">
        <v>40.770000000000003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46062</v>
      </c>
      <c r="B1142" t="s">
        <v>48</v>
      </c>
      <c r="C1142">
        <v>649163</v>
      </c>
      <c r="D1142">
        <v>2030366106</v>
      </c>
      <c r="E1142" t="s">
        <v>798</v>
      </c>
      <c r="F1142" t="s">
        <v>1034</v>
      </c>
      <c r="G1142" t="s">
        <v>51</v>
      </c>
      <c r="H1142" t="s">
        <v>90</v>
      </c>
      <c r="I1142" t="s">
        <v>383</v>
      </c>
      <c r="J1142" t="s">
        <v>384</v>
      </c>
      <c r="K1142">
        <v>651818</v>
      </c>
      <c r="L1142" t="s">
        <v>80</v>
      </c>
      <c r="M1142" t="s">
        <v>81</v>
      </c>
      <c r="N1142" t="s">
        <v>57</v>
      </c>
      <c r="O1142" s="1">
        <v>45878</v>
      </c>
      <c r="Q1142" s="1">
        <v>46090</v>
      </c>
      <c r="R1142" s="2">
        <v>28.38</v>
      </c>
      <c r="S1142">
        <v>1</v>
      </c>
      <c r="T1142" t="s">
        <v>58</v>
      </c>
      <c r="U1142" t="s">
        <v>156</v>
      </c>
      <c r="V1142" s="3">
        <v>0.7</v>
      </c>
      <c r="W1142" s="2">
        <v>0</v>
      </c>
      <c r="X1142">
        <v>0</v>
      </c>
      <c r="Y1142" t="s">
        <v>60</v>
      </c>
      <c r="Z1142" t="s">
        <v>135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19.87</v>
      </c>
      <c r="AN1142" s="2">
        <v>19.87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46062</v>
      </c>
      <c r="B1143" t="s">
        <v>48</v>
      </c>
      <c r="C1143">
        <v>649163</v>
      </c>
      <c r="D1143">
        <v>2030367108</v>
      </c>
      <c r="E1143" t="s">
        <v>70</v>
      </c>
      <c r="F1143" t="s">
        <v>764</v>
      </c>
      <c r="G1143" t="s">
        <v>51</v>
      </c>
      <c r="H1143" t="s">
        <v>765</v>
      </c>
      <c r="I1143" t="s">
        <v>383</v>
      </c>
      <c r="J1143" t="s">
        <v>384</v>
      </c>
      <c r="K1143">
        <v>650218</v>
      </c>
      <c r="L1143" t="s">
        <v>246</v>
      </c>
      <c r="M1143" t="s">
        <v>195</v>
      </c>
      <c r="N1143" t="s">
        <v>57</v>
      </c>
      <c r="O1143" s="1">
        <v>45877</v>
      </c>
      <c r="Q1143" s="1">
        <v>46089</v>
      </c>
      <c r="R1143" s="2">
        <v>10.82</v>
      </c>
      <c r="S1143">
        <v>1</v>
      </c>
      <c r="T1143" t="s">
        <v>58</v>
      </c>
      <c r="U1143" t="s">
        <v>156</v>
      </c>
      <c r="V1143" s="3">
        <v>0.7</v>
      </c>
      <c r="W1143" s="2">
        <v>0</v>
      </c>
      <c r="X1143">
        <v>0</v>
      </c>
      <c r="Y1143" t="s">
        <v>60</v>
      </c>
      <c r="Z1143" t="s">
        <v>135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0.02</v>
      </c>
      <c r="AM1143" s="2">
        <v>7.55</v>
      </c>
      <c r="AN1143" s="2">
        <v>7.55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46062</v>
      </c>
      <c r="B1144" t="s">
        <v>48</v>
      </c>
      <c r="C1144">
        <v>649163</v>
      </c>
      <c r="D1144">
        <v>2030376028</v>
      </c>
      <c r="E1144" t="s">
        <v>1275</v>
      </c>
      <c r="F1144" t="s">
        <v>1276</v>
      </c>
      <c r="G1144" t="s">
        <v>51</v>
      </c>
      <c r="H1144" t="s">
        <v>274</v>
      </c>
      <c r="I1144" t="s">
        <v>383</v>
      </c>
      <c r="J1144" t="s">
        <v>385</v>
      </c>
      <c r="K1144">
        <v>816021</v>
      </c>
      <c r="L1144" t="s">
        <v>275</v>
      </c>
      <c r="M1144" t="s">
        <v>276</v>
      </c>
      <c r="N1144" t="s">
        <v>57</v>
      </c>
      <c r="O1144" s="1">
        <v>45877</v>
      </c>
      <c r="Q1144" s="1">
        <v>46089</v>
      </c>
      <c r="R1144" s="2">
        <v>73</v>
      </c>
      <c r="S1144">
        <v>1</v>
      </c>
      <c r="T1144" t="s">
        <v>58</v>
      </c>
      <c r="U1144" t="s">
        <v>156</v>
      </c>
      <c r="V1144" s="3">
        <v>0.9</v>
      </c>
      <c r="W1144" s="2">
        <v>0</v>
      </c>
      <c r="X1144">
        <v>0</v>
      </c>
      <c r="Y1144" t="s">
        <v>60</v>
      </c>
      <c r="Z1144" t="s">
        <v>135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65.7</v>
      </c>
      <c r="AN1144" s="2">
        <v>65.7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46062</v>
      </c>
      <c r="B1145" t="s">
        <v>48</v>
      </c>
      <c r="C1145">
        <v>649163</v>
      </c>
      <c r="D1145">
        <v>2030395015</v>
      </c>
      <c r="E1145" t="s">
        <v>1115</v>
      </c>
      <c r="F1145" t="s">
        <v>1116</v>
      </c>
      <c r="G1145" t="s">
        <v>51</v>
      </c>
      <c r="H1145" t="s">
        <v>274</v>
      </c>
      <c r="I1145" t="s">
        <v>383</v>
      </c>
      <c r="J1145" t="s">
        <v>384</v>
      </c>
      <c r="K1145">
        <v>796984</v>
      </c>
      <c r="L1145" t="s">
        <v>491</v>
      </c>
      <c r="M1145" t="s">
        <v>492</v>
      </c>
      <c r="N1145" t="s">
        <v>57</v>
      </c>
      <c r="O1145" s="1">
        <v>45878</v>
      </c>
      <c r="Q1145" s="1">
        <v>46090</v>
      </c>
      <c r="R1145" s="2">
        <v>9.1</v>
      </c>
      <c r="S1145">
        <v>1</v>
      </c>
      <c r="T1145" t="s">
        <v>58</v>
      </c>
      <c r="U1145" t="s">
        <v>156</v>
      </c>
      <c r="V1145" s="3">
        <v>0.7</v>
      </c>
      <c r="W1145" s="2">
        <v>0</v>
      </c>
      <c r="X1145">
        <v>0</v>
      </c>
      <c r="Y1145" t="s">
        <v>60</v>
      </c>
      <c r="Z1145" t="s">
        <v>135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6.37</v>
      </c>
      <c r="AN1145" s="2">
        <v>6.37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46062</v>
      </c>
      <c r="B1146" t="s">
        <v>48</v>
      </c>
      <c r="C1146">
        <v>649163</v>
      </c>
      <c r="D1146">
        <v>2030399995</v>
      </c>
      <c r="E1146" t="s">
        <v>568</v>
      </c>
      <c r="F1146" t="s">
        <v>184</v>
      </c>
      <c r="G1146" t="s">
        <v>51</v>
      </c>
      <c r="H1146" t="s">
        <v>66</v>
      </c>
      <c r="I1146" t="s">
        <v>383</v>
      </c>
      <c r="J1146" t="s">
        <v>384</v>
      </c>
      <c r="K1146">
        <v>824062</v>
      </c>
      <c r="L1146" t="s">
        <v>569</v>
      </c>
      <c r="M1146" t="s">
        <v>570</v>
      </c>
      <c r="N1146" t="s">
        <v>57</v>
      </c>
      <c r="O1146" s="1">
        <v>45878</v>
      </c>
      <c r="Q1146" s="1">
        <v>46090</v>
      </c>
      <c r="R1146" s="2">
        <v>99.19</v>
      </c>
      <c r="S1146">
        <v>1</v>
      </c>
      <c r="T1146" t="s">
        <v>58</v>
      </c>
      <c r="U1146" t="s">
        <v>156</v>
      </c>
      <c r="V1146" s="3">
        <v>0.7</v>
      </c>
      <c r="W1146" s="2">
        <v>0</v>
      </c>
      <c r="X1146">
        <v>0</v>
      </c>
      <c r="Y1146" t="s">
        <v>60</v>
      </c>
      <c r="Z1146" t="s">
        <v>135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0.02</v>
      </c>
      <c r="AM1146" s="2">
        <v>69.41</v>
      </c>
      <c r="AN1146" s="2">
        <v>69.41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46062</v>
      </c>
      <c r="B1147" t="s">
        <v>48</v>
      </c>
      <c r="C1147">
        <v>649163</v>
      </c>
      <c r="D1147">
        <v>2030399996</v>
      </c>
      <c r="E1147" t="s">
        <v>568</v>
      </c>
      <c r="F1147" t="s">
        <v>184</v>
      </c>
      <c r="G1147" t="s">
        <v>51</v>
      </c>
      <c r="H1147" t="s">
        <v>66</v>
      </c>
      <c r="I1147" t="s">
        <v>383</v>
      </c>
      <c r="J1147" t="s">
        <v>385</v>
      </c>
      <c r="K1147">
        <v>824062</v>
      </c>
      <c r="L1147" t="s">
        <v>569</v>
      </c>
      <c r="M1147" t="s">
        <v>570</v>
      </c>
      <c r="N1147" t="s">
        <v>57</v>
      </c>
      <c r="O1147" s="1">
        <v>45878</v>
      </c>
      <c r="Q1147" s="1">
        <v>46090</v>
      </c>
      <c r="R1147" s="2">
        <v>258.5</v>
      </c>
      <c r="S1147">
        <v>1</v>
      </c>
      <c r="T1147" t="s">
        <v>58</v>
      </c>
      <c r="U1147" t="s">
        <v>156</v>
      </c>
      <c r="V1147" s="3">
        <v>0.9</v>
      </c>
      <c r="W1147" s="2">
        <v>0</v>
      </c>
      <c r="X1147">
        <v>0</v>
      </c>
      <c r="Y1147" t="s">
        <v>60</v>
      </c>
      <c r="Z1147" t="s">
        <v>135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232.65</v>
      </c>
      <c r="AN1147" s="2">
        <v>232.65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46062</v>
      </c>
      <c r="B1148" t="s">
        <v>48</v>
      </c>
      <c r="C1148">
        <v>649163</v>
      </c>
      <c r="D1148">
        <v>2030404321</v>
      </c>
      <c r="E1148" t="s">
        <v>766</v>
      </c>
      <c r="F1148" t="s">
        <v>767</v>
      </c>
      <c r="G1148" t="s">
        <v>51</v>
      </c>
      <c r="H1148" t="s">
        <v>309</v>
      </c>
      <c r="I1148" t="s">
        <v>383</v>
      </c>
      <c r="J1148" t="s">
        <v>384</v>
      </c>
      <c r="K1148">
        <v>822865</v>
      </c>
      <c r="L1148" t="s">
        <v>691</v>
      </c>
      <c r="M1148" t="s">
        <v>692</v>
      </c>
      <c r="N1148" t="s">
        <v>57</v>
      </c>
      <c r="O1148" s="1">
        <v>45878</v>
      </c>
      <c r="Q1148" s="1">
        <v>46090</v>
      </c>
      <c r="R1148" s="2">
        <v>11.5</v>
      </c>
      <c r="S1148">
        <v>1</v>
      </c>
      <c r="T1148" t="s">
        <v>58</v>
      </c>
      <c r="U1148" t="s">
        <v>156</v>
      </c>
      <c r="V1148" s="3">
        <v>0.7</v>
      </c>
      <c r="W1148" s="2">
        <v>0</v>
      </c>
      <c r="X1148">
        <v>0</v>
      </c>
      <c r="Y1148" t="s">
        <v>60</v>
      </c>
      <c r="Z1148" t="s">
        <v>135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8.0500000000000007</v>
      </c>
      <c r="AN1148" s="2">
        <v>8.0500000000000007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46062</v>
      </c>
      <c r="B1149" t="s">
        <v>48</v>
      </c>
      <c r="C1149">
        <v>649163</v>
      </c>
      <c r="D1149">
        <v>2030406800</v>
      </c>
      <c r="E1149" t="s">
        <v>768</v>
      </c>
      <c r="F1149" t="s">
        <v>769</v>
      </c>
      <c r="G1149" t="s">
        <v>51</v>
      </c>
      <c r="H1149" t="s">
        <v>274</v>
      </c>
      <c r="I1149" t="s">
        <v>383</v>
      </c>
      <c r="J1149" t="s">
        <v>384</v>
      </c>
      <c r="K1149">
        <v>796984</v>
      </c>
      <c r="L1149" t="s">
        <v>491</v>
      </c>
      <c r="M1149" t="s">
        <v>492</v>
      </c>
      <c r="N1149" t="s">
        <v>57</v>
      </c>
      <c r="O1149" s="1">
        <v>45878</v>
      </c>
      <c r="Q1149" s="1">
        <v>46090</v>
      </c>
      <c r="R1149" s="2">
        <v>9.1</v>
      </c>
      <c r="S1149">
        <v>1</v>
      </c>
      <c r="T1149" t="s">
        <v>58</v>
      </c>
      <c r="U1149" t="s">
        <v>156</v>
      </c>
      <c r="V1149" s="3">
        <v>0.7</v>
      </c>
      <c r="W1149" s="2">
        <v>0</v>
      </c>
      <c r="X1149">
        <v>0</v>
      </c>
      <c r="Y1149" t="s">
        <v>60</v>
      </c>
      <c r="Z1149" t="s">
        <v>135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6.37</v>
      </c>
      <c r="AN1149" s="2">
        <v>6.37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46062</v>
      </c>
      <c r="B1150" t="s">
        <v>48</v>
      </c>
      <c r="C1150">
        <v>649163</v>
      </c>
      <c r="D1150">
        <v>2030435038</v>
      </c>
      <c r="E1150" t="s">
        <v>1037</v>
      </c>
      <c r="F1150" t="s">
        <v>1038</v>
      </c>
      <c r="G1150" t="s">
        <v>51</v>
      </c>
      <c r="H1150" t="s">
        <v>780</v>
      </c>
      <c r="I1150" t="s">
        <v>383</v>
      </c>
      <c r="J1150" t="s">
        <v>1172</v>
      </c>
      <c r="K1150">
        <v>651818</v>
      </c>
      <c r="L1150" t="s">
        <v>80</v>
      </c>
      <c r="M1150" t="s">
        <v>81</v>
      </c>
      <c r="N1150" t="s">
        <v>57</v>
      </c>
      <c r="O1150" s="1">
        <v>45907</v>
      </c>
      <c r="Q1150" s="1">
        <v>46088</v>
      </c>
      <c r="R1150" s="2">
        <v>21.44</v>
      </c>
      <c r="S1150">
        <v>1</v>
      </c>
      <c r="T1150" t="s">
        <v>58</v>
      </c>
      <c r="U1150" t="s">
        <v>156</v>
      </c>
      <c r="V1150" s="3">
        <v>0.7</v>
      </c>
      <c r="W1150" s="2">
        <v>0</v>
      </c>
      <c r="X1150">
        <v>0</v>
      </c>
      <c r="Y1150" t="s">
        <v>60</v>
      </c>
      <c r="Z1150" t="s">
        <v>135</v>
      </c>
      <c r="AA1150">
        <v>0</v>
      </c>
      <c r="AB1150" s="2">
        <v>0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15.01</v>
      </c>
      <c r="AN1150" s="2">
        <v>15.01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46062</v>
      </c>
      <c r="B1151" t="s">
        <v>48</v>
      </c>
      <c r="C1151">
        <v>649163</v>
      </c>
      <c r="D1151">
        <v>2030443827</v>
      </c>
      <c r="E1151" t="s">
        <v>1040</v>
      </c>
      <c r="F1151" t="s">
        <v>1041</v>
      </c>
      <c r="G1151" t="s">
        <v>51</v>
      </c>
      <c r="H1151" t="s">
        <v>87</v>
      </c>
      <c r="I1151" t="s">
        <v>383</v>
      </c>
      <c r="J1151" t="s">
        <v>384</v>
      </c>
      <c r="K1151">
        <v>651818</v>
      </c>
      <c r="L1151" t="s">
        <v>80</v>
      </c>
      <c r="M1151" t="s">
        <v>81</v>
      </c>
      <c r="N1151" t="s">
        <v>57</v>
      </c>
      <c r="O1151" s="1">
        <v>45907</v>
      </c>
      <c r="Q1151" s="1">
        <v>46088</v>
      </c>
      <c r="R1151" s="2">
        <v>101.25</v>
      </c>
      <c r="S1151">
        <v>1</v>
      </c>
      <c r="T1151" t="s">
        <v>58</v>
      </c>
      <c r="U1151" t="s">
        <v>156</v>
      </c>
      <c r="V1151" s="3">
        <v>0.7</v>
      </c>
      <c r="W1151" s="2">
        <v>0</v>
      </c>
      <c r="X1151">
        <v>0</v>
      </c>
      <c r="Y1151" t="s">
        <v>60</v>
      </c>
      <c r="Z1151" t="s">
        <v>135</v>
      </c>
      <c r="AA1151">
        <v>0</v>
      </c>
      <c r="AB1151" s="2">
        <v>0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70.88</v>
      </c>
      <c r="AN1151" s="2">
        <v>70.88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46062</v>
      </c>
      <c r="B1152" t="s">
        <v>48</v>
      </c>
      <c r="C1152">
        <v>649163</v>
      </c>
      <c r="D1152">
        <v>2030447483</v>
      </c>
      <c r="E1152" t="s">
        <v>772</v>
      </c>
      <c r="F1152" t="s">
        <v>773</v>
      </c>
      <c r="G1152" t="s">
        <v>51</v>
      </c>
      <c r="H1152" t="s">
        <v>170</v>
      </c>
      <c r="I1152" t="s">
        <v>383</v>
      </c>
      <c r="J1152" t="s">
        <v>384</v>
      </c>
      <c r="K1152">
        <v>753748</v>
      </c>
      <c r="L1152" t="s">
        <v>74</v>
      </c>
      <c r="M1152" t="s">
        <v>75</v>
      </c>
      <c r="N1152" t="s">
        <v>57</v>
      </c>
      <c r="O1152" s="1">
        <v>45882</v>
      </c>
      <c r="Q1152" s="1">
        <v>46094</v>
      </c>
      <c r="R1152" s="2">
        <v>10.53</v>
      </c>
      <c r="S1152">
        <v>1</v>
      </c>
      <c r="T1152" t="s">
        <v>58</v>
      </c>
      <c r="U1152" t="s">
        <v>156</v>
      </c>
      <c r="V1152" s="3">
        <v>0.7</v>
      </c>
      <c r="W1152" s="2">
        <v>0</v>
      </c>
      <c r="X1152">
        <v>0</v>
      </c>
      <c r="Y1152" t="s">
        <v>60</v>
      </c>
      <c r="Z1152" t="s">
        <v>135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0.01</v>
      </c>
      <c r="AM1152" s="2">
        <v>7.36</v>
      </c>
      <c r="AN1152" s="2">
        <v>7.36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46062</v>
      </c>
      <c r="B1153" t="s">
        <v>48</v>
      </c>
      <c r="C1153">
        <v>649163</v>
      </c>
      <c r="D1153">
        <v>2030452962</v>
      </c>
      <c r="E1153" t="s">
        <v>774</v>
      </c>
      <c r="F1153" t="s">
        <v>240</v>
      </c>
      <c r="G1153" t="s">
        <v>51</v>
      </c>
      <c r="H1153" t="s">
        <v>274</v>
      </c>
      <c r="I1153" t="s">
        <v>383</v>
      </c>
      <c r="J1153" t="s">
        <v>384</v>
      </c>
      <c r="K1153">
        <v>824082</v>
      </c>
      <c r="L1153" t="s">
        <v>563</v>
      </c>
      <c r="M1153" t="s">
        <v>564</v>
      </c>
      <c r="N1153" t="s">
        <v>57</v>
      </c>
      <c r="O1153" s="1">
        <v>45882</v>
      </c>
      <c r="Q1153" s="1">
        <v>46094</v>
      </c>
      <c r="R1153" s="2">
        <v>29.2</v>
      </c>
      <c r="S1153">
        <v>1</v>
      </c>
      <c r="T1153" t="s">
        <v>58</v>
      </c>
      <c r="U1153" t="s">
        <v>156</v>
      </c>
      <c r="V1153" s="3">
        <v>0.7</v>
      </c>
      <c r="W1153" s="2">
        <v>0</v>
      </c>
      <c r="X1153">
        <v>0</v>
      </c>
      <c r="Y1153" t="s">
        <v>60</v>
      </c>
      <c r="Z1153" t="s">
        <v>135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20.440000000000001</v>
      </c>
      <c r="AN1153" s="2">
        <v>20.440000000000001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46062</v>
      </c>
      <c r="B1154" t="s">
        <v>48</v>
      </c>
      <c r="C1154">
        <v>649163</v>
      </c>
      <c r="D1154">
        <v>2030455581</v>
      </c>
      <c r="E1154" t="s">
        <v>775</v>
      </c>
      <c r="F1154" t="s">
        <v>155</v>
      </c>
      <c r="G1154" t="s">
        <v>51</v>
      </c>
      <c r="H1154" t="s">
        <v>274</v>
      </c>
      <c r="I1154" t="s">
        <v>383</v>
      </c>
      <c r="J1154" t="s">
        <v>384</v>
      </c>
      <c r="K1154">
        <v>816021</v>
      </c>
      <c r="L1154" t="s">
        <v>275</v>
      </c>
      <c r="M1154" t="s">
        <v>276</v>
      </c>
      <c r="N1154" t="s">
        <v>57</v>
      </c>
      <c r="O1154" s="1">
        <v>45882</v>
      </c>
      <c r="Q1154" s="1">
        <v>46094</v>
      </c>
      <c r="R1154" s="2">
        <v>27.38</v>
      </c>
      <c r="S1154">
        <v>1</v>
      </c>
      <c r="T1154" t="s">
        <v>58</v>
      </c>
      <c r="U1154" t="s">
        <v>156</v>
      </c>
      <c r="V1154" s="3">
        <v>0.7</v>
      </c>
      <c r="W1154" s="2">
        <v>0</v>
      </c>
      <c r="X1154">
        <v>0</v>
      </c>
      <c r="Y1154" t="s">
        <v>60</v>
      </c>
      <c r="Z1154" t="s">
        <v>135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19.170000000000002</v>
      </c>
      <c r="AN1154" s="2">
        <v>19.170000000000002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46062</v>
      </c>
      <c r="B1155" t="s">
        <v>48</v>
      </c>
      <c r="C1155">
        <v>649163</v>
      </c>
      <c r="D1155">
        <v>2030455583</v>
      </c>
      <c r="E1155" t="s">
        <v>775</v>
      </c>
      <c r="F1155" t="s">
        <v>155</v>
      </c>
      <c r="G1155" t="s">
        <v>51</v>
      </c>
      <c r="H1155" t="s">
        <v>274</v>
      </c>
      <c r="I1155" t="s">
        <v>383</v>
      </c>
      <c r="J1155" t="s">
        <v>385</v>
      </c>
      <c r="K1155">
        <v>816021</v>
      </c>
      <c r="L1155" t="s">
        <v>275</v>
      </c>
      <c r="M1155" t="s">
        <v>276</v>
      </c>
      <c r="N1155" t="s">
        <v>57</v>
      </c>
      <c r="O1155" s="1">
        <v>45882</v>
      </c>
      <c r="Q1155" s="1">
        <v>46094</v>
      </c>
      <c r="R1155" s="2">
        <v>52.92</v>
      </c>
      <c r="S1155">
        <v>1</v>
      </c>
      <c r="T1155" t="s">
        <v>58</v>
      </c>
      <c r="U1155" t="s">
        <v>156</v>
      </c>
      <c r="V1155" s="3">
        <v>0.9</v>
      </c>
      <c r="W1155" s="2">
        <v>0</v>
      </c>
      <c r="X1155">
        <v>0</v>
      </c>
      <c r="Y1155" t="s">
        <v>60</v>
      </c>
      <c r="Z1155" t="s">
        <v>135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47.63</v>
      </c>
      <c r="AN1155" s="2">
        <v>47.63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46062</v>
      </c>
      <c r="B1156" t="s">
        <v>48</v>
      </c>
      <c r="C1156">
        <v>649163</v>
      </c>
      <c r="D1156">
        <v>2030477514</v>
      </c>
      <c r="E1156" t="s">
        <v>1042</v>
      </c>
      <c r="F1156" t="s">
        <v>1043</v>
      </c>
      <c r="G1156" t="s">
        <v>51</v>
      </c>
      <c r="H1156" t="s">
        <v>84</v>
      </c>
      <c r="I1156" t="s">
        <v>383</v>
      </c>
      <c r="J1156" t="s">
        <v>384</v>
      </c>
      <c r="K1156">
        <v>651818</v>
      </c>
      <c r="L1156" t="s">
        <v>80</v>
      </c>
      <c r="M1156" t="s">
        <v>81</v>
      </c>
      <c r="N1156" t="s">
        <v>57</v>
      </c>
      <c r="O1156" s="1">
        <v>45906</v>
      </c>
      <c r="Q1156" s="1">
        <v>46087</v>
      </c>
      <c r="R1156" s="2">
        <v>19</v>
      </c>
      <c r="S1156">
        <v>1</v>
      </c>
      <c r="T1156" t="s">
        <v>58</v>
      </c>
      <c r="U1156" t="s">
        <v>156</v>
      </c>
      <c r="V1156" s="3">
        <v>0.7</v>
      </c>
      <c r="W1156" s="2">
        <v>0</v>
      </c>
      <c r="X1156">
        <v>0</v>
      </c>
      <c r="Y1156" t="s">
        <v>60</v>
      </c>
      <c r="Z1156" t="s">
        <v>135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13.3</v>
      </c>
      <c r="AN1156" s="2">
        <v>13.3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46062</v>
      </c>
      <c r="B1157" t="s">
        <v>48</v>
      </c>
      <c r="C1157">
        <v>649163</v>
      </c>
      <c r="D1157">
        <v>2030479537</v>
      </c>
      <c r="E1157" t="s">
        <v>1277</v>
      </c>
      <c r="F1157" t="s">
        <v>263</v>
      </c>
      <c r="G1157" t="s">
        <v>51</v>
      </c>
      <c r="H1157" t="s">
        <v>90</v>
      </c>
      <c r="I1157" t="s">
        <v>383</v>
      </c>
      <c r="J1157" t="s">
        <v>384</v>
      </c>
      <c r="K1157">
        <v>651818</v>
      </c>
      <c r="L1157" t="s">
        <v>80</v>
      </c>
      <c r="M1157" t="s">
        <v>81</v>
      </c>
      <c r="N1157" t="s">
        <v>57</v>
      </c>
      <c r="O1157" s="1">
        <v>45906</v>
      </c>
      <c r="Q1157" s="1">
        <v>46087</v>
      </c>
      <c r="R1157" s="2">
        <v>38.31</v>
      </c>
      <c r="S1157">
        <v>1</v>
      </c>
      <c r="T1157" t="s">
        <v>58</v>
      </c>
      <c r="U1157" t="s">
        <v>156</v>
      </c>
      <c r="V1157" s="3">
        <v>0.7</v>
      </c>
      <c r="W1157" s="2">
        <v>0</v>
      </c>
      <c r="X1157">
        <v>0</v>
      </c>
      <c r="Y1157" t="s">
        <v>60</v>
      </c>
      <c r="Z1157" t="s">
        <v>135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26.82</v>
      </c>
      <c r="AN1157" s="2">
        <v>26.82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46062</v>
      </c>
      <c r="B1158" t="s">
        <v>48</v>
      </c>
      <c r="C1158">
        <v>649163</v>
      </c>
      <c r="D1158">
        <v>2030517070</v>
      </c>
      <c r="E1158" t="s">
        <v>776</v>
      </c>
      <c r="F1158" t="s">
        <v>777</v>
      </c>
      <c r="G1158" t="s">
        <v>51</v>
      </c>
      <c r="H1158" t="s">
        <v>112</v>
      </c>
      <c r="I1158" t="s">
        <v>383</v>
      </c>
      <c r="J1158" t="s">
        <v>384</v>
      </c>
      <c r="K1158">
        <v>651818</v>
      </c>
      <c r="L1158" t="s">
        <v>80</v>
      </c>
      <c r="M1158" t="s">
        <v>81</v>
      </c>
      <c r="N1158" t="s">
        <v>57</v>
      </c>
      <c r="O1158" s="1">
        <v>45907</v>
      </c>
      <c r="Q1158" s="1">
        <v>46088</v>
      </c>
      <c r="R1158" s="2">
        <v>20.420000000000002</v>
      </c>
      <c r="S1158">
        <v>1</v>
      </c>
      <c r="T1158" t="s">
        <v>58</v>
      </c>
      <c r="U1158" t="s">
        <v>156</v>
      </c>
      <c r="V1158" s="3">
        <v>0.7</v>
      </c>
      <c r="W1158" s="2">
        <v>0</v>
      </c>
      <c r="X1158">
        <v>0</v>
      </c>
      <c r="Y1158" t="s">
        <v>60</v>
      </c>
      <c r="Z1158" t="s">
        <v>135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0.02</v>
      </c>
      <c r="AM1158" s="2">
        <v>14.27</v>
      </c>
      <c r="AN1158" s="2">
        <v>14.27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46062</v>
      </c>
      <c r="B1159" t="s">
        <v>48</v>
      </c>
      <c r="C1159">
        <v>649163</v>
      </c>
      <c r="D1159">
        <v>2030517073</v>
      </c>
      <c r="E1159" t="s">
        <v>776</v>
      </c>
      <c r="F1159" t="s">
        <v>777</v>
      </c>
      <c r="G1159" t="s">
        <v>51</v>
      </c>
      <c r="H1159" t="s">
        <v>112</v>
      </c>
      <c r="I1159" t="s">
        <v>383</v>
      </c>
      <c r="J1159" t="s">
        <v>385</v>
      </c>
      <c r="K1159">
        <v>651818</v>
      </c>
      <c r="L1159" t="s">
        <v>80</v>
      </c>
      <c r="M1159" t="s">
        <v>81</v>
      </c>
      <c r="N1159" t="s">
        <v>57</v>
      </c>
      <c r="O1159" s="1">
        <v>45907</v>
      </c>
      <c r="Q1159" s="1">
        <v>46088</v>
      </c>
      <c r="R1159" s="2">
        <v>25</v>
      </c>
      <c r="S1159">
        <v>1</v>
      </c>
      <c r="T1159" t="s">
        <v>58</v>
      </c>
      <c r="U1159" t="s">
        <v>156</v>
      </c>
      <c r="V1159" s="3">
        <v>0.9</v>
      </c>
      <c r="W1159" s="2">
        <v>0</v>
      </c>
      <c r="X1159">
        <v>0</v>
      </c>
      <c r="Y1159" t="s">
        <v>60</v>
      </c>
      <c r="Z1159" t="s">
        <v>135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22.5</v>
      </c>
      <c r="AN1159" s="2">
        <v>22.5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46062</v>
      </c>
      <c r="B1160" t="s">
        <v>48</v>
      </c>
      <c r="C1160">
        <v>649163</v>
      </c>
      <c r="D1160">
        <v>2030518949</v>
      </c>
      <c r="E1160" t="s">
        <v>778</v>
      </c>
      <c r="F1160" t="s">
        <v>779</v>
      </c>
      <c r="G1160" t="s">
        <v>51</v>
      </c>
      <c r="H1160" t="s">
        <v>780</v>
      </c>
      <c r="I1160" t="s">
        <v>383</v>
      </c>
      <c r="J1160" t="s">
        <v>1172</v>
      </c>
      <c r="K1160">
        <v>651818</v>
      </c>
      <c r="L1160" t="s">
        <v>80</v>
      </c>
      <c r="M1160" t="s">
        <v>81</v>
      </c>
      <c r="N1160" t="s">
        <v>57</v>
      </c>
      <c r="O1160" s="1">
        <v>45907</v>
      </c>
      <c r="Q1160" s="1">
        <v>46088</v>
      </c>
      <c r="R1160" s="2">
        <v>21.44</v>
      </c>
      <c r="S1160">
        <v>1</v>
      </c>
      <c r="T1160" t="s">
        <v>58</v>
      </c>
      <c r="U1160" t="s">
        <v>156</v>
      </c>
      <c r="V1160" s="3">
        <v>0.7</v>
      </c>
      <c r="W1160" s="2">
        <v>0</v>
      </c>
      <c r="X1160">
        <v>0</v>
      </c>
      <c r="Y1160" t="s">
        <v>60</v>
      </c>
      <c r="Z1160" t="s">
        <v>135</v>
      </c>
      <c r="AA1160">
        <v>0</v>
      </c>
      <c r="AB1160" s="2">
        <v>0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15.01</v>
      </c>
      <c r="AN1160" s="2">
        <v>15.01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46062</v>
      </c>
      <c r="B1161" t="s">
        <v>48</v>
      </c>
      <c r="C1161">
        <v>649163</v>
      </c>
      <c r="D1161">
        <v>2030699504</v>
      </c>
      <c r="E1161" t="s">
        <v>1278</v>
      </c>
      <c r="F1161" t="s">
        <v>1279</v>
      </c>
      <c r="G1161" t="s">
        <v>51</v>
      </c>
      <c r="H1161" t="s">
        <v>66</v>
      </c>
      <c r="I1161" t="s">
        <v>383</v>
      </c>
      <c r="J1161" t="s">
        <v>384</v>
      </c>
      <c r="K1161">
        <v>823350</v>
      </c>
      <c r="L1161" t="s">
        <v>108</v>
      </c>
      <c r="M1161" t="s">
        <v>394</v>
      </c>
      <c r="N1161" t="s">
        <v>57</v>
      </c>
      <c r="O1161" s="1">
        <v>45909</v>
      </c>
      <c r="Q1161" s="1">
        <v>46090</v>
      </c>
      <c r="R1161" s="2">
        <v>212.26</v>
      </c>
      <c r="S1161">
        <v>1</v>
      </c>
      <c r="T1161" t="s">
        <v>58</v>
      </c>
      <c r="U1161" t="s">
        <v>156</v>
      </c>
      <c r="V1161" s="3">
        <v>0.7</v>
      </c>
      <c r="W1161" s="2">
        <v>0</v>
      </c>
      <c r="X1161">
        <v>0</v>
      </c>
      <c r="Y1161" t="s">
        <v>60</v>
      </c>
      <c r="Z1161" t="s">
        <v>135</v>
      </c>
      <c r="AA1161">
        <v>0</v>
      </c>
      <c r="AB1161" s="2">
        <v>0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148.58000000000001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46062</v>
      </c>
      <c r="B1162" t="s">
        <v>48</v>
      </c>
      <c r="C1162">
        <v>649163</v>
      </c>
      <c r="D1162">
        <v>2030762531</v>
      </c>
      <c r="E1162" t="s">
        <v>571</v>
      </c>
      <c r="F1162" t="s">
        <v>185</v>
      </c>
      <c r="G1162" t="s">
        <v>51</v>
      </c>
      <c r="H1162" t="s">
        <v>140</v>
      </c>
      <c r="I1162" t="s">
        <v>383</v>
      </c>
      <c r="J1162" t="s">
        <v>384</v>
      </c>
      <c r="K1162">
        <v>888536</v>
      </c>
      <c r="L1162" t="s">
        <v>315</v>
      </c>
      <c r="M1162" t="s">
        <v>316</v>
      </c>
      <c r="N1162" t="s">
        <v>144</v>
      </c>
      <c r="O1162" s="1">
        <v>45899</v>
      </c>
      <c r="P1162" s="1">
        <v>46062</v>
      </c>
      <c r="Q1162" s="1">
        <v>46081</v>
      </c>
      <c r="R1162" s="2">
        <v>-34.450000000000003</v>
      </c>
      <c r="S1162">
        <v>1</v>
      </c>
      <c r="T1162" t="s">
        <v>58</v>
      </c>
      <c r="U1162" t="s">
        <v>156</v>
      </c>
      <c r="V1162" s="3">
        <v>0.7</v>
      </c>
      <c r="W1162" s="2">
        <v>0</v>
      </c>
      <c r="X1162">
        <v>-1</v>
      </c>
      <c r="Y1162" t="s">
        <v>60</v>
      </c>
      <c r="Z1162" t="s">
        <v>135</v>
      </c>
      <c r="AA1162">
        <v>0</v>
      </c>
      <c r="AB1162" s="2">
        <v>0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-24.12</v>
      </c>
      <c r="AN1162" s="2">
        <v>-24.12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46062</v>
      </c>
      <c r="B1163" t="s">
        <v>48</v>
      </c>
      <c r="C1163">
        <v>649163</v>
      </c>
      <c r="D1163">
        <v>2030784686</v>
      </c>
      <c r="E1163" t="s">
        <v>273</v>
      </c>
      <c r="F1163" t="s">
        <v>781</v>
      </c>
      <c r="G1163" t="s">
        <v>51</v>
      </c>
      <c r="H1163" t="s">
        <v>71</v>
      </c>
      <c r="I1163" t="s">
        <v>383</v>
      </c>
      <c r="J1163" t="s">
        <v>384</v>
      </c>
      <c r="K1163">
        <v>823350</v>
      </c>
      <c r="L1163" t="s">
        <v>108</v>
      </c>
      <c r="M1163" t="s">
        <v>394</v>
      </c>
      <c r="N1163" t="s">
        <v>144</v>
      </c>
      <c r="O1163" s="1">
        <v>45901</v>
      </c>
      <c r="P1163" s="1">
        <v>46055</v>
      </c>
      <c r="Q1163" s="1">
        <v>46082</v>
      </c>
      <c r="R1163" s="2">
        <v>-171.58</v>
      </c>
      <c r="S1163">
        <v>1</v>
      </c>
      <c r="T1163" t="s">
        <v>58</v>
      </c>
      <c r="U1163" t="s">
        <v>156</v>
      </c>
      <c r="V1163" s="3">
        <v>0.7</v>
      </c>
      <c r="W1163" s="2">
        <v>0</v>
      </c>
      <c r="X1163">
        <v>-1</v>
      </c>
      <c r="Y1163" t="s">
        <v>60</v>
      </c>
      <c r="Z1163" t="s">
        <v>135</v>
      </c>
      <c r="AA1163">
        <v>0</v>
      </c>
      <c r="AB1163" s="2">
        <v>0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-120.11</v>
      </c>
      <c r="AN1163" s="2">
        <v>-120.11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46062</v>
      </c>
      <c r="B1164" t="s">
        <v>48</v>
      </c>
      <c r="C1164">
        <v>649163</v>
      </c>
      <c r="D1164">
        <v>2030820712</v>
      </c>
      <c r="E1164" t="s">
        <v>1046</v>
      </c>
      <c r="F1164" t="s">
        <v>1047</v>
      </c>
      <c r="G1164" t="s">
        <v>51</v>
      </c>
      <c r="H1164" t="s">
        <v>78</v>
      </c>
      <c r="I1164" t="s">
        <v>383</v>
      </c>
      <c r="J1164" t="s">
        <v>384</v>
      </c>
      <c r="K1164">
        <v>651818</v>
      </c>
      <c r="L1164" t="s">
        <v>80</v>
      </c>
      <c r="M1164" t="s">
        <v>81</v>
      </c>
      <c r="N1164" t="s">
        <v>144</v>
      </c>
      <c r="O1164" s="1">
        <v>45936</v>
      </c>
      <c r="P1164" s="1">
        <v>46062</v>
      </c>
      <c r="Q1164" s="1">
        <v>46087</v>
      </c>
      <c r="R1164" s="2">
        <v>31.28</v>
      </c>
      <c r="S1164">
        <v>1</v>
      </c>
      <c r="T1164" t="s">
        <v>58</v>
      </c>
      <c r="U1164" t="s">
        <v>59</v>
      </c>
      <c r="V1164" s="3">
        <v>0.7</v>
      </c>
      <c r="W1164" s="2">
        <v>0</v>
      </c>
      <c r="X1164">
        <v>0</v>
      </c>
      <c r="Y1164" t="s">
        <v>60</v>
      </c>
      <c r="Z1164" t="s">
        <v>135</v>
      </c>
      <c r="AA1164">
        <v>0</v>
      </c>
      <c r="AB1164" s="2">
        <v>0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21.9</v>
      </c>
      <c r="AN1164" s="2">
        <v>21.9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46062</v>
      </c>
      <c r="B1165" t="s">
        <v>48</v>
      </c>
      <c r="C1165">
        <v>649163</v>
      </c>
      <c r="D1165">
        <v>2030822622</v>
      </c>
      <c r="E1165" t="s">
        <v>1280</v>
      </c>
      <c r="F1165" t="s">
        <v>250</v>
      </c>
      <c r="G1165" t="s">
        <v>51</v>
      </c>
      <c r="H1165" t="s">
        <v>78</v>
      </c>
      <c r="I1165" t="s">
        <v>383</v>
      </c>
      <c r="J1165" t="s">
        <v>385</v>
      </c>
      <c r="K1165">
        <v>651818</v>
      </c>
      <c r="L1165" t="s">
        <v>80</v>
      </c>
      <c r="M1165" t="s">
        <v>81</v>
      </c>
      <c r="N1165" t="s">
        <v>57</v>
      </c>
      <c r="O1165" s="1">
        <v>45936</v>
      </c>
      <c r="Q1165" s="1">
        <v>46087</v>
      </c>
      <c r="R1165" s="2">
        <v>83.63</v>
      </c>
      <c r="S1165">
        <v>1</v>
      </c>
      <c r="T1165" t="s">
        <v>58</v>
      </c>
      <c r="U1165" t="s">
        <v>59</v>
      </c>
      <c r="V1165" s="3">
        <v>0.9</v>
      </c>
      <c r="W1165" s="2">
        <v>0</v>
      </c>
      <c r="X1165">
        <v>0</v>
      </c>
      <c r="Y1165" t="s">
        <v>60</v>
      </c>
      <c r="Z1165" t="s">
        <v>135</v>
      </c>
      <c r="AA1165">
        <v>0</v>
      </c>
      <c r="AB1165" s="2">
        <v>0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75.27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46062</v>
      </c>
      <c r="B1166" t="s">
        <v>48</v>
      </c>
      <c r="C1166">
        <v>649163</v>
      </c>
      <c r="D1166">
        <v>2030917277</v>
      </c>
      <c r="E1166" t="s">
        <v>575</v>
      </c>
      <c r="F1166" t="s">
        <v>576</v>
      </c>
      <c r="G1166" t="s">
        <v>51</v>
      </c>
      <c r="H1166" t="s">
        <v>140</v>
      </c>
      <c r="I1166" t="s">
        <v>383</v>
      </c>
      <c r="J1166" t="s">
        <v>384</v>
      </c>
      <c r="K1166">
        <v>874230</v>
      </c>
      <c r="L1166" t="s">
        <v>142</v>
      </c>
      <c r="M1166" t="s">
        <v>143</v>
      </c>
      <c r="N1166" t="s">
        <v>57</v>
      </c>
      <c r="O1166" s="1">
        <v>45910</v>
      </c>
      <c r="Q1166" s="1">
        <v>46091</v>
      </c>
      <c r="R1166" s="2">
        <v>79.58</v>
      </c>
      <c r="S1166">
        <v>1</v>
      </c>
      <c r="T1166" t="s">
        <v>58</v>
      </c>
      <c r="U1166" t="s">
        <v>156</v>
      </c>
      <c r="V1166" s="3">
        <v>0.7</v>
      </c>
      <c r="W1166" s="2">
        <v>0</v>
      </c>
      <c r="X1166">
        <v>0</v>
      </c>
      <c r="Y1166" t="s">
        <v>60</v>
      </c>
      <c r="Z1166" t="s">
        <v>135</v>
      </c>
      <c r="AA1166">
        <v>0</v>
      </c>
      <c r="AB1166" s="2">
        <v>0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55.71</v>
      </c>
      <c r="AN1166" s="2">
        <v>55.71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46062</v>
      </c>
      <c r="B1167" t="s">
        <v>48</v>
      </c>
      <c r="C1167">
        <v>649163</v>
      </c>
      <c r="D1167">
        <v>2030933671</v>
      </c>
      <c r="E1167" t="s">
        <v>577</v>
      </c>
      <c r="F1167" t="s">
        <v>578</v>
      </c>
      <c r="G1167" t="s">
        <v>51</v>
      </c>
      <c r="H1167" t="s">
        <v>392</v>
      </c>
      <c r="I1167" t="s">
        <v>383</v>
      </c>
      <c r="J1167" t="s">
        <v>843</v>
      </c>
      <c r="K1167">
        <v>823068</v>
      </c>
      <c r="L1167" t="s">
        <v>355</v>
      </c>
      <c r="M1167" t="s">
        <v>356</v>
      </c>
      <c r="N1167" t="s">
        <v>57</v>
      </c>
      <c r="O1167" s="1">
        <v>45909</v>
      </c>
      <c r="Q1167" s="1">
        <v>46090</v>
      </c>
      <c r="R1167" s="2">
        <v>27.8</v>
      </c>
      <c r="S1167">
        <v>1</v>
      </c>
      <c r="T1167" t="s">
        <v>58</v>
      </c>
      <c r="U1167" t="s">
        <v>59</v>
      </c>
      <c r="V1167" s="3">
        <v>0.42</v>
      </c>
      <c r="W1167" s="2">
        <v>0</v>
      </c>
      <c r="X1167">
        <v>0</v>
      </c>
      <c r="Y1167" t="s">
        <v>60</v>
      </c>
      <c r="Z1167" t="s">
        <v>135</v>
      </c>
      <c r="AA1167">
        <v>0</v>
      </c>
      <c r="AB1167" s="2">
        <v>0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11.68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46062</v>
      </c>
      <c r="B1168" t="s">
        <v>48</v>
      </c>
      <c r="C1168">
        <v>649163</v>
      </c>
      <c r="D1168">
        <v>2030933672</v>
      </c>
      <c r="E1168" t="s">
        <v>577</v>
      </c>
      <c r="F1168" t="s">
        <v>578</v>
      </c>
      <c r="G1168" t="s">
        <v>51</v>
      </c>
      <c r="H1168" t="s">
        <v>392</v>
      </c>
      <c r="I1168" t="s">
        <v>383</v>
      </c>
      <c r="J1168" t="s">
        <v>400</v>
      </c>
      <c r="K1168">
        <v>823068</v>
      </c>
      <c r="L1168" t="s">
        <v>355</v>
      </c>
      <c r="M1168" t="s">
        <v>356</v>
      </c>
      <c r="N1168" t="s">
        <v>57</v>
      </c>
      <c r="O1168" s="1">
        <v>45909</v>
      </c>
      <c r="Q1168" s="1">
        <v>46090</v>
      </c>
      <c r="R1168" s="2">
        <v>24.61</v>
      </c>
      <c r="S1168">
        <v>1</v>
      </c>
      <c r="T1168" t="s">
        <v>58</v>
      </c>
      <c r="U1168" t="s">
        <v>59</v>
      </c>
      <c r="V1168" s="3">
        <v>0.7</v>
      </c>
      <c r="W1168" s="2">
        <v>0</v>
      </c>
      <c r="X1168">
        <v>0</v>
      </c>
      <c r="Y1168" t="s">
        <v>60</v>
      </c>
      <c r="Z1168" t="s">
        <v>135</v>
      </c>
      <c r="AA1168">
        <v>0</v>
      </c>
      <c r="AB1168" s="2">
        <v>0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17.23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46062</v>
      </c>
      <c r="B1169" t="s">
        <v>48</v>
      </c>
      <c r="C1169">
        <v>649163</v>
      </c>
      <c r="D1169">
        <v>2030945123</v>
      </c>
      <c r="E1169" t="s">
        <v>580</v>
      </c>
      <c r="F1169" t="s">
        <v>581</v>
      </c>
      <c r="G1169" t="s">
        <v>51</v>
      </c>
      <c r="H1169" t="s">
        <v>66</v>
      </c>
      <c r="I1169" t="s">
        <v>383</v>
      </c>
      <c r="J1169" t="s">
        <v>843</v>
      </c>
      <c r="K1169">
        <v>820873</v>
      </c>
      <c r="L1169" t="s">
        <v>319</v>
      </c>
      <c r="M1169" t="s">
        <v>320</v>
      </c>
      <c r="N1169" t="s">
        <v>57</v>
      </c>
      <c r="O1169" s="1">
        <v>45909</v>
      </c>
      <c r="Q1169" s="1">
        <v>46090</v>
      </c>
      <c r="R1169" s="2">
        <v>25.08</v>
      </c>
      <c r="S1169">
        <v>1</v>
      </c>
      <c r="T1169" t="s">
        <v>58</v>
      </c>
      <c r="U1169" t="s">
        <v>59</v>
      </c>
      <c r="V1169" s="3">
        <v>0.42</v>
      </c>
      <c r="W1169" s="2">
        <v>0</v>
      </c>
      <c r="X1169">
        <v>0</v>
      </c>
      <c r="Y1169" t="s">
        <v>60</v>
      </c>
      <c r="Z1169" t="s">
        <v>135</v>
      </c>
      <c r="AA1169">
        <v>0</v>
      </c>
      <c r="AB1169" s="2">
        <v>0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10.53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46062</v>
      </c>
      <c r="B1170" t="s">
        <v>48</v>
      </c>
      <c r="C1170">
        <v>649163</v>
      </c>
      <c r="D1170">
        <v>2030948467</v>
      </c>
      <c r="E1170" t="s">
        <v>1048</v>
      </c>
      <c r="F1170" t="s">
        <v>1049</v>
      </c>
      <c r="G1170" t="s">
        <v>51</v>
      </c>
      <c r="H1170" t="s">
        <v>90</v>
      </c>
      <c r="I1170" t="s">
        <v>383</v>
      </c>
      <c r="J1170" t="s">
        <v>385</v>
      </c>
      <c r="K1170">
        <v>651818</v>
      </c>
      <c r="L1170" t="s">
        <v>80</v>
      </c>
      <c r="M1170" t="s">
        <v>81</v>
      </c>
      <c r="N1170" t="s">
        <v>57</v>
      </c>
      <c r="O1170" s="1">
        <v>45936</v>
      </c>
      <c r="Q1170" s="1">
        <v>46087</v>
      </c>
      <c r="R1170" s="2">
        <v>31.08</v>
      </c>
      <c r="S1170">
        <v>1</v>
      </c>
      <c r="T1170" t="s">
        <v>58</v>
      </c>
      <c r="U1170" t="s">
        <v>59</v>
      </c>
      <c r="V1170" s="3">
        <v>0.9</v>
      </c>
      <c r="W1170" s="2">
        <v>0</v>
      </c>
      <c r="X1170">
        <v>0</v>
      </c>
      <c r="Y1170" t="s">
        <v>60</v>
      </c>
      <c r="Z1170" t="s">
        <v>135</v>
      </c>
      <c r="AA1170">
        <v>0</v>
      </c>
      <c r="AB1170" s="2">
        <v>0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27.97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46062</v>
      </c>
      <c r="B1171" t="s">
        <v>48</v>
      </c>
      <c r="C1171">
        <v>649163</v>
      </c>
      <c r="D1171">
        <v>2030954164</v>
      </c>
      <c r="E1171" t="s">
        <v>1281</v>
      </c>
      <c r="F1171" t="s">
        <v>1282</v>
      </c>
      <c r="G1171" t="s">
        <v>51</v>
      </c>
      <c r="H1171" t="s">
        <v>90</v>
      </c>
      <c r="I1171" t="s">
        <v>383</v>
      </c>
      <c r="J1171" t="s">
        <v>384</v>
      </c>
      <c r="K1171">
        <v>822865</v>
      </c>
      <c r="L1171" t="s">
        <v>691</v>
      </c>
      <c r="M1171" t="s">
        <v>692</v>
      </c>
      <c r="N1171" t="s">
        <v>57</v>
      </c>
      <c r="O1171" s="1">
        <v>45911</v>
      </c>
      <c r="Q1171" s="1">
        <v>46092</v>
      </c>
      <c r="R1171" s="2">
        <v>28.38</v>
      </c>
      <c r="S1171">
        <v>1</v>
      </c>
      <c r="T1171" t="s">
        <v>58</v>
      </c>
      <c r="U1171" t="s">
        <v>59</v>
      </c>
      <c r="V1171" s="3">
        <v>0.7</v>
      </c>
      <c r="W1171" s="2">
        <v>0</v>
      </c>
      <c r="X1171">
        <v>0</v>
      </c>
      <c r="Y1171" t="s">
        <v>60</v>
      </c>
      <c r="Z1171" t="s">
        <v>135</v>
      </c>
      <c r="AA1171">
        <v>0</v>
      </c>
      <c r="AB1171" s="2">
        <v>0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19.87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46062</v>
      </c>
      <c r="B1172" t="s">
        <v>48</v>
      </c>
      <c r="C1172">
        <v>649163</v>
      </c>
      <c r="D1172">
        <v>2030963808</v>
      </c>
      <c r="E1172" t="s">
        <v>534</v>
      </c>
      <c r="F1172" t="s">
        <v>1051</v>
      </c>
      <c r="G1172" t="s">
        <v>51</v>
      </c>
      <c r="H1172" t="s">
        <v>170</v>
      </c>
      <c r="I1172" t="s">
        <v>383</v>
      </c>
      <c r="J1172" t="s">
        <v>384</v>
      </c>
      <c r="K1172">
        <v>673059</v>
      </c>
      <c r="L1172" t="s">
        <v>162</v>
      </c>
      <c r="M1172" t="s">
        <v>180</v>
      </c>
      <c r="N1172" t="s">
        <v>57</v>
      </c>
      <c r="O1172" s="1">
        <v>45910</v>
      </c>
      <c r="Q1172" s="1">
        <v>46091</v>
      </c>
      <c r="R1172" s="2">
        <v>57.27</v>
      </c>
      <c r="S1172">
        <v>1</v>
      </c>
      <c r="T1172" t="s">
        <v>58</v>
      </c>
      <c r="U1172" t="s">
        <v>59</v>
      </c>
      <c r="V1172" s="3">
        <v>0.7</v>
      </c>
      <c r="W1172" s="2">
        <v>0</v>
      </c>
      <c r="X1172">
        <v>0</v>
      </c>
      <c r="Y1172" t="s">
        <v>60</v>
      </c>
      <c r="Z1172" t="s">
        <v>135</v>
      </c>
      <c r="AA1172">
        <v>0</v>
      </c>
      <c r="AB1172" s="2">
        <v>0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40.090000000000003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46062</v>
      </c>
      <c r="B1173" t="s">
        <v>48</v>
      </c>
      <c r="C1173">
        <v>649163</v>
      </c>
      <c r="D1173">
        <v>2030966818</v>
      </c>
      <c r="E1173" t="s">
        <v>782</v>
      </c>
      <c r="F1173" t="s">
        <v>683</v>
      </c>
      <c r="G1173" t="s">
        <v>51</v>
      </c>
      <c r="H1173" t="s">
        <v>193</v>
      </c>
      <c r="I1173" t="s">
        <v>383</v>
      </c>
      <c r="J1173" t="s">
        <v>384</v>
      </c>
      <c r="K1173">
        <v>823350</v>
      </c>
      <c r="L1173" t="s">
        <v>108</v>
      </c>
      <c r="M1173" t="s">
        <v>394</v>
      </c>
      <c r="N1173" t="s">
        <v>57</v>
      </c>
      <c r="O1173" s="1">
        <v>45910</v>
      </c>
      <c r="Q1173" s="1">
        <v>46091</v>
      </c>
      <c r="R1173" s="2">
        <v>18.57</v>
      </c>
      <c r="S1173">
        <v>1</v>
      </c>
      <c r="T1173" t="s">
        <v>58</v>
      </c>
      <c r="U1173" t="s">
        <v>59</v>
      </c>
      <c r="V1173" s="3">
        <v>0.7</v>
      </c>
      <c r="W1173" s="2">
        <v>0</v>
      </c>
      <c r="X1173">
        <v>0</v>
      </c>
      <c r="Y1173" t="s">
        <v>60</v>
      </c>
      <c r="Z1173" t="s">
        <v>135</v>
      </c>
      <c r="AA1173">
        <v>0</v>
      </c>
      <c r="AB1173" s="2">
        <v>0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13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46062</v>
      </c>
      <c r="B1174" t="s">
        <v>48</v>
      </c>
      <c r="C1174">
        <v>649163</v>
      </c>
      <c r="D1174">
        <v>2030977481</v>
      </c>
      <c r="E1174" t="s">
        <v>1283</v>
      </c>
      <c r="F1174" t="s">
        <v>731</v>
      </c>
      <c r="G1174" t="s">
        <v>51</v>
      </c>
      <c r="H1174" t="s">
        <v>886</v>
      </c>
      <c r="I1174" t="s">
        <v>383</v>
      </c>
      <c r="J1174" t="s">
        <v>384</v>
      </c>
      <c r="K1174">
        <v>651818</v>
      </c>
      <c r="L1174" t="s">
        <v>80</v>
      </c>
      <c r="M1174" t="s">
        <v>81</v>
      </c>
      <c r="N1174" t="s">
        <v>57</v>
      </c>
      <c r="O1174" s="1">
        <v>45936</v>
      </c>
      <c r="Q1174" s="1">
        <v>46087</v>
      </c>
      <c r="R1174" s="2">
        <v>228.99</v>
      </c>
      <c r="S1174">
        <v>1</v>
      </c>
      <c r="T1174" t="s">
        <v>58</v>
      </c>
      <c r="U1174" t="s">
        <v>59</v>
      </c>
      <c r="V1174" s="3">
        <v>0.7</v>
      </c>
      <c r="W1174" s="2">
        <v>0</v>
      </c>
      <c r="X1174">
        <v>0</v>
      </c>
      <c r="Y1174" t="s">
        <v>60</v>
      </c>
      <c r="Z1174" t="s">
        <v>135</v>
      </c>
      <c r="AA1174">
        <v>0</v>
      </c>
      <c r="AB1174" s="2">
        <v>0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160.29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46062</v>
      </c>
      <c r="B1175" t="s">
        <v>48</v>
      </c>
      <c r="C1175">
        <v>649163</v>
      </c>
      <c r="D1175">
        <v>2031017068</v>
      </c>
      <c r="E1175" t="s">
        <v>583</v>
      </c>
      <c r="F1175" t="s">
        <v>188</v>
      </c>
      <c r="G1175" t="s">
        <v>51</v>
      </c>
      <c r="H1175" t="s">
        <v>116</v>
      </c>
      <c r="I1175" t="s">
        <v>383</v>
      </c>
      <c r="J1175" t="s">
        <v>384</v>
      </c>
      <c r="K1175">
        <v>877790</v>
      </c>
      <c r="L1175" t="s">
        <v>132</v>
      </c>
      <c r="M1175" t="s">
        <v>133</v>
      </c>
      <c r="N1175" t="s">
        <v>57</v>
      </c>
      <c r="O1175" s="1">
        <v>45913</v>
      </c>
      <c r="Q1175" s="1">
        <v>46094</v>
      </c>
      <c r="R1175" s="2">
        <v>14.92</v>
      </c>
      <c r="S1175">
        <v>1</v>
      </c>
      <c r="T1175" t="s">
        <v>58</v>
      </c>
      <c r="U1175" t="s">
        <v>59</v>
      </c>
      <c r="V1175" s="3">
        <v>0.7</v>
      </c>
      <c r="W1175" s="2">
        <v>0</v>
      </c>
      <c r="X1175">
        <v>0</v>
      </c>
      <c r="Y1175" t="s">
        <v>60</v>
      </c>
      <c r="Z1175" t="s">
        <v>135</v>
      </c>
      <c r="AA1175">
        <v>0</v>
      </c>
      <c r="AB1175" s="2">
        <v>0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10.44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46062</v>
      </c>
      <c r="B1176" t="s">
        <v>48</v>
      </c>
      <c r="C1176">
        <v>649163</v>
      </c>
      <c r="D1176">
        <v>2031160015</v>
      </c>
      <c r="E1176" t="s">
        <v>1284</v>
      </c>
      <c r="F1176" t="s">
        <v>1285</v>
      </c>
      <c r="G1176" t="s">
        <v>51</v>
      </c>
      <c r="H1176" t="s">
        <v>780</v>
      </c>
      <c r="I1176" t="s">
        <v>383</v>
      </c>
      <c r="J1176" t="s">
        <v>385</v>
      </c>
      <c r="K1176">
        <v>651818</v>
      </c>
      <c r="L1176" t="s">
        <v>80</v>
      </c>
      <c r="M1176" t="s">
        <v>81</v>
      </c>
      <c r="N1176" t="s">
        <v>57</v>
      </c>
      <c r="O1176" s="1">
        <v>45936</v>
      </c>
      <c r="Q1176" s="1">
        <v>46087</v>
      </c>
      <c r="R1176" s="2">
        <v>95.38</v>
      </c>
      <c r="S1176">
        <v>1</v>
      </c>
      <c r="T1176" t="s">
        <v>58</v>
      </c>
      <c r="U1176" t="s">
        <v>59</v>
      </c>
      <c r="V1176" s="3">
        <v>0.9</v>
      </c>
      <c r="W1176" s="2">
        <v>0</v>
      </c>
      <c r="X1176">
        <v>0</v>
      </c>
      <c r="Y1176" t="s">
        <v>60</v>
      </c>
      <c r="Z1176" t="s">
        <v>135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85.84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46062</v>
      </c>
      <c r="B1177" t="s">
        <v>48</v>
      </c>
      <c r="C1177">
        <v>649163</v>
      </c>
      <c r="D1177">
        <v>2031190208</v>
      </c>
      <c r="E1177" t="s">
        <v>785</v>
      </c>
      <c r="F1177" t="s">
        <v>337</v>
      </c>
      <c r="G1177" t="s">
        <v>51</v>
      </c>
      <c r="H1177" t="s">
        <v>209</v>
      </c>
      <c r="I1177" t="s">
        <v>383</v>
      </c>
      <c r="J1177" t="s">
        <v>384</v>
      </c>
      <c r="K1177">
        <v>823350</v>
      </c>
      <c r="L1177" t="s">
        <v>108</v>
      </c>
      <c r="M1177" t="s">
        <v>394</v>
      </c>
      <c r="N1177" t="s">
        <v>57</v>
      </c>
      <c r="O1177" s="1">
        <v>45925</v>
      </c>
      <c r="Q1177" s="1">
        <v>46106</v>
      </c>
      <c r="R1177" s="2">
        <v>194.05</v>
      </c>
      <c r="S1177">
        <v>1</v>
      </c>
      <c r="T1177" t="s">
        <v>58</v>
      </c>
      <c r="U1177" t="s">
        <v>59</v>
      </c>
      <c r="V1177" s="3">
        <v>0.7</v>
      </c>
      <c r="W1177" s="2">
        <v>0</v>
      </c>
      <c r="X1177">
        <v>0</v>
      </c>
      <c r="Y1177" t="s">
        <v>60</v>
      </c>
      <c r="Z1177" t="s">
        <v>135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135.84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46062</v>
      </c>
      <c r="B1178" t="s">
        <v>48</v>
      </c>
      <c r="C1178">
        <v>649163</v>
      </c>
      <c r="D1178">
        <v>2031195331</v>
      </c>
      <c r="E1178" t="s">
        <v>305</v>
      </c>
      <c r="F1178" t="s">
        <v>240</v>
      </c>
      <c r="G1178" t="s">
        <v>51</v>
      </c>
      <c r="H1178" t="s">
        <v>90</v>
      </c>
      <c r="I1178" t="s">
        <v>383</v>
      </c>
      <c r="J1178" t="s">
        <v>400</v>
      </c>
      <c r="K1178">
        <v>884595</v>
      </c>
      <c r="L1178" t="s">
        <v>435</v>
      </c>
      <c r="M1178" t="s">
        <v>436</v>
      </c>
      <c r="N1178" t="s">
        <v>57</v>
      </c>
      <c r="O1178" s="1">
        <v>45939</v>
      </c>
      <c r="Q1178" s="1">
        <v>46090</v>
      </c>
      <c r="R1178" s="2">
        <v>25.73</v>
      </c>
      <c r="S1178">
        <v>1</v>
      </c>
      <c r="T1178" t="s">
        <v>58</v>
      </c>
      <c r="U1178" t="s">
        <v>59</v>
      </c>
      <c r="V1178" s="3">
        <v>0.7</v>
      </c>
      <c r="W1178" s="2">
        <v>0</v>
      </c>
      <c r="X1178">
        <v>0</v>
      </c>
      <c r="Y1178" t="s">
        <v>60</v>
      </c>
      <c r="Z1178" t="s">
        <v>135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18.010000000000002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46062</v>
      </c>
      <c r="B1179" t="s">
        <v>48</v>
      </c>
      <c r="C1179">
        <v>649163</v>
      </c>
      <c r="D1179">
        <v>2031247581</v>
      </c>
      <c r="E1179" t="s">
        <v>786</v>
      </c>
      <c r="F1179" t="s">
        <v>285</v>
      </c>
      <c r="G1179" t="s">
        <v>51</v>
      </c>
      <c r="H1179" t="s">
        <v>66</v>
      </c>
      <c r="I1179" t="s">
        <v>383</v>
      </c>
      <c r="J1179" t="s">
        <v>384</v>
      </c>
      <c r="K1179">
        <v>651818</v>
      </c>
      <c r="L1179" t="s">
        <v>80</v>
      </c>
      <c r="M1179" t="s">
        <v>81</v>
      </c>
      <c r="N1179" t="s">
        <v>57</v>
      </c>
      <c r="O1179" s="1">
        <v>45936</v>
      </c>
      <c r="Q1179" s="1">
        <v>46087</v>
      </c>
      <c r="R1179" s="2">
        <v>105.02</v>
      </c>
      <c r="S1179">
        <v>1</v>
      </c>
      <c r="T1179" t="s">
        <v>58</v>
      </c>
      <c r="U1179" t="s">
        <v>59</v>
      </c>
      <c r="V1179" s="3">
        <v>0.7</v>
      </c>
      <c r="W1179" s="2">
        <v>0</v>
      </c>
      <c r="X1179">
        <v>0</v>
      </c>
      <c r="Y1179" t="s">
        <v>60</v>
      </c>
      <c r="Z1179" t="s">
        <v>135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73.510000000000005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46062</v>
      </c>
      <c r="B1180" t="s">
        <v>48</v>
      </c>
      <c r="C1180">
        <v>649163</v>
      </c>
      <c r="D1180">
        <v>2031270409</v>
      </c>
      <c r="E1180" t="s">
        <v>1052</v>
      </c>
      <c r="F1180" t="s">
        <v>102</v>
      </c>
      <c r="G1180" t="s">
        <v>51</v>
      </c>
      <c r="H1180" t="s">
        <v>84</v>
      </c>
      <c r="I1180" t="s">
        <v>383</v>
      </c>
      <c r="J1180" t="s">
        <v>385</v>
      </c>
      <c r="K1180">
        <v>651818</v>
      </c>
      <c r="L1180" t="s">
        <v>80</v>
      </c>
      <c r="M1180" t="s">
        <v>81</v>
      </c>
      <c r="N1180" t="s">
        <v>57</v>
      </c>
      <c r="O1180" s="1">
        <v>45941</v>
      </c>
      <c r="Q1180" s="1">
        <v>46092</v>
      </c>
      <c r="R1180" s="2">
        <v>37.42</v>
      </c>
      <c r="S1180">
        <v>1</v>
      </c>
      <c r="T1180" t="s">
        <v>58</v>
      </c>
      <c r="U1180" t="s">
        <v>59</v>
      </c>
      <c r="V1180" s="3">
        <v>0.9</v>
      </c>
      <c r="W1180" s="2">
        <v>0</v>
      </c>
      <c r="X1180">
        <v>0</v>
      </c>
      <c r="Y1180" t="s">
        <v>60</v>
      </c>
      <c r="Z1180" t="s">
        <v>135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33.68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46062</v>
      </c>
      <c r="B1181" t="s">
        <v>48</v>
      </c>
      <c r="C1181">
        <v>649163</v>
      </c>
      <c r="D1181">
        <v>2031290288</v>
      </c>
      <c r="E1181" t="s">
        <v>1053</v>
      </c>
      <c r="F1181" t="s">
        <v>1054</v>
      </c>
      <c r="G1181" t="s">
        <v>51</v>
      </c>
      <c r="H1181" t="s">
        <v>66</v>
      </c>
      <c r="I1181" t="s">
        <v>383</v>
      </c>
      <c r="J1181" t="s">
        <v>385</v>
      </c>
      <c r="K1181">
        <v>651818</v>
      </c>
      <c r="L1181" t="s">
        <v>80</v>
      </c>
      <c r="M1181" t="s">
        <v>81</v>
      </c>
      <c r="N1181" t="s">
        <v>57</v>
      </c>
      <c r="O1181" s="1">
        <v>45936</v>
      </c>
      <c r="Q1181" s="1">
        <v>46087</v>
      </c>
      <c r="R1181" s="2">
        <v>163.25</v>
      </c>
      <c r="S1181">
        <v>1</v>
      </c>
      <c r="T1181" t="s">
        <v>58</v>
      </c>
      <c r="U1181" t="s">
        <v>59</v>
      </c>
      <c r="V1181" s="3">
        <v>0.9</v>
      </c>
      <c r="W1181" s="2">
        <v>0</v>
      </c>
      <c r="X1181">
        <v>0</v>
      </c>
      <c r="Y1181" t="s">
        <v>60</v>
      </c>
      <c r="Z1181" t="s">
        <v>135</v>
      </c>
      <c r="AA1181">
        <v>0</v>
      </c>
      <c r="AB1181" s="2">
        <v>0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146.91999999999999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46062</v>
      </c>
      <c r="B1182" t="s">
        <v>48</v>
      </c>
      <c r="C1182">
        <v>649163</v>
      </c>
      <c r="D1182">
        <v>2031320895</v>
      </c>
      <c r="E1182" t="s">
        <v>1055</v>
      </c>
      <c r="F1182" t="s">
        <v>457</v>
      </c>
      <c r="G1182" t="s">
        <v>51</v>
      </c>
      <c r="H1182" t="s">
        <v>84</v>
      </c>
      <c r="I1182" t="s">
        <v>383</v>
      </c>
      <c r="J1182" t="s">
        <v>384</v>
      </c>
      <c r="K1182">
        <v>651818</v>
      </c>
      <c r="L1182" t="s">
        <v>80</v>
      </c>
      <c r="M1182" t="s">
        <v>81</v>
      </c>
      <c r="N1182" t="s">
        <v>57</v>
      </c>
      <c r="O1182" s="1">
        <v>45936</v>
      </c>
      <c r="Q1182" s="1">
        <v>46087</v>
      </c>
      <c r="R1182" s="2">
        <v>11.5</v>
      </c>
      <c r="S1182">
        <v>1</v>
      </c>
      <c r="T1182" t="s">
        <v>58</v>
      </c>
      <c r="U1182" t="s">
        <v>59</v>
      </c>
      <c r="V1182" s="3">
        <v>0.7</v>
      </c>
      <c r="W1182" s="2">
        <v>0</v>
      </c>
      <c r="X1182">
        <v>0</v>
      </c>
      <c r="Y1182" t="s">
        <v>60</v>
      </c>
      <c r="Z1182" t="s">
        <v>135</v>
      </c>
      <c r="AA1182">
        <v>0</v>
      </c>
      <c r="AB1182" s="2">
        <v>0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8.0500000000000007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46062</v>
      </c>
      <c r="B1183" t="s">
        <v>48</v>
      </c>
      <c r="C1183">
        <v>649163</v>
      </c>
      <c r="D1183">
        <v>2031346768</v>
      </c>
      <c r="E1183" t="s">
        <v>1056</v>
      </c>
      <c r="F1183" t="s">
        <v>1057</v>
      </c>
      <c r="G1183" t="s">
        <v>51</v>
      </c>
      <c r="H1183" t="s">
        <v>392</v>
      </c>
      <c r="I1183" t="s">
        <v>383</v>
      </c>
      <c r="J1183" t="s">
        <v>400</v>
      </c>
      <c r="K1183">
        <v>823068</v>
      </c>
      <c r="L1183" t="s">
        <v>355</v>
      </c>
      <c r="M1183" t="s">
        <v>356</v>
      </c>
      <c r="N1183" t="s">
        <v>57</v>
      </c>
      <c r="O1183" s="1">
        <v>45931</v>
      </c>
      <c r="Q1183" s="1">
        <v>46082</v>
      </c>
      <c r="R1183" s="2">
        <v>24.61</v>
      </c>
      <c r="S1183">
        <v>1</v>
      </c>
      <c r="T1183" t="s">
        <v>58</v>
      </c>
      <c r="U1183" t="s">
        <v>59</v>
      </c>
      <c r="V1183" s="3">
        <v>0.7</v>
      </c>
      <c r="W1183" s="2">
        <v>0</v>
      </c>
      <c r="X1183">
        <v>0</v>
      </c>
      <c r="Y1183" t="s">
        <v>60</v>
      </c>
      <c r="Z1183" t="s">
        <v>135</v>
      </c>
      <c r="AA1183">
        <v>0</v>
      </c>
      <c r="AB1183" s="2">
        <v>0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17.23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46062</v>
      </c>
      <c r="B1184" t="s">
        <v>48</v>
      </c>
      <c r="C1184">
        <v>649163</v>
      </c>
      <c r="D1184">
        <v>2031346770</v>
      </c>
      <c r="E1184" t="s">
        <v>1056</v>
      </c>
      <c r="F1184" t="s">
        <v>1057</v>
      </c>
      <c r="G1184" t="s">
        <v>51</v>
      </c>
      <c r="H1184" t="s">
        <v>392</v>
      </c>
      <c r="I1184" t="s">
        <v>383</v>
      </c>
      <c r="J1184" t="s">
        <v>843</v>
      </c>
      <c r="K1184">
        <v>823068</v>
      </c>
      <c r="L1184" t="s">
        <v>355</v>
      </c>
      <c r="M1184" t="s">
        <v>356</v>
      </c>
      <c r="N1184" t="s">
        <v>57</v>
      </c>
      <c r="O1184" s="1">
        <v>45931</v>
      </c>
      <c r="Q1184" s="1">
        <v>46082</v>
      </c>
      <c r="R1184" s="2">
        <v>27.8</v>
      </c>
      <c r="S1184">
        <v>1</v>
      </c>
      <c r="T1184" t="s">
        <v>58</v>
      </c>
      <c r="U1184" t="s">
        <v>59</v>
      </c>
      <c r="V1184" s="3">
        <v>0.42</v>
      </c>
      <c r="W1184" s="2">
        <v>0</v>
      </c>
      <c r="X1184">
        <v>0</v>
      </c>
      <c r="Y1184" t="s">
        <v>60</v>
      </c>
      <c r="Z1184" t="s">
        <v>135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11.68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46062</v>
      </c>
      <c r="B1185" t="s">
        <v>48</v>
      </c>
      <c r="C1185">
        <v>649163</v>
      </c>
      <c r="D1185">
        <v>2031379411</v>
      </c>
      <c r="E1185" t="s">
        <v>317</v>
      </c>
      <c r="F1185" t="s">
        <v>318</v>
      </c>
      <c r="G1185" t="s">
        <v>51</v>
      </c>
      <c r="H1185" t="s">
        <v>66</v>
      </c>
      <c r="I1185" t="s">
        <v>383</v>
      </c>
      <c r="J1185" t="s">
        <v>384</v>
      </c>
      <c r="K1185">
        <v>820873</v>
      </c>
      <c r="L1185" t="s">
        <v>319</v>
      </c>
      <c r="M1185" t="s">
        <v>320</v>
      </c>
      <c r="N1185" t="s">
        <v>57</v>
      </c>
      <c r="O1185" s="1">
        <v>45962</v>
      </c>
      <c r="Q1185" s="1">
        <v>46082</v>
      </c>
      <c r="R1185" s="2">
        <v>11.5</v>
      </c>
      <c r="S1185">
        <v>1</v>
      </c>
      <c r="T1185" t="s">
        <v>58</v>
      </c>
      <c r="U1185" t="s">
        <v>59</v>
      </c>
      <c r="V1185" s="3">
        <v>0.7</v>
      </c>
      <c r="W1185" s="2">
        <v>0</v>
      </c>
      <c r="X1185">
        <v>0</v>
      </c>
      <c r="Y1185" t="s">
        <v>60</v>
      </c>
      <c r="Z1185" t="s">
        <v>135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8.0500000000000007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46062</v>
      </c>
      <c r="B1186" t="s">
        <v>48</v>
      </c>
      <c r="C1186">
        <v>649163</v>
      </c>
      <c r="D1186">
        <v>2031463660</v>
      </c>
      <c r="E1186" t="s">
        <v>428</v>
      </c>
      <c r="F1186" t="s">
        <v>1187</v>
      </c>
      <c r="G1186" t="s">
        <v>51</v>
      </c>
      <c r="H1186" t="s">
        <v>96</v>
      </c>
      <c r="I1186" t="s">
        <v>383</v>
      </c>
      <c r="J1186" t="s">
        <v>385</v>
      </c>
      <c r="K1186">
        <v>882034</v>
      </c>
      <c r="L1186" t="s">
        <v>1286</v>
      </c>
      <c r="M1186" t="s">
        <v>1287</v>
      </c>
      <c r="N1186" t="s">
        <v>57</v>
      </c>
      <c r="O1186" s="1">
        <v>45940</v>
      </c>
      <c r="Q1186" s="1">
        <v>46091</v>
      </c>
      <c r="R1186" s="2">
        <v>51.63</v>
      </c>
      <c r="S1186">
        <v>1</v>
      </c>
      <c r="T1186" t="s">
        <v>58</v>
      </c>
      <c r="U1186" t="s">
        <v>59</v>
      </c>
      <c r="V1186" s="3">
        <v>0.9</v>
      </c>
      <c r="W1186" s="2">
        <v>0</v>
      </c>
      <c r="X1186">
        <v>0</v>
      </c>
      <c r="Y1186" t="s">
        <v>60</v>
      </c>
      <c r="Z1186" t="s">
        <v>135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46.47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46062</v>
      </c>
      <c r="B1187" t="s">
        <v>48</v>
      </c>
      <c r="C1187">
        <v>649163</v>
      </c>
      <c r="D1187">
        <v>2031492463</v>
      </c>
      <c r="E1187" t="s">
        <v>787</v>
      </c>
      <c r="F1187" t="s">
        <v>201</v>
      </c>
      <c r="G1187" t="s">
        <v>51</v>
      </c>
      <c r="H1187" t="s">
        <v>71</v>
      </c>
      <c r="I1187" t="s">
        <v>383</v>
      </c>
      <c r="J1187" t="s">
        <v>384</v>
      </c>
      <c r="K1187">
        <v>823350</v>
      </c>
      <c r="L1187" t="s">
        <v>108</v>
      </c>
      <c r="M1187" t="s">
        <v>394</v>
      </c>
      <c r="N1187" t="s">
        <v>57</v>
      </c>
      <c r="O1187" s="1">
        <v>45938</v>
      </c>
      <c r="Q1187" s="1">
        <v>46089</v>
      </c>
      <c r="R1187" s="2">
        <v>101.99</v>
      </c>
      <c r="S1187">
        <v>1</v>
      </c>
      <c r="T1187" t="s">
        <v>58</v>
      </c>
      <c r="U1187" t="s">
        <v>59</v>
      </c>
      <c r="V1187" s="3">
        <v>0.7</v>
      </c>
      <c r="W1187" s="2">
        <v>0</v>
      </c>
      <c r="X1187">
        <v>0</v>
      </c>
      <c r="Y1187" t="s">
        <v>60</v>
      </c>
      <c r="Z1187" t="s">
        <v>135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71.39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46062</v>
      </c>
      <c r="B1188" t="s">
        <v>48</v>
      </c>
      <c r="C1188">
        <v>649163</v>
      </c>
      <c r="D1188">
        <v>2031501468</v>
      </c>
      <c r="E1188" t="s">
        <v>1288</v>
      </c>
      <c r="F1188" t="s">
        <v>705</v>
      </c>
      <c r="G1188" t="s">
        <v>51</v>
      </c>
      <c r="H1188" t="s">
        <v>66</v>
      </c>
      <c r="I1188" t="s">
        <v>383</v>
      </c>
      <c r="J1188" t="s">
        <v>384</v>
      </c>
      <c r="K1188">
        <v>768887</v>
      </c>
      <c r="L1188" t="s">
        <v>295</v>
      </c>
      <c r="M1188" t="s">
        <v>296</v>
      </c>
      <c r="N1188" t="s">
        <v>57</v>
      </c>
      <c r="O1188" s="1">
        <v>45938</v>
      </c>
      <c r="Q1188" s="1">
        <v>46089</v>
      </c>
      <c r="R1188" s="2">
        <v>96</v>
      </c>
      <c r="S1188">
        <v>1</v>
      </c>
      <c r="T1188" t="s">
        <v>58</v>
      </c>
      <c r="U1188" t="s">
        <v>59</v>
      </c>
      <c r="V1188" s="3">
        <v>0.7</v>
      </c>
      <c r="W1188" s="2">
        <v>0</v>
      </c>
      <c r="X1188">
        <v>0</v>
      </c>
      <c r="Y1188" t="s">
        <v>60</v>
      </c>
      <c r="Z1188" t="s">
        <v>135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67.2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46062</v>
      </c>
      <c r="B1189" t="s">
        <v>48</v>
      </c>
      <c r="C1189">
        <v>649163</v>
      </c>
      <c r="D1189">
        <v>2031523386</v>
      </c>
      <c r="E1189" t="s">
        <v>1059</v>
      </c>
      <c r="F1189" t="s">
        <v>302</v>
      </c>
      <c r="G1189" t="s">
        <v>51</v>
      </c>
      <c r="H1189" t="s">
        <v>274</v>
      </c>
      <c r="I1189" t="s">
        <v>383</v>
      </c>
      <c r="J1189" t="s">
        <v>400</v>
      </c>
      <c r="K1189">
        <v>816021</v>
      </c>
      <c r="L1189" t="s">
        <v>275</v>
      </c>
      <c r="M1189" t="s">
        <v>276</v>
      </c>
      <c r="N1189" t="s">
        <v>57</v>
      </c>
      <c r="O1189" s="1">
        <v>45939</v>
      </c>
      <c r="Q1189" s="1">
        <v>46090</v>
      </c>
      <c r="R1189" s="2">
        <v>6.3</v>
      </c>
      <c r="S1189">
        <v>1</v>
      </c>
      <c r="T1189" t="s">
        <v>58</v>
      </c>
      <c r="U1189" t="s">
        <v>59</v>
      </c>
      <c r="V1189" s="3">
        <v>0.7</v>
      </c>
      <c r="W1189" s="2">
        <v>0</v>
      </c>
      <c r="X1189">
        <v>0</v>
      </c>
      <c r="Y1189" t="s">
        <v>60</v>
      </c>
      <c r="Z1189" t="s">
        <v>135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4.41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46062</v>
      </c>
      <c r="B1190" t="s">
        <v>48</v>
      </c>
      <c r="C1190">
        <v>649163</v>
      </c>
      <c r="D1190">
        <v>2031523389</v>
      </c>
      <c r="E1190" t="s">
        <v>1059</v>
      </c>
      <c r="F1190" t="s">
        <v>302</v>
      </c>
      <c r="G1190" t="s">
        <v>51</v>
      </c>
      <c r="H1190" t="s">
        <v>274</v>
      </c>
      <c r="I1190" t="s">
        <v>383</v>
      </c>
      <c r="J1190" t="s">
        <v>384</v>
      </c>
      <c r="K1190">
        <v>816021</v>
      </c>
      <c r="L1190" t="s">
        <v>275</v>
      </c>
      <c r="M1190" t="s">
        <v>276</v>
      </c>
      <c r="N1190" t="s">
        <v>57</v>
      </c>
      <c r="O1190" s="1">
        <v>45939</v>
      </c>
      <c r="Q1190" s="1">
        <v>46090</v>
      </c>
      <c r="R1190" s="2">
        <v>9.1</v>
      </c>
      <c r="S1190">
        <v>1</v>
      </c>
      <c r="T1190" t="s">
        <v>58</v>
      </c>
      <c r="U1190" t="s">
        <v>59</v>
      </c>
      <c r="V1190" s="3">
        <v>0.7</v>
      </c>
      <c r="W1190" s="2">
        <v>0</v>
      </c>
      <c r="X1190">
        <v>0</v>
      </c>
      <c r="Y1190" t="s">
        <v>60</v>
      </c>
      <c r="Z1190" t="s">
        <v>135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6.37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46062</v>
      </c>
      <c r="B1191" t="s">
        <v>48</v>
      </c>
      <c r="C1191">
        <v>649163</v>
      </c>
      <c r="D1191">
        <v>2031526094</v>
      </c>
      <c r="E1191" t="s">
        <v>788</v>
      </c>
      <c r="F1191" t="s">
        <v>734</v>
      </c>
      <c r="G1191" t="s">
        <v>51</v>
      </c>
      <c r="H1191" t="s">
        <v>116</v>
      </c>
      <c r="I1191" t="s">
        <v>383</v>
      </c>
      <c r="J1191" t="s">
        <v>384</v>
      </c>
      <c r="K1191">
        <v>877790</v>
      </c>
      <c r="L1191" t="s">
        <v>132</v>
      </c>
      <c r="M1191" t="s">
        <v>133</v>
      </c>
      <c r="N1191" t="s">
        <v>57</v>
      </c>
      <c r="O1191" s="1">
        <v>45939</v>
      </c>
      <c r="Q1191" s="1">
        <v>46090</v>
      </c>
      <c r="R1191" s="2">
        <v>3.52</v>
      </c>
      <c r="S1191">
        <v>1</v>
      </c>
      <c r="T1191" t="s">
        <v>58</v>
      </c>
      <c r="U1191" t="s">
        <v>59</v>
      </c>
      <c r="V1191" s="3">
        <v>0.7</v>
      </c>
      <c r="W1191" s="2">
        <v>0</v>
      </c>
      <c r="X1191">
        <v>0</v>
      </c>
      <c r="Y1191" t="s">
        <v>60</v>
      </c>
      <c r="Z1191" t="s">
        <v>135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2.46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46062</v>
      </c>
      <c r="B1192" t="s">
        <v>48</v>
      </c>
      <c r="C1192">
        <v>649163</v>
      </c>
      <c r="D1192">
        <v>2031534330</v>
      </c>
      <c r="E1192" t="s">
        <v>1289</v>
      </c>
      <c r="F1192" t="s">
        <v>120</v>
      </c>
      <c r="G1192" t="s">
        <v>51</v>
      </c>
      <c r="H1192" t="s">
        <v>90</v>
      </c>
      <c r="I1192" t="s">
        <v>383</v>
      </c>
      <c r="J1192" t="s">
        <v>384</v>
      </c>
      <c r="K1192">
        <v>767312</v>
      </c>
      <c r="L1192" t="s">
        <v>310</v>
      </c>
      <c r="M1192" t="s">
        <v>311</v>
      </c>
      <c r="N1192" t="s">
        <v>57</v>
      </c>
      <c r="O1192" s="1">
        <v>45940</v>
      </c>
      <c r="Q1192" s="1">
        <v>46091</v>
      </c>
      <c r="R1192" s="2">
        <v>79.03</v>
      </c>
      <c r="S1192">
        <v>1</v>
      </c>
      <c r="T1192" t="s">
        <v>58</v>
      </c>
      <c r="U1192" t="s">
        <v>59</v>
      </c>
      <c r="V1192" s="3">
        <v>0.7</v>
      </c>
      <c r="W1192" s="2">
        <v>0</v>
      </c>
      <c r="X1192">
        <v>0</v>
      </c>
      <c r="Y1192" t="s">
        <v>60</v>
      </c>
      <c r="Z1192" t="s">
        <v>135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55.32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46062</v>
      </c>
      <c r="B1193" t="s">
        <v>48</v>
      </c>
      <c r="C1193">
        <v>649163</v>
      </c>
      <c r="D1193">
        <v>2031568599</v>
      </c>
      <c r="E1193" t="s">
        <v>1290</v>
      </c>
      <c r="F1193" t="s">
        <v>1291</v>
      </c>
      <c r="G1193" t="s">
        <v>51</v>
      </c>
      <c r="H1193" t="s">
        <v>66</v>
      </c>
      <c r="I1193" t="s">
        <v>383</v>
      </c>
      <c r="J1193" t="s">
        <v>384</v>
      </c>
      <c r="K1193">
        <v>807212</v>
      </c>
      <c r="L1193" t="s">
        <v>801</v>
      </c>
      <c r="M1193" t="s">
        <v>802</v>
      </c>
      <c r="N1193" t="s">
        <v>57</v>
      </c>
      <c r="O1193" s="1">
        <v>45941</v>
      </c>
      <c r="Q1193" s="1">
        <v>46092</v>
      </c>
      <c r="R1193" s="2">
        <v>95.92</v>
      </c>
      <c r="S1193">
        <v>1</v>
      </c>
      <c r="T1193" t="s">
        <v>58</v>
      </c>
      <c r="U1193" t="s">
        <v>59</v>
      </c>
      <c r="V1193" s="3">
        <v>0.7</v>
      </c>
      <c r="W1193" s="2">
        <v>0</v>
      </c>
      <c r="X1193">
        <v>0</v>
      </c>
      <c r="Y1193" t="s">
        <v>60</v>
      </c>
      <c r="Z1193" t="s">
        <v>135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67.14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46062</v>
      </c>
      <c r="B1194" t="s">
        <v>48</v>
      </c>
      <c r="C1194">
        <v>649163</v>
      </c>
      <c r="D1194">
        <v>2031569265</v>
      </c>
      <c r="E1194" t="s">
        <v>1292</v>
      </c>
      <c r="F1194" t="s">
        <v>1293</v>
      </c>
      <c r="G1194" t="s">
        <v>51</v>
      </c>
      <c r="H1194" t="s">
        <v>84</v>
      </c>
      <c r="I1194" t="s">
        <v>383</v>
      </c>
      <c r="J1194" t="s">
        <v>384</v>
      </c>
      <c r="K1194">
        <v>856824</v>
      </c>
      <c r="L1194" t="s">
        <v>126</v>
      </c>
      <c r="M1194" t="s">
        <v>127</v>
      </c>
      <c r="N1194" t="s">
        <v>57</v>
      </c>
      <c r="O1194" s="1">
        <v>45941</v>
      </c>
      <c r="Q1194" s="1">
        <v>46092</v>
      </c>
      <c r="R1194" s="2">
        <v>56.5</v>
      </c>
      <c r="S1194">
        <v>1</v>
      </c>
      <c r="T1194" t="s">
        <v>58</v>
      </c>
      <c r="U1194" t="s">
        <v>59</v>
      </c>
      <c r="V1194" s="3">
        <v>0.7</v>
      </c>
      <c r="W1194" s="2">
        <v>0</v>
      </c>
      <c r="X1194">
        <v>0</v>
      </c>
      <c r="Y1194" t="s">
        <v>60</v>
      </c>
      <c r="Z1194" t="s">
        <v>135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39.549999999999997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46062</v>
      </c>
      <c r="B1195" t="s">
        <v>48</v>
      </c>
      <c r="C1195">
        <v>649163</v>
      </c>
      <c r="D1195">
        <v>2031574197</v>
      </c>
      <c r="E1195" t="s">
        <v>1294</v>
      </c>
      <c r="F1195" t="s">
        <v>1295</v>
      </c>
      <c r="G1195" t="s">
        <v>51</v>
      </c>
      <c r="H1195" t="s">
        <v>66</v>
      </c>
      <c r="I1195" t="s">
        <v>383</v>
      </c>
      <c r="J1195" t="s">
        <v>384</v>
      </c>
      <c r="K1195">
        <v>807212</v>
      </c>
      <c r="L1195" t="s">
        <v>801</v>
      </c>
      <c r="M1195" t="s">
        <v>802</v>
      </c>
      <c r="N1195" t="s">
        <v>57</v>
      </c>
      <c r="O1195" s="1">
        <v>45941</v>
      </c>
      <c r="Q1195" s="1">
        <v>46092</v>
      </c>
      <c r="R1195" s="2">
        <v>42.36</v>
      </c>
      <c r="S1195">
        <v>1</v>
      </c>
      <c r="T1195" t="s">
        <v>58</v>
      </c>
      <c r="U1195" t="s">
        <v>59</v>
      </c>
      <c r="V1195" s="3">
        <v>0.7</v>
      </c>
      <c r="W1195" s="2">
        <v>0</v>
      </c>
      <c r="X1195">
        <v>0</v>
      </c>
      <c r="Y1195" t="s">
        <v>60</v>
      </c>
      <c r="Z1195" t="s">
        <v>135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29.65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46062</v>
      </c>
      <c r="B1196" t="s">
        <v>48</v>
      </c>
      <c r="C1196">
        <v>649163</v>
      </c>
      <c r="D1196">
        <v>2031620270</v>
      </c>
      <c r="E1196" t="s">
        <v>1060</v>
      </c>
      <c r="F1196" t="s">
        <v>1061</v>
      </c>
      <c r="G1196" t="s">
        <v>51</v>
      </c>
      <c r="H1196" t="s">
        <v>90</v>
      </c>
      <c r="I1196" t="s">
        <v>383</v>
      </c>
      <c r="J1196" t="s">
        <v>384</v>
      </c>
      <c r="K1196">
        <v>651818</v>
      </c>
      <c r="L1196" t="s">
        <v>80</v>
      </c>
      <c r="M1196" t="s">
        <v>81</v>
      </c>
      <c r="N1196" t="s">
        <v>57</v>
      </c>
      <c r="O1196" s="1">
        <v>45971</v>
      </c>
      <c r="Q1196" s="1">
        <v>46091</v>
      </c>
      <c r="R1196" s="2">
        <v>89.52</v>
      </c>
      <c r="S1196">
        <v>1</v>
      </c>
      <c r="T1196" t="s">
        <v>58</v>
      </c>
      <c r="U1196" t="s">
        <v>59</v>
      </c>
      <c r="V1196" s="3">
        <v>0.7</v>
      </c>
      <c r="W1196" s="2">
        <v>0</v>
      </c>
      <c r="X1196">
        <v>0</v>
      </c>
      <c r="Y1196" t="s">
        <v>60</v>
      </c>
      <c r="Z1196" t="s">
        <v>135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62.66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46062</v>
      </c>
      <c r="B1197" t="s">
        <v>48</v>
      </c>
      <c r="C1197">
        <v>649163</v>
      </c>
      <c r="D1197">
        <v>2031713685</v>
      </c>
      <c r="E1197" t="s">
        <v>1062</v>
      </c>
      <c r="F1197" t="s">
        <v>1063</v>
      </c>
      <c r="G1197" t="s">
        <v>51</v>
      </c>
      <c r="H1197" t="s">
        <v>392</v>
      </c>
      <c r="I1197" t="s">
        <v>383</v>
      </c>
      <c r="J1197" t="s">
        <v>400</v>
      </c>
      <c r="K1197">
        <v>823068</v>
      </c>
      <c r="L1197" t="s">
        <v>355</v>
      </c>
      <c r="M1197" t="s">
        <v>356</v>
      </c>
      <c r="N1197" t="s">
        <v>57</v>
      </c>
      <c r="O1197" s="1">
        <v>45969</v>
      </c>
      <c r="Q1197" s="1">
        <v>46089</v>
      </c>
      <c r="R1197" s="2">
        <v>24.61</v>
      </c>
      <c r="S1197">
        <v>1</v>
      </c>
      <c r="T1197" t="s">
        <v>58</v>
      </c>
      <c r="U1197" t="s">
        <v>59</v>
      </c>
      <c r="V1197" s="3">
        <v>0.7</v>
      </c>
      <c r="W1197" s="2">
        <v>0</v>
      </c>
      <c r="X1197">
        <v>0</v>
      </c>
      <c r="Y1197" t="s">
        <v>60</v>
      </c>
      <c r="Z1197" t="s">
        <v>135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17.23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46062</v>
      </c>
      <c r="B1198" t="s">
        <v>48</v>
      </c>
      <c r="C1198">
        <v>649163</v>
      </c>
      <c r="D1198">
        <v>2031713984</v>
      </c>
      <c r="E1198" t="s">
        <v>1296</v>
      </c>
      <c r="F1198" t="s">
        <v>1297</v>
      </c>
      <c r="G1198" t="s">
        <v>51</v>
      </c>
      <c r="H1198" t="s">
        <v>392</v>
      </c>
      <c r="I1198" t="s">
        <v>383</v>
      </c>
      <c r="J1198" t="s">
        <v>385</v>
      </c>
      <c r="K1198">
        <v>823068</v>
      </c>
      <c r="L1198" t="s">
        <v>355</v>
      </c>
      <c r="M1198" t="s">
        <v>356</v>
      </c>
      <c r="N1198" t="s">
        <v>57</v>
      </c>
      <c r="O1198" s="1">
        <v>45969</v>
      </c>
      <c r="Q1198" s="1">
        <v>46089</v>
      </c>
      <c r="R1198" s="2">
        <v>80.83</v>
      </c>
      <c r="S1198">
        <v>1</v>
      </c>
      <c r="T1198" t="s">
        <v>58</v>
      </c>
      <c r="U1198" t="s">
        <v>59</v>
      </c>
      <c r="V1198" s="3">
        <v>0.9</v>
      </c>
      <c r="W1198" s="2">
        <v>0</v>
      </c>
      <c r="X1198">
        <v>0</v>
      </c>
      <c r="Y1198" t="s">
        <v>60</v>
      </c>
      <c r="Z1198" t="s">
        <v>135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72.75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46062</v>
      </c>
      <c r="B1199" t="s">
        <v>48</v>
      </c>
      <c r="C1199">
        <v>649163</v>
      </c>
      <c r="D1199">
        <v>2031813173</v>
      </c>
      <c r="E1199" t="s">
        <v>1298</v>
      </c>
      <c r="F1199" t="s">
        <v>1299</v>
      </c>
      <c r="G1199" t="s">
        <v>51</v>
      </c>
      <c r="H1199" t="s">
        <v>309</v>
      </c>
      <c r="I1199" t="s">
        <v>383</v>
      </c>
      <c r="J1199" t="s">
        <v>385</v>
      </c>
      <c r="K1199">
        <v>767312</v>
      </c>
      <c r="L1199" t="s">
        <v>310</v>
      </c>
      <c r="M1199" t="s">
        <v>311</v>
      </c>
      <c r="N1199" t="s">
        <v>57</v>
      </c>
      <c r="O1199" s="1">
        <v>45965</v>
      </c>
      <c r="Q1199" s="1">
        <v>46085</v>
      </c>
      <c r="R1199" s="2">
        <v>23.21</v>
      </c>
      <c r="S1199">
        <v>1</v>
      </c>
      <c r="T1199" t="s">
        <v>58</v>
      </c>
      <c r="U1199" t="s">
        <v>59</v>
      </c>
      <c r="V1199" s="3">
        <v>0.9</v>
      </c>
      <c r="W1199" s="2">
        <v>0</v>
      </c>
      <c r="X1199">
        <v>0</v>
      </c>
      <c r="Y1199" t="s">
        <v>60</v>
      </c>
      <c r="Z1199" t="s">
        <v>135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20.89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46062</v>
      </c>
      <c r="B1200" t="s">
        <v>48</v>
      </c>
      <c r="C1200">
        <v>649163</v>
      </c>
      <c r="D1200">
        <v>2031825053</v>
      </c>
      <c r="E1200" t="s">
        <v>1064</v>
      </c>
      <c r="F1200" t="s">
        <v>551</v>
      </c>
      <c r="G1200" t="s">
        <v>51</v>
      </c>
      <c r="H1200" t="s">
        <v>87</v>
      </c>
      <c r="I1200" t="s">
        <v>383</v>
      </c>
      <c r="J1200" t="s">
        <v>384</v>
      </c>
      <c r="K1200">
        <v>651818</v>
      </c>
      <c r="L1200" t="s">
        <v>80</v>
      </c>
      <c r="M1200" t="s">
        <v>81</v>
      </c>
      <c r="N1200" t="s">
        <v>57</v>
      </c>
      <c r="O1200" s="1">
        <v>45967</v>
      </c>
      <c r="Q1200" s="1">
        <v>46087</v>
      </c>
      <c r="R1200" s="2">
        <v>72.790000000000006</v>
      </c>
      <c r="S1200">
        <v>1</v>
      </c>
      <c r="T1200" t="s">
        <v>58</v>
      </c>
      <c r="U1200" t="s">
        <v>59</v>
      </c>
      <c r="V1200" s="3">
        <v>0.7</v>
      </c>
      <c r="W1200" s="2">
        <v>0</v>
      </c>
      <c r="X1200">
        <v>0</v>
      </c>
      <c r="Y1200" t="s">
        <v>60</v>
      </c>
      <c r="Z1200" t="s">
        <v>135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50.95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46062</v>
      </c>
      <c r="B1201" t="s">
        <v>48</v>
      </c>
      <c r="C1201">
        <v>649163</v>
      </c>
      <c r="D1201">
        <v>2031848858</v>
      </c>
      <c r="E1201" t="s">
        <v>322</v>
      </c>
      <c r="F1201" t="s">
        <v>323</v>
      </c>
      <c r="G1201" t="s">
        <v>51</v>
      </c>
      <c r="H1201" t="s">
        <v>90</v>
      </c>
      <c r="I1201" t="s">
        <v>383</v>
      </c>
      <c r="J1201" t="s">
        <v>384</v>
      </c>
      <c r="K1201">
        <v>651818</v>
      </c>
      <c r="L1201" t="s">
        <v>80</v>
      </c>
      <c r="M1201" t="s">
        <v>81</v>
      </c>
      <c r="N1201" t="s">
        <v>57</v>
      </c>
      <c r="O1201" s="1">
        <v>45967</v>
      </c>
      <c r="Q1201" s="1">
        <v>46087</v>
      </c>
      <c r="R1201" s="2">
        <v>13</v>
      </c>
      <c r="S1201">
        <v>1</v>
      </c>
      <c r="T1201" t="s">
        <v>58</v>
      </c>
      <c r="U1201" t="s">
        <v>59</v>
      </c>
      <c r="V1201" s="3">
        <v>0.7</v>
      </c>
      <c r="W1201" s="2">
        <v>0</v>
      </c>
      <c r="X1201">
        <v>0</v>
      </c>
      <c r="Y1201" t="s">
        <v>60</v>
      </c>
      <c r="Z1201" t="s">
        <v>135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9.1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46062</v>
      </c>
      <c r="B1202" t="s">
        <v>48</v>
      </c>
      <c r="C1202">
        <v>649163</v>
      </c>
      <c r="D1202">
        <v>2031949600</v>
      </c>
      <c r="E1202" t="s">
        <v>1300</v>
      </c>
      <c r="F1202" t="s">
        <v>1301</v>
      </c>
      <c r="G1202" t="s">
        <v>51</v>
      </c>
      <c r="H1202" t="s">
        <v>90</v>
      </c>
      <c r="I1202" t="s">
        <v>383</v>
      </c>
      <c r="J1202" t="s">
        <v>384</v>
      </c>
      <c r="K1202">
        <v>822733</v>
      </c>
      <c r="L1202" t="s">
        <v>442</v>
      </c>
      <c r="M1202" t="s">
        <v>443</v>
      </c>
      <c r="N1202" t="s">
        <v>57</v>
      </c>
      <c r="O1202" s="1">
        <v>45969</v>
      </c>
      <c r="Q1202" s="1">
        <v>46089</v>
      </c>
      <c r="R1202" s="2">
        <v>28.38</v>
      </c>
      <c r="S1202">
        <v>1</v>
      </c>
      <c r="T1202" t="s">
        <v>58</v>
      </c>
      <c r="U1202" t="s">
        <v>59</v>
      </c>
      <c r="V1202" s="3">
        <v>0.7</v>
      </c>
      <c r="W1202" s="2">
        <v>0</v>
      </c>
      <c r="X1202">
        <v>0</v>
      </c>
      <c r="Y1202" t="s">
        <v>60</v>
      </c>
      <c r="Z1202" t="s">
        <v>135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19.87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46062</v>
      </c>
      <c r="B1203" t="s">
        <v>48</v>
      </c>
      <c r="C1203">
        <v>649163</v>
      </c>
      <c r="D1203">
        <v>2031949601</v>
      </c>
      <c r="E1203" t="s">
        <v>1300</v>
      </c>
      <c r="F1203" t="s">
        <v>1301</v>
      </c>
      <c r="G1203" t="s">
        <v>51</v>
      </c>
      <c r="H1203" t="s">
        <v>90</v>
      </c>
      <c r="I1203" t="s">
        <v>383</v>
      </c>
      <c r="J1203" t="s">
        <v>843</v>
      </c>
      <c r="K1203">
        <v>822733</v>
      </c>
      <c r="L1203" t="s">
        <v>442</v>
      </c>
      <c r="M1203" t="s">
        <v>443</v>
      </c>
      <c r="N1203" t="s">
        <v>57</v>
      </c>
      <c r="O1203" s="1">
        <v>45969</v>
      </c>
      <c r="Q1203" s="1">
        <v>46089</v>
      </c>
      <c r="R1203" s="2">
        <v>13.18</v>
      </c>
      <c r="S1203">
        <v>1</v>
      </c>
      <c r="T1203" t="s">
        <v>58</v>
      </c>
      <c r="U1203" t="s">
        <v>59</v>
      </c>
      <c r="V1203" s="3">
        <v>0.42</v>
      </c>
      <c r="W1203" s="2">
        <v>0</v>
      </c>
      <c r="X1203">
        <v>0</v>
      </c>
      <c r="Y1203" t="s">
        <v>60</v>
      </c>
      <c r="Z1203" t="s">
        <v>135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5.54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46062</v>
      </c>
      <c r="B1204" t="s">
        <v>48</v>
      </c>
      <c r="C1204">
        <v>649163</v>
      </c>
      <c r="D1204">
        <v>2031970926</v>
      </c>
      <c r="E1204" t="s">
        <v>1302</v>
      </c>
      <c r="F1204" t="s">
        <v>281</v>
      </c>
      <c r="G1204" t="s">
        <v>51</v>
      </c>
      <c r="H1204" t="s">
        <v>112</v>
      </c>
      <c r="I1204" t="s">
        <v>383</v>
      </c>
      <c r="J1204" t="s">
        <v>384</v>
      </c>
      <c r="K1204">
        <v>651818</v>
      </c>
      <c r="L1204" t="s">
        <v>80</v>
      </c>
      <c r="M1204" t="s">
        <v>81</v>
      </c>
      <c r="N1204" t="s">
        <v>57</v>
      </c>
      <c r="O1204" s="1">
        <v>45997</v>
      </c>
      <c r="Q1204" s="1">
        <v>46087</v>
      </c>
      <c r="R1204" s="2">
        <v>51.19</v>
      </c>
      <c r="S1204">
        <v>1</v>
      </c>
      <c r="T1204" t="s">
        <v>58</v>
      </c>
      <c r="U1204" t="s">
        <v>59</v>
      </c>
      <c r="V1204" s="3">
        <v>0.7</v>
      </c>
      <c r="W1204" s="2">
        <v>0</v>
      </c>
      <c r="X1204">
        <v>0</v>
      </c>
      <c r="Y1204" t="s">
        <v>60</v>
      </c>
      <c r="Z1204" t="s">
        <v>135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35.83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46062</v>
      </c>
      <c r="B1205" t="s">
        <v>48</v>
      </c>
      <c r="C1205">
        <v>649163</v>
      </c>
      <c r="D1205">
        <v>2031970927</v>
      </c>
      <c r="E1205" t="s">
        <v>1302</v>
      </c>
      <c r="F1205" t="s">
        <v>281</v>
      </c>
      <c r="G1205" t="s">
        <v>51</v>
      </c>
      <c r="H1205" t="s">
        <v>112</v>
      </c>
      <c r="I1205" t="s">
        <v>383</v>
      </c>
      <c r="J1205" t="s">
        <v>385</v>
      </c>
      <c r="K1205">
        <v>651818</v>
      </c>
      <c r="L1205" t="s">
        <v>80</v>
      </c>
      <c r="M1205" t="s">
        <v>81</v>
      </c>
      <c r="N1205" t="s">
        <v>57</v>
      </c>
      <c r="O1205" s="1">
        <v>45997</v>
      </c>
      <c r="Q1205" s="1">
        <v>46087</v>
      </c>
      <c r="R1205" s="2">
        <v>98.38</v>
      </c>
      <c r="S1205">
        <v>1</v>
      </c>
      <c r="T1205" t="s">
        <v>58</v>
      </c>
      <c r="U1205" t="s">
        <v>59</v>
      </c>
      <c r="V1205" s="3">
        <v>0.9</v>
      </c>
      <c r="W1205" s="2">
        <v>0</v>
      </c>
      <c r="X1205">
        <v>0</v>
      </c>
      <c r="Y1205" t="s">
        <v>60</v>
      </c>
      <c r="Z1205" t="s">
        <v>135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88.54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46062</v>
      </c>
      <c r="B1206" t="s">
        <v>48</v>
      </c>
      <c r="C1206">
        <v>649163</v>
      </c>
      <c r="D1206">
        <v>2031972270</v>
      </c>
      <c r="E1206" t="s">
        <v>180</v>
      </c>
      <c r="F1206" t="s">
        <v>1303</v>
      </c>
      <c r="G1206" t="s">
        <v>51</v>
      </c>
      <c r="H1206" t="s">
        <v>66</v>
      </c>
      <c r="I1206" t="s">
        <v>383</v>
      </c>
      <c r="J1206" t="s">
        <v>384</v>
      </c>
      <c r="K1206">
        <v>768887</v>
      </c>
      <c r="L1206" t="s">
        <v>295</v>
      </c>
      <c r="M1206" t="s">
        <v>296</v>
      </c>
      <c r="N1206" t="s">
        <v>144</v>
      </c>
      <c r="O1206" s="1">
        <v>45992</v>
      </c>
      <c r="P1206" s="1">
        <v>46055</v>
      </c>
      <c r="Q1206" s="1">
        <v>46082</v>
      </c>
      <c r="R1206" s="2">
        <v>-55.97</v>
      </c>
      <c r="S1206">
        <v>1</v>
      </c>
      <c r="T1206" t="s">
        <v>58</v>
      </c>
      <c r="U1206" t="s">
        <v>59</v>
      </c>
      <c r="V1206" s="3">
        <v>0.7</v>
      </c>
      <c r="W1206" s="2">
        <v>0</v>
      </c>
      <c r="X1206">
        <v>-1</v>
      </c>
      <c r="Y1206" t="s">
        <v>60</v>
      </c>
      <c r="Z1206" t="s">
        <v>135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-39.18</v>
      </c>
      <c r="AN1206" s="2">
        <v>-39.18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46062</v>
      </c>
      <c r="B1207" t="s">
        <v>48</v>
      </c>
      <c r="C1207">
        <v>649163</v>
      </c>
      <c r="D1207">
        <v>2031978323</v>
      </c>
      <c r="E1207" t="s">
        <v>1065</v>
      </c>
      <c r="F1207" t="s">
        <v>1066</v>
      </c>
      <c r="G1207" t="s">
        <v>51</v>
      </c>
      <c r="H1207" t="s">
        <v>886</v>
      </c>
      <c r="I1207" t="s">
        <v>383</v>
      </c>
      <c r="J1207" t="s">
        <v>384</v>
      </c>
      <c r="K1207">
        <v>651818</v>
      </c>
      <c r="L1207" t="s">
        <v>80</v>
      </c>
      <c r="M1207" t="s">
        <v>81</v>
      </c>
      <c r="N1207" t="s">
        <v>57</v>
      </c>
      <c r="O1207" s="1">
        <v>46028</v>
      </c>
      <c r="Q1207" s="1">
        <v>46087</v>
      </c>
      <c r="R1207" s="2">
        <v>130.74</v>
      </c>
      <c r="S1207">
        <v>1</v>
      </c>
      <c r="T1207" t="s">
        <v>58</v>
      </c>
      <c r="U1207" t="s">
        <v>59</v>
      </c>
      <c r="V1207" s="3">
        <v>0.7</v>
      </c>
      <c r="W1207" s="2">
        <v>0</v>
      </c>
      <c r="X1207">
        <v>0</v>
      </c>
      <c r="Y1207" t="s">
        <v>60</v>
      </c>
      <c r="Z1207" t="s">
        <v>135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91.52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46062</v>
      </c>
      <c r="B1208" t="s">
        <v>48</v>
      </c>
      <c r="C1208">
        <v>649163</v>
      </c>
      <c r="D1208">
        <v>2031995944</v>
      </c>
      <c r="E1208" t="s">
        <v>1304</v>
      </c>
      <c r="F1208" t="s">
        <v>232</v>
      </c>
      <c r="G1208" t="s">
        <v>51</v>
      </c>
      <c r="H1208" t="s">
        <v>78</v>
      </c>
      <c r="I1208" t="s">
        <v>383</v>
      </c>
      <c r="J1208" t="s">
        <v>385</v>
      </c>
      <c r="K1208">
        <v>651818</v>
      </c>
      <c r="L1208" t="s">
        <v>80</v>
      </c>
      <c r="M1208" t="s">
        <v>81</v>
      </c>
      <c r="N1208" t="s">
        <v>57</v>
      </c>
      <c r="O1208" s="1">
        <v>45997</v>
      </c>
      <c r="Q1208" s="1">
        <v>46087</v>
      </c>
      <c r="R1208" s="2">
        <v>168.88</v>
      </c>
      <c r="S1208">
        <v>1</v>
      </c>
      <c r="T1208" t="s">
        <v>58</v>
      </c>
      <c r="U1208" t="s">
        <v>59</v>
      </c>
      <c r="V1208" s="3">
        <v>0.9</v>
      </c>
      <c r="W1208" s="2">
        <v>0</v>
      </c>
      <c r="X1208">
        <v>0</v>
      </c>
      <c r="Y1208" t="s">
        <v>60</v>
      </c>
      <c r="Z1208" t="s">
        <v>135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151.99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46062</v>
      </c>
      <c r="B1209" t="s">
        <v>48</v>
      </c>
      <c r="C1209">
        <v>649163</v>
      </c>
      <c r="D1209">
        <v>2032000756</v>
      </c>
      <c r="E1209" t="s">
        <v>1091</v>
      </c>
      <c r="F1209" t="s">
        <v>1092</v>
      </c>
      <c r="G1209" t="s">
        <v>51</v>
      </c>
      <c r="H1209" t="s">
        <v>66</v>
      </c>
      <c r="I1209" t="s">
        <v>383</v>
      </c>
      <c r="J1209" t="s">
        <v>384</v>
      </c>
      <c r="K1209">
        <v>843573</v>
      </c>
      <c r="L1209" t="s">
        <v>365</v>
      </c>
      <c r="M1209" t="s">
        <v>366</v>
      </c>
      <c r="N1209" t="s">
        <v>57</v>
      </c>
      <c r="O1209" s="1">
        <v>45968</v>
      </c>
      <c r="Q1209" s="1">
        <v>46088</v>
      </c>
      <c r="R1209" s="2">
        <v>11.5</v>
      </c>
      <c r="S1209">
        <v>1</v>
      </c>
      <c r="T1209" t="s">
        <v>58</v>
      </c>
      <c r="U1209" t="s">
        <v>59</v>
      </c>
      <c r="V1209" s="3">
        <v>0.7</v>
      </c>
      <c r="W1209" s="2">
        <v>0</v>
      </c>
      <c r="X1209">
        <v>0</v>
      </c>
      <c r="Y1209" t="s">
        <v>60</v>
      </c>
      <c r="Z1209" t="s">
        <v>135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8.0500000000000007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46062</v>
      </c>
      <c r="B1210" t="s">
        <v>48</v>
      </c>
      <c r="C1210">
        <v>649163</v>
      </c>
      <c r="D1210">
        <v>2032010095</v>
      </c>
      <c r="E1210" t="s">
        <v>1067</v>
      </c>
      <c r="F1210" t="s">
        <v>561</v>
      </c>
      <c r="G1210" t="s">
        <v>51</v>
      </c>
      <c r="H1210" t="s">
        <v>66</v>
      </c>
      <c r="I1210" t="s">
        <v>383</v>
      </c>
      <c r="J1210" t="s">
        <v>384</v>
      </c>
      <c r="K1210">
        <v>673059</v>
      </c>
      <c r="L1210" t="s">
        <v>162</v>
      </c>
      <c r="M1210" t="s">
        <v>180</v>
      </c>
      <c r="N1210" t="s">
        <v>57</v>
      </c>
      <c r="O1210" s="1">
        <v>45967</v>
      </c>
      <c r="Q1210" s="1">
        <v>46087</v>
      </c>
      <c r="R1210" s="2">
        <v>95.54</v>
      </c>
      <c r="S1210">
        <v>1</v>
      </c>
      <c r="T1210" t="s">
        <v>58</v>
      </c>
      <c r="U1210" t="s">
        <v>59</v>
      </c>
      <c r="V1210" s="3">
        <v>0.7</v>
      </c>
      <c r="W1210" s="2">
        <v>0</v>
      </c>
      <c r="X1210">
        <v>0</v>
      </c>
      <c r="Y1210" t="s">
        <v>60</v>
      </c>
      <c r="Z1210" t="s">
        <v>135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66.88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46062</v>
      </c>
      <c r="B1211" t="s">
        <v>48</v>
      </c>
      <c r="C1211">
        <v>649163</v>
      </c>
      <c r="D1211">
        <v>2032016198</v>
      </c>
      <c r="E1211" t="s">
        <v>402</v>
      </c>
      <c r="F1211" t="s">
        <v>1068</v>
      </c>
      <c r="G1211" t="s">
        <v>51</v>
      </c>
      <c r="H1211" t="s">
        <v>87</v>
      </c>
      <c r="I1211" t="s">
        <v>383</v>
      </c>
      <c r="J1211" t="s">
        <v>384</v>
      </c>
      <c r="K1211">
        <v>651818</v>
      </c>
      <c r="L1211" t="s">
        <v>80</v>
      </c>
      <c r="M1211" t="s">
        <v>81</v>
      </c>
      <c r="N1211" t="s">
        <v>57</v>
      </c>
      <c r="O1211" s="1">
        <v>46028</v>
      </c>
      <c r="Q1211" s="1">
        <v>46087</v>
      </c>
      <c r="R1211" s="2">
        <v>147.88</v>
      </c>
      <c r="S1211">
        <v>1</v>
      </c>
      <c r="T1211" t="s">
        <v>58</v>
      </c>
      <c r="U1211" t="s">
        <v>59</v>
      </c>
      <c r="V1211" s="3">
        <v>0.7</v>
      </c>
      <c r="W1211" s="2">
        <v>0</v>
      </c>
      <c r="X1211">
        <v>0</v>
      </c>
      <c r="Y1211" t="s">
        <v>60</v>
      </c>
      <c r="Z1211" t="s">
        <v>135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103.52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46062</v>
      </c>
      <c r="B1212" t="s">
        <v>48</v>
      </c>
      <c r="C1212">
        <v>649163</v>
      </c>
      <c r="D1212">
        <v>2032021875</v>
      </c>
      <c r="E1212" t="s">
        <v>1069</v>
      </c>
      <c r="F1212" t="s">
        <v>1070</v>
      </c>
      <c r="G1212" t="s">
        <v>51</v>
      </c>
      <c r="H1212" t="s">
        <v>274</v>
      </c>
      <c r="I1212" t="s">
        <v>383</v>
      </c>
      <c r="J1212" t="s">
        <v>384</v>
      </c>
      <c r="K1212">
        <v>816021</v>
      </c>
      <c r="L1212" t="s">
        <v>275</v>
      </c>
      <c r="M1212" t="s">
        <v>276</v>
      </c>
      <c r="N1212" t="s">
        <v>57</v>
      </c>
      <c r="O1212" s="1">
        <v>45968</v>
      </c>
      <c r="Q1212" s="1">
        <v>46088</v>
      </c>
      <c r="R1212" s="2">
        <v>9.1</v>
      </c>
      <c r="S1212">
        <v>1</v>
      </c>
      <c r="T1212" t="s">
        <v>58</v>
      </c>
      <c r="U1212" t="s">
        <v>59</v>
      </c>
      <c r="V1212" s="3">
        <v>0.7</v>
      </c>
      <c r="W1212" s="2">
        <v>0</v>
      </c>
      <c r="X1212">
        <v>0</v>
      </c>
      <c r="Y1212" t="s">
        <v>60</v>
      </c>
      <c r="Z1212" t="s">
        <v>135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6.37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46062</v>
      </c>
      <c r="B1213" t="s">
        <v>48</v>
      </c>
      <c r="C1213">
        <v>649163</v>
      </c>
      <c r="D1213">
        <v>2032021962</v>
      </c>
      <c r="E1213" t="s">
        <v>1093</v>
      </c>
      <c r="F1213" t="s">
        <v>70</v>
      </c>
      <c r="G1213" t="s">
        <v>51</v>
      </c>
      <c r="H1213" t="s">
        <v>52</v>
      </c>
      <c r="I1213" t="s">
        <v>383</v>
      </c>
      <c r="J1213" t="s">
        <v>400</v>
      </c>
      <c r="K1213">
        <v>877182</v>
      </c>
      <c r="L1213" t="s">
        <v>1094</v>
      </c>
      <c r="M1213" t="s">
        <v>1095</v>
      </c>
      <c r="N1213" t="s">
        <v>57</v>
      </c>
      <c r="O1213" s="1">
        <v>45968</v>
      </c>
      <c r="Q1213" s="1">
        <v>46088</v>
      </c>
      <c r="R1213" s="2">
        <v>25.73</v>
      </c>
      <c r="S1213">
        <v>1</v>
      </c>
      <c r="T1213" t="s">
        <v>58</v>
      </c>
      <c r="U1213" t="s">
        <v>59</v>
      </c>
      <c r="V1213" s="3">
        <v>0.7</v>
      </c>
      <c r="W1213" s="2">
        <v>0</v>
      </c>
      <c r="X1213">
        <v>0</v>
      </c>
      <c r="Y1213" t="s">
        <v>60</v>
      </c>
      <c r="Z1213" t="s">
        <v>135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18.010000000000002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46062</v>
      </c>
      <c r="B1214" t="s">
        <v>1305</v>
      </c>
      <c r="C1214">
        <v>649163</v>
      </c>
      <c r="D1214">
        <v>2020855630</v>
      </c>
      <c r="E1214" t="s">
        <v>467</v>
      </c>
      <c r="F1214" t="s">
        <v>468</v>
      </c>
      <c r="G1214" t="s">
        <v>51</v>
      </c>
      <c r="I1214" t="s">
        <v>383</v>
      </c>
      <c r="J1214" t="s">
        <v>385</v>
      </c>
      <c r="K1214">
        <v>649163</v>
      </c>
      <c r="L1214" t="s">
        <v>80</v>
      </c>
      <c r="M1214" t="s">
        <v>81</v>
      </c>
      <c r="N1214" t="s">
        <v>144</v>
      </c>
      <c r="O1214" s="1">
        <v>45265</v>
      </c>
      <c r="P1214" s="1">
        <v>46062</v>
      </c>
      <c r="R1214" s="2">
        <v>0</v>
      </c>
      <c r="AB1214" s="2">
        <v>0</v>
      </c>
      <c r="AC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46062</v>
      </c>
      <c r="B1215" t="s">
        <v>1305</v>
      </c>
      <c r="C1215">
        <v>649163</v>
      </c>
      <c r="D1215">
        <v>2022693239</v>
      </c>
      <c r="E1215" t="s">
        <v>416</v>
      </c>
      <c r="F1215" t="s">
        <v>240</v>
      </c>
      <c r="G1215" t="s">
        <v>51</v>
      </c>
      <c r="I1215" t="s">
        <v>363</v>
      </c>
      <c r="J1215" t="s">
        <v>364</v>
      </c>
      <c r="K1215">
        <v>649163</v>
      </c>
      <c r="L1215" t="s">
        <v>239</v>
      </c>
      <c r="M1215" t="s">
        <v>240</v>
      </c>
      <c r="N1215" t="s">
        <v>144</v>
      </c>
      <c r="O1215" s="1">
        <v>45413</v>
      </c>
      <c r="P1215" s="1">
        <v>46062</v>
      </c>
      <c r="R1215" s="2">
        <v>0</v>
      </c>
      <c r="AB1215" s="2">
        <v>0</v>
      </c>
      <c r="AC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46062</v>
      </c>
      <c r="B1216" t="s">
        <v>1305</v>
      </c>
      <c r="C1216">
        <v>673059</v>
      </c>
      <c r="D1216">
        <v>2024384777</v>
      </c>
      <c r="E1216" t="s">
        <v>823</v>
      </c>
      <c r="F1216" t="s">
        <v>537</v>
      </c>
      <c r="G1216" t="s">
        <v>51</v>
      </c>
      <c r="I1216" t="s">
        <v>72</v>
      </c>
      <c r="J1216" t="s">
        <v>455</v>
      </c>
      <c r="K1216">
        <v>673059</v>
      </c>
      <c r="L1216" t="s">
        <v>162</v>
      </c>
      <c r="M1216" t="s">
        <v>180</v>
      </c>
      <c r="N1216" t="s">
        <v>144</v>
      </c>
      <c r="O1216" s="1">
        <v>45536</v>
      </c>
      <c r="P1216" s="1">
        <v>46062</v>
      </c>
      <c r="R1216" s="2">
        <v>0</v>
      </c>
      <c r="AB1216" s="2">
        <v>0</v>
      </c>
      <c r="AC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46062</v>
      </c>
      <c r="B1217" t="s">
        <v>1305</v>
      </c>
      <c r="C1217">
        <v>649163</v>
      </c>
      <c r="D1217">
        <v>2022693240</v>
      </c>
      <c r="E1217" t="s">
        <v>416</v>
      </c>
      <c r="F1217" t="s">
        <v>240</v>
      </c>
      <c r="G1217" t="s">
        <v>51</v>
      </c>
      <c r="I1217" t="s">
        <v>53</v>
      </c>
      <c r="J1217" t="s">
        <v>54</v>
      </c>
      <c r="K1217">
        <v>649163</v>
      </c>
      <c r="L1217" t="s">
        <v>239</v>
      </c>
      <c r="M1217" t="s">
        <v>240</v>
      </c>
      <c r="N1217" t="s">
        <v>144</v>
      </c>
      <c r="O1217" s="1">
        <v>45413</v>
      </c>
      <c r="P1217" s="1">
        <v>46062</v>
      </c>
      <c r="R1217" s="2">
        <v>0</v>
      </c>
      <c r="AB1217" s="2">
        <v>0</v>
      </c>
      <c r="AC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46062</v>
      </c>
      <c r="B1218" t="s">
        <v>1305</v>
      </c>
      <c r="C1218">
        <v>673059</v>
      </c>
      <c r="D1218">
        <v>2024384775</v>
      </c>
      <c r="E1218" t="s">
        <v>823</v>
      </c>
      <c r="F1218" t="s">
        <v>537</v>
      </c>
      <c r="G1218" t="s">
        <v>51</v>
      </c>
      <c r="I1218" t="s">
        <v>383</v>
      </c>
      <c r="J1218" t="s">
        <v>384</v>
      </c>
      <c r="K1218">
        <v>673059</v>
      </c>
      <c r="L1218" t="s">
        <v>162</v>
      </c>
      <c r="M1218" t="s">
        <v>180</v>
      </c>
      <c r="N1218" t="s">
        <v>144</v>
      </c>
      <c r="O1218" s="1">
        <v>45536</v>
      </c>
      <c r="P1218" s="1">
        <v>46062</v>
      </c>
      <c r="R1218" s="2">
        <v>0</v>
      </c>
      <c r="AB1218" s="2">
        <v>0</v>
      </c>
      <c r="AC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46062</v>
      </c>
      <c r="B1219" t="s">
        <v>1305</v>
      </c>
      <c r="C1219">
        <v>673059</v>
      </c>
      <c r="D1219">
        <v>2024384776</v>
      </c>
      <c r="E1219" t="s">
        <v>823</v>
      </c>
      <c r="F1219" t="s">
        <v>537</v>
      </c>
      <c r="G1219" t="s">
        <v>51</v>
      </c>
      <c r="I1219" t="s">
        <v>383</v>
      </c>
      <c r="J1219" t="s">
        <v>1172</v>
      </c>
      <c r="K1219">
        <v>673059</v>
      </c>
      <c r="L1219" t="s">
        <v>162</v>
      </c>
      <c r="M1219" t="s">
        <v>180</v>
      </c>
      <c r="N1219" t="s">
        <v>144</v>
      </c>
      <c r="O1219" s="1">
        <v>45536</v>
      </c>
      <c r="P1219" s="1">
        <v>46062</v>
      </c>
      <c r="R1219" s="2">
        <v>0</v>
      </c>
      <c r="AB1219" s="2">
        <v>0</v>
      </c>
      <c r="AC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46062</v>
      </c>
      <c r="B1220" t="s">
        <v>1305</v>
      </c>
      <c r="C1220">
        <v>649163</v>
      </c>
      <c r="D1220">
        <v>2022693241</v>
      </c>
      <c r="E1220" t="s">
        <v>416</v>
      </c>
      <c r="F1220" t="s">
        <v>240</v>
      </c>
      <c r="G1220" t="s">
        <v>51</v>
      </c>
      <c r="I1220" t="s">
        <v>378</v>
      </c>
      <c r="J1220" t="s">
        <v>379</v>
      </c>
      <c r="K1220">
        <v>649163</v>
      </c>
      <c r="L1220" t="s">
        <v>239</v>
      </c>
      <c r="M1220" t="s">
        <v>240</v>
      </c>
      <c r="N1220" t="s">
        <v>144</v>
      </c>
      <c r="O1220" s="1">
        <v>45413</v>
      </c>
      <c r="P1220" s="1">
        <v>46062</v>
      </c>
      <c r="R1220" s="2">
        <v>0</v>
      </c>
      <c r="AB1220" s="2">
        <v>0</v>
      </c>
      <c r="AC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46062</v>
      </c>
      <c r="B1221" t="s">
        <v>1305</v>
      </c>
      <c r="C1221">
        <v>649163</v>
      </c>
      <c r="D1221">
        <v>2017036876</v>
      </c>
      <c r="E1221" t="s">
        <v>547</v>
      </c>
      <c r="F1221" t="s">
        <v>622</v>
      </c>
      <c r="G1221" t="s">
        <v>51</v>
      </c>
      <c r="I1221" t="s">
        <v>363</v>
      </c>
      <c r="J1221" t="s">
        <v>364</v>
      </c>
      <c r="K1221">
        <v>649163</v>
      </c>
      <c r="L1221" t="s">
        <v>162</v>
      </c>
      <c r="M1221" t="s">
        <v>163</v>
      </c>
      <c r="N1221" t="s">
        <v>144</v>
      </c>
      <c r="O1221" s="1">
        <v>44927</v>
      </c>
      <c r="P1221" s="1">
        <v>46062</v>
      </c>
      <c r="R1221" s="2">
        <v>0</v>
      </c>
      <c r="AB1221" s="2">
        <v>0</v>
      </c>
      <c r="AC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46062</v>
      </c>
      <c r="B1222" t="s">
        <v>1305</v>
      </c>
      <c r="C1222">
        <v>649163</v>
      </c>
      <c r="D1222">
        <v>2023372599</v>
      </c>
      <c r="E1222" t="s">
        <v>641</v>
      </c>
      <c r="F1222" t="s">
        <v>642</v>
      </c>
      <c r="G1222" t="s">
        <v>51</v>
      </c>
      <c r="I1222" t="s">
        <v>363</v>
      </c>
      <c r="J1222" t="s">
        <v>364</v>
      </c>
      <c r="K1222">
        <v>649163</v>
      </c>
      <c r="L1222" t="s">
        <v>246</v>
      </c>
      <c r="M1222" t="s">
        <v>195</v>
      </c>
      <c r="N1222" t="s">
        <v>144</v>
      </c>
      <c r="O1222" s="1">
        <v>45447</v>
      </c>
      <c r="P1222" s="1">
        <v>46062</v>
      </c>
      <c r="R1222" s="2">
        <v>0</v>
      </c>
      <c r="AB1222" s="2">
        <v>0</v>
      </c>
      <c r="AC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46062</v>
      </c>
      <c r="B1223" t="s">
        <v>1305</v>
      </c>
      <c r="C1223">
        <v>673059</v>
      </c>
      <c r="D1223">
        <v>2020544339</v>
      </c>
      <c r="E1223" t="s">
        <v>1306</v>
      </c>
      <c r="F1223" t="s">
        <v>304</v>
      </c>
      <c r="G1223" t="s">
        <v>51</v>
      </c>
      <c r="I1223" t="s">
        <v>363</v>
      </c>
      <c r="J1223" t="s">
        <v>364</v>
      </c>
      <c r="K1223">
        <v>673059</v>
      </c>
      <c r="L1223" t="s">
        <v>162</v>
      </c>
      <c r="M1223" t="s">
        <v>180</v>
      </c>
      <c r="N1223" t="s">
        <v>144</v>
      </c>
      <c r="O1223" s="1">
        <v>45231</v>
      </c>
      <c r="P1223" s="1">
        <v>46062</v>
      </c>
      <c r="R1223" s="2">
        <v>0</v>
      </c>
      <c r="AB1223" s="2">
        <v>0</v>
      </c>
      <c r="AC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46062</v>
      </c>
      <c r="B1224" t="s">
        <v>1305</v>
      </c>
      <c r="C1224">
        <v>649163</v>
      </c>
      <c r="D1224">
        <v>2020855629</v>
      </c>
      <c r="E1224" t="s">
        <v>467</v>
      </c>
      <c r="F1224" t="s">
        <v>468</v>
      </c>
      <c r="G1224" t="s">
        <v>51</v>
      </c>
      <c r="I1224" t="s">
        <v>72</v>
      </c>
      <c r="J1224" t="s">
        <v>79</v>
      </c>
      <c r="K1224">
        <v>649163</v>
      </c>
      <c r="L1224" t="s">
        <v>80</v>
      </c>
      <c r="M1224" t="s">
        <v>81</v>
      </c>
      <c r="N1224" t="s">
        <v>144</v>
      </c>
      <c r="O1224" s="1">
        <v>45265</v>
      </c>
      <c r="P1224" s="1">
        <v>46062</v>
      </c>
      <c r="R1224" s="2">
        <v>0</v>
      </c>
      <c r="AB1224" s="2">
        <v>0</v>
      </c>
      <c r="AC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46062</v>
      </c>
      <c r="B1225" t="s">
        <v>1305</v>
      </c>
      <c r="C1225">
        <v>649163</v>
      </c>
      <c r="D1225">
        <v>2024225541</v>
      </c>
      <c r="E1225" t="s">
        <v>974</v>
      </c>
      <c r="F1225" t="s">
        <v>975</v>
      </c>
      <c r="G1225" t="s">
        <v>51</v>
      </c>
      <c r="I1225" t="s">
        <v>130</v>
      </c>
      <c r="J1225" t="s">
        <v>976</v>
      </c>
      <c r="K1225">
        <v>649163</v>
      </c>
      <c r="L1225" t="s">
        <v>162</v>
      </c>
      <c r="M1225" t="s">
        <v>180</v>
      </c>
      <c r="N1225" t="s">
        <v>144</v>
      </c>
      <c r="O1225" s="1">
        <v>45656</v>
      </c>
      <c r="P1225" s="1">
        <v>46062</v>
      </c>
      <c r="R1225" s="2">
        <v>0</v>
      </c>
      <c r="AB1225" s="2">
        <v>0</v>
      </c>
      <c r="AC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46062</v>
      </c>
      <c r="B1226" t="s">
        <v>1305</v>
      </c>
      <c r="C1226">
        <v>649163</v>
      </c>
      <c r="D1226">
        <v>2026187010</v>
      </c>
      <c r="E1226" t="s">
        <v>533</v>
      </c>
      <c r="F1226" t="s">
        <v>534</v>
      </c>
      <c r="G1226" t="s">
        <v>51</v>
      </c>
      <c r="I1226" t="s">
        <v>363</v>
      </c>
      <c r="J1226" t="s">
        <v>364</v>
      </c>
      <c r="K1226">
        <v>649163</v>
      </c>
      <c r="L1226" t="s">
        <v>310</v>
      </c>
      <c r="M1226" t="s">
        <v>311</v>
      </c>
      <c r="N1226" t="s">
        <v>144</v>
      </c>
      <c r="O1226" s="1">
        <v>45658</v>
      </c>
      <c r="P1226" s="1">
        <v>46062</v>
      </c>
      <c r="R1226" s="2">
        <v>0</v>
      </c>
      <c r="AB1226" s="2">
        <v>0</v>
      </c>
      <c r="AC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46062</v>
      </c>
      <c r="B1227" t="s">
        <v>1305</v>
      </c>
      <c r="C1227">
        <v>649163</v>
      </c>
      <c r="D1227">
        <v>2024225542</v>
      </c>
      <c r="E1227" t="s">
        <v>974</v>
      </c>
      <c r="F1227" t="s">
        <v>975</v>
      </c>
      <c r="G1227" t="s">
        <v>51</v>
      </c>
      <c r="I1227" t="s">
        <v>350</v>
      </c>
      <c r="J1227" t="s">
        <v>574</v>
      </c>
      <c r="K1227">
        <v>649163</v>
      </c>
      <c r="L1227" t="s">
        <v>162</v>
      </c>
      <c r="M1227" t="s">
        <v>180</v>
      </c>
      <c r="N1227" t="s">
        <v>144</v>
      </c>
      <c r="O1227" s="1">
        <v>45656</v>
      </c>
      <c r="P1227" s="1">
        <v>46062</v>
      </c>
      <c r="R1227" s="2">
        <v>0</v>
      </c>
      <c r="AB1227" s="2">
        <v>0</v>
      </c>
      <c r="AC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46062</v>
      </c>
      <c r="B1228" t="s">
        <v>1305</v>
      </c>
      <c r="C1228">
        <v>649163</v>
      </c>
      <c r="D1228">
        <v>2026187011</v>
      </c>
      <c r="E1228" t="s">
        <v>533</v>
      </c>
      <c r="F1228" t="s">
        <v>534</v>
      </c>
      <c r="G1228" t="s">
        <v>51</v>
      </c>
      <c r="I1228" t="s">
        <v>383</v>
      </c>
      <c r="J1228" t="s">
        <v>384</v>
      </c>
      <c r="K1228">
        <v>649163</v>
      </c>
      <c r="L1228" t="s">
        <v>310</v>
      </c>
      <c r="M1228" t="s">
        <v>311</v>
      </c>
      <c r="N1228" t="s">
        <v>144</v>
      </c>
      <c r="O1228" s="1">
        <v>45658</v>
      </c>
      <c r="P1228" s="1">
        <v>46062</v>
      </c>
      <c r="R1228" s="2">
        <v>0</v>
      </c>
      <c r="AB1228" s="2">
        <v>0</v>
      </c>
      <c r="AC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46062</v>
      </c>
      <c r="B1229" t="s">
        <v>1305</v>
      </c>
      <c r="C1229">
        <v>649163</v>
      </c>
      <c r="D1229">
        <v>2026189683</v>
      </c>
      <c r="E1229" t="s">
        <v>1220</v>
      </c>
      <c r="F1229" t="s">
        <v>999</v>
      </c>
      <c r="G1229" t="s">
        <v>51</v>
      </c>
      <c r="I1229" t="s">
        <v>383</v>
      </c>
      <c r="J1229" t="s">
        <v>384</v>
      </c>
      <c r="K1229">
        <v>649163</v>
      </c>
      <c r="L1229" t="s">
        <v>1213</v>
      </c>
      <c r="M1229" t="s">
        <v>683</v>
      </c>
      <c r="N1229" t="s">
        <v>144</v>
      </c>
      <c r="O1229" s="1">
        <v>45658</v>
      </c>
      <c r="P1229" s="1">
        <v>46062</v>
      </c>
      <c r="R1229" s="2">
        <v>0</v>
      </c>
      <c r="AB1229" s="2">
        <v>0</v>
      </c>
      <c r="AC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46062</v>
      </c>
      <c r="B1230" t="s">
        <v>1305</v>
      </c>
      <c r="C1230">
        <v>649163</v>
      </c>
      <c r="D1230">
        <v>2026187013</v>
      </c>
      <c r="E1230" t="s">
        <v>533</v>
      </c>
      <c r="F1230" t="s">
        <v>534</v>
      </c>
      <c r="G1230" t="s">
        <v>51</v>
      </c>
      <c r="I1230" t="s">
        <v>72</v>
      </c>
      <c r="J1230" t="s">
        <v>455</v>
      </c>
      <c r="K1230">
        <v>649163</v>
      </c>
      <c r="L1230" t="s">
        <v>310</v>
      </c>
      <c r="M1230" t="s">
        <v>311</v>
      </c>
      <c r="N1230" t="s">
        <v>144</v>
      </c>
      <c r="O1230" s="1">
        <v>45658</v>
      </c>
      <c r="P1230" s="1">
        <v>46062</v>
      </c>
      <c r="R1230" s="2">
        <v>0</v>
      </c>
      <c r="AB1230" s="2">
        <v>0</v>
      </c>
      <c r="AC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46062</v>
      </c>
      <c r="B1231" t="s">
        <v>1305</v>
      </c>
      <c r="C1231">
        <v>649163</v>
      </c>
      <c r="D1231">
        <v>2027787691</v>
      </c>
      <c r="E1231" t="s">
        <v>699</v>
      </c>
      <c r="F1231" t="s">
        <v>700</v>
      </c>
      <c r="G1231" t="s">
        <v>51</v>
      </c>
      <c r="I1231" t="s">
        <v>363</v>
      </c>
      <c r="J1231" t="s">
        <v>364</v>
      </c>
      <c r="K1231">
        <v>649163</v>
      </c>
      <c r="L1231" t="s">
        <v>334</v>
      </c>
      <c r="M1231" t="s">
        <v>335</v>
      </c>
      <c r="N1231" t="s">
        <v>144</v>
      </c>
      <c r="O1231" s="1">
        <v>45748</v>
      </c>
      <c r="P1231" s="1">
        <v>46062</v>
      </c>
      <c r="R1231" s="2">
        <v>0</v>
      </c>
      <c r="AB1231" s="2">
        <v>0</v>
      </c>
      <c r="AC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46062</v>
      </c>
      <c r="B1232" t="s">
        <v>1305</v>
      </c>
      <c r="C1232">
        <v>649163</v>
      </c>
      <c r="D1232">
        <v>2028520983</v>
      </c>
      <c r="E1232" t="s">
        <v>531</v>
      </c>
      <c r="F1232" t="s">
        <v>712</v>
      </c>
      <c r="G1232" t="s">
        <v>51</v>
      </c>
      <c r="I1232" t="s">
        <v>383</v>
      </c>
      <c r="J1232" t="s">
        <v>384</v>
      </c>
      <c r="K1232">
        <v>649163</v>
      </c>
      <c r="L1232" t="s">
        <v>569</v>
      </c>
      <c r="M1232" t="s">
        <v>570</v>
      </c>
      <c r="N1232" t="s">
        <v>144</v>
      </c>
      <c r="O1232" s="1">
        <v>45778</v>
      </c>
      <c r="P1232" s="1">
        <v>46062</v>
      </c>
      <c r="R1232" s="2">
        <v>0</v>
      </c>
      <c r="AB1232" s="2">
        <v>0</v>
      </c>
      <c r="AC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46062</v>
      </c>
      <c r="B1233" t="s">
        <v>1305</v>
      </c>
      <c r="C1233">
        <v>649163</v>
      </c>
      <c r="D1233">
        <v>2028942347</v>
      </c>
      <c r="E1233" t="s">
        <v>1254</v>
      </c>
      <c r="F1233" t="s">
        <v>1255</v>
      </c>
      <c r="G1233" t="s">
        <v>51</v>
      </c>
      <c r="I1233" t="s">
        <v>383</v>
      </c>
      <c r="J1233" t="s">
        <v>384</v>
      </c>
      <c r="K1233">
        <v>649163</v>
      </c>
      <c r="L1233" t="s">
        <v>108</v>
      </c>
      <c r="M1233" t="s">
        <v>394</v>
      </c>
      <c r="N1233" t="s">
        <v>144</v>
      </c>
      <c r="O1233" s="1">
        <v>45801</v>
      </c>
      <c r="P1233" s="1">
        <v>46062</v>
      </c>
      <c r="R1233" s="2">
        <v>0</v>
      </c>
      <c r="AB1233" s="2">
        <v>808.96</v>
      </c>
      <c r="AC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808.96</v>
      </c>
      <c r="AN1233" s="2">
        <v>0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46062</v>
      </c>
      <c r="B1234" t="s">
        <v>1305</v>
      </c>
      <c r="C1234">
        <v>812656</v>
      </c>
      <c r="D1234">
        <v>2028963882</v>
      </c>
      <c r="E1234" t="s">
        <v>1307</v>
      </c>
      <c r="F1234" t="s">
        <v>1308</v>
      </c>
      <c r="G1234" t="s">
        <v>51</v>
      </c>
      <c r="I1234" t="s">
        <v>363</v>
      </c>
      <c r="J1234" t="s">
        <v>364</v>
      </c>
      <c r="K1234">
        <v>812656</v>
      </c>
      <c r="L1234" t="s">
        <v>740</v>
      </c>
      <c r="M1234" t="s">
        <v>741</v>
      </c>
      <c r="N1234" t="s">
        <v>144</v>
      </c>
      <c r="O1234" s="1">
        <v>45801</v>
      </c>
      <c r="P1234" s="1">
        <v>46062</v>
      </c>
      <c r="R1234" s="2">
        <v>0</v>
      </c>
      <c r="AB1234" s="2">
        <v>151.18</v>
      </c>
      <c r="AC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151.18</v>
      </c>
      <c r="AN1234" s="2">
        <v>0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46062</v>
      </c>
      <c r="B1235" t="s">
        <v>1305</v>
      </c>
      <c r="C1235">
        <v>812656</v>
      </c>
      <c r="D1235">
        <v>2028963883</v>
      </c>
      <c r="E1235" t="s">
        <v>1307</v>
      </c>
      <c r="F1235" t="s">
        <v>1308</v>
      </c>
      <c r="G1235" t="s">
        <v>51</v>
      </c>
      <c r="I1235" t="s">
        <v>383</v>
      </c>
      <c r="J1235" t="s">
        <v>384</v>
      </c>
      <c r="K1235">
        <v>812656</v>
      </c>
      <c r="L1235" t="s">
        <v>740</v>
      </c>
      <c r="M1235" t="s">
        <v>741</v>
      </c>
      <c r="N1235" t="s">
        <v>144</v>
      </c>
      <c r="O1235" s="1">
        <v>45801</v>
      </c>
      <c r="P1235" s="1">
        <v>46062</v>
      </c>
      <c r="R1235" s="2">
        <v>0</v>
      </c>
      <c r="AB1235" s="2">
        <v>178</v>
      </c>
      <c r="AC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178</v>
      </c>
      <c r="AN1235" s="2">
        <v>0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46062</v>
      </c>
      <c r="B1236" t="s">
        <v>1305</v>
      </c>
      <c r="C1236">
        <v>649163</v>
      </c>
      <c r="D1236">
        <v>2029031424</v>
      </c>
      <c r="E1236" t="s">
        <v>110</v>
      </c>
      <c r="F1236" t="s">
        <v>1007</v>
      </c>
      <c r="G1236" t="s">
        <v>51</v>
      </c>
      <c r="I1236" t="s">
        <v>72</v>
      </c>
      <c r="J1236" t="s">
        <v>79</v>
      </c>
      <c r="K1236">
        <v>649163</v>
      </c>
      <c r="L1236" t="s">
        <v>80</v>
      </c>
      <c r="M1236" t="s">
        <v>81</v>
      </c>
      <c r="N1236" t="s">
        <v>144</v>
      </c>
      <c r="O1236" s="1">
        <v>45815</v>
      </c>
      <c r="P1236" s="1">
        <v>46062</v>
      </c>
      <c r="R1236" s="2">
        <v>0</v>
      </c>
      <c r="AB1236" s="2">
        <v>737.1</v>
      </c>
      <c r="AC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737.1</v>
      </c>
      <c r="AN1236" s="2">
        <v>0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46062</v>
      </c>
      <c r="B1237" t="s">
        <v>1305</v>
      </c>
      <c r="C1237">
        <v>822733</v>
      </c>
      <c r="D1237">
        <v>2029410874</v>
      </c>
      <c r="E1237" t="s">
        <v>1309</v>
      </c>
      <c r="F1237" t="s">
        <v>1310</v>
      </c>
      <c r="G1237" t="s">
        <v>51</v>
      </c>
      <c r="I1237" t="s">
        <v>383</v>
      </c>
      <c r="J1237" t="s">
        <v>384</v>
      </c>
      <c r="K1237">
        <v>822733</v>
      </c>
      <c r="L1237" t="s">
        <v>442</v>
      </c>
      <c r="M1237" t="s">
        <v>443</v>
      </c>
      <c r="N1237" t="s">
        <v>144</v>
      </c>
      <c r="O1237" s="1">
        <v>45821</v>
      </c>
      <c r="P1237" s="1">
        <v>46062</v>
      </c>
      <c r="R1237" s="2">
        <v>0</v>
      </c>
      <c r="AB1237" s="2">
        <v>204.79</v>
      </c>
      <c r="AC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204.79</v>
      </c>
      <c r="AN1237" s="2">
        <v>0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46062</v>
      </c>
      <c r="B1238" t="s">
        <v>1305</v>
      </c>
      <c r="C1238">
        <v>649163</v>
      </c>
      <c r="D1238">
        <v>2029787707</v>
      </c>
      <c r="E1238" t="s">
        <v>281</v>
      </c>
      <c r="F1238" t="s">
        <v>430</v>
      </c>
      <c r="G1238" t="s">
        <v>51</v>
      </c>
      <c r="I1238" t="s">
        <v>363</v>
      </c>
      <c r="J1238" t="s">
        <v>364</v>
      </c>
      <c r="K1238">
        <v>649163</v>
      </c>
      <c r="L1238" t="s">
        <v>80</v>
      </c>
      <c r="M1238" t="s">
        <v>81</v>
      </c>
      <c r="N1238" t="s">
        <v>144</v>
      </c>
      <c r="O1238" s="1">
        <v>45870</v>
      </c>
      <c r="P1238" s="1">
        <v>46062</v>
      </c>
      <c r="R1238" s="2">
        <v>0</v>
      </c>
      <c r="AB1238" s="2">
        <v>134.26</v>
      </c>
      <c r="AC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134.26</v>
      </c>
      <c r="AN1238" s="2">
        <v>0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46062</v>
      </c>
      <c r="B1239" t="s">
        <v>1305</v>
      </c>
      <c r="C1239">
        <v>649163</v>
      </c>
      <c r="D1239">
        <v>2029787708</v>
      </c>
      <c r="E1239" t="s">
        <v>281</v>
      </c>
      <c r="F1239" t="s">
        <v>430</v>
      </c>
      <c r="G1239" t="s">
        <v>51</v>
      </c>
      <c r="I1239" t="s">
        <v>53</v>
      </c>
      <c r="J1239" t="s">
        <v>54</v>
      </c>
      <c r="K1239">
        <v>649163</v>
      </c>
      <c r="L1239" t="s">
        <v>80</v>
      </c>
      <c r="M1239" t="s">
        <v>81</v>
      </c>
      <c r="N1239" t="s">
        <v>144</v>
      </c>
      <c r="O1239" s="1">
        <v>45870</v>
      </c>
      <c r="P1239" s="1">
        <v>46062</v>
      </c>
      <c r="R1239" s="2">
        <v>0</v>
      </c>
      <c r="AB1239" s="2">
        <v>189.68</v>
      </c>
      <c r="AC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189.68</v>
      </c>
      <c r="AN1239" s="2">
        <v>0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46062</v>
      </c>
      <c r="B1240" t="s">
        <v>1305</v>
      </c>
      <c r="C1240">
        <v>649163</v>
      </c>
      <c r="D1240">
        <v>2029844784</v>
      </c>
      <c r="E1240" t="s">
        <v>211</v>
      </c>
      <c r="F1240" t="s">
        <v>294</v>
      </c>
      <c r="G1240" t="s">
        <v>51</v>
      </c>
      <c r="I1240" t="s">
        <v>378</v>
      </c>
      <c r="J1240" t="s">
        <v>380</v>
      </c>
      <c r="K1240">
        <v>649163</v>
      </c>
      <c r="L1240" t="s">
        <v>295</v>
      </c>
      <c r="M1240" t="s">
        <v>296</v>
      </c>
      <c r="N1240" t="s">
        <v>144</v>
      </c>
      <c r="O1240" s="1">
        <v>45849</v>
      </c>
      <c r="P1240" s="1">
        <v>46062</v>
      </c>
      <c r="R1240" s="2">
        <v>0</v>
      </c>
      <c r="AB1240" s="2">
        <v>1039.6600000000001</v>
      </c>
      <c r="AC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1039.6600000000001</v>
      </c>
      <c r="AN1240" s="2">
        <v>0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46062</v>
      </c>
      <c r="B1241" t="s">
        <v>1305</v>
      </c>
      <c r="C1241">
        <v>649163</v>
      </c>
      <c r="D1241">
        <v>2029844786</v>
      </c>
      <c r="E1241" t="s">
        <v>211</v>
      </c>
      <c r="F1241" t="s">
        <v>294</v>
      </c>
      <c r="G1241" t="s">
        <v>51</v>
      </c>
      <c r="I1241" t="s">
        <v>350</v>
      </c>
      <c r="J1241" t="s">
        <v>354</v>
      </c>
      <c r="K1241">
        <v>649163</v>
      </c>
      <c r="L1241" t="s">
        <v>295</v>
      </c>
      <c r="M1241" t="s">
        <v>296</v>
      </c>
      <c r="N1241" t="s">
        <v>144</v>
      </c>
      <c r="O1241" s="1">
        <v>45849</v>
      </c>
      <c r="P1241" s="1">
        <v>46062</v>
      </c>
      <c r="R1241" s="2">
        <v>0</v>
      </c>
      <c r="AB1241" s="2">
        <v>34.200000000000003</v>
      </c>
      <c r="AC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34.200000000000003</v>
      </c>
      <c r="AN1241" s="2">
        <v>0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46062</v>
      </c>
      <c r="B1242" t="s">
        <v>1305</v>
      </c>
      <c r="C1242">
        <v>649163</v>
      </c>
      <c r="D1242">
        <v>2029772059</v>
      </c>
      <c r="E1242" t="s">
        <v>339</v>
      </c>
      <c r="F1242" t="s">
        <v>747</v>
      </c>
      <c r="G1242" t="s">
        <v>51</v>
      </c>
      <c r="I1242" t="s">
        <v>363</v>
      </c>
      <c r="J1242" t="s">
        <v>364</v>
      </c>
      <c r="K1242">
        <v>649163</v>
      </c>
      <c r="L1242" t="s">
        <v>340</v>
      </c>
      <c r="M1242" t="s">
        <v>341</v>
      </c>
      <c r="N1242" t="s">
        <v>144</v>
      </c>
      <c r="O1242" s="1">
        <v>45841</v>
      </c>
      <c r="P1242" s="1">
        <v>46062</v>
      </c>
      <c r="R1242" s="2">
        <v>0</v>
      </c>
      <c r="AB1242" s="2">
        <v>174.33</v>
      </c>
      <c r="AC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174.33</v>
      </c>
      <c r="AN1242" s="2">
        <v>0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46062</v>
      </c>
      <c r="B1243" t="s">
        <v>1305</v>
      </c>
      <c r="C1243">
        <v>649163</v>
      </c>
      <c r="D1243">
        <v>2029772060</v>
      </c>
      <c r="E1243" t="s">
        <v>339</v>
      </c>
      <c r="F1243" t="s">
        <v>747</v>
      </c>
      <c r="G1243" t="s">
        <v>51</v>
      </c>
      <c r="I1243" t="s">
        <v>383</v>
      </c>
      <c r="J1243" t="s">
        <v>384</v>
      </c>
      <c r="K1243">
        <v>649163</v>
      </c>
      <c r="L1243" t="s">
        <v>340</v>
      </c>
      <c r="M1243" t="s">
        <v>341</v>
      </c>
      <c r="N1243" t="s">
        <v>144</v>
      </c>
      <c r="O1243" s="1">
        <v>45841</v>
      </c>
      <c r="P1243" s="1">
        <v>46062</v>
      </c>
      <c r="R1243" s="2">
        <v>0</v>
      </c>
      <c r="AB1243" s="2">
        <v>256.54000000000002</v>
      </c>
      <c r="AC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256.54000000000002</v>
      </c>
      <c r="AN1243" s="2">
        <v>0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46062</v>
      </c>
      <c r="B1244" t="s">
        <v>1305</v>
      </c>
      <c r="C1244">
        <v>767312</v>
      </c>
      <c r="D1244">
        <v>2029938123</v>
      </c>
      <c r="E1244" t="s">
        <v>1311</v>
      </c>
      <c r="F1244" t="s">
        <v>1312</v>
      </c>
      <c r="G1244" t="s">
        <v>51</v>
      </c>
      <c r="I1244" t="s">
        <v>383</v>
      </c>
      <c r="J1244" t="s">
        <v>384</v>
      </c>
      <c r="K1244">
        <v>767312</v>
      </c>
      <c r="L1244" t="s">
        <v>310</v>
      </c>
      <c r="M1244" t="s">
        <v>311</v>
      </c>
      <c r="N1244" t="s">
        <v>144</v>
      </c>
      <c r="O1244" s="1">
        <v>45853</v>
      </c>
      <c r="P1244" s="1">
        <v>46062</v>
      </c>
      <c r="R1244" s="2">
        <v>0</v>
      </c>
      <c r="AB1244" s="2">
        <v>318.77999999999997</v>
      </c>
      <c r="AC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318.77999999999997</v>
      </c>
      <c r="AN1244" s="2">
        <v>0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46062</v>
      </c>
      <c r="B1245" t="s">
        <v>1305</v>
      </c>
      <c r="C1245">
        <v>649163</v>
      </c>
      <c r="D1245">
        <v>2029844783</v>
      </c>
      <c r="E1245" t="s">
        <v>211</v>
      </c>
      <c r="F1245" t="s">
        <v>294</v>
      </c>
      <c r="G1245" t="s">
        <v>51</v>
      </c>
      <c r="I1245" t="s">
        <v>383</v>
      </c>
      <c r="J1245" t="s">
        <v>384</v>
      </c>
      <c r="K1245">
        <v>649163</v>
      </c>
      <c r="L1245" t="s">
        <v>295</v>
      </c>
      <c r="M1245" t="s">
        <v>296</v>
      </c>
      <c r="N1245" t="s">
        <v>144</v>
      </c>
      <c r="O1245" s="1">
        <v>45849</v>
      </c>
      <c r="P1245" s="1">
        <v>46062</v>
      </c>
      <c r="R1245" s="2">
        <v>0</v>
      </c>
      <c r="AB1245" s="2">
        <v>533.05999999999995</v>
      </c>
      <c r="AC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533.05999999999995</v>
      </c>
      <c r="AN1245" s="2">
        <v>0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46062</v>
      </c>
      <c r="B1246" t="s">
        <v>1305</v>
      </c>
      <c r="C1246">
        <v>649163</v>
      </c>
      <c r="D1246">
        <v>2029844785</v>
      </c>
      <c r="E1246" t="s">
        <v>211</v>
      </c>
      <c r="F1246" t="s">
        <v>294</v>
      </c>
      <c r="G1246" t="s">
        <v>51</v>
      </c>
      <c r="I1246" t="s">
        <v>378</v>
      </c>
      <c r="J1246" t="s">
        <v>381</v>
      </c>
      <c r="K1246">
        <v>649163</v>
      </c>
      <c r="L1246" t="s">
        <v>295</v>
      </c>
      <c r="M1246" t="s">
        <v>296</v>
      </c>
      <c r="N1246" t="s">
        <v>144</v>
      </c>
      <c r="O1246" s="1">
        <v>45849</v>
      </c>
      <c r="P1246" s="1">
        <v>46062</v>
      </c>
      <c r="R1246" s="2">
        <v>0</v>
      </c>
      <c r="AB1246" s="2">
        <v>16.170000000000002</v>
      </c>
      <c r="AC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16.170000000000002</v>
      </c>
      <c r="AN1246" s="2">
        <v>0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46062</v>
      </c>
      <c r="B1247" t="s">
        <v>1305</v>
      </c>
      <c r="C1247">
        <v>767312</v>
      </c>
      <c r="D1247">
        <v>2029938125</v>
      </c>
      <c r="E1247" t="s">
        <v>1311</v>
      </c>
      <c r="F1247" t="s">
        <v>1312</v>
      </c>
      <c r="G1247" t="s">
        <v>51</v>
      </c>
      <c r="I1247" t="s">
        <v>363</v>
      </c>
      <c r="J1247" t="s">
        <v>364</v>
      </c>
      <c r="K1247">
        <v>767312</v>
      </c>
      <c r="L1247" t="s">
        <v>310</v>
      </c>
      <c r="M1247" t="s">
        <v>311</v>
      </c>
      <c r="N1247" t="s">
        <v>144</v>
      </c>
      <c r="O1247" s="1">
        <v>45853</v>
      </c>
      <c r="P1247" s="1">
        <v>46062</v>
      </c>
      <c r="R1247" s="2">
        <v>0</v>
      </c>
      <c r="AB1247" s="2">
        <v>248.87</v>
      </c>
      <c r="AC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248.87</v>
      </c>
      <c r="AN1247" s="2">
        <v>0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46062</v>
      </c>
      <c r="B1248" t="s">
        <v>1305</v>
      </c>
      <c r="C1248">
        <v>649163</v>
      </c>
      <c r="D1248">
        <v>2029955371</v>
      </c>
      <c r="E1248" t="s">
        <v>759</v>
      </c>
      <c r="F1248" t="s">
        <v>622</v>
      </c>
      <c r="G1248" t="s">
        <v>51</v>
      </c>
      <c r="I1248" t="s">
        <v>363</v>
      </c>
      <c r="J1248" t="s">
        <v>364</v>
      </c>
      <c r="K1248">
        <v>649163</v>
      </c>
      <c r="L1248" t="s">
        <v>563</v>
      </c>
      <c r="M1248" t="s">
        <v>564</v>
      </c>
      <c r="N1248" t="s">
        <v>144</v>
      </c>
      <c r="O1248" s="1">
        <v>45853</v>
      </c>
      <c r="P1248" s="1">
        <v>46062</v>
      </c>
      <c r="R1248" s="2">
        <v>0</v>
      </c>
      <c r="AB1248" s="2">
        <v>143.15</v>
      </c>
      <c r="AC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143.15</v>
      </c>
      <c r="AN1248" s="2">
        <v>0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46062</v>
      </c>
      <c r="B1249" t="s">
        <v>1305</v>
      </c>
      <c r="C1249">
        <v>649163</v>
      </c>
      <c r="D1249">
        <v>2029955373</v>
      </c>
      <c r="E1249" t="s">
        <v>759</v>
      </c>
      <c r="F1249" t="s">
        <v>622</v>
      </c>
      <c r="G1249" t="s">
        <v>51</v>
      </c>
      <c r="I1249" t="s">
        <v>72</v>
      </c>
      <c r="J1249" t="s">
        <v>455</v>
      </c>
      <c r="K1249">
        <v>649163</v>
      </c>
      <c r="L1249" t="s">
        <v>563</v>
      </c>
      <c r="M1249" t="s">
        <v>564</v>
      </c>
      <c r="N1249" t="s">
        <v>144</v>
      </c>
      <c r="O1249" s="1">
        <v>45853</v>
      </c>
      <c r="P1249" s="1">
        <v>46062</v>
      </c>
      <c r="R1249" s="2">
        <v>0</v>
      </c>
      <c r="AB1249" s="2">
        <v>116.92</v>
      </c>
      <c r="AC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116.92</v>
      </c>
      <c r="AN1249" s="2">
        <v>0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46062</v>
      </c>
      <c r="B1250" t="s">
        <v>1305</v>
      </c>
      <c r="C1250">
        <v>649163</v>
      </c>
      <c r="D1250">
        <v>2029955372</v>
      </c>
      <c r="E1250" t="s">
        <v>759</v>
      </c>
      <c r="F1250" t="s">
        <v>622</v>
      </c>
      <c r="G1250" t="s">
        <v>51</v>
      </c>
      <c r="I1250" t="s">
        <v>383</v>
      </c>
      <c r="J1250" t="s">
        <v>384</v>
      </c>
      <c r="K1250">
        <v>649163</v>
      </c>
      <c r="L1250" t="s">
        <v>563</v>
      </c>
      <c r="M1250" t="s">
        <v>564</v>
      </c>
      <c r="N1250" t="s">
        <v>144</v>
      </c>
      <c r="O1250" s="1">
        <v>45853</v>
      </c>
      <c r="P1250" s="1">
        <v>46062</v>
      </c>
      <c r="R1250" s="2">
        <v>0</v>
      </c>
      <c r="AB1250" s="2">
        <v>40.74</v>
      </c>
      <c r="AC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40.74</v>
      </c>
      <c r="AN1250" s="2">
        <v>0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46062</v>
      </c>
      <c r="B1251" t="s">
        <v>1305</v>
      </c>
      <c r="C1251">
        <v>649163</v>
      </c>
      <c r="D1251">
        <v>2029955374</v>
      </c>
      <c r="E1251" t="s">
        <v>759</v>
      </c>
      <c r="F1251" t="s">
        <v>622</v>
      </c>
      <c r="G1251" t="s">
        <v>51</v>
      </c>
      <c r="I1251" t="s">
        <v>378</v>
      </c>
      <c r="J1251" t="s">
        <v>379</v>
      </c>
      <c r="K1251">
        <v>649163</v>
      </c>
      <c r="L1251" t="s">
        <v>563</v>
      </c>
      <c r="M1251" t="s">
        <v>564</v>
      </c>
      <c r="N1251" t="s">
        <v>144</v>
      </c>
      <c r="O1251" s="1">
        <v>45853</v>
      </c>
      <c r="P1251" s="1">
        <v>46062</v>
      </c>
      <c r="R1251" s="2">
        <v>0</v>
      </c>
      <c r="AB1251" s="2">
        <v>75.95</v>
      </c>
      <c r="AC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75.95</v>
      </c>
      <c r="AN1251" s="2">
        <v>0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46062</v>
      </c>
      <c r="B1252" t="s">
        <v>1305</v>
      </c>
      <c r="C1252">
        <v>649163</v>
      </c>
      <c r="D1252">
        <v>2030240610</v>
      </c>
      <c r="E1252" t="s">
        <v>762</v>
      </c>
      <c r="F1252" t="s">
        <v>763</v>
      </c>
      <c r="G1252" t="s">
        <v>51</v>
      </c>
      <c r="I1252" t="s">
        <v>363</v>
      </c>
      <c r="J1252" t="s">
        <v>364</v>
      </c>
      <c r="K1252">
        <v>649163</v>
      </c>
      <c r="L1252" t="s">
        <v>569</v>
      </c>
      <c r="M1252" t="s">
        <v>570</v>
      </c>
      <c r="N1252" t="s">
        <v>144</v>
      </c>
      <c r="O1252" s="1">
        <v>45901</v>
      </c>
      <c r="P1252" s="1">
        <v>46062</v>
      </c>
      <c r="R1252" s="2">
        <v>0</v>
      </c>
      <c r="AB1252" s="2">
        <v>174.33</v>
      </c>
      <c r="AC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174.33</v>
      </c>
      <c r="AN1252" s="2">
        <v>0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46062</v>
      </c>
      <c r="B1253" t="s">
        <v>1305</v>
      </c>
      <c r="C1253">
        <v>649163</v>
      </c>
      <c r="D1253">
        <v>2030240611</v>
      </c>
      <c r="E1253" t="s">
        <v>762</v>
      </c>
      <c r="F1253" t="s">
        <v>763</v>
      </c>
      <c r="G1253" t="s">
        <v>51</v>
      </c>
      <c r="I1253" t="s">
        <v>383</v>
      </c>
      <c r="J1253" t="s">
        <v>385</v>
      </c>
      <c r="K1253">
        <v>649163</v>
      </c>
      <c r="L1253" t="s">
        <v>569</v>
      </c>
      <c r="M1253" t="s">
        <v>570</v>
      </c>
      <c r="N1253" t="s">
        <v>144</v>
      </c>
      <c r="O1253" s="1">
        <v>45901</v>
      </c>
      <c r="P1253" s="1">
        <v>46062</v>
      </c>
      <c r="R1253" s="2">
        <v>0</v>
      </c>
      <c r="AB1253" s="2">
        <v>881.55</v>
      </c>
      <c r="AC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881.53</v>
      </c>
      <c r="AN1253" s="2">
        <v>-0.02</v>
      </c>
      <c r="AO1253" s="2">
        <v>-0.02</v>
      </c>
      <c r="AP1253" s="2">
        <v>0</v>
      </c>
      <c r="AQ1253" s="2">
        <v>0</v>
      </c>
    </row>
    <row r="1254" spans="1:43" x14ac:dyDescent="0.25">
      <c r="A1254" s="1">
        <v>46062</v>
      </c>
      <c r="B1254" t="s">
        <v>1305</v>
      </c>
      <c r="C1254">
        <v>649163</v>
      </c>
      <c r="D1254">
        <v>2030240612</v>
      </c>
      <c r="E1254" t="s">
        <v>762</v>
      </c>
      <c r="F1254" t="s">
        <v>763</v>
      </c>
      <c r="G1254" t="s">
        <v>51</v>
      </c>
      <c r="I1254" t="s">
        <v>383</v>
      </c>
      <c r="J1254" t="s">
        <v>384</v>
      </c>
      <c r="K1254">
        <v>649163</v>
      </c>
      <c r="L1254" t="s">
        <v>569</v>
      </c>
      <c r="M1254" t="s">
        <v>570</v>
      </c>
      <c r="N1254" t="s">
        <v>144</v>
      </c>
      <c r="O1254" s="1">
        <v>45901</v>
      </c>
      <c r="P1254" s="1">
        <v>46062</v>
      </c>
      <c r="R1254" s="2">
        <v>0</v>
      </c>
      <c r="AB1254" s="2">
        <v>256.54000000000002</v>
      </c>
      <c r="AC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256.54000000000002</v>
      </c>
      <c r="AN1254" s="2">
        <v>0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46062</v>
      </c>
      <c r="B1255" t="s">
        <v>1305</v>
      </c>
      <c r="C1255">
        <v>768887</v>
      </c>
      <c r="D1255">
        <v>2030254847</v>
      </c>
      <c r="E1255" t="s">
        <v>743</v>
      </c>
      <c r="F1255" t="s">
        <v>1313</v>
      </c>
      <c r="G1255" t="s">
        <v>51</v>
      </c>
      <c r="I1255" t="s">
        <v>378</v>
      </c>
      <c r="J1255" t="s">
        <v>380</v>
      </c>
      <c r="K1255">
        <v>768887</v>
      </c>
      <c r="L1255" t="s">
        <v>295</v>
      </c>
      <c r="M1255" t="s">
        <v>296</v>
      </c>
      <c r="N1255" t="s">
        <v>144</v>
      </c>
      <c r="O1255" s="1">
        <v>45870</v>
      </c>
      <c r="P1255" s="1">
        <v>46062</v>
      </c>
      <c r="R1255" s="2">
        <v>0</v>
      </c>
      <c r="AB1255" s="2">
        <v>413.59</v>
      </c>
      <c r="AC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413.58</v>
      </c>
      <c r="AN1255" s="2">
        <v>-0.01</v>
      </c>
      <c r="AO1255" s="2">
        <v>-0.01</v>
      </c>
      <c r="AP1255" s="2">
        <v>0</v>
      </c>
      <c r="AQ1255" s="2">
        <v>0</v>
      </c>
    </row>
    <row r="1256" spans="1:43" x14ac:dyDescent="0.25">
      <c r="A1256" s="1">
        <v>46062</v>
      </c>
      <c r="B1256" t="s">
        <v>1305</v>
      </c>
      <c r="C1256">
        <v>768887</v>
      </c>
      <c r="D1256">
        <v>2030254849</v>
      </c>
      <c r="E1256" t="s">
        <v>743</v>
      </c>
      <c r="F1256" t="s">
        <v>1313</v>
      </c>
      <c r="G1256" t="s">
        <v>51</v>
      </c>
      <c r="I1256" t="s">
        <v>378</v>
      </c>
      <c r="J1256" t="s">
        <v>379</v>
      </c>
      <c r="K1256">
        <v>768887</v>
      </c>
      <c r="L1256" t="s">
        <v>295</v>
      </c>
      <c r="M1256" t="s">
        <v>296</v>
      </c>
      <c r="N1256" t="s">
        <v>144</v>
      </c>
      <c r="O1256" s="1">
        <v>45870</v>
      </c>
      <c r="P1256" s="1">
        <v>46062</v>
      </c>
      <c r="R1256" s="2">
        <v>0</v>
      </c>
      <c r="AB1256" s="2">
        <v>36.82</v>
      </c>
      <c r="AC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36.82</v>
      </c>
      <c r="AN1256" s="2">
        <v>0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46062</v>
      </c>
      <c r="B1257" t="s">
        <v>1305</v>
      </c>
      <c r="C1257">
        <v>768887</v>
      </c>
      <c r="D1257">
        <v>2030254850</v>
      </c>
      <c r="E1257" t="s">
        <v>743</v>
      </c>
      <c r="F1257" t="s">
        <v>1313</v>
      </c>
      <c r="G1257" t="s">
        <v>51</v>
      </c>
      <c r="I1257" t="s">
        <v>378</v>
      </c>
      <c r="J1257" t="s">
        <v>381</v>
      </c>
      <c r="K1257">
        <v>768887</v>
      </c>
      <c r="L1257" t="s">
        <v>295</v>
      </c>
      <c r="M1257" t="s">
        <v>296</v>
      </c>
      <c r="N1257" t="s">
        <v>144</v>
      </c>
      <c r="O1257" s="1">
        <v>45870</v>
      </c>
      <c r="P1257" s="1">
        <v>46062</v>
      </c>
      <c r="R1257" s="2">
        <v>0</v>
      </c>
      <c r="AB1257" s="2">
        <v>16.170000000000002</v>
      </c>
      <c r="AC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16.149999999999999</v>
      </c>
      <c r="AN1257" s="2">
        <v>-0.02</v>
      </c>
      <c r="AO1257" s="2">
        <v>-0.02</v>
      </c>
      <c r="AP1257" s="2">
        <v>0</v>
      </c>
      <c r="AQ1257" s="2">
        <v>0</v>
      </c>
    </row>
    <row r="1258" spans="1:43" x14ac:dyDescent="0.25">
      <c r="A1258" s="1">
        <v>46062</v>
      </c>
      <c r="B1258" t="s">
        <v>1305</v>
      </c>
      <c r="C1258">
        <v>812656</v>
      </c>
      <c r="D1258">
        <v>2030232005</v>
      </c>
      <c r="E1258" t="s">
        <v>1314</v>
      </c>
      <c r="F1258" t="s">
        <v>923</v>
      </c>
      <c r="G1258" t="s">
        <v>51</v>
      </c>
      <c r="I1258" t="s">
        <v>383</v>
      </c>
      <c r="J1258" t="s">
        <v>384</v>
      </c>
      <c r="K1258">
        <v>812656</v>
      </c>
      <c r="L1258" t="s">
        <v>740</v>
      </c>
      <c r="M1258" t="s">
        <v>741</v>
      </c>
      <c r="N1258" t="s">
        <v>144</v>
      </c>
      <c r="O1258" s="1">
        <v>45880</v>
      </c>
      <c r="P1258" s="1">
        <v>46062</v>
      </c>
      <c r="R1258" s="2">
        <v>0</v>
      </c>
      <c r="AB1258" s="2">
        <v>230.29</v>
      </c>
      <c r="AC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191.9</v>
      </c>
      <c r="AN1258" s="2">
        <v>-38.39</v>
      </c>
      <c r="AO1258" s="2">
        <v>-38.39</v>
      </c>
      <c r="AP1258" s="2">
        <v>0</v>
      </c>
      <c r="AQ1258" s="2">
        <v>0</v>
      </c>
    </row>
    <row r="1259" spans="1:43" x14ac:dyDescent="0.25">
      <c r="A1259" s="1">
        <v>46062</v>
      </c>
      <c r="B1259" t="s">
        <v>1305</v>
      </c>
      <c r="C1259">
        <v>768887</v>
      </c>
      <c r="D1259">
        <v>2030254848</v>
      </c>
      <c r="E1259" t="s">
        <v>743</v>
      </c>
      <c r="F1259" t="s">
        <v>1313</v>
      </c>
      <c r="G1259" t="s">
        <v>51</v>
      </c>
      <c r="I1259" t="s">
        <v>383</v>
      </c>
      <c r="J1259" t="s">
        <v>384</v>
      </c>
      <c r="K1259">
        <v>768887</v>
      </c>
      <c r="L1259" t="s">
        <v>295</v>
      </c>
      <c r="M1259" t="s">
        <v>296</v>
      </c>
      <c r="N1259" t="s">
        <v>144</v>
      </c>
      <c r="O1259" s="1">
        <v>45870</v>
      </c>
      <c r="P1259" s="1">
        <v>46062</v>
      </c>
      <c r="R1259" s="2">
        <v>0</v>
      </c>
      <c r="AB1259" s="2">
        <v>305.58999999999997</v>
      </c>
      <c r="AC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305.58</v>
      </c>
      <c r="AN1259" s="2">
        <v>-0.01</v>
      </c>
      <c r="AO1259" s="2">
        <v>-0.01</v>
      </c>
      <c r="AP1259" s="2">
        <v>0</v>
      </c>
      <c r="AQ1259" s="2">
        <v>0</v>
      </c>
    </row>
    <row r="1260" spans="1:43" x14ac:dyDescent="0.25">
      <c r="A1260" s="1">
        <v>46062</v>
      </c>
      <c r="B1260" t="s">
        <v>1305</v>
      </c>
      <c r="C1260">
        <v>768887</v>
      </c>
      <c r="D1260">
        <v>2030254851</v>
      </c>
      <c r="E1260" t="s">
        <v>743</v>
      </c>
      <c r="F1260" t="s">
        <v>1313</v>
      </c>
      <c r="G1260" t="s">
        <v>51</v>
      </c>
      <c r="I1260" t="s">
        <v>350</v>
      </c>
      <c r="J1260" t="s">
        <v>354</v>
      </c>
      <c r="K1260">
        <v>768887</v>
      </c>
      <c r="L1260" t="s">
        <v>295</v>
      </c>
      <c r="M1260" t="s">
        <v>296</v>
      </c>
      <c r="N1260" t="s">
        <v>144</v>
      </c>
      <c r="O1260" s="1">
        <v>45870</v>
      </c>
      <c r="P1260" s="1">
        <v>46062</v>
      </c>
      <c r="R1260" s="2">
        <v>0</v>
      </c>
      <c r="AB1260" s="2">
        <v>34.200000000000003</v>
      </c>
      <c r="AC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34.200000000000003</v>
      </c>
      <c r="AN1260" s="2">
        <v>0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46062</v>
      </c>
      <c r="B1261" t="s">
        <v>1305</v>
      </c>
      <c r="C1261">
        <v>767312</v>
      </c>
      <c r="D1261">
        <v>2030359370</v>
      </c>
      <c r="E1261" t="s">
        <v>1315</v>
      </c>
      <c r="F1261" t="s">
        <v>1316</v>
      </c>
      <c r="G1261" t="s">
        <v>51</v>
      </c>
      <c r="I1261" t="s">
        <v>383</v>
      </c>
      <c r="J1261" t="s">
        <v>843</v>
      </c>
      <c r="K1261">
        <v>767312</v>
      </c>
      <c r="L1261" t="s">
        <v>310</v>
      </c>
      <c r="M1261" t="s">
        <v>311</v>
      </c>
      <c r="N1261" t="s">
        <v>144</v>
      </c>
      <c r="O1261" s="1">
        <v>45879</v>
      </c>
      <c r="P1261" s="1">
        <v>46062</v>
      </c>
      <c r="R1261" s="2">
        <v>0</v>
      </c>
      <c r="AB1261" s="2">
        <v>39.64</v>
      </c>
      <c r="AC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33.049999999999997</v>
      </c>
      <c r="AN1261" s="2">
        <v>-6.59</v>
      </c>
      <c r="AO1261" s="2">
        <v>-6.59</v>
      </c>
      <c r="AP1261" s="2">
        <v>0</v>
      </c>
      <c r="AQ1261" s="2">
        <v>0</v>
      </c>
    </row>
    <row r="1262" spans="1:43" x14ac:dyDescent="0.25">
      <c r="A1262" s="1">
        <v>46062</v>
      </c>
      <c r="B1262" t="s">
        <v>1305</v>
      </c>
      <c r="C1262">
        <v>767312</v>
      </c>
      <c r="D1262">
        <v>2030359371</v>
      </c>
      <c r="E1262" t="s">
        <v>1315</v>
      </c>
      <c r="F1262" t="s">
        <v>1316</v>
      </c>
      <c r="G1262" t="s">
        <v>51</v>
      </c>
      <c r="I1262" t="s">
        <v>383</v>
      </c>
      <c r="J1262" t="s">
        <v>385</v>
      </c>
      <c r="K1262">
        <v>767312</v>
      </c>
      <c r="L1262" t="s">
        <v>310</v>
      </c>
      <c r="M1262" t="s">
        <v>311</v>
      </c>
      <c r="N1262" t="s">
        <v>144</v>
      </c>
      <c r="O1262" s="1">
        <v>45879</v>
      </c>
      <c r="P1262" s="1">
        <v>46062</v>
      </c>
      <c r="R1262" s="2">
        <v>0</v>
      </c>
      <c r="AB1262" s="2">
        <v>202.07</v>
      </c>
      <c r="AC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168.4</v>
      </c>
      <c r="AN1262" s="2">
        <v>-33.67</v>
      </c>
      <c r="AO1262" s="2">
        <v>-33.67</v>
      </c>
      <c r="AP1262" s="2">
        <v>0</v>
      </c>
      <c r="AQ1262" s="2">
        <v>0</v>
      </c>
    </row>
    <row r="1263" spans="1:43" x14ac:dyDescent="0.25">
      <c r="A1263" s="1">
        <v>46062</v>
      </c>
      <c r="B1263" t="s">
        <v>1305</v>
      </c>
      <c r="C1263">
        <v>649163</v>
      </c>
      <c r="D1263">
        <v>2030762531</v>
      </c>
      <c r="E1263" t="s">
        <v>571</v>
      </c>
      <c r="F1263" t="s">
        <v>185</v>
      </c>
      <c r="G1263" t="s">
        <v>51</v>
      </c>
      <c r="I1263" t="s">
        <v>383</v>
      </c>
      <c r="J1263" t="s">
        <v>384</v>
      </c>
      <c r="K1263">
        <v>649163</v>
      </c>
      <c r="L1263" t="s">
        <v>315</v>
      </c>
      <c r="M1263" t="s">
        <v>316</v>
      </c>
      <c r="N1263" t="s">
        <v>144</v>
      </c>
      <c r="O1263" s="1">
        <v>45899</v>
      </c>
      <c r="P1263" s="1">
        <v>46062</v>
      </c>
      <c r="R1263" s="2">
        <v>0</v>
      </c>
      <c r="AB1263" s="2">
        <v>128.13999999999999</v>
      </c>
      <c r="AC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128.13999999999999</v>
      </c>
      <c r="AN1263" s="2">
        <v>0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46062</v>
      </c>
      <c r="B1264" t="s">
        <v>1305</v>
      </c>
      <c r="C1264">
        <v>649163</v>
      </c>
      <c r="D1264">
        <v>2030762532</v>
      </c>
      <c r="E1264" t="s">
        <v>571</v>
      </c>
      <c r="F1264" t="s">
        <v>185</v>
      </c>
      <c r="G1264" t="s">
        <v>51</v>
      </c>
      <c r="I1264" t="s">
        <v>350</v>
      </c>
      <c r="J1264" t="s">
        <v>566</v>
      </c>
      <c r="K1264">
        <v>649163</v>
      </c>
      <c r="L1264" t="s">
        <v>315</v>
      </c>
      <c r="M1264" t="s">
        <v>316</v>
      </c>
      <c r="N1264" t="s">
        <v>144</v>
      </c>
      <c r="O1264" s="1">
        <v>45899</v>
      </c>
      <c r="P1264" s="1">
        <v>46062</v>
      </c>
      <c r="R1264" s="2">
        <v>0</v>
      </c>
      <c r="AB1264" s="2">
        <v>8.5500000000000007</v>
      </c>
      <c r="AC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8.5500000000000007</v>
      </c>
      <c r="AN1264" s="2">
        <v>0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46062</v>
      </c>
      <c r="B1265" t="s">
        <v>1305</v>
      </c>
      <c r="C1265">
        <v>649163</v>
      </c>
      <c r="D1265">
        <v>2030820712</v>
      </c>
      <c r="E1265" t="s">
        <v>1046</v>
      </c>
      <c r="F1265" t="s">
        <v>1047</v>
      </c>
      <c r="G1265" t="s">
        <v>51</v>
      </c>
      <c r="I1265" t="s">
        <v>383</v>
      </c>
      <c r="J1265" t="s">
        <v>384</v>
      </c>
      <c r="K1265">
        <v>649163</v>
      </c>
      <c r="L1265" t="s">
        <v>80</v>
      </c>
      <c r="M1265" t="s">
        <v>81</v>
      </c>
      <c r="N1265" t="s">
        <v>144</v>
      </c>
      <c r="O1265" s="1">
        <v>45936</v>
      </c>
      <c r="P1265" s="1">
        <v>46062</v>
      </c>
      <c r="R1265" s="2">
        <v>0</v>
      </c>
      <c r="AB1265" s="2">
        <v>131.4</v>
      </c>
      <c r="AC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87.6</v>
      </c>
      <c r="AN1265" s="2">
        <v>-43.8</v>
      </c>
      <c r="AO1265" s="2">
        <v>-43.8</v>
      </c>
      <c r="AP1265" s="2">
        <v>0</v>
      </c>
      <c r="AQ1265" s="2">
        <v>0</v>
      </c>
    </row>
    <row r="1266" spans="1:43" x14ac:dyDescent="0.25">
      <c r="A1266" s="1">
        <v>46062</v>
      </c>
      <c r="B1266" t="s">
        <v>1305</v>
      </c>
      <c r="C1266">
        <v>649163</v>
      </c>
      <c r="D1266">
        <v>2030820713</v>
      </c>
      <c r="E1266" t="s">
        <v>1046</v>
      </c>
      <c r="F1266" t="s">
        <v>1047</v>
      </c>
      <c r="G1266" t="s">
        <v>51</v>
      </c>
      <c r="I1266" t="s">
        <v>72</v>
      </c>
      <c r="J1266" t="s">
        <v>93</v>
      </c>
      <c r="K1266">
        <v>649163</v>
      </c>
      <c r="L1266" t="s">
        <v>80</v>
      </c>
      <c r="M1266" t="s">
        <v>81</v>
      </c>
      <c r="N1266" t="s">
        <v>144</v>
      </c>
      <c r="O1266" s="1">
        <v>45936</v>
      </c>
      <c r="P1266" s="1">
        <v>46062</v>
      </c>
      <c r="R1266" s="2">
        <v>0</v>
      </c>
      <c r="AB1266" s="2">
        <v>330.72</v>
      </c>
      <c r="AC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220.48</v>
      </c>
      <c r="AN1266" s="2">
        <v>-110.24</v>
      </c>
      <c r="AO1266" s="2">
        <v>-110.24</v>
      </c>
      <c r="AP1266" s="2">
        <v>0</v>
      </c>
      <c r="AQ1266" s="2">
        <v>0</v>
      </c>
    </row>
    <row r="1267" spans="1:43" x14ac:dyDescent="0.25">
      <c r="A1267" s="1">
        <v>46062</v>
      </c>
      <c r="B1267" t="s">
        <v>1305</v>
      </c>
      <c r="C1267">
        <v>823068</v>
      </c>
      <c r="D1267">
        <v>2031383606</v>
      </c>
      <c r="E1267" t="s">
        <v>1317</v>
      </c>
      <c r="F1267" t="s">
        <v>537</v>
      </c>
      <c r="G1267" t="s">
        <v>51</v>
      </c>
      <c r="I1267" t="s">
        <v>383</v>
      </c>
      <c r="J1267" t="s">
        <v>843</v>
      </c>
      <c r="K1267">
        <v>823068</v>
      </c>
      <c r="L1267" t="s">
        <v>355</v>
      </c>
      <c r="M1267" t="s">
        <v>356</v>
      </c>
      <c r="N1267" t="s">
        <v>144</v>
      </c>
      <c r="O1267" s="1">
        <v>45942</v>
      </c>
      <c r="P1267" s="1">
        <v>46062</v>
      </c>
      <c r="R1267" s="2">
        <v>0</v>
      </c>
      <c r="AB1267" s="2">
        <v>53.1</v>
      </c>
      <c r="AC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35.4</v>
      </c>
      <c r="AN1267" s="2">
        <v>-17.7</v>
      </c>
      <c r="AO1267" s="2">
        <v>-17.7</v>
      </c>
      <c r="AP1267" s="2">
        <v>0</v>
      </c>
      <c r="AQ1267" s="2">
        <v>0</v>
      </c>
    </row>
    <row r="1268" spans="1:43" x14ac:dyDescent="0.25">
      <c r="A1268" s="1">
        <v>46062</v>
      </c>
      <c r="B1268" t="s">
        <v>1305</v>
      </c>
      <c r="C1268">
        <v>823068</v>
      </c>
      <c r="D1268">
        <v>2031383607</v>
      </c>
      <c r="E1268" t="s">
        <v>1317</v>
      </c>
      <c r="F1268" t="s">
        <v>537</v>
      </c>
      <c r="G1268" t="s">
        <v>51</v>
      </c>
      <c r="I1268" t="s">
        <v>72</v>
      </c>
      <c r="J1268" t="s">
        <v>93</v>
      </c>
      <c r="K1268">
        <v>823068</v>
      </c>
      <c r="L1268" t="s">
        <v>355</v>
      </c>
      <c r="M1268" t="s">
        <v>356</v>
      </c>
      <c r="N1268" t="s">
        <v>144</v>
      </c>
      <c r="O1268" s="1">
        <v>45942</v>
      </c>
      <c r="P1268" s="1">
        <v>46062</v>
      </c>
      <c r="R1268" s="2">
        <v>0</v>
      </c>
      <c r="AB1268" s="2">
        <v>367.8</v>
      </c>
      <c r="AC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245.2</v>
      </c>
      <c r="AN1268" s="2">
        <v>-122.6</v>
      </c>
      <c r="AO1268" s="2">
        <v>-122.6</v>
      </c>
      <c r="AP1268" s="2">
        <v>0</v>
      </c>
      <c r="AQ1268" s="2">
        <v>0</v>
      </c>
    </row>
    <row r="1269" spans="1:43" x14ac:dyDescent="0.25">
      <c r="A1269" s="1">
        <v>46062</v>
      </c>
      <c r="B1269" t="s">
        <v>1305</v>
      </c>
      <c r="C1269">
        <v>823068</v>
      </c>
      <c r="D1269">
        <v>2031383608</v>
      </c>
      <c r="E1269" t="s">
        <v>1317</v>
      </c>
      <c r="F1269" t="s">
        <v>537</v>
      </c>
      <c r="G1269" t="s">
        <v>51</v>
      </c>
      <c r="I1269" t="s">
        <v>383</v>
      </c>
      <c r="J1269" t="s">
        <v>400</v>
      </c>
      <c r="K1269">
        <v>823068</v>
      </c>
      <c r="L1269" t="s">
        <v>355</v>
      </c>
      <c r="M1269" t="s">
        <v>356</v>
      </c>
      <c r="N1269" t="s">
        <v>144</v>
      </c>
      <c r="O1269" s="1">
        <v>45942</v>
      </c>
      <c r="P1269" s="1">
        <v>46062</v>
      </c>
      <c r="R1269" s="2">
        <v>0</v>
      </c>
      <c r="AB1269" s="2">
        <v>103.38</v>
      </c>
      <c r="AC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68.92</v>
      </c>
      <c r="AN1269" s="2">
        <v>-34.46</v>
      </c>
      <c r="AO1269" s="2">
        <v>-34.46</v>
      </c>
      <c r="AP1269" s="2">
        <v>0</v>
      </c>
      <c r="AQ1269" s="2">
        <v>0</v>
      </c>
    </row>
    <row r="1270" spans="1:43" x14ac:dyDescent="0.25">
      <c r="A1270" s="1">
        <v>46062</v>
      </c>
      <c r="B1270" t="s">
        <v>1305</v>
      </c>
      <c r="C1270">
        <v>812656</v>
      </c>
      <c r="D1270">
        <v>2031949942</v>
      </c>
      <c r="E1270" t="s">
        <v>1318</v>
      </c>
      <c r="F1270" t="s">
        <v>1319</v>
      </c>
      <c r="G1270" t="s">
        <v>51</v>
      </c>
      <c r="I1270" t="s">
        <v>383</v>
      </c>
      <c r="J1270" t="s">
        <v>384</v>
      </c>
      <c r="K1270">
        <v>812656</v>
      </c>
      <c r="L1270" t="s">
        <v>740</v>
      </c>
      <c r="M1270" t="s">
        <v>741</v>
      </c>
      <c r="N1270" t="s">
        <v>144</v>
      </c>
      <c r="O1270" s="1">
        <v>45965</v>
      </c>
      <c r="P1270" s="1">
        <v>46062</v>
      </c>
      <c r="R1270" s="2">
        <v>0</v>
      </c>
      <c r="AB1270" s="2">
        <v>742.38</v>
      </c>
      <c r="AC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371.19</v>
      </c>
      <c r="AN1270" s="2">
        <v>-371.19</v>
      </c>
      <c r="AO1270" s="2">
        <v>-371.19</v>
      </c>
      <c r="AP1270" s="2">
        <v>0</v>
      </c>
      <c r="AQ1270" s="2">
        <v>0</v>
      </c>
    </row>
    <row r="1271" spans="1:43" x14ac:dyDescent="0.25">
      <c r="A1271" s="1">
        <v>46062</v>
      </c>
      <c r="B1271" t="s">
        <v>1305</v>
      </c>
      <c r="C1271">
        <v>649163</v>
      </c>
      <c r="D1271">
        <v>2032038377</v>
      </c>
      <c r="E1271" t="s">
        <v>791</v>
      </c>
      <c r="F1271" t="s">
        <v>792</v>
      </c>
      <c r="G1271" t="s">
        <v>51</v>
      </c>
      <c r="I1271" t="s">
        <v>383</v>
      </c>
      <c r="J1271" t="s">
        <v>384</v>
      </c>
      <c r="K1271">
        <v>649163</v>
      </c>
      <c r="L1271" t="s">
        <v>793</v>
      </c>
      <c r="M1271" t="s">
        <v>794</v>
      </c>
      <c r="N1271" t="s">
        <v>144</v>
      </c>
      <c r="O1271" s="1">
        <v>45968</v>
      </c>
      <c r="P1271" s="1">
        <v>46062</v>
      </c>
      <c r="R1271" s="2">
        <v>0</v>
      </c>
      <c r="AB1271" s="2">
        <v>839.16</v>
      </c>
      <c r="AC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419.58</v>
      </c>
      <c r="AN1271" s="2">
        <v>-419.58</v>
      </c>
      <c r="AO1271" s="2">
        <v>-419.58</v>
      </c>
      <c r="AP1271" s="2">
        <v>0</v>
      </c>
      <c r="AQ1271" s="2">
        <v>0</v>
      </c>
    </row>
    <row r="1272" spans="1:43" x14ac:dyDescent="0.25">
      <c r="A1272" s="1">
        <v>46062</v>
      </c>
      <c r="B1272" t="s">
        <v>1305</v>
      </c>
      <c r="C1272">
        <v>807212</v>
      </c>
      <c r="D1272">
        <v>2032078824</v>
      </c>
      <c r="E1272" t="s">
        <v>1320</v>
      </c>
      <c r="F1272" t="s">
        <v>1321</v>
      </c>
      <c r="G1272" t="s">
        <v>51</v>
      </c>
      <c r="I1272" t="s">
        <v>383</v>
      </c>
      <c r="J1272" t="s">
        <v>384</v>
      </c>
      <c r="K1272">
        <v>807212</v>
      </c>
      <c r="L1272" t="s">
        <v>801</v>
      </c>
      <c r="M1272" t="s">
        <v>802</v>
      </c>
      <c r="N1272" t="s">
        <v>144</v>
      </c>
      <c r="O1272" s="1">
        <v>45971</v>
      </c>
      <c r="P1272" s="1">
        <v>46062</v>
      </c>
      <c r="R1272" s="2">
        <v>0</v>
      </c>
      <c r="AB1272" s="2">
        <v>597.36</v>
      </c>
      <c r="AC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199.12</v>
      </c>
      <c r="AN1272" s="2">
        <v>-398.24</v>
      </c>
      <c r="AO1272" s="2">
        <v>-398.24</v>
      </c>
      <c r="AP1272" s="2">
        <v>0</v>
      </c>
      <c r="AQ1272" s="2">
        <v>0</v>
      </c>
    </row>
    <row r="1273" spans="1:43" x14ac:dyDescent="0.25">
      <c r="A1273" s="1">
        <v>46062</v>
      </c>
      <c r="B1273" t="s">
        <v>1305</v>
      </c>
      <c r="C1273">
        <v>822733</v>
      </c>
      <c r="D1273">
        <v>2032071365</v>
      </c>
      <c r="E1273" t="s">
        <v>1322</v>
      </c>
      <c r="F1273" t="s">
        <v>1323</v>
      </c>
      <c r="G1273" t="s">
        <v>51</v>
      </c>
      <c r="I1273" t="s">
        <v>383</v>
      </c>
      <c r="J1273" t="s">
        <v>384</v>
      </c>
      <c r="K1273">
        <v>822733</v>
      </c>
      <c r="L1273" t="s">
        <v>442</v>
      </c>
      <c r="M1273" t="s">
        <v>443</v>
      </c>
      <c r="N1273" t="s">
        <v>144</v>
      </c>
      <c r="O1273" s="1">
        <v>45972</v>
      </c>
      <c r="P1273" s="1">
        <v>46062</v>
      </c>
      <c r="R1273" s="2">
        <v>0</v>
      </c>
      <c r="AB1273" s="2">
        <v>375.96</v>
      </c>
      <c r="AC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125.32</v>
      </c>
      <c r="AN1273" s="2">
        <v>-250.64</v>
      </c>
      <c r="AO1273" s="2">
        <v>-250.64</v>
      </c>
      <c r="AP1273" s="2">
        <v>0</v>
      </c>
      <c r="AQ1273" s="2">
        <v>0</v>
      </c>
    </row>
    <row r="1274" spans="1:43" x14ac:dyDescent="0.25">
      <c r="A1274" s="1">
        <v>46062</v>
      </c>
      <c r="B1274" t="s">
        <v>1305</v>
      </c>
      <c r="C1274">
        <v>867497</v>
      </c>
      <c r="D1274">
        <v>2032534866</v>
      </c>
      <c r="E1274" t="s">
        <v>1324</v>
      </c>
      <c r="F1274" t="s">
        <v>1325</v>
      </c>
      <c r="G1274" t="s">
        <v>51</v>
      </c>
      <c r="I1274" t="s">
        <v>383</v>
      </c>
      <c r="J1274" t="s">
        <v>384</v>
      </c>
      <c r="K1274">
        <v>867497</v>
      </c>
      <c r="L1274" t="s">
        <v>880</v>
      </c>
      <c r="M1274" t="s">
        <v>881</v>
      </c>
      <c r="N1274" t="s">
        <v>144</v>
      </c>
      <c r="O1274" s="1">
        <v>46001</v>
      </c>
      <c r="P1274" s="1">
        <v>46062</v>
      </c>
      <c r="R1274" s="2">
        <v>0</v>
      </c>
      <c r="AB1274" s="2">
        <v>45.12</v>
      </c>
      <c r="AC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7.52</v>
      </c>
      <c r="AN1274" s="2">
        <v>-37.6</v>
      </c>
      <c r="AO1274" s="2">
        <v>-37.6</v>
      </c>
      <c r="AP1274" s="2">
        <v>0</v>
      </c>
      <c r="AQ1274" s="2">
        <v>0</v>
      </c>
    </row>
    <row r="1275" spans="1:43" x14ac:dyDescent="0.25">
      <c r="A1275" s="1">
        <v>46062</v>
      </c>
      <c r="B1275" t="s">
        <v>1305</v>
      </c>
      <c r="C1275">
        <v>649163</v>
      </c>
      <c r="D1275">
        <v>2032590100</v>
      </c>
      <c r="E1275" t="s">
        <v>446</v>
      </c>
      <c r="F1275" t="s">
        <v>65</v>
      </c>
      <c r="G1275" t="s">
        <v>51</v>
      </c>
      <c r="I1275" t="s">
        <v>53</v>
      </c>
      <c r="J1275" t="s">
        <v>54</v>
      </c>
      <c r="K1275">
        <v>649163</v>
      </c>
      <c r="L1275" t="s">
        <v>67</v>
      </c>
      <c r="M1275" t="s">
        <v>68</v>
      </c>
      <c r="N1275" t="s">
        <v>144</v>
      </c>
      <c r="O1275" s="1">
        <v>46023</v>
      </c>
      <c r="P1275" s="1">
        <v>46062</v>
      </c>
      <c r="R1275" s="2">
        <v>0</v>
      </c>
      <c r="AB1275" s="2">
        <v>189.66</v>
      </c>
      <c r="AC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63.22</v>
      </c>
      <c r="AN1275" s="2">
        <v>-126.44</v>
      </c>
      <c r="AO1275" s="2">
        <v>-126.44</v>
      </c>
      <c r="AP1275" s="2">
        <v>0</v>
      </c>
      <c r="AQ1275" s="2">
        <v>0</v>
      </c>
    </row>
    <row r="1276" spans="1:43" x14ac:dyDescent="0.25">
      <c r="A1276" s="1">
        <v>46062</v>
      </c>
      <c r="B1276" t="s">
        <v>1305</v>
      </c>
      <c r="C1276">
        <v>650218</v>
      </c>
      <c r="D1276">
        <v>2032617230</v>
      </c>
      <c r="E1276" t="s">
        <v>1326</v>
      </c>
      <c r="F1276" t="s">
        <v>197</v>
      </c>
      <c r="G1276" t="s">
        <v>51</v>
      </c>
      <c r="I1276" t="s">
        <v>363</v>
      </c>
      <c r="J1276" t="s">
        <v>364</v>
      </c>
      <c r="K1276">
        <v>650218</v>
      </c>
      <c r="L1276" t="s">
        <v>246</v>
      </c>
      <c r="M1276" t="s">
        <v>195</v>
      </c>
      <c r="N1276" t="s">
        <v>144</v>
      </c>
      <c r="O1276" s="1">
        <v>46002</v>
      </c>
      <c r="P1276" s="1">
        <v>46062</v>
      </c>
      <c r="R1276" s="2">
        <v>0</v>
      </c>
      <c r="AB1276" s="2">
        <v>102.18</v>
      </c>
      <c r="AC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17.03</v>
      </c>
      <c r="AN1276" s="2">
        <v>-85.15</v>
      </c>
      <c r="AO1276" s="2">
        <v>-85.15</v>
      </c>
      <c r="AP1276" s="2">
        <v>0</v>
      </c>
      <c r="AQ1276" s="2">
        <v>0</v>
      </c>
    </row>
    <row r="1277" spans="1:43" x14ac:dyDescent="0.25">
      <c r="A1277" s="1">
        <v>46062</v>
      </c>
      <c r="B1277" t="s">
        <v>1305</v>
      </c>
      <c r="C1277">
        <v>650218</v>
      </c>
      <c r="D1277">
        <v>2032617231</v>
      </c>
      <c r="E1277" t="s">
        <v>1326</v>
      </c>
      <c r="F1277" t="s">
        <v>197</v>
      </c>
      <c r="G1277" t="s">
        <v>51</v>
      </c>
      <c r="I1277" t="s">
        <v>378</v>
      </c>
      <c r="J1277" t="s">
        <v>379</v>
      </c>
      <c r="K1277">
        <v>650218</v>
      </c>
      <c r="L1277" t="s">
        <v>246</v>
      </c>
      <c r="M1277" t="s">
        <v>195</v>
      </c>
      <c r="N1277" t="s">
        <v>144</v>
      </c>
      <c r="O1277" s="1">
        <v>46002</v>
      </c>
      <c r="P1277" s="1">
        <v>46062</v>
      </c>
      <c r="R1277" s="2">
        <v>0</v>
      </c>
      <c r="AB1277" s="2">
        <v>121.2</v>
      </c>
      <c r="AC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20.2</v>
      </c>
      <c r="AN1277" s="2">
        <v>-101</v>
      </c>
      <c r="AO1277" s="2">
        <v>-101</v>
      </c>
      <c r="AP1277" s="2">
        <v>0</v>
      </c>
      <c r="AQ1277" s="2">
        <v>0</v>
      </c>
    </row>
    <row r="1278" spans="1:43" x14ac:dyDescent="0.25">
      <c r="A1278" s="1">
        <v>46062</v>
      </c>
      <c r="B1278" t="s">
        <v>1305</v>
      </c>
      <c r="C1278">
        <v>649163</v>
      </c>
      <c r="D1278">
        <v>2032686877</v>
      </c>
      <c r="E1278" t="s">
        <v>905</v>
      </c>
      <c r="F1278" t="s">
        <v>176</v>
      </c>
      <c r="G1278" t="s">
        <v>51</v>
      </c>
      <c r="I1278" t="s">
        <v>383</v>
      </c>
      <c r="J1278" t="s">
        <v>384</v>
      </c>
      <c r="K1278">
        <v>649163</v>
      </c>
      <c r="L1278" t="s">
        <v>906</v>
      </c>
      <c r="M1278" t="s">
        <v>907</v>
      </c>
      <c r="N1278" t="s">
        <v>144</v>
      </c>
      <c r="O1278" s="1">
        <v>46023</v>
      </c>
      <c r="P1278" s="1">
        <v>46062</v>
      </c>
      <c r="R1278" s="2">
        <v>0</v>
      </c>
      <c r="AB1278" s="2">
        <v>142.80000000000001</v>
      </c>
      <c r="AC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47.6</v>
      </c>
      <c r="AN1278" s="2">
        <v>-95.2</v>
      </c>
      <c r="AO1278" s="2">
        <v>-95.2</v>
      </c>
      <c r="AP1278" s="2">
        <v>0</v>
      </c>
      <c r="AQ1278" s="2">
        <v>0</v>
      </c>
    </row>
    <row r="1279" spans="1:43" x14ac:dyDescent="0.25">
      <c r="A1279" s="1">
        <v>46062</v>
      </c>
      <c r="B1279" t="s">
        <v>1305</v>
      </c>
      <c r="C1279">
        <v>649163</v>
      </c>
      <c r="D1279">
        <v>2032686878</v>
      </c>
      <c r="E1279" t="s">
        <v>905</v>
      </c>
      <c r="F1279" t="s">
        <v>176</v>
      </c>
      <c r="G1279" t="s">
        <v>51</v>
      </c>
      <c r="I1279" t="s">
        <v>363</v>
      </c>
      <c r="J1279" t="s">
        <v>364</v>
      </c>
      <c r="K1279">
        <v>649163</v>
      </c>
      <c r="L1279" t="s">
        <v>906</v>
      </c>
      <c r="M1279" t="s">
        <v>907</v>
      </c>
      <c r="N1279" t="s">
        <v>144</v>
      </c>
      <c r="O1279" s="1">
        <v>46023</v>
      </c>
      <c r="P1279" s="1">
        <v>46062</v>
      </c>
      <c r="R1279" s="2">
        <v>0</v>
      </c>
      <c r="AB1279" s="2">
        <v>182.4</v>
      </c>
      <c r="AC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60.8</v>
      </c>
      <c r="AN1279" s="2">
        <v>-121.6</v>
      </c>
      <c r="AO1279" s="2">
        <v>-121.6</v>
      </c>
      <c r="AP1279" s="2">
        <v>0</v>
      </c>
      <c r="AQ1279" s="2">
        <v>0</v>
      </c>
    </row>
    <row r="1280" spans="1:43" x14ac:dyDescent="0.25">
      <c r="A1280" s="1">
        <v>46062</v>
      </c>
      <c r="B1280" t="s">
        <v>1305</v>
      </c>
      <c r="C1280">
        <v>649163</v>
      </c>
      <c r="D1280">
        <v>2032093460</v>
      </c>
      <c r="E1280" t="s">
        <v>812</v>
      </c>
      <c r="F1280" t="s">
        <v>188</v>
      </c>
      <c r="G1280" t="s">
        <v>51</v>
      </c>
      <c r="I1280" t="s">
        <v>383</v>
      </c>
      <c r="J1280" t="s">
        <v>384</v>
      </c>
      <c r="K1280">
        <v>649163</v>
      </c>
      <c r="L1280" t="s">
        <v>325</v>
      </c>
      <c r="M1280" t="s">
        <v>326</v>
      </c>
      <c r="N1280" t="s">
        <v>144</v>
      </c>
      <c r="O1280" s="1">
        <v>46023</v>
      </c>
      <c r="P1280" s="1">
        <v>46062</v>
      </c>
      <c r="R1280" s="2">
        <v>0</v>
      </c>
      <c r="AB1280" s="2">
        <v>582.48</v>
      </c>
      <c r="AC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194.16</v>
      </c>
      <c r="AN1280" s="2">
        <v>-388.32</v>
      </c>
      <c r="AO1280" s="2">
        <v>-388.32</v>
      </c>
      <c r="AP1280" s="2">
        <v>0</v>
      </c>
      <c r="AQ1280" s="2">
        <v>0</v>
      </c>
    </row>
    <row r="1281" spans="1:43" x14ac:dyDescent="0.25">
      <c r="A1281" s="1">
        <v>46062</v>
      </c>
      <c r="B1281" t="s">
        <v>1305</v>
      </c>
      <c r="C1281">
        <v>649163</v>
      </c>
      <c r="D1281">
        <v>2032717785</v>
      </c>
      <c r="E1281" t="s">
        <v>336</v>
      </c>
      <c r="F1281" t="s">
        <v>337</v>
      </c>
      <c r="G1281" t="s">
        <v>51</v>
      </c>
      <c r="I1281" t="s">
        <v>152</v>
      </c>
      <c r="J1281" t="s">
        <v>153</v>
      </c>
      <c r="K1281">
        <v>649163</v>
      </c>
      <c r="L1281" t="s">
        <v>154</v>
      </c>
      <c r="M1281" t="s">
        <v>155</v>
      </c>
      <c r="N1281" t="s">
        <v>144</v>
      </c>
      <c r="O1281" s="1">
        <v>46023</v>
      </c>
      <c r="P1281" s="1">
        <v>46062</v>
      </c>
      <c r="R1281" s="2">
        <v>0</v>
      </c>
      <c r="AB1281" s="2">
        <v>195.78</v>
      </c>
      <c r="AC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65.260000000000005</v>
      </c>
      <c r="AN1281" s="2">
        <v>-130.52000000000001</v>
      </c>
      <c r="AO1281" s="2">
        <v>-130.52000000000001</v>
      </c>
      <c r="AP1281" s="2">
        <v>0</v>
      </c>
      <c r="AQ1281" s="2">
        <v>0</v>
      </c>
    </row>
    <row r="1282" spans="1:43" x14ac:dyDescent="0.25">
      <c r="A1282" s="1">
        <v>46062</v>
      </c>
      <c r="B1282" t="s">
        <v>1305</v>
      </c>
      <c r="C1282">
        <v>649163</v>
      </c>
      <c r="D1282">
        <v>2032929558</v>
      </c>
      <c r="E1282" t="s">
        <v>1102</v>
      </c>
      <c r="F1282" t="s">
        <v>1103</v>
      </c>
      <c r="G1282" t="s">
        <v>51</v>
      </c>
      <c r="I1282" t="s">
        <v>363</v>
      </c>
      <c r="J1282" t="s">
        <v>364</v>
      </c>
      <c r="K1282">
        <v>649163</v>
      </c>
      <c r="L1282" t="s">
        <v>827</v>
      </c>
      <c r="M1282" t="s">
        <v>828</v>
      </c>
      <c r="N1282" t="s">
        <v>144</v>
      </c>
      <c r="O1282" s="1">
        <v>46023</v>
      </c>
      <c r="P1282" s="1">
        <v>46062</v>
      </c>
      <c r="R1282" s="2">
        <v>0</v>
      </c>
      <c r="AB1282" s="2">
        <v>290.7</v>
      </c>
      <c r="AC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96.9</v>
      </c>
      <c r="AN1282" s="2">
        <v>-193.8</v>
      </c>
      <c r="AO1282" s="2">
        <v>-193.8</v>
      </c>
      <c r="AP1282" s="2">
        <v>0</v>
      </c>
      <c r="AQ1282" s="2">
        <v>0</v>
      </c>
    </row>
    <row r="1283" spans="1:43" x14ac:dyDescent="0.25">
      <c r="A1283" s="1">
        <v>46062</v>
      </c>
      <c r="B1283" t="s">
        <v>1305</v>
      </c>
      <c r="C1283">
        <v>875334</v>
      </c>
      <c r="D1283">
        <v>2032974284</v>
      </c>
      <c r="E1283" t="s">
        <v>1327</v>
      </c>
      <c r="F1283" t="s">
        <v>1328</v>
      </c>
      <c r="G1283" t="s">
        <v>51</v>
      </c>
      <c r="I1283" t="s">
        <v>130</v>
      </c>
      <c r="J1283" t="s">
        <v>148</v>
      </c>
      <c r="K1283">
        <v>875334</v>
      </c>
      <c r="L1283" t="s">
        <v>827</v>
      </c>
      <c r="M1283" t="s">
        <v>828</v>
      </c>
      <c r="N1283" t="s">
        <v>144</v>
      </c>
      <c r="O1283" s="1">
        <v>46027</v>
      </c>
      <c r="P1283" s="1">
        <v>46062</v>
      </c>
      <c r="R1283" s="2">
        <v>0</v>
      </c>
      <c r="AB1283" s="2">
        <v>0</v>
      </c>
      <c r="AC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46062</v>
      </c>
      <c r="B1284" t="s">
        <v>1305</v>
      </c>
      <c r="C1284">
        <v>649163</v>
      </c>
      <c r="D1284">
        <v>2033104451</v>
      </c>
      <c r="E1284" t="s">
        <v>138</v>
      </c>
      <c r="F1284" t="s">
        <v>139</v>
      </c>
      <c r="G1284" t="s">
        <v>51</v>
      </c>
      <c r="I1284" t="s">
        <v>350</v>
      </c>
      <c r="J1284" t="s">
        <v>566</v>
      </c>
      <c r="K1284">
        <v>649163</v>
      </c>
      <c r="L1284" t="s">
        <v>142</v>
      </c>
      <c r="M1284" t="s">
        <v>143</v>
      </c>
      <c r="N1284" t="s">
        <v>144</v>
      </c>
      <c r="O1284" s="1">
        <v>46035</v>
      </c>
      <c r="P1284" s="1">
        <v>46062</v>
      </c>
      <c r="R1284" s="2">
        <v>0</v>
      </c>
      <c r="AB1284" s="2">
        <v>17.100000000000001</v>
      </c>
      <c r="AC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2.85</v>
      </c>
      <c r="AN1284" s="2">
        <v>-14.25</v>
      </c>
      <c r="AO1284" s="2">
        <v>-14.25</v>
      </c>
      <c r="AP1284" s="2">
        <v>0</v>
      </c>
      <c r="AQ1284" s="2">
        <v>0</v>
      </c>
    </row>
    <row r="1285" spans="1:43" x14ac:dyDescent="0.25">
      <c r="A1285" s="1">
        <v>46062</v>
      </c>
      <c r="B1285" t="s">
        <v>1305</v>
      </c>
      <c r="C1285">
        <v>649163</v>
      </c>
      <c r="D1285">
        <v>2033104452</v>
      </c>
      <c r="E1285" t="s">
        <v>138</v>
      </c>
      <c r="F1285" t="s">
        <v>139</v>
      </c>
      <c r="G1285" t="s">
        <v>51</v>
      </c>
      <c r="I1285" t="s">
        <v>130</v>
      </c>
      <c r="J1285" t="s">
        <v>141</v>
      </c>
      <c r="K1285">
        <v>649163</v>
      </c>
      <c r="L1285" t="s">
        <v>142</v>
      </c>
      <c r="M1285" t="s">
        <v>143</v>
      </c>
      <c r="N1285" t="s">
        <v>144</v>
      </c>
      <c r="O1285" s="1">
        <v>46035</v>
      </c>
      <c r="P1285" s="1">
        <v>46062</v>
      </c>
      <c r="R1285" s="2">
        <v>0</v>
      </c>
      <c r="AB1285" s="2">
        <v>404.76</v>
      </c>
      <c r="AC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67.459999999999994</v>
      </c>
      <c r="AN1285" s="2">
        <v>-337.3</v>
      </c>
      <c r="AO1285" s="2">
        <v>-337.3</v>
      </c>
      <c r="AP1285" s="2">
        <v>0</v>
      </c>
      <c r="AQ1285" s="2">
        <v>0</v>
      </c>
    </row>
    <row r="1286" spans="1:43" x14ac:dyDescent="0.25">
      <c r="A1286" s="1">
        <v>46062</v>
      </c>
      <c r="B1286" t="s">
        <v>1305</v>
      </c>
      <c r="C1286">
        <v>649163</v>
      </c>
      <c r="D1286">
        <v>2032850725</v>
      </c>
      <c r="E1286" t="s">
        <v>919</v>
      </c>
      <c r="F1286" t="s">
        <v>920</v>
      </c>
      <c r="G1286" t="s">
        <v>51</v>
      </c>
      <c r="I1286" t="s">
        <v>383</v>
      </c>
      <c r="J1286" t="s">
        <v>384</v>
      </c>
      <c r="K1286">
        <v>649163</v>
      </c>
      <c r="L1286" t="s">
        <v>372</v>
      </c>
      <c r="M1286" t="s">
        <v>373</v>
      </c>
      <c r="N1286" t="s">
        <v>144</v>
      </c>
      <c r="O1286" s="1">
        <v>46054</v>
      </c>
      <c r="P1286" s="1">
        <v>46062</v>
      </c>
      <c r="R1286" s="2">
        <v>0</v>
      </c>
      <c r="AB1286" s="2">
        <v>204.78</v>
      </c>
      <c r="AC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34.130000000000003</v>
      </c>
      <c r="AN1286" s="2">
        <v>-170.65</v>
      </c>
      <c r="AO1286" s="2">
        <v>-170.65</v>
      </c>
      <c r="AP1286" s="2">
        <v>0</v>
      </c>
      <c r="AQ1286" s="2">
        <v>0</v>
      </c>
    </row>
    <row r="1287" spans="1:43" x14ac:dyDescent="0.25">
      <c r="A1287" s="1">
        <v>46062</v>
      </c>
      <c r="B1287" t="s">
        <v>1305</v>
      </c>
      <c r="C1287">
        <v>649163</v>
      </c>
      <c r="D1287">
        <v>2033052910</v>
      </c>
      <c r="E1287" t="s">
        <v>546</v>
      </c>
      <c r="F1287" t="s">
        <v>943</v>
      </c>
      <c r="G1287" t="s">
        <v>51</v>
      </c>
      <c r="I1287" t="s">
        <v>72</v>
      </c>
      <c r="J1287" t="s">
        <v>73</v>
      </c>
      <c r="K1287">
        <v>649163</v>
      </c>
      <c r="L1287" t="s">
        <v>162</v>
      </c>
      <c r="M1287" t="s">
        <v>180</v>
      </c>
      <c r="N1287" t="s">
        <v>144</v>
      </c>
      <c r="O1287" s="1">
        <v>46054</v>
      </c>
      <c r="P1287" s="1">
        <v>46062</v>
      </c>
      <c r="R1287" s="2">
        <v>0</v>
      </c>
      <c r="AB1287" s="2">
        <v>304.32</v>
      </c>
      <c r="AC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50.72</v>
      </c>
      <c r="AN1287" s="2">
        <v>-253.6</v>
      </c>
      <c r="AO1287" s="2">
        <v>-253.6</v>
      </c>
      <c r="AP1287" s="2">
        <v>0</v>
      </c>
      <c r="AQ1287" s="2">
        <v>0</v>
      </c>
    </row>
    <row r="1288" spans="1:43" x14ac:dyDescent="0.25">
      <c r="A1288" s="1">
        <v>46062</v>
      </c>
      <c r="B1288" t="s">
        <v>1305</v>
      </c>
      <c r="C1288">
        <v>649163</v>
      </c>
      <c r="D1288">
        <v>2033052911</v>
      </c>
      <c r="E1288" t="s">
        <v>546</v>
      </c>
      <c r="F1288" t="s">
        <v>943</v>
      </c>
      <c r="G1288" t="s">
        <v>51</v>
      </c>
      <c r="I1288" t="s">
        <v>383</v>
      </c>
      <c r="J1288" t="s">
        <v>384</v>
      </c>
      <c r="K1288">
        <v>649163</v>
      </c>
      <c r="L1288" t="s">
        <v>162</v>
      </c>
      <c r="M1288" t="s">
        <v>180</v>
      </c>
      <c r="N1288" t="s">
        <v>144</v>
      </c>
      <c r="O1288" s="1">
        <v>46054</v>
      </c>
      <c r="P1288" s="1">
        <v>46062</v>
      </c>
      <c r="R1288" s="2">
        <v>0</v>
      </c>
      <c r="AB1288" s="2">
        <v>160.02000000000001</v>
      </c>
      <c r="AC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26.67</v>
      </c>
      <c r="AN1288" s="2">
        <v>-133.35</v>
      </c>
      <c r="AO1288" s="2">
        <v>-133.35</v>
      </c>
      <c r="AP1288" s="2">
        <v>0</v>
      </c>
      <c r="AQ1288" s="2">
        <v>0</v>
      </c>
    </row>
    <row r="1289" spans="1:43" x14ac:dyDescent="0.25">
      <c r="A1289" s="1">
        <v>46062</v>
      </c>
      <c r="B1289" t="s">
        <v>1305</v>
      </c>
      <c r="C1289">
        <v>649163</v>
      </c>
      <c r="D1289">
        <v>2033109903</v>
      </c>
      <c r="E1289" t="s">
        <v>960</v>
      </c>
      <c r="F1289" t="s">
        <v>961</v>
      </c>
      <c r="G1289" t="s">
        <v>51</v>
      </c>
      <c r="I1289" t="s">
        <v>383</v>
      </c>
      <c r="J1289" t="s">
        <v>384</v>
      </c>
      <c r="K1289">
        <v>649163</v>
      </c>
      <c r="L1289" t="s">
        <v>275</v>
      </c>
      <c r="M1289" t="s">
        <v>276</v>
      </c>
      <c r="N1289" t="s">
        <v>144</v>
      </c>
      <c r="O1289" s="1">
        <v>46054</v>
      </c>
      <c r="P1289" s="1">
        <v>46062</v>
      </c>
      <c r="R1289" s="2">
        <v>0</v>
      </c>
      <c r="AB1289" s="2">
        <v>0</v>
      </c>
      <c r="AC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</row>
    <row r="1290" spans="1:43" x14ac:dyDescent="0.25">
      <c r="A1290" s="1">
        <v>46062</v>
      </c>
      <c r="B1290" t="s">
        <v>1305</v>
      </c>
      <c r="C1290">
        <v>649163</v>
      </c>
      <c r="D1290">
        <v>2033126465</v>
      </c>
      <c r="E1290" t="s">
        <v>965</v>
      </c>
      <c r="F1290" t="s">
        <v>592</v>
      </c>
      <c r="G1290" t="s">
        <v>51</v>
      </c>
      <c r="I1290" t="s">
        <v>383</v>
      </c>
      <c r="J1290" t="s">
        <v>400</v>
      </c>
      <c r="K1290">
        <v>649163</v>
      </c>
      <c r="L1290" t="s">
        <v>355</v>
      </c>
      <c r="M1290" t="s">
        <v>356</v>
      </c>
      <c r="N1290" t="s">
        <v>144</v>
      </c>
      <c r="O1290" s="1">
        <v>46054</v>
      </c>
      <c r="P1290" s="1">
        <v>46062</v>
      </c>
      <c r="R1290" s="2">
        <v>0</v>
      </c>
      <c r="AB1290" s="2">
        <v>331.68</v>
      </c>
      <c r="AC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55.28</v>
      </c>
      <c r="AN1290" s="2">
        <v>-276.39999999999998</v>
      </c>
      <c r="AO1290" s="2">
        <v>-276.39999999999998</v>
      </c>
      <c r="AP1290" s="2">
        <v>0</v>
      </c>
      <c r="AQ1290" s="2">
        <v>0</v>
      </c>
    </row>
    <row r="1291" spans="1:43" x14ac:dyDescent="0.25">
      <c r="A1291" s="1">
        <v>46062</v>
      </c>
      <c r="B1291" t="s">
        <v>1305</v>
      </c>
      <c r="C1291">
        <v>649163</v>
      </c>
      <c r="D1291">
        <v>2033126466</v>
      </c>
      <c r="E1291" t="s">
        <v>965</v>
      </c>
      <c r="F1291" t="s">
        <v>592</v>
      </c>
      <c r="G1291" t="s">
        <v>51</v>
      </c>
      <c r="I1291" t="s">
        <v>72</v>
      </c>
      <c r="J1291" t="s">
        <v>93</v>
      </c>
      <c r="K1291">
        <v>649163</v>
      </c>
      <c r="L1291" t="s">
        <v>355</v>
      </c>
      <c r="M1291" t="s">
        <v>356</v>
      </c>
      <c r="N1291" t="s">
        <v>144</v>
      </c>
      <c r="O1291" s="1">
        <v>46054</v>
      </c>
      <c r="P1291" s="1">
        <v>46062</v>
      </c>
      <c r="R1291" s="2">
        <v>0</v>
      </c>
      <c r="AB1291" s="2">
        <v>903.84</v>
      </c>
      <c r="AC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150.63999999999999</v>
      </c>
      <c r="AN1291" s="2">
        <v>-753.2</v>
      </c>
      <c r="AO1291" s="2">
        <v>-753.2</v>
      </c>
      <c r="AP1291" s="2">
        <v>0</v>
      </c>
      <c r="AQ1291" s="2">
        <v>0</v>
      </c>
    </row>
    <row r="1292" spans="1:43" x14ac:dyDescent="0.25">
      <c r="A1292" s="1">
        <v>46062</v>
      </c>
      <c r="B1292" t="s">
        <v>1305</v>
      </c>
      <c r="C1292">
        <v>649163</v>
      </c>
      <c r="D1292">
        <v>2033160879</v>
      </c>
      <c r="E1292" t="s">
        <v>453</v>
      </c>
      <c r="F1292" t="s">
        <v>454</v>
      </c>
      <c r="G1292" t="s">
        <v>51</v>
      </c>
      <c r="I1292" t="s">
        <v>53</v>
      </c>
      <c r="J1292" t="s">
        <v>54</v>
      </c>
      <c r="K1292">
        <v>649163</v>
      </c>
      <c r="L1292" t="s">
        <v>55</v>
      </c>
      <c r="M1292" t="s">
        <v>56</v>
      </c>
      <c r="N1292" t="s">
        <v>144</v>
      </c>
      <c r="O1292" s="1">
        <v>46054</v>
      </c>
      <c r="P1292" s="1">
        <v>46062</v>
      </c>
      <c r="R1292" s="2">
        <v>0</v>
      </c>
      <c r="AB1292" s="2">
        <v>272.39999999999998</v>
      </c>
      <c r="AC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45.4</v>
      </c>
      <c r="AN1292" s="2">
        <v>-227</v>
      </c>
      <c r="AO1292" s="2">
        <v>-227</v>
      </c>
      <c r="AP1292" s="2">
        <v>0</v>
      </c>
      <c r="AQ1292" s="2">
        <v>0</v>
      </c>
    </row>
    <row r="1293" spans="1:43" x14ac:dyDescent="0.25">
      <c r="A1293" s="1">
        <v>46062</v>
      </c>
      <c r="B1293" t="s">
        <v>1305</v>
      </c>
      <c r="C1293">
        <v>649163</v>
      </c>
      <c r="D1293">
        <v>2033178394</v>
      </c>
      <c r="E1293" t="s">
        <v>966</v>
      </c>
      <c r="F1293" t="s">
        <v>967</v>
      </c>
      <c r="G1293" t="s">
        <v>51</v>
      </c>
      <c r="I1293" t="s">
        <v>383</v>
      </c>
      <c r="J1293" t="s">
        <v>384</v>
      </c>
      <c r="K1293">
        <v>649163</v>
      </c>
      <c r="L1293" t="s">
        <v>74</v>
      </c>
      <c r="M1293" t="s">
        <v>75</v>
      </c>
      <c r="N1293" t="s">
        <v>144</v>
      </c>
      <c r="O1293" s="1">
        <v>46054</v>
      </c>
      <c r="P1293" s="1">
        <v>46062</v>
      </c>
      <c r="R1293" s="2">
        <v>0</v>
      </c>
      <c r="AB1293" s="2">
        <v>135.78</v>
      </c>
      <c r="AC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22.63</v>
      </c>
      <c r="AN1293" s="2">
        <v>-113.15</v>
      </c>
      <c r="AO1293" s="2">
        <v>-113.15</v>
      </c>
      <c r="AP1293" s="2">
        <v>0</v>
      </c>
      <c r="AQ1293" s="2">
        <v>0</v>
      </c>
    </row>
    <row r="1294" spans="1:43" x14ac:dyDescent="0.25">
      <c r="A1294" s="1">
        <v>46062</v>
      </c>
      <c r="B1294" t="s">
        <v>1305</v>
      </c>
      <c r="C1294">
        <v>649163</v>
      </c>
      <c r="D1294">
        <v>2033178395</v>
      </c>
      <c r="E1294" t="s">
        <v>966</v>
      </c>
      <c r="F1294" t="s">
        <v>967</v>
      </c>
      <c r="G1294" t="s">
        <v>51</v>
      </c>
      <c r="I1294" t="s">
        <v>72</v>
      </c>
      <c r="J1294" t="s">
        <v>93</v>
      </c>
      <c r="K1294">
        <v>649163</v>
      </c>
      <c r="L1294" t="s">
        <v>74</v>
      </c>
      <c r="M1294" t="s">
        <v>75</v>
      </c>
      <c r="N1294" t="s">
        <v>144</v>
      </c>
      <c r="O1294" s="1">
        <v>46054</v>
      </c>
      <c r="P1294" s="1">
        <v>46062</v>
      </c>
      <c r="R1294" s="2">
        <v>0</v>
      </c>
      <c r="AB1294" s="2">
        <v>904.5</v>
      </c>
      <c r="AC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150.75</v>
      </c>
      <c r="AN1294" s="2">
        <v>-753.75</v>
      </c>
      <c r="AO1294" s="2">
        <v>-753.75</v>
      </c>
      <c r="AP1294" s="2">
        <v>0</v>
      </c>
      <c r="AQ1294" s="2">
        <v>0</v>
      </c>
    </row>
    <row r="1295" spans="1:43" x14ac:dyDescent="0.25">
      <c r="A1295" s="1">
        <v>46062</v>
      </c>
      <c r="B1295" t="s">
        <v>1305</v>
      </c>
      <c r="C1295">
        <v>649163</v>
      </c>
      <c r="D1295">
        <v>2033246167</v>
      </c>
      <c r="E1295" t="s">
        <v>968</v>
      </c>
      <c r="F1295" t="s">
        <v>969</v>
      </c>
      <c r="G1295" t="s">
        <v>51</v>
      </c>
      <c r="I1295" t="s">
        <v>383</v>
      </c>
      <c r="J1295" t="s">
        <v>384</v>
      </c>
      <c r="K1295">
        <v>649163</v>
      </c>
      <c r="L1295" t="s">
        <v>74</v>
      </c>
      <c r="M1295" t="s">
        <v>75</v>
      </c>
      <c r="N1295" t="s">
        <v>144</v>
      </c>
      <c r="O1295" s="1">
        <v>46054</v>
      </c>
      <c r="P1295" s="1">
        <v>46062</v>
      </c>
      <c r="R1295" s="2">
        <v>0</v>
      </c>
      <c r="AB1295" s="2">
        <v>394.44</v>
      </c>
      <c r="AC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65.739999999999995</v>
      </c>
      <c r="AN1295" s="2">
        <v>-328.7</v>
      </c>
      <c r="AO1295" s="2">
        <v>-328.7</v>
      </c>
      <c r="AP1295" s="2">
        <v>0</v>
      </c>
      <c r="AQ1295" s="2">
        <v>0</v>
      </c>
    </row>
    <row r="1296" spans="1:43" x14ac:dyDescent="0.25">
      <c r="A1296" s="1">
        <v>46062</v>
      </c>
      <c r="B1296" t="s">
        <v>1305</v>
      </c>
      <c r="C1296">
        <v>649163</v>
      </c>
      <c r="D1296">
        <v>2033246168</v>
      </c>
      <c r="E1296" t="s">
        <v>968</v>
      </c>
      <c r="F1296" t="s">
        <v>969</v>
      </c>
      <c r="G1296" t="s">
        <v>51</v>
      </c>
      <c r="I1296" t="s">
        <v>72</v>
      </c>
      <c r="J1296" t="s">
        <v>93</v>
      </c>
      <c r="K1296">
        <v>649163</v>
      </c>
      <c r="L1296" t="s">
        <v>74</v>
      </c>
      <c r="M1296" t="s">
        <v>75</v>
      </c>
      <c r="N1296" t="s">
        <v>144</v>
      </c>
      <c r="O1296" s="1">
        <v>46054</v>
      </c>
      <c r="P1296" s="1">
        <v>46062</v>
      </c>
      <c r="R1296" s="2">
        <v>0</v>
      </c>
      <c r="AB1296" s="2">
        <v>511.02</v>
      </c>
      <c r="AC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85.17</v>
      </c>
      <c r="AN1296" s="2">
        <v>-425.85</v>
      </c>
      <c r="AO1296" s="2">
        <v>-425.85</v>
      </c>
      <c r="AP1296" s="2">
        <v>0</v>
      </c>
      <c r="AQ1296" s="2">
        <v>0</v>
      </c>
    </row>
    <row r="1297" spans="1:43" x14ac:dyDescent="0.25">
      <c r="A1297" s="1">
        <v>46062</v>
      </c>
      <c r="B1297" t="s">
        <v>1305</v>
      </c>
      <c r="C1297">
        <v>649163</v>
      </c>
      <c r="D1297">
        <v>2033304950</v>
      </c>
      <c r="E1297" t="s">
        <v>970</v>
      </c>
      <c r="F1297" t="s">
        <v>891</v>
      </c>
      <c r="G1297" t="s">
        <v>51</v>
      </c>
      <c r="I1297" t="s">
        <v>383</v>
      </c>
      <c r="J1297" t="s">
        <v>384</v>
      </c>
      <c r="K1297">
        <v>649163</v>
      </c>
      <c r="L1297" t="s">
        <v>162</v>
      </c>
      <c r="M1297" t="s">
        <v>180</v>
      </c>
      <c r="N1297" t="s">
        <v>144</v>
      </c>
      <c r="O1297" s="1">
        <v>46051</v>
      </c>
      <c r="P1297" s="1">
        <v>46062</v>
      </c>
      <c r="R1297" s="2">
        <v>0</v>
      </c>
      <c r="AB1297" s="2">
        <v>411</v>
      </c>
      <c r="AC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68.5</v>
      </c>
      <c r="AN1297" s="2">
        <v>-342.5</v>
      </c>
      <c r="AO1297" s="2">
        <v>-342.5</v>
      </c>
      <c r="AP1297" s="2">
        <v>0</v>
      </c>
      <c r="AQ1297" s="2">
        <v>0</v>
      </c>
    </row>
    <row r="1298" spans="1:43" x14ac:dyDescent="0.25">
      <c r="A1298" s="1">
        <v>46062</v>
      </c>
      <c r="B1298" t="s">
        <v>1305</v>
      </c>
      <c r="C1298">
        <v>649163</v>
      </c>
      <c r="D1298">
        <v>2033397213</v>
      </c>
      <c r="E1298" t="s">
        <v>620</v>
      </c>
      <c r="F1298" t="s">
        <v>539</v>
      </c>
      <c r="G1298" t="s">
        <v>51</v>
      </c>
      <c r="I1298" t="s">
        <v>378</v>
      </c>
      <c r="J1298" t="s">
        <v>380</v>
      </c>
      <c r="K1298">
        <v>649163</v>
      </c>
      <c r="L1298" t="s">
        <v>405</v>
      </c>
      <c r="M1298" t="s">
        <v>406</v>
      </c>
      <c r="N1298" t="s">
        <v>144</v>
      </c>
      <c r="O1298" s="1">
        <v>46052</v>
      </c>
      <c r="P1298" s="1">
        <v>46062</v>
      </c>
      <c r="R1298" s="2">
        <v>0</v>
      </c>
      <c r="AB1298" s="2">
        <v>510.54</v>
      </c>
      <c r="AC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85.09</v>
      </c>
      <c r="AN1298" s="2">
        <v>-425.45</v>
      </c>
      <c r="AO1298" s="2">
        <v>-425.45</v>
      </c>
      <c r="AP1298" s="2">
        <v>0</v>
      </c>
      <c r="AQ1298" s="2">
        <v>0</v>
      </c>
    </row>
    <row r="1299" spans="1:43" x14ac:dyDescent="0.25">
      <c r="A1299" s="1">
        <v>46062</v>
      </c>
      <c r="B1299" t="s">
        <v>1305</v>
      </c>
      <c r="C1299">
        <v>649163</v>
      </c>
      <c r="D1299">
        <v>2033397215</v>
      </c>
      <c r="E1299" t="s">
        <v>620</v>
      </c>
      <c r="F1299" t="s">
        <v>539</v>
      </c>
      <c r="G1299" t="s">
        <v>51</v>
      </c>
      <c r="I1299" t="s">
        <v>383</v>
      </c>
      <c r="J1299" t="s">
        <v>384</v>
      </c>
      <c r="K1299">
        <v>649163</v>
      </c>
      <c r="L1299" t="s">
        <v>405</v>
      </c>
      <c r="M1299" t="s">
        <v>406</v>
      </c>
      <c r="N1299" t="s">
        <v>144</v>
      </c>
      <c r="O1299" s="1">
        <v>46052</v>
      </c>
      <c r="P1299" s="1">
        <v>46062</v>
      </c>
      <c r="R1299" s="2">
        <v>0</v>
      </c>
      <c r="AB1299" s="2">
        <v>76.02</v>
      </c>
      <c r="AC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12.67</v>
      </c>
      <c r="AN1299" s="2">
        <v>-63.35</v>
      </c>
      <c r="AO1299" s="2">
        <v>-63.35</v>
      </c>
      <c r="AP1299" s="2">
        <v>0</v>
      </c>
      <c r="AQ1299" s="2">
        <v>0</v>
      </c>
    </row>
    <row r="1300" spans="1:43" x14ac:dyDescent="0.25">
      <c r="A1300" s="1">
        <v>46062</v>
      </c>
      <c r="B1300" t="s">
        <v>1305</v>
      </c>
      <c r="C1300">
        <v>649163</v>
      </c>
      <c r="D1300">
        <v>2033397217</v>
      </c>
      <c r="E1300" t="s">
        <v>620</v>
      </c>
      <c r="F1300" t="s">
        <v>539</v>
      </c>
      <c r="G1300" t="s">
        <v>51</v>
      </c>
      <c r="I1300" t="s">
        <v>350</v>
      </c>
      <c r="J1300" t="s">
        <v>354</v>
      </c>
      <c r="K1300">
        <v>649163</v>
      </c>
      <c r="L1300" t="s">
        <v>405</v>
      </c>
      <c r="M1300" t="s">
        <v>406</v>
      </c>
      <c r="N1300" t="s">
        <v>144</v>
      </c>
      <c r="O1300" s="1">
        <v>46052</v>
      </c>
      <c r="P1300" s="1">
        <v>46062</v>
      </c>
      <c r="R1300" s="2">
        <v>0</v>
      </c>
      <c r="AB1300" s="2">
        <v>34.200000000000003</v>
      </c>
      <c r="AC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5.7</v>
      </c>
      <c r="AN1300" s="2">
        <v>-28.5</v>
      </c>
      <c r="AO1300" s="2">
        <v>-28.5</v>
      </c>
      <c r="AP1300" s="2">
        <v>0</v>
      </c>
      <c r="AQ1300" s="2">
        <v>0</v>
      </c>
    </row>
    <row r="1301" spans="1:43" x14ac:dyDescent="0.25">
      <c r="A1301" s="1">
        <v>46062</v>
      </c>
      <c r="B1301" t="s">
        <v>1305</v>
      </c>
      <c r="C1301">
        <v>649163</v>
      </c>
      <c r="D1301">
        <v>2033422266</v>
      </c>
      <c r="E1301" t="s">
        <v>1081</v>
      </c>
      <c r="F1301" t="s">
        <v>1082</v>
      </c>
      <c r="G1301" t="s">
        <v>51</v>
      </c>
      <c r="I1301" t="s">
        <v>72</v>
      </c>
      <c r="J1301" t="s">
        <v>93</v>
      </c>
      <c r="K1301">
        <v>649163</v>
      </c>
      <c r="L1301" t="s">
        <v>122</v>
      </c>
      <c r="M1301" t="s">
        <v>123</v>
      </c>
      <c r="N1301" t="s">
        <v>144</v>
      </c>
      <c r="O1301" s="1">
        <v>46054</v>
      </c>
      <c r="P1301" s="1">
        <v>46062</v>
      </c>
      <c r="R1301" s="2">
        <v>0</v>
      </c>
      <c r="AB1301" s="2">
        <v>368.52</v>
      </c>
      <c r="AC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61.42</v>
      </c>
      <c r="AN1301" s="2">
        <v>-307.10000000000002</v>
      </c>
      <c r="AO1301" s="2">
        <v>-307.10000000000002</v>
      </c>
      <c r="AP1301" s="2">
        <v>0</v>
      </c>
      <c r="AQ1301" s="2">
        <v>0</v>
      </c>
    </row>
    <row r="1302" spans="1:43" x14ac:dyDescent="0.25">
      <c r="A1302" s="1">
        <v>46062</v>
      </c>
      <c r="B1302" t="s">
        <v>1305</v>
      </c>
      <c r="C1302">
        <v>649163</v>
      </c>
      <c r="D1302">
        <v>2033434027</v>
      </c>
      <c r="E1302" t="s">
        <v>972</v>
      </c>
      <c r="F1302" t="s">
        <v>973</v>
      </c>
      <c r="G1302" t="s">
        <v>51</v>
      </c>
      <c r="I1302" t="s">
        <v>383</v>
      </c>
      <c r="J1302" t="s">
        <v>384</v>
      </c>
      <c r="K1302">
        <v>649163</v>
      </c>
      <c r="L1302" t="s">
        <v>730</v>
      </c>
      <c r="M1302" t="s">
        <v>731</v>
      </c>
      <c r="N1302" t="s">
        <v>144</v>
      </c>
      <c r="O1302" s="1">
        <v>46054</v>
      </c>
      <c r="P1302" s="1">
        <v>46062</v>
      </c>
      <c r="R1302" s="2">
        <v>0</v>
      </c>
      <c r="AB1302" s="2">
        <v>622.91999999999996</v>
      </c>
      <c r="AC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103.82</v>
      </c>
      <c r="AN1302" s="2">
        <v>-519.1</v>
      </c>
      <c r="AO1302" s="2">
        <v>-519.1</v>
      </c>
      <c r="AP1302" s="2">
        <v>0</v>
      </c>
      <c r="AQ1302" s="2">
        <v>0</v>
      </c>
    </row>
    <row r="1303" spans="1:43" x14ac:dyDescent="0.25">
      <c r="A1303" s="1">
        <v>46062</v>
      </c>
      <c r="B1303" t="s">
        <v>1305</v>
      </c>
      <c r="C1303">
        <v>649163</v>
      </c>
      <c r="D1303">
        <v>2033178396</v>
      </c>
      <c r="E1303" t="s">
        <v>966</v>
      </c>
      <c r="F1303" t="s">
        <v>967</v>
      </c>
      <c r="G1303" t="s">
        <v>51</v>
      </c>
      <c r="I1303" t="s">
        <v>363</v>
      </c>
      <c r="J1303" t="s">
        <v>364</v>
      </c>
      <c r="K1303">
        <v>649163</v>
      </c>
      <c r="L1303" t="s">
        <v>74</v>
      </c>
      <c r="M1303" t="s">
        <v>75</v>
      </c>
      <c r="N1303" t="s">
        <v>144</v>
      </c>
      <c r="O1303" s="1">
        <v>46054</v>
      </c>
      <c r="P1303" s="1">
        <v>46062</v>
      </c>
      <c r="R1303" s="2">
        <v>0</v>
      </c>
      <c r="AB1303" s="2">
        <v>52.5</v>
      </c>
      <c r="AC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8.75</v>
      </c>
      <c r="AN1303" s="2">
        <v>-43.75</v>
      </c>
      <c r="AO1303" s="2">
        <v>-43.75</v>
      </c>
      <c r="AP1303" s="2">
        <v>0</v>
      </c>
      <c r="AQ1303" s="2">
        <v>0</v>
      </c>
    </row>
    <row r="1304" spans="1:43" x14ac:dyDescent="0.25">
      <c r="A1304" s="1">
        <v>46062</v>
      </c>
      <c r="B1304" t="s">
        <v>1305</v>
      </c>
      <c r="C1304">
        <v>649163</v>
      </c>
      <c r="D1304">
        <v>2033304951</v>
      </c>
      <c r="E1304" t="s">
        <v>970</v>
      </c>
      <c r="F1304" t="s">
        <v>891</v>
      </c>
      <c r="G1304" t="s">
        <v>51</v>
      </c>
      <c r="I1304" t="s">
        <v>363</v>
      </c>
      <c r="J1304" t="s">
        <v>364</v>
      </c>
      <c r="K1304">
        <v>649163</v>
      </c>
      <c r="L1304" t="s">
        <v>162</v>
      </c>
      <c r="M1304" t="s">
        <v>180</v>
      </c>
      <c r="N1304" t="s">
        <v>144</v>
      </c>
      <c r="O1304" s="1">
        <v>46051</v>
      </c>
      <c r="P1304" s="1">
        <v>46062</v>
      </c>
      <c r="R1304" s="2">
        <v>0</v>
      </c>
      <c r="AB1304" s="2">
        <v>136.5</v>
      </c>
      <c r="AC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22.75</v>
      </c>
      <c r="AN1304" s="2">
        <v>-113.75</v>
      </c>
      <c r="AO1304" s="2">
        <v>-113.75</v>
      </c>
      <c r="AP1304" s="2">
        <v>0</v>
      </c>
      <c r="AQ1304" s="2">
        <v>0</v>
      </c>
    </row>
    <row r="1305" spans="1:43" x14ac:dyDescent="0.25">
      <c r="A1305" s="1">
        <v>46062</v>
      </c>
      <c r="B1305" t="s">
        <v>1305</v>
      </c>
      <c r="C1305">
        <v>649163</v>
      </c>
      <c r="D1305">
        <v>2033374018</v>
      </c>
      <c r="E1305" t="s">
        <v>342</v>
      </c>
      <c r="F1305" t="s">
        <v>343</v>
      </c>
      <c r="G1305" t="s">
        <v>51</v>
      </c>
      <c r="I1305" t="s">
        <v>152</v>
      </c>
      <c r="J1305" t="s">
        <v>153</v>
      </c>
      <c r="K1305">
        <v>649163</v>
      </c>
      <c r="L1305" t="s">
        <v>344</v>
      </c>
      <c r="M1305" t="s">
        <v>345</v>
      </c>
      <c r="N1305" t="s">
        <v>144</v>
      </c>
      <c r="O1305" s="1">
        <v>46054</v>
      </c>
      <c r="P1305" s="1">
        <v>46062</v>
      </c>
      <c r="R1305" s="2">
        <v>0</v>
      </c>
      <c r="AB1305" s="2">
        <v>241.32</v>
      </c>
      <c r="AC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40.22</v>
      </c>
      <c r="AN1305" s="2">
        <v>-201.1</v>
      </c>
      <c r="AO1305" s="2">
        <v>-201.1</v>
      </c>
      <c r="AP1305" s="2">
        <v>0</v>
      </c>
      <c r="AQ1305" s="2">
        <v>0</v>
      </c>
    </row>
    <row r="1306" spans="1:43" x14ac:dyDescent="0.25">
      <c r="A1306" s="1">
        <v>46062</v>
      </c>
      <c r="B1306" t="s">
        <v>1305</v>
      </c>
      <c r="C1306">
        <v>649163</v>
      </c>
      <c r="D1306">
        <v>2033397214</v>
      </c>
      <c r="E1306" t="s">
        <v>620</v>
      </c>
      <c r="F1306" t="s">
        <v>539</v>
      </c>
      <c r="G1306" t="s">
        <v>51</v>
      </c>
      <c r="I1306" t="s">
        <v>378</v>
      </c>
      <c r="J1306" t="s">
        <v>381</v>
      </c>
      <c r="K1306">
        <v>649163</v>
      </c>
      <c r="L1306" t="s">
        <v>405</v>
      </c>
      <c r="M1306" t="s">
        <v>406</v>
      </c>
      <c r="N1306" t="s">
        <v>144</v>
      </c>
      <c r="O1306" s="1">
        <v>46052</v>
      </c>
      <c r="P1306" s="1">
        <v>46062</v>
      </c>
      <c r="R1306" s="2">
        <v>0</v>
      </c>
      <c r="AB1306" s="2">
        <v>16.14</v>
      </c>
      <c r="AC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2.69</v>
      </c>
      <c r="AN1306" s="2">
        <v>-13.45</v>
      </c>
      <c r="AO1306" s="2">
        <v>-13.45</v>
      </c>
      <c r="AP1306" s="2">
        <v>0</v>
      </c>
      <c r="AQ1306" s="2">
        <v>0</v>
      </c>
    </row>
    <row r="1307" spans="1:43" x14ac:dyDescent="0.25">
      <c r="A1307" s="1">
        <v>46062</v>
      </c>
      <c r="B1307" t="s">
        <v>1305</v>
      </c>
      <c r="C1307">
        <v>649163</v>
      </c>
      <c r="D1307">
        <v>2033397216</v>
      </c>
      <c r="E1307" t="s">
        <v>620</v>
      </c>
      <c r="F1307" t="s">
        <v>539</v>
      </c>
      <c r="G1307" t="s">
        <v>51</v>
      </c>
      <c r="I1307" t="s">
        <v>383</v>
      </c>
      <c r="J1307" t="s">
        <v>843</v>
      </c>
      <c r="K1307">
        <v>649163</v>
      </c>
      <c r="L1307" t="s">
        <v>405</v>
      </c>
      <c r="M1307" t="s">
        <v>406</v>
      </c>
      <c r="N1307" t="s">
        <v>144</v>
      </c>
      <c r="O1307" s="1">
        <v>46052</v>
      </c>
      <c r="P1307" s="1">
        <v>46062</v>
      </c>
      <c r="R1307" s="2">
        <v>0</v>
      </c>
      <c r="AB1307" s="2">
        <v>74.34</v>
      </c>
      <c r="AC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12.39</v>
      </c>
      <c r="AN1307" s="2">
        <v>-61.95</v>
      </c>
      <c r="AO1307" s="2">
        <v>-61.95</v>
      </c>
      <c r="AP1307" s="2">
        <v>0</v>
      </c>
      <c r="AQ130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6717-C666-4D16-AB82-70AAD68B1737}">
  <dimension ref="A1:BD79"/>
  <sheetViews>
    <sheetView topLeftCell="J41" workbookViewId="0">
      <selection activeCell="AB2" sqref="AB2:AB79"/>
    </sheetView>
  </sheetViews>
  <sheetFormatPr defaultRowHeight="15" x14ac:dyDescent="0.25"/>
  <cols>
    <col min="1" max="1" width="11" bestFit="1" customWidth="1"/>
    <col min="2" max="2" width="9.7109375" customWidth="1"/>
    <col min="3" max="4" width="8.140625" customWidth="1"/>
    <col min="9" max="9" width="25.140625" customWidth="1"/>
    <col min="10" max="10" width="25.7109375" customWidth="1"/>
    <col min="11" max="11" width="15.7109375" bestFit="1" customWidth="1"/>
    <col min="12" max="14" width="15.7109375" customWidth="1"/>
  </cols>
  <sheetData>
    <row r="1" spans="1:56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I1" t="s">
        <v>9</v>
      </c>
      <c r="K1" t="s">
        <v>10</v>
      </c>
      <c r="O1" t="s">
        <v>11</v>
      </c>
      <c r="P1" t="s">
        <v>12</v>
      </c>
      <c r="R1" t="s">
        <v>13</v>
      </c>
      <c r="S1" t="s">
        <v>14</v>
      </c>
      <c r="T1" t="s">
        <v>16</v>
      </c>
      <c r="U1" t="s">
        <v>17</v>
      </c>
      <c r="V1" t="s">
        <v>18</v>
      </c>
      <c r="W1" t="s">
        <v>21</v>
      </c>
      <c r="X1" t="s">
        <v>23</v>
      </c>
      <c r="Y1" t="s">
        <v>24</v>
      </c>
      <c r="Z1" t="s">
        <v>25</v>
      </c>
      <c r="AA1" t="s">
        <v>26</v>
      </c>
      <c r="AB1" t="s">
        <v>37</v>
      </c>
    </row>
    <row r="2" spans="1:56" x14ac:dyDescent="0.25">
      <c r="A2" s="6">
        <v>2033514195</v>
      </c>
      <c r="B2" s="6" t="s">
        <v>64</v>
      </c>
      <c r="C2" s="6" t="s">
        <v>65</v>
      </c>
      <c r="D2" s="6" t="str">
        <f>CONCATENATE(C2," ",B2)</f>
        <v>SCOTT KIEFNER</v>
      </c>
      <c r="E2" s="6" t="s">
        <v>66</v>
      </c>
      <c r="F2" s="6" t="s">
        <v>53</v>
      </c>
      <c r="G2" s="13">
        <v>0.6</v>
      </c>
      <c r="H2" s="6"/>
      <c r="I2" s="6" t="s">
        <v>54</v>
      </c>
      <c r="J2" s="6" t="s">
        <v>54</v>
      </c>
      <c r="K2" s="6">
        <v>8812322</v>
      </c>
      <c r="L2" s="6" t="str">
        <f>CONCATENATE(K2,"AV6")</f>
        <v>8812322AV6</v>
      </c>
      <c r="M2" s="6" t="s">
        <v>1392</v>
      </c>
      <c r="N2" s="6" t="s">
        <v>1389</v>
      </c>
      <c r="O2" s="6" t="s">
        <v>67</v>
      </c>
      <c r="P2" s="6" t="s">
        <v>68</v>
      </c>
      <c r="Q2" s="6" t="str">
        <f>CONCATENATE(P2," ",O2)</f>
        <v>Matthew Sherman</v>
      </c>
      <c r="R2" s="6" t="s">
        <v>57</v>
      </c>
      <c r="S2" s="5">
        <v>46082</v>
      </c>
      <c r="T2" s="5">
        <v>46113</v>
      </c>
      <c r="U2" s="7">
        <v>52.69</v>
      </c>
      <c r="V2" s="6">
        <v>1</v>
      </c>
      <c r="W2" s="13">
        <v>0.6</v>
      </c>
      <c r="X2" s="6">
        <v>0</v>
      </c>
      <c r="Y2" s="6" t="s">
        <v>60</v>
      </c>
      <c r="Z2" s="6" t="s">
        <v>61</v>
      </c>
      <c r="AA2" s="6">
        <v>6</v>
      </c>
      <c r="AB2" s="7">
        <v>31.61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 spans="1:56" s="6" customFormat="1" x14ac:dyDescent="0.25">
      <c r="A3" s="6">
        <v>2033478391</v>
      </c>
      <c r="B3" s="6" t="s">
        <v>114</v>
      </c>
      <c r="C3" s="6" t="s">
        <v>115</v>
      </c>
      <c r="D3" s="6" t="str">
        <f>CONCATENATE(C3," ",B3)</f>
        <v>WENDY REED</v>
      </c>
      <c r="E3" s="6" t="s">
        <v>116</v>
      </c>
      <c r="F3" s="6" t="s">
        <v>72</v>
      </c>
      <c r="G3" s="13">
        <v>0.75</v>
      </c>
      <c r="I3" s="6" t="s">
        <v>79</v>
      </c>
      <c r="J3" s="6" t="s">
        <v>1329</v>
      </c>
      <c r="K3" s="6">
        <v>16849453</v>
      </c>
      <c r="L3" s="6" t="str">
        <f t="shared" ref="L3:L22" si="0">CONCATENATE(K3,"AV6")</f>
        <v>16849453AV6</v>
      </c>
      <c r="M3" s="6" t="s">
        <v>1392</v>
      </c>
      <c r="N3" s="6" t="s">
        <v>1389</v>
      </c>
      <c r="O3" s="6" t="s">
        <v>117</v>
      </c>
      <c r="P3" s="6" t="s">
        <v>118</v>
      </c>
      <c r="Q3" s="6" t="str">
        <f>CONCATENATE(P3," ",O3)</f>
        <v>Danna Green</v>
      </c>
      <c r="R3" s="6" t="s">
        <v>57</v>
      </c>
      <c r="S3" s="5">
        <v>46058</v>
      </c>
      <c r="T3" s="5">
        <v>46086</v>
      </c>
      <c r="U3" s="7">
        <v>48.55</v>
      </c>
      <c r="V3" s="6">
        <v>1</v>
      </c>
      <c r="W3" s="13">
        <v>0.75</v>
      </c>
      <c r="X3" s="6">
        <v>0</v>
      </c>
      <c r="Y3" s="6" t="s">
        <v>60</v>
      </c>
      <c r="Z3" s="6" t="s">
        <v>61</v>
      </c>
      <c r="AA3" s="6">
        <v>6</v>
      </c>
      <c r="AB3" s="7">
        <v>36.409999999999997</v>
      </c>
    </row>
    <row r="4" spans="1:56" s="6" customFormat="1" x14ac:dyDescent="0.25">
      <c r="A4" s="6">
        <v>2033488883</v>
      </c>
      <c r="B4" s="6" t="s">
        <v>119</v>
      </c>
      <c r="C4" s="6" t="s">
        <v>120</v>
      </c>
      <c r="D4" s="6" t="str">
        <f>CONCATENATE(C4," ",B4)</f>
        <v>CHRISTOPHER PRUSHA</v>
      </c>
      <c r="E4" s="6" t="s">
        <v>121</v>
      </c>
      <c r="F4" s="6" t="s">
        <v>72</v>
      </c>
      <c r="G4" s="13">
        <v>0.75</v>
      </c>
      <c r="I4" s="6" t="s">
        <v>79</v>
      </c>
      <c r="J4" s="6" t="s">
        <v>1329</v>
      </c>
      <c r="K4" s="6">
        <v>19617796</v>
      </c>
      <c r="L4" s="6" t="str">
        <f t="shared" si="0"/>
        <v>19617796AV6</v>
      </c>
      <c r="M4" s="6" t="s">
        <v>1392</v>
      </c>
      <c r="N4" s="6" t="s">
        <v>1389</v>
      </c>
      <c r="O4" s="6" t="s">
        <v>122</v>
      </c>
      <c r="P4" s="6" t="s">
        <v>123</v>
      </c>
      <c r="Q4" s="6" t="str">
        <f>CONCATENATE(P4," ",O4)</f>
        <v>Heidi Berthelsen</v>
      </c>
      <c r="R4" s="6" t="s">
        <v>57</v>
      </c>
      <c r="S4" s="5">
        <v>46058</v>
      </c>
      <c r="T4" s="5">
        <v>46086</v>
      </c>
      <c r="U4" s="7">
        <v>93.55</v>
      </c>
      <c r="V4" s="6">
        <v>1</v>
      </c>
      <c r="W4" s="13">
        <v>0.75</v>
      </c>
      <c r="X4" s="6">
        <v>0</v>
      </c>
      <c r="Y4" s="6" t="s">
        <v>60</v>
      </c>
      <c r="Z4" s="6" t="s">
        <v>61</v>
      </c>
      <c r="AA4" s="6">
        <v>6</v>
      </c>
      <c r="AB4" s="7">
        <v>70.16</v>
      </c>
    </row>
    <row r="5" spans="1:56" s="6" customFormat="1" x14ac:dyDescent="0.25">
      <c r="A5" s="6">
        <v>2033515354</v>
      </c>
      <c r="B5" s="6" t="s">
        <v>346</v>
      </c>
      <c r="C5" s="6" t="s">
        <v>347</v>
      </c>
      <c r="D5" s="6" t="str">
        <f>CONCATENATE(C5," ",B5)</f>
        <v>SINH NGUYEN</v>
      </c>
      <c r="E5" s="6" t="s">
        <v>96</v>
      </c>
      <c r="F5" s="6" t="s">
        <v>72</v>
      </c>
      <c r="G5" s="13">
        <v>0.75</v>
      </c>
      <c r="I5" s="6" t="s">
        <v>79</v>
      </c>
      <c r="J5" s="6" t="s">
        <v>1329</v>
      </c>
      <c r="K5" s="6">
        <v>371819</v>
      </c>
      <c r="L5" s="6" t="str">
        <f t="shared" si="0"/>
        <v>371819AV6</v>
      </c>
      <c r="M5" s="6" t="s">
        <v>1392</v>
      </c>
      <c r="N5" s="6" t="s">
        <v>1389</v>
      </c>
      <c r="O5" s="6" t="s">
        <v>310</v>
      </c>
      <c r="P5" s="6" t="s">
        <v>311</v>
      </c>
      <c r="Q5" s="6" t="str">
        <f>CONCATENATE(P5," ",O5)</f>
        <v>THOMAS PARDUE</v>
      </c>
      <c r="R5" s="6" t="s">
        <v>57</v>
      </c>
      <c r="S5" s="5">
        <v>46059</v>
      </c>
      <c r="T5" s="5">
        <v>46087</v>
      </c>
      <c r="U5" s="7">
        <v>177.15</v>
      </c>
      <c r="V5" s="6">
        <v>1</v>
      </c>
      <c r="W5" s="13">
        <v>0.75</v>
      </c>
      <c r="X5" s="6">
        <v>0</v>
      </c>
      <c r="Y5" s="6" t="s">
        <v>60</v>
      </c>
      <c r="Z5" s="6" t="s">
        <v>61</v>
      </c>
      <c r="AA5" s="6">
        <v>6</v>
      </c>
      <c r="AB5" s="7">
        <v>132.86000000000001</v>
      </c>
    </row>
    <row r="6" spans="1:56" s="6" customFormat="1" x14ac:dyDescent="0.25">
      <c r="A6" s="6">
        <v>2033514022</v>
      </c>
      <c r="B6" s="6" t="s">
        <v>357</v>
      </c>
      <c r="C6" s="6" t="s">
        <v>358</v>
      </c>
      <c r="D6" s="6" t="str">
        <f>CONCATENATE(C6," ",B6)</f>
        <v>DANIELA ALPIZAR</v>
      </c>
      <c r="E6" s="6" t="s">
        <v>66</v>
      </c>
      <c r="F6" s="6" t="s">
        <v>350</v>
      </c>
      <c r="G6" s="13">
        <v>0.38</v>
      </c>
      <c r="I6" s="6" t="s">
        <v>354</v>
      </c>
      <c r="J6" s="6" t="s">
        <v>380</v>
      </c>
      <c r="K6" s="6">
        <v>8325282</v>
      </c>
      <c r="L6" s="6" t="str">
        <f t="shared" si="0"/>
        <v>8325282AV6</v>
      </c>
      <c r="M6" s="6" t="s">
        <v>1392</v>
      </c>
      <c r="N6" s="6" t="s">
        <v>1389</v>
      </c>
      <c r="O6" s="6" t="s">
        <v>319</v>
      </c>
      <c r="P6" s="6" t="s">
        <v>320</v>
      </c>
      <c r="Q6" s="6" t="str">
        <f>CONCATENATE(P6," ",O6)</f>
        <v>Dale Walenga</v>
      </c>
      <c r="R6" s="6" t="s">
        <v>57</v>
      </c>
      <c r="S6" s="5">
        <v>46059</v>
      </c>
      <c r="T6" s="5">
        <v>46087</v>
      </c>
      <c r="U6" s="7">
        <v>15</v>
      </c>
      <c r="V6" s="6">
        <v>1</v>
      </c>
      <c r="W6" s="13">
        <v>0.38</v>
      </c>
      <c r="X6" s="6">
        <v>0</v>
      </c>
      <c r="Y6" s="6" t="s">
        <v>60</v>
      </c>
      <c r="Z6" s="6" t="s">
        <v>61</v>
      </c>
      <c r="AA6" s="6">
        <v>6</v>
      </c>
      <c r="AB6" s="7">
        <v>5.7</v>
      </c>
    </row>
    <row r="7" spans="1:56" x14ac:dyDescent="0.25">
      <c r="A7" s="6">
        <v>2033474599</v>
      </c>
      <c r="B7" s="6" t="s">
        <v>348</v>
      </c>
      <c r="C7" s="6" t="s">
        <v>349</v>
      </c>
      <c r="D7" s="6" t="str">
        <f>CONCATENATE(C7," ",B7)</f>
        <v>SHAWN SHIPP</v>
      </c>
      <c r="E7" s="6" t="s">
        <v>116</v>
      </c>
      <c r="F7" s="6" t="s">
        <v>350</v>
      </c>
      <c r="G7" s="13">
        <v>0.19</v>
      </c>
      <c r="H7" s="6"/>
      <c r="I7" s="6" t="s">
        <v>351</v>
      </c>
      <c r="J7" s="6" t="s">
        <v>351</v>
      </c>
      <c r="K7" s="6">
        <v>20724564</v>
      </c>
      <c r="L7" s="6" t="str">
        <f t="shared" si="0"/>
        <v>20724564AV6</v>
      </c>
      <c r="M7" s="6" t="s">
        <v>1392</v>
      </c>
      <c r="N7" s="6" t="s">
        <v>1389</v>
      </c>
      <c r="O7" s="6" t="s">
        <v>132</v>
      </c>
      <c r="P7" s="6" t="s">
        <v>133</v>
      </c>
      <c r="Q7" s="6" t="str">
        <f>CONCATENATE(P7," ",O7)</f>
        <v>Marsha Sanderock</v>
      </c>
      <c r="R7" s="6" t="s">
        <v>57</v>
      </c>
      <c r="S7" s="5">
        <v>46057</v>
      </c>
      <c r="T7" s="5">
        <v>46085</v>
      </c>
      <c r="U7" s="7">
        <v>15</v>
      </c>
      <c r="V7" s="6">
        <v>1</v>
      </c>
      <c r="W7" s="13">
        <v>0.19</v>
      </c>
      <c r="X7" s="6">
        <v>0</v>
      </c>
      <c r="Y7" s="6" t="s">
        <v>60</v>
      </c>
      <c r="Z7" s="6" t="s">
        <v>61</v>
      </c>
      <c r="AA7" s="6">
        <v>6</v>
      </c>
      <c r="AB7" s="7">
        <v>2.85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x14ac:dyDescent="0.25">
      <c r="A8" s="6">
        <v>2033555264</v>
      </c>
      <c r="B8" s="6" t="s">
        <v>376</v>
      </c>
      <c r="C8" s="6" t="s">
        <v>377</v>
      </c>
      <c r="D8" s="6" t="str">
        <f>CONCATENATE(C8," ",B8)</f>
        <v>JOSE LOPEZ</v>
      </c>
      <c r="E8" s="6" t="s">
        <v>66</v>
      </c>
      <c r="F8" s="6" t="s">
        <v>363</v>
      </c>
      <c r="G8" s="14">
        <v>0.375</v>
      </c>
      <c r="H8" s="6"/>
      <c r="I8" s="6" t="s">
        <v>364</v>
      </c>
      <c r="J8" s="6" t="s">
        <v>364</v>
      </c>
      <c r="K8" s="6">
        <v>17301495</v>
      </c>
      <c r="L8" s="6" t="str">
        <f t="shared" si="0"/>
        <v>17301495AV6</v>
      </c>
      <c r="M8" s="6" t="s">
        <v>1392</v>
      </c>
      <c r="N8" s="6" t="s">
        <v>1389</v>
      </c>
      <c r="O8" s="6" t="s">
        <v>292</v>
      </c>
      <c r="P8" s="6" t="s">
        <v>293</v>
      </c>
      <c r="Q8" s="6" t="str">
        <f>CONCATENATE(P8," ",O8)</f>
        <v>ESTHER HERRERA-LARSEN</v>
      </c>
      <c r="R8" s="6" t="s">
        <v>57</v>
      </c>
      <c r="S8" s="5">
        <v>46062</v>
      </c>
      <c r="T8" s="5">
        <v>46090</v>
      </c>
      <c r="U8" s="7">
        <v>78.760000000000005</v>
      </c>
      <c r="V8" s="6">
        <v>1</v>
      </c>
      <c r="W8" s="14">
        <v>0.375</v>
      </c>
      <c r="X8" s="6">
        <v>0</v>
      </c>
      <c r="Y8" s="6" t="s">
        <v>60</v>
      </c>
      <c r="Z8" s="6" t="s">
        <v>61</v>
      </c>
      <c r="AA8" s="6">
        <v>6</v>
      </c>
      <c r="AB8" s="7">
        <v>29.54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 x14ac:dyDescent="0.25">
      <c r="A9" s="6">
        <v>2033120889</v>
      </c>
      <c r="B9" s="6" t="s">
        <v>362</v>
      </c>
      <c r="C9" s="6" t="s">
        <v>240</v>
      </c>
      <c r="D9" s="6" t="str">
        <f>CONCATENATE(C9," ",B9)</f>
        <v>JOHN STANTON</v>
      </c>
      <c r="E9" s="6" t="s">
        <v>66</v>
      </c>
      <c r="F9" s="6" t="s">
        <v>363</v>
      </c>
      <c r="G9" s="14">
        <v>0.375</v>
      </c>
      <c r="H9" s="6"/>
      <c r="I9" s="6" t="s">
        <v>364</v>
      </c>
      <c r="J9" s="6" t="s">
        <v>364</v>
      </c>
      <c r="K9" s="6">
        <v>17143996</v>
      </c>
      <c r="L9" s="6" t="str">
        <f t="shared" si="0"/>
        <v>17143996AV6</v>
      </c>
      <c r="M9" s="6" t="s">
        <v>1392</v>
      </c>
      <c r="N9" s="6" t="s">
        <v>1389</v>
      </c>
      <c r="O9" s="6" t="s">
        <v>365</v>
      </c>
      <c r="P9" s="6" t="s">
        <v>366</v>
      </c>
      <c r="Q9" s="6" t="str">
        <f>CONCATENATE(P9," ",O9)</f>
        <v>James Allen</v>
      </c>
      <c r="R9" s="6" t="s">
        <v>57</v>
      </c>
      <c r="S9" s="5">
        <v>46056</v>
      </c>
      <c r="T9" s="5">
        <v>46084</v>
      </c>
      <c r="U9" s="7">
        <v>64.349999999999994</v>
      </c>
      <c r="V9" s="6">
        <v>1</v>
      </c>
      <c r="W9" s="14">
        <v>0.375</v>
      </c>
      <c r="X9" s="6">
        <v>0</v>
      </c>
      <c r="Y9" s="6" t="s">
        <v>60</v>
      </c>
      <c r="Z9" s="6" t="s">
        <v>61</v>
      </c>
      <c r="AA9" s="6">
        <v>6</v>
      </c>
      <c r="AB9" s="7">
        <v>24.13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x14ac:dyDescent="0.25">
      <c r="A10" s="6">
        <v>2033515351</v>
      </c>
      <c r="B10" s="6" t="s">
        <v>346</v>
      </c>
      <c r="C10" s="6" t="s">
        <v>347</v>
      </c>
      <c r="D10" s="6" t="str">
        <f>CONCATENATE(C10," ",B10)</f>
        <v>SINH NGUYEN</v>
      </c>
      <c r="E10" s="6" t="s">
        <v>96</v>
      </c>
      <c r="F10" s="6" t="s">
        <v>363</v>
      </c>
      <c r="G10" s="14">
        <v>0.375</v>
      </c>
      <c r="H10" s="6"/>
      <c r="I10" s="6" t="s">
        <v>364</v>
      </c>
      <c r="J10" s="6" t="s">
        <v>364</v>
      </c>
      <c r="K10" s="6">
        <v>371819</v>
      </c>
      <c r="L10" s="6" t="str">
        <f t="shared" si="0"/>
        <v>371819AV6</v>
      </c>
      <c r="M10" s="6" t="s">
        <v>1392</v>
      </c>
      <c r="N10" s="6" t="s">
        <v>1389</v>
      </c>
      <c r="O10" s="6" t="s">
        <v>310</v>
      </c>
      <c r="P10" s="6" t="s">
        <v>311</v>
      </c>
      <c r="Q10" s="6" t="str">
        <f>CONCATENATE(P10," ",O10)</f>
        <v>THOMAS PARDUE</v>
      </c>
      <c r="R10" s="6" t="s">
        <v>57</v>
      </c>
      <c r="S10" s="5">
        <v>46059</v>
      </c>
      <c r="T10" s="5">
        <v>46087</v>
      </c>
      <c r="U10" s="7">
        <v>105.92</v>
      </c>
      <c r="V10" s="6">
        <v>1</v>
      </c>
      <c r="W10" s="14">
        <v>0.375</v>
      </c>
      <c r="X10" s="6">
        <v>0</v>
      </c>
      <c r="Y10" s="6" t="s">
        <v>60</v>
      </c>
      <c r="Z10" s="6" t="s">
        <v>61</v>
      </c>
      <c r="AA10" s="6">
        <v>6</v>
      </c>
      <c r="AB10" s="7">
        <v>39.72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 x14ac:dyDescent="0.25">
      <c r="A11" s="6">
        <v>2033473025</v>
      </c>
      <c r="B11" s="6" t="s">
        <v>369</v>
      </c>
      <c r="C11" s="6" t="s">
        <v>370</v>
      </c>
      <c r="D11" s="6" t="str">
        <f>CONCATENATE(C11," ",B11)</f>
        <v>JORDAN STEVENS</v>
      </c>
      <c r="E11" s="6" t="s">
        <v>309</v>
      </c>
      <c r="F11" s="6" t="s">
        <v>363</v>
      </c>
      <c r="G11" s="14">
        <v>0.375</v>
      </c>
      <c r="H11" s="6"/>
      <c r="I11" s="6" t="s">
        <v>364</v>
      </c>
      <c r="J11" s="6" t="s">
        <v>364</v>
      </c>
      <c r="K11" s="6">
        <v>371819</v>
      </c>
      <c r="L11" s="6" t="str">
        <f t="shared" si="0"/>
        <v>371819AV6</v>
      </c>
      <c r="M11" s="6" t="s">
        <v>1392</v>
      </c>
      <c r="N11" s="6" t="s">
        <v>1389</v>
      </c>
      <c r="O11" s="6" t="s">
        <v>310</v>
      </c>
      <c r="P11" s="6" t="s">
        <v>311</v>
      </c>
      <c r="Q11" s="6" t="str">
        <f>CONCATENATE(P11," ",O11)</f>
        <v>THOMAS PARDUE</v>
      </c>
      <c r="R11" s="6" t="s">
        <v>57</v>
      </c>
      <c r="S11" s="5">
        <v>46062</v>
      </c>
      <c r="T11" s="5">
        <v>46090</v>
      </c>
      <c r="U11" s="7">
        <v>29.93</v>
      </c>
      <c r="V11" s="6">
        <v>1</v>
      </c>
      <c r="W11" s="14">
        <v>0.375</v>
      </c>
      <c r="X11" s="6">
        <v>0</v>
      </c>
      <c r="Y11" s="6" t="s">
        <v>60</v>
      </c>
      <c r="Z11" s="6" t="s">
        <v>61</v>
      </c>
      <c r="AA11" s="6">
        <v>6</v>
      </c>
      <c r="AB11" s="7">
        <v>11.22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s="6" customFormat="1" x14ac:dyDescent="0.25">
      <c r="A12" s="6">
        <v>2033489593</v>
      </c>
      <c r="B12" s="6" t="s">
        <v>371</v>
      </c>
      <c r="C12" s="6" t="s">
        <v>188</v>
      </c>
      <c r="D12" s="6" t="str">
        <f>CONCATENATE(C12," ",B12)</f>
        <v>MICHAEL DELBOSQUE</v>
      </c>
      <c r="E12" s="6" t="s">
        <v>90</v>
      </c>
      <c r="F12" s="6" t="s">
        <v>363</v>
      </c>
      <c r="G12" s="14">
        <v>0.375</v>
      </c>
      <c r="I12" s="6" t="s">
        <v>364</v>
      </c>
      <c r="J12" s="6" t="s">
        <v>364</v>
      </c>
      <c r="K12" s="6">
        <v>21283956</v>
      </c>
      <c r="L12" s="6" t="str">
        <f t="shared" si="0"/>
        <v>21283956AV6</v>
      </c>
      <c r="M12" s="6" t="s">
        <v>1392</v>
      </c>
      <c r="N12" s="6" t="s">
        <v>1389</v>
      </c>
      <c r="O12" s="6" t="s">
        <v>372</v>
      </c>
      <c r="P12" s="6" t="s">
        <v>373</v>
      </c>
      <c r="Q12" s="6" t="str">
        <f>CONCATENATE(P12," ",O12)</f>
        <v>VICTOR FUENTES</v>
      </c>
      <c r="R12" s="6" t="s">
        <v>57</v>
      </c>
      <c r="S12" s="5">
        <v>46058</v>
      </c>
      <c r="T12" s="5">
        <v>46086</v>
      </c>
      <c r="U12" s="7">
        <v>51.4</v>
      </c>
      <c r="V12" s="6">
        <v>1</v>
      </c>
      <c r="W12" s="14">
        <v>0.375</v>
      </c>
      <c r="X12" s="6">
        <v>0</v>
      </c>
      <c r="Y12" s="6" t="s">
        <v>60</v>
      </c>
      <c r="Z12" s="6" t="s">
        <v>61</v>
      </c>
      <c r="AA12" s="6">
        <v>6</v>
      </c>
      <c r="AB12" s="7">
        <v>19.28</v>
      </c>
    </row>
    <row r="13" spans="1:56" s="6" customFormat="1" x14ac:dyDescent="0.25">
      <c r="A13" s="6">
        <v>2033514020</v>
      </c>
      <c r="B13" s="6" t="s">
        <v>357</v>
      </c>
      <c r="C13" s="6" t="s">
        <v>358</v>
      </c>
      <c r="D13" s="6" t="str">
        <f>CONCATENATE(C13," ",B13)</f>
        <v>DANIELA ALPIZAR</v>
      </c>
      <c r="E13" s="6" t="s">
        <v>66</v>
      </c>
      <c r="F13" s="6" t="s">
        <v>378</v>
      </c>
      <c r="G13" s="13">
        <v>0.38</v>
      </c>
      <c r="I13" s="6" t="s">
        <v>380</v>
      </c>
      <c r="J13" s="6" t="s">
        <v>380</v>
      </c>
      <c r="K13" s="6">
        <v>8325282</v>
      </c>
      <c r="L13" s="6" t="str">
        <f t="shared" si="0"/>
        <v>8325282AV6</v>
      </c>
      <c r="M13" s="6" t="s">
        <v>1392</v>
      </c>
      <c r="N13" s="6" t="s">
        <v>1389</v>
      </c>
      <c r="O13" s="6" t="s">
        <v>319</v>
      </c>
      <c r="P13" s="6" t="s">
        <v>320</v>
      </c>
      <c r="Q13" s="6" t="str">
        <f>CONCATENATE(P13," ",O13)</f>
        <v>Dale Walenga</v>
      </c>
      <c r="R13" s="6" t="s">
        <v>57</v>
      </c>
      <c r="S13" s="5">
        <v>46059</v>
      </c>
      <c r="T13" s="5">
        <v>46087</v>
      </c>
      <c r="U13" s="7">
        <v>131.32</v>
      </c>
      <c r="V13" s="6">
        <v>1</v>
      </c>
      <c r="W13" s="13">
        <v>0.38</v>
      </c>
      <c r="X13" s="6">
        <v>0</v>
      </c>
      <c r="Y13" s="6" t="s">
        <v>60</v>
      </c>
      <c r="Z13" s="6" t="s">
        <v>61</v>
      </c>
      <c r="AA13" s="6">
        <v>6</v>
      </c>
      <c r="AB13" s="7">
        <v>49.9</v>
      </c>
    </row>
    <row r="14" spans="1:56" s="6" customFormat="1" x14ac:dyDescent="0.25">
      <c r="A14" s="6">
        <v>2033514021</v>
      </c>
      <c r="B14" s="6" t="s">
        <v>357</v>
      </c>
      <c r="C14" s="6" t="s">
        <v>358</v>
      </c>
      <c r="D14" s="6" t="str">
        <f>CONCATENATE(C14," ",B14)</f>
        <v>DANIELA ALPIZAR</v>
      </c>
      <c r="E14" s="6" t="s">
        <v>66</v>
      </c>
      <c r="F14" s="6" t="s">
        <v>378</v>
      </c>
      <c r="G14" s="13">
        <v>0.38</v>
      </c>
      <c r="I14" s="6" t="s">
        <v>381</v>
      </c>
      <c r="J14" s="6" t="s">
        <v>380</v>
      </c>
      <c r="K14" s="6">
        <v>8325282</v>
      </c>
      <c r="L14" s="6" t="str">
        <f t="shared" si="0"/>
        <v>8325282AV6</v>
      </c>
      <c r="M14" s="6" t="s">
        <v>1392</v>
      </c>
      <c r="N14" s="6" t="s">
        <v>1389</v>
      </c>
      <c r="O14" s="6" t="s">
        <v>319</v>
      </c>
      <c r="P14" s="6" t="s">
        <v>320</v>
      </c>
      <c r="Q14" s="6" t="str">
        <f>CONCATENATE(P14," ",O14)</f>
        <v>Dale Walenga</v>
      </c>
      <c r="R14" s="6" t="s">
        <v>57</v>
      </c>
      <c r="S14" s="5">
        <v>46059</v>
      </c>
      <c r="T14" s="5">
        <v>46087</v>
      </c>
      <c r="U14" s="7">
        <v>7.09</v>
      </c>
      <c r="V14" s="6">
        <v>1</v>
      </c>
      <c r="W14" s="13">
        <v>0.38</v>
      </c>
      <c r="X14" s="6">
        <v>0</v>
      </c>
      <c r="Y14" s="6" t="s">
        <v>60</v>
      </c>
      <c r="Z14" s="6" t="s">
        <v>61</v>
      </c>
      <c r="AA14" s="6">
        <v>6</v>
      </c>
      <c r="AB14" s="7">
        <v>2.69</v>
      </c>
    </row>
    <row r="15" spans="1:56" s="6" customFormat="1" x14ac:dyDescent="0.25">
      <c r="A15" s="6">
        <v>2033293237</v>
      </c>
      <c r="B15" s="6" t="s">
        <v>386</v>
      </c>
      <c r="C15" s="6" t="s">
        <v>387</v>
      </c>
      <c r="D15" s="6" t="str">
        <f>CONCATENATE(C15," ",B15)</f>
        <v>MARYANN YOUNG</v>
      </c>
      <c r="E15" s="6" t="s">
        <v>66</v>
      </c>
      <c r="F15" s="6" t="s">
        <v>383</v>
      </c>
      <c r="G15" s="13">
        <v>0.9</v>
      </c>
      <c r="I15" s="6" t="s">
        <v>385</v>
      </c>
      <c r="J15" s="6" t="s">
        <v>385</v>
      </c>
      <c r="K15" s="6">
        <v>8325282</v>
      </c>
      <c r="L15" s="6" t="str">
        <f t="shared" si="0"/>
        <v>8325282AV6</v>
      </c>
      <c r="M15" s="6" t="s">
        <v>1392</v>
      </c>
      <c r="N15" s="6" t="s">
        <v>1389</v>
      </c>
      <c r="O15" s="6" t="s">
        <v>319</v>
      </c>
      <c r="P15" s="6" t="s">
        <v>320</v>
      </c>
      <c r="Q15" s="6" t="str">
        <f>CONCATENATE(P15," ",O15)</f>
        <v>Dale Walenga</v>
      </c>
      <c r="R15" s="6" t="s">
        <v>57</v>
      </c>
      <c r="S15" s="5">
        <v>46065</v>
      </c>
      <c r="T15" s="5">
        <v>46093</v>
      </c>
      <c r="U15" s="7">
        <v>99.25</v>
      </c>
      <c r="V15" s="6">
        <v>1</v>
      </c>
      <c r="W15" s="13">
        <v>0.9</v>
      </c>
      <c r="X15" s="6">
        <v>0</v>
      </c>
      <c r="Y15" s="6" t="s">
        <v>60</v>
      </c>
      <c r="Z15" s="6" t="s">
        <v>61</v>
      </c>
      <c r="AA15" s="6">
        <v>6</v>
      </c>
      <c r="AB15" s="7">
        <v>89.32</v>
      </c>
    </row>
    <row r="16" spans="1:56" s="6" customFormat="1" x14ac:dyDescent="0.25">
      <c r="A16" s="6">
        <v>2033478392</v>
      </c>
      <c r="B16" s="6" t="s">
        <v>114</v>
      </c>
      <c r="C16" s="6" t="s">
        <v>115</v>
      </c>
      <c r="D16" s="6" t="str">
        <f>CONCATENATE(C16," ",B16)</f>
        <v>WENDY REED</v>
      </c>
      <c r="E16" s="6" t="s">
        <v>116</v>
      </c>
      <c r="F16" s="6" t="s">
        <v>383</v>
      </c>
      <c r="G16" s="13">
        <v>0.7</v>
      </c>
      <c r="I16" s="6" t="s">
        <v>384</v>
      </c>
      <c r="J16" s="6" t="s">
        <v>384</v>
      </c>
      <c r="K16" s="6">
        <v>16849453</v>
      </c>
      <c r="L16" s="6" t="str">
        <f t="shared" si="0"/>
        <v>16849453AV6</v>
      </c>
      <c r="M16" s="6" t="s">
        <v>1392</v>
      </c>
      <c r="N16" s="6" t="s">
        <v>1389</v>
      </c>
      <c r="O16" s="6" t="s">
        <v>117</v>
      </c>
      <c r="P16" s="6" t="s">
        <v>118</v>
      </c>
      <c r="Q16" s="6" t="str">
        <f>CONCATENATE(P16," ",O16)</f>
        <v>Danna Green</v>
      </c>
      <c r="R16" s="6" t="s">
        <v>57</v>
      </c>
      <c r="S16" s="5">
        <v>46058</v>
      </c>
      <c r="T16" s="5">
        <v>46086</v>
      </c>
      <c r="U16" s="7">
        <v>36.76</v>
      </c>
      <c r="V16" s="6">
        <v>1</v>
      </c>
      <c r="W16" s="13">
        <v>0.7</v>
      </c>
      <c r="X16" s="6">
        <v>0</v>
      </c>
      <c r="Y16" s="6" t="s">
        <v>60</v>
      </c>
      <c r="Z16" s="6" t="s">
        <v>61</v>
      </c>
      <c r="AA16" s="6">
        <v>6</v>
      </c>
      <c r="AB16" s="7">
        <v>25.73</v>
      </c>
    </row>
    <row r="17" spans="1:56" s="6" customFormat="1" x14ac:dyDescent="0.25">
      <c r="A17" s="6">
        <v>2033555265</v>
      </c>
      <c r="B17" s="6" t="s">
        <v>376</v>
      </c>
      <c r="C17" s="6" t="s">
        <v>377</v>
      </c>
      <c r="D17" s="6" t="str">
        <f>CONCATENATE(C17," ",B17)</f>
        <v>JOSE LOPEZ</v>
      </c>
      <c r="E17" s="6" t="s">
        <v>66</v>
      </c>
      <c r="F17" s="6" t="s">
        <v>383</v>
      </c>
      <c r="G17" s="13">
        <v>0.7</v>
      </c>
      <c r="I17" s="6" t="s">
        <v>384</v>
      </c>
      <c r="J17" s="6" t="s">
        <v>384</v>
      </c>
      <c r="K17" s="6">
        <v>17301495</v>
      </c>
      <c r="L17" s="6" t="str">
        <f t="shared" si="0"/>
        <v>17301495AV6</v>
      </c>
      <c r="M17" s="6" t="s">
        <v>1392</v>
      </c>
      <c r="N17" s="6" t="s">
        <v>1389</v>
      </c>
      <c r="O17" s="6" t="s">
        <v>292</v>
      </c>
      <c r="P17" s="6" t="s">
        <v>293</v>
      </c>
      <c r="Q17" s="6" t="str">
        <f>CONCATENATE(P17," ",O17)</f>
        <v>ESTHER HERRERA-LARSEN</v>
      </c>
      <c r="R17" s="6" t="s">
        <v>57</v>
      </c>
      <c r="S17" s="5">
        <v>46062</v>
      </c>
      <c r="T17" s="5">
        <v>46090</v>
      </c>
      <c r="U17" s="7">
        <v>11.5</v>
      </c>
      <c r="V17" s="6">
        <v>1</v>
      </c>
      <c r="W17" s="13">
        <v>0.7</v>
      </c>
      <c r="X17" s="6">
        <v>0</v>
      </c>
      <c r="Y17" s="6" t="s">
        <v>60</v>
      </c>
      <c r="Z17" s="6" t="s">
        <v>61</v>
      </c>
      <c r="AA17" s="6">
        <v>6</v>
      </c>
      <c r="AB17" s="7">
        <v>8.0500000000000007</v>
      </c>
    </row>
    <row r="18" spans="1:56" s="6" customFormat="1" x14ac:dyDescent="0.25">
      <c r="A18" s="6">
        <v>2033488882</v>
      </c>
      <c r="B18" s="6" t="s">
        <v>119</v>
      </c>
      <c r="C18" s="6" t="s">
        <v>120</v>
      </c>
      <c r="D18" s="6" t="str">
        <f>CONCATENATE(C18," ",B18)</f>
        <v>CHRISTOPHER PRUSHA</v>
      </c>
      <c r="E18" s="6" t="s">
        <v>121</v>
      </c>
      <c r="F18" s="6" t="s">
        <v>383</v>
      </c>
      <c r="G18" s="13">
        <v>0.7</v>
      </c>
      <c r="I18" s="6" t="s">
        <v>384</v>
      </c>
      <c r="J18" s="6" t="s">
        <v>384</v>
      </c>
      <c r="K18" s="6">
        <v>19617796</v>
      </c>
      <c r="L18" s="6" t="str">
        <f t="shared" si="0"/>
        <v>19617796AV6</v>
      </c>
      <c r="M18" s="6" t="s">
        <v>1392</v>
      </c>
      <c r="N18" s="6" t="s">
        <v>1389</v>
      </c>
      <c r="O18" s="6" t="s">
        <v>122</v>
      </c>
      <c r="P18" s="6" t="s">
        <v>123</v>
      </c>
      <c r="Q18" s="6" t="str">
        <f>CONCATENATE(P18," ",O18)</f>
        <v>Heidi Berthelsen</v>
      </c>
      <c r="R18" s="6" t="s">
        <v>57</v>
      </c>
      <c r="S18" s="5">
        <v>46058</v>
      </c>
      <c r="T18" s="5">
        <v>46086</v>
      </c>
      <c r="U18" s="7">
        <v>219.4</v>
      </c>
      <c r="V18" s="6">
        <v>1</v>
      </c>
      <c r="W18" s="13">
        <v>0.7</v>
      </c>
      <c r="X18" s="6">
        <v>0</v>
      </c>
      <c r="Y18" s="6" t="s">
        <v>60</v>
      </c>
      <c r="Z18" s="6" t="s">
        <v>61</v>
      </c>
      <c r="AA18" s="6">
        <v>6</v>
      </c>
      <c r="AB18" s="7">
        <v>153.58000000000001</v>
      </c>
    </row>
    <row r="19" spans="1:56" s="6" customFormat="1" x14ac:dyDescent="0.25">
      <c r="A19" s="6">
        <v>2033468919</v>
      </c>
      <c r="B19" s="6" t="s">
        <v>393</v>
      </c>
      <c r="C19" s="6" t="s">
        <v>188</v>
      </c>
      <c r="D19" s="6" t="str">
        <f>CONCATENATE(C19," ",B19)</f>
        <v>MICHAEL REEVES</v>
      </c>
      <c r="E19" s="6" t="s">
        <v>66</v>
      </c>
      <c r="F19" s="6" t="s">
        <v>383</v>
      </c>
      <c r="G19" s="13">
        <v>0.7</v>
      </c>
      <c r="I19" s="6" t="s">
        <v>384</v>
      </c>
      <c r="J19" s="6" t="s">
        <v>384</v>
      </c>
      <c r="K19" s="6">
        <v>16633294</v>
      </c>
      <c r="L19" s="6" t="str">
        <f t="shared" si="0"/>
        <v>16633294AV6</v>
      </c>
      <c r="M19" s="6" t="s">
        <v>1392</v>
      </c>
      <c r="N19" s="6" t="s">
        <v>1389</v>
      </c>
      <c r="O19" s="6" t="s">
        <v>108</v>
      </c>
      <c r="P19" s="6" t="s">
        <v>394</v>
      </c>
      <c r="Q19" s="6" t="str">
        <f>CONCATENATE(P19," ",O19)</f>
        <v>Richard Yale</v>
      </c>
      <c r="R19" s="6" t="s">
        <v>57</v>
      </c>
      <c r="S19" s="5">
        <v>46060</v>
      </c>
      <c r="T19" s="5">
        <v>46088</v>
      </c>
      <c r="U19" s="7">
        <v>131.72</v>
      </c>
      <c r="V19" s="6">
        <v>1</v>
      </c>
      <c r="W19" s="13">
        <v>0.7</v>
      </c>
      <c r="X19" s="6">
        <v>0</v>
      </c>
      <c r="Y19" s="6" t="s">
        <v>60</v>
      </c>
      <c r="Z19" s="6" t="s">
        <v>61</v>
      </c>
      <c r="AA19" s="6">
        <v>6</v>
      </c>
      <c r="AB19" s="7">
        <v>92.2</v>
      </c>
    </row>
    <row r="20" spans="1:56" x14ac:dyDescent="0.25">
      <c r="A20" s="6">
        <v>2033515352</v>
      </c>
      <c r="B20" s="6" t="s">
        <v>346</v>
      </c>
      <c r="C20" s="6" t="s">
        <v>347</v>
      </c>
      <c r="D20" s="6" t="str">
        <f>CONCATENATE(C20," ",B20)</f>
        <v>SINH NGUYEN</v>
      </c>
      <c r="E20" s="6" t="s">
        <v>96</v>
      </c>
      <c r="F20" s="6" t="s">
        <v>383</v>
      </c>
      <c r="G20" s="13">
        <v>0.7</v>
      </c>
      <c r="H20" s="6"/>
      <c r="I20" s="6" t="s">
        <v>384</v>
      </c>
      <c r="J20" s="6" t="s">
        <v>384</v>
      </c>
      <c r="K20" s="6">
        <v>371819</v>
      </c>
      <c r="L20" s="6" t="str">
        <f t="shared" si="0"/>
        <v>371819AV6</v>
      </c>
      <c r="M20" s="6" t="s">
        <v>1392</v>
      </c>
      <c r="N20" s="6" t="s">
        <v>1389</v>
      </c>
      <c r="O20" s="6" t="s">
        <v>310</v>
      </c>
      <c r="P20" s="6" t="s">
        <v>311</v>
      </c>
      <c r="Q20" s="6" t="str">
        <f>CONCATENATE(P20," ",O20)</f>
        <v>THOMAS PARDUE</v>
      </c>
      <c r="R20" s="6" t="s">
        <v>57</v>
      </c>
      <c r="S20" s="5">
        <v>46059</v>
      </c>
      <c r="T20" s="5">
        <v>46087</v>
      </c>
      <c r="U20" s="7">
        <v>99.24</v>
      </c>
      <c r="V20" s="6">
        <v>1</v>
      </c>
      <c r="W20" s="13">
        <v>0.7</v>
      </c>
      <c r="X20" s="6">
        <v>0</v>
      </c>
      <c r="Y20" s="6" t="s">
        <v>60</v>
      </c>
      <c r="Z20" s="6" t="s">
        <v>61</v>
      </c>
      <c r="AA20" s="6">
        <v>6</v>
      </c>
      <c r="AB20" s="7">
        <v>69.47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x14ac:dyDescent="0.25">
      <c r="A21" s="6">
        <v>2033515353</v>
      </c>
      <c r="B21" s="6" t="s">
        <v>346</v>
      </c>
      <c r="C21" s="6" t="s">
        <v>347</v>
      </c>
      <c r="D21" s="6" t="str">
        <f>CONCATENATE(C21," ",B21)</f>
        <v>SINH NGUYEN</v>
      </c>
      <c r="E21" s="6" t="s">
        <v>96</v>
      </c>
      <c r="F21" s="6" t="s">
        <v>383</v>
      </c>
      <c r="G21" s="13">
        <v>0.9</v>
      </c>
      <c r="H21" s="6"/>
      <c r="I21" s="6" t="s">
        <v>385</v>
      </c>
      <c r="J21" s="6" t="s">
        <v>385</v>
      </c>
      <c r="K21" s="6">
        <v>371819</v>
      </c>
      <c r="L21" s="6" t="str">
        <f t="shared" si="0"/>
        <v>371819AV6</v>
      </c>
      <c r="M21" s="6" t="s">
        <v>1392</v>
      </c>
      <c r="N21" s="6" t="s">
        <v>1389</v>
      </c>
      <c r="O21" s="6" t="s">
        <v>310</v>
      </c>
      <c r="P21" s="6" t="s">
        <v>311</v>
      </c>
      <c r="Q21" s="6" t="str">
        <f>CONCATENATE(P21," ",O21)</f>
        <v>THOMAS PARDUE</v>
      </c>
      <c r="R21" s="6" t="s">
        <v>57</v>
      </c>
      <c r="S21" s="5">
        <v>46059</v>
      </c>
      <c r="T21" s="5">
        <v>46087</v>
      </c>
      <c r="U21" s="7">
        <v>128.08000000000001</v>
      </c>
      <c r="V21" s="6">
        <v>1</v>
      </c>
      <c r="W21" s="13">
        <v>0.9</v>
      </c>
      <c r="X21" s="6">
        <v>0</v>
      </c>
      <c r="Y21" s="6" t="s">
        <v>60</v>
      </c>
      <c r="Z21" s="6" t="s">
        <v>61</v>
      </c>
      <c r="AA21" s="6">
        <v>6</v>
      </c>
      <c r="AB21" s="7">
        <v>115.27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x14ac:dyDescent="0.25">
      <c r="A22" s="6">
        <v>2033489592</v>
      </c>
      <c r="B22" s="6" t="s">
        <v>371</v>
      </c>
      <c r="C22" s="6" t="s">
        <v>188</v>
      </c>
      <c r="D22" s="6" t="str">
        <f>CONCATENATE(C22," ",B22)</f>
        <v>MICHAEL DELBOSQUE</v>
      </c>
      <c r="E22" s="6" t="s">
        <v>90</v>
      </c>
      <c r="F22" s="6" t="s">
        <v>383</v>
      </c>
      <c r="G22" s="13">
        <v>0.7</v>
      </c>
      <c r="H22" s="6"/>
      <c r="I22" s="6" t="s">
        <v>384</v>
      </c>
      <c r="J22" s="6" t="s">
        <v>384</v>
      </c>
      <c r="K22" s="6">
        <v>21283956</v>
      </c>
      <c r="L22" s="6" t="str">
        <f t="shared" si="0"/>
        <v>21283956AV6</v>
      </c>
      <c r="M22" s="6" t="s">
        <v>1392</v>
      </c>
      <c r="N22" s="6" t="s">
        <v>1389</v>
      </c>
      <c r="O22" s="6" t="s">
        <v>372</v>
      </c>
      <c r="P22" s="6" t="s">
        <v>373</v>
      </c>
      <c r="Q22" s="6" t="str">
        <f>CONCATENATE(P22," ",O22)</f>
        <v>VICTOR FUENTES</v>
      </c>
      <c r="R22" s="6" t="s">
        <v>57</v>
      </c>
      <c r="S22" s="5">
        <v>46058</v>
      </c>
      <c r="T22" s="5">
        <v>46086</v>
      </c>
      <c r="U22" s="7">
        <v>13</v>
      </c>
      <c r="V22" s="6">
        <v>1</v>
      </c>
      <c r="W22" s="13">
        <v>0.7</v>
      </c>
      <c r="X22" s="6">
        <v>0</v>
      </c>
      <c r="Y22" s="6" t="s">
        <v>60</v>
      </c>
      <c r="Z22" s="6" t="s">
        <v>61</v>
      </c>
      <c r="AA22" s="6">
        <v>6</v>
      </c>
      <c r="AB22" s="7">
        <v>9.1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 s="15" customFormat="1" x14ac:dyDescent="0.25">
      <c r="A23" s="15">
        <v>2033053091</v>
      </c>
      <c r="B23" s="15" t="s">
        <v>62</v>
      </c>
      <c r="C23" s="15" t="s">
        <v>63</v>
      </c>
      <c r="D23" s="15" t="str">
        <f>CONCATENATE(C23," ",B23)</f>
        <v>TARA OWENS</v>
      </c>
      <c r="E23" s="15" t="s">
        <v>52</v>
      </c>
      <c r="F23" s="15" t="s">
        <v>53</v>
      </c>
      <c r="G23" s="18">
        <v>0.6</v>
      </c>
      <c r="I23" s="15" t="s">
        <v>54</v>
      </c>
      <c r="J23" s="15" t="s">
        <v>54</v>
      </c>
      <c r="K23" s="15">
        <v>21758900</v>
      </c>
      <c r="L23" s="15">
        <v>21758900</v>
      </c>
      <c r="M23" s="15" t="s">
        <v>157</v>
      </c>
      <c r="N23" s="15" t="s">
        <v>1391</v>
      </c>
      <c r="O23" s="15" t="s">
        <v>55</v>
      </c>
      <c r="P23" s="15" t="s">
        <v>56</v>
      </c>
      <c r="Q23" s="15" t="str">
        <f>CONCATENATE(P23," ",O23)</f>
        <v>John Rader</v>
      </c>
      <c r="R23" s="15" t="s">
        <v>57</v>
      </c>
      <c r="S23" s="16">
        <v>46054</v>
      </c>
      <c r="T23" s="16">
        <v>46082</v>
      </c>
      <c r="U23" s="17">
        <v>56.69</v>
      </c>
      <c r="V23" s="15">
        <v>1</v>
      </c>
      <c r="W23" s="18">
        <v>0.6</v>
      </c>
      <c r="X23" s="15">
        <v>0</v>
      </c>
      <c r="Y23" s="15" t="s">
        <v>60</v>
      </c>
      <c r="Z23" s="15" t="s">
        <v>61</v>
      </c>
      <c r="AA23" s="15">
        <v>6</v>
      </c>
      <c r="AB23" s="17">
        <v>34.01</v>
      </c>
    </row>
    <row r="24" spans="1:56" x14ac:dyDescent="0.25">
      <c r="A24">
        <v>2032987490</v>
      </c>
      <c r="B24" t="s">
        <v>49</v>
      </c>
      <c r="C24" t="s">
        <v>50</v>
      </c>
      <c r="D24" t="str">
        <f>CONCATENATE(C24," ",B24)</f>
        <v>LEWIS BENN</v>
      </c>
      <c r="E24" t="s">
        <v>52</v>
      </c>
      <c r="F24" t="s">
        <v>53</v>
      </c>
      <c r="G24" s="3">
        <v>0.6</v>
      </c>
      <c r="I24" t="s">
        <v>54</v>
      </c>
      <c r="J24" t="s">
        <v>54</v>
      </c>
      <c r="K24">
        <v>21758900</v>
      </c>
      <c r="L24">
        <v>21758900</v>
      </c>
      <c r="M24" s="15" t="s">
        <v>157</v>
      </c>
      <c r="N24" s="15" t="s">
        <v>1391</v>
      </c>
      <c r="O24" t="s">
        <v>55</v>
      </c>
      <c r="P24" t="s">
        <v>56</v>
      </c>
      <c r="Q24" t="str">
        <f>CONCATENATE(P24," ",O24)</f>
        <v>John Rader</v>
      </c>
      <c r="R24" t="s">
        <v>57</v>
      </c>
      <c r="S24" s="1">
        <v>46054</v>
      </c>
      <c r="T24" s="1">
        <v>46082</v>
      </c>
      <c r="U24" s="2">
        <v>56.69</v>
      </c>
      <c r="V24">
        <v>1</v>
      </c>
      <c r="W24" s="3">
        <v>0.6</v>
      </c>
      <c r="X24">
        <v>0</v>
      </c>
      <c r="Y24" t="s">
        <v>60</v>
      </c>
      <c r="Z24" t="s">
        <v>61</v>
      </c>
      <c r="AA24">
        <v>6</v>
      </c>
      <c r="AB24" s="2">
        <v>34.01</v>
      </c>
    </row>
    <row r="25" spans="1:56" x14ac:dyDescent="0.25">
      <c r="A25">
        <v>2033468529</v>
      </c>
      <c r="B25" t="s">
        <v>106</v>
      </c>
      <c r="C25" t="s">
        <v>107</v>
      </c>
      <c r="D25" t="str">
        <f>CONCATENATE(C25," ",B25)</f>
        <v>PAMELA BREEN</v>
      </c>
      <c r="E25" t="s">
        <v>66</v>
      </c>
      <c r="F25" t="s">
        <v>72</v>
      </c>
      <c r="G25" s="3">
        <v>0.75</v>
      </c>
      <c r="I25" t="s">
        <v>73</v>
      </c>
      <c r="J25" t="s">
        <v>1329</v>
      </c>
      <c r="K25">
        <v>20003537</v>
      </c>
      <c r="L25">
        <v>20003537</v>
      </c>
      <c r="M25" s="15" t="s">
        <v>157</v>
      </c>
      <c r="N25" s="15" t="s">
        <v>1391</v>
      </c>
      <c r="O25" t="s">
        <v>108</v>
      </c>
      <c r="P25" t="s">
        <v>109</v>
      </c>
      <c r="Q25" t="str">
        <f>CONCATENATE(P25," ",O25)</f>
        <v>Chad Yale</v>
      </c>
      <c r="R25" t="s">
        <v>57</v>
      </c>
      <c r="S25" s="1">
        <v>46082</v>
      </c>
      <c r="T25" s="1">
        <v>46113</v>
      </c>
      <c r="U25" s="2">
        <v>76.3</v>
      </c>
      <c r="V25">
        <v>1</v>
      </c>
      <c r="W25" s="3">
        <v>0.75</v>
      </c>
      <c r="X25">
        <v>0</v>
      </c>
      <c r="Y25" t="s">
        <v>60</v>
      </c>
      <c r="Z25" t="s">
        <v>61</v>
      </c>
      <c r="AA25">
        <v>6</v>
      </c>
      <c r="AB25" s="2">
        <v>57.22</v>
      </c>
    </row>
    <row r="26" spans="1:56" x14ac:dyDescent="0.25">
      <c r="A26">
        <v>2033469199</v>
      </c>
      <c r="B26" t="s">
        <v>110</v>
      </c>
      <c r="C26" t="s">
        <v>111</v>
      </c>
      <c r="D26" t="str">
        <f>CONCATENATE(C26," ",B26)</f>
        <v>CHRIS THIGPEN</v>
      </c>
      <c r="E26" t="s">
        <v>112</v>
      </c>
      <c r="F26" t="s">
        <v>72</v>
      </c>
      <c r="G26" s="3">
        <v>0.75</v>
      </c>
      <c r="I26" t="s">
        <v>79</v>
      </c>
      <c r="J26" t="s">
        <v>1329</v>
      </c>
      <c r="K26">
        <v>8307933</v>
      </c>
      <c r="L26">
        <v>8307933</v>
      </c>
      <c r="M26" s="15" t="s">
        <v>157</v>
      </c>
      <c r="N26" s="15" t="s">
        <v>1391</v>
      </c>
      <c r="O26" t="s">
        <v>80</v>
      </c>
      <c r="P26" t="s">
        <v>81</v>
      </c>
      <c r="Q26" t="str">
        <f>CONCATENATE(P26," ",O26)</f>
        <v>GREGORY TEIPEL</v>
      </c>
      <c r="R26" t="s">
        <v>57</v>
      </c>
      <c r="S26" s="1">
        <v>45815</v>
      </c>
      <c r="T26" s="1">
        <v>45845</v>
      </c>
      <c r="U26" s="2">
        <v>1233.9000000000001</v>
      </c>
      <c r="V26">
        <v>1</v>
      </c>
      <c r="W26" s="3">
        <v>0.75</v>
      </c>
      <c r="X26">
        <v>0</v>
      </c>
      <c r="Y26" t="s">
        <v>60</v>
      </c>
      <c r="Z26" t="s">
        <v>61</v>
      </c>
      <c r="AA26">
        <v>0</v>
      </c>
      <c r="AB26" s="2">
        <v>925.42</v>
      </c>
    </row>
    <row r="27" spans="1:56" x14ac:dyDescent="0.25">
      <c r="A27">
        <v>2033267342</v>
      </c>
      <c r="B27" t="s">
        <v>94</v>
      </c>
      <c r="C27" t="s">
        <v>95</v>
      </c>
      <c r="D27" t="str">
        <f>CONCATENATE(C27," ",B27)</f>
        <v>GARETT TURNER</v>
      </c>
      <c r="E27" t="s">
        <v>96</v>
      </c>
      <c r="F27" t="s">
        <v>72</v>
      </c>
      <c r="G27" s="3">
        <v>0.75</v>
      </c>
      <c r="I27" t="s">
        <v>79</v>
      </c>
      <c r="J27" t="s">
        <v>1329</v>
      </c>
      <c r="K27">
        <v>8307933</v>
      </c>
      <c r="L27">
        <v>8307933</v>
      </c>
      <c r="M27" s="15" t="s">
        <v>157</v>
      </c>
      <c r="N27" s="15" t="s">
        <v>1391</v>
      </c>
      <c r="O27" t="s">
        <v>80</v>
      </c>
      <c r="P27" t="s">
        <v>81</v>
      </c>
      <c r="Q27" t="str">
        <f>CONCATENATE(P27," ",O27)</f>
        <v>GREGORY TEIPEL</v>
      </c>
      <c r="R27" t="s">
        <v>57</v>
      </c>
      <c r="S27" s="1">
        <v>46059</v>
      </c>
      <c r="T27" s="1">
        <v>46087</v>
      </c>
      <c r="U27" s="2">
        <v>58.68</v>
      </c>
      <c r="V27">
        <v>1</v>
      </c>
      <c r="W27" s="3">
        <v>0.75</v>
      </c>
      <c r="X27">
        <v>0</v>
      </c>
      <c r="Y27" t="s">
        <v>60</v>
      </c>
      <c r="Z27" t="s">
        <v>61</v>
      </c>
      <c r="AA27">
        <v>6</v>
      </c>
      <c r="AB27" s="2">
        <v>44.01</v>
      </c>
    </row>
    <row r="28" spans="1:56" x14ac:dyDescent="0.25">
      <c r="A28">
        <v>2033179605</v>
      </c>
      <c r="B28" t="s">
        <v>85</v>
      </c>
      <c r="C28" t="s">
        <v>86</v>
      </c>
      <c r="D28" t="str">
        <f>CONCATENATE(C28," ",B28)</f>
        <v>BUFFY BEAVER</v>
      </c>
      <c r="E28" t="s">
        <v>87</v>
      </c>
      <c r="F28" t="s">
        <v>72</v>
      </c>
      <c r="G28" s="3">
        <v>0.75</v>
      </c>
      <c r="I28" t="s">
        <v>79</v>
      </c>
      <c r="J28" t="s">
        <v>1329</v>
      </c>
      <c r="K28">
        <v>8307933</v>
      </c>
      <c r="L28">
        <v>8307933</v>
      </c>
      <c r="M28" s="15" t="s">
        <v>157</v>
      </c>
      <c r="N28" s="15" t="s">
        <v>1391</v>
      </c>
      <c r="O28" t="s">
        <v>80</v>
      </c>
      <c r="P28" t="s">
        <v>81</v>
      </c>
      <c r="Q28" t="str">
        <f>CONCATENATE(P28," ",O28)</f>
        <v>GREGORY TEIPEL</v>
      </c>
      <c r="R28" t="s">
        <v>57</v>
      </c>
      <c r="S28" s="1">
        <v>46054</v>
      </c>
      <c r="T28" s="1">
        <v>46082</v>
      </c>
      <c r="U28" s="2">
        <v>93.15</v>
      </c>
      <c r="V28">
        <v>1</v>
      </c>
      <c r="W28" s="3">
        <v>0.75</v>
      </c>
      <c r="X28">
        <v>0</v>
      </c>
      <c r="Y28" t="s">
        <v>60</v>
      </c>
      <c r="Z28" t="s">
        <v>61</v>
      </c>
      <c r="AA28">
        <v>6</v>
      </c>
      <c r="AB28" s="2">
        <v>69.86</v>
      </c>
    </row>
    <row r="29" spans="1:56" x14ac:dyDescent="0.25">
      <c r="A29">
        <v>2033144397</v>
      </c>
      <c r="B29" t="s">
        <v>76</v>
      </c>
      <c r="C29" t="s">
        <v>77</v>
      </c>
      <c r="D29" t="str">
        <f>CONCATENATE(C29," ",B29)</f>
        <v>JORDIS LUNDGREN</v>
      </c>
      <c r="E29" t="s">
        <v>78</v>
      </c>
      <c r="F29" t="s">
        <v>72</v>
      </c>
      <c r="G29" s="3">
        <v>0.75</v>
      </c>
      <c r="I29" t="s">
        <v>79</v>
      </c>
      <c r="J29" t="s">
        <v>1329</v>
      </c>
      <c r="K29">
        <v>8307933</v>
      </c>
      <c r="L29">
        <v>8307933</v>
      </c>
      <c r="M29" s="15" t="s">
        <v>157</v>
      </c>
      <c r="N29" s="15" t="s">
        <v>1391</v>
      </c>
      <c r="O29" t="s">
        <v>80</v>
      </c>
      <c r="P29" t="s">
        <v>81</v>
      </c>
      <c r="Q29" t="str">
        <f>CONCATENATE(P29," ",O29)</f>
        <v>GREGORY TEIPEL</v>
      </c>
      <c r="R29" t="s">
        <v>57</v>
      </c>
      <c r="S29" s="1">
        <v>46059</v>
      </c>
      <c r="T29" s="1">
        <v>46087</v>
      </c>
      <c r="U29" s="2">
        <v>24.4</v>
      </c>
      <c r="V29">
        <v>1</v>
      </c>
      <c r="W29" s="3">
        <v>0.75</v>
      </c>
      <c r="X29">
        <v>0</v>
      </c>
      <c r="Y29" t="s">
        <v>60</v>
      </c>
      <c r="Z29" t="s">
        <v>61</v>
      </c>
      <c r="AA29">
        <v>6</v>
      </c>
      <c r="AB29" s="2">
        <v>18.3</v>
      </c>
    </row>
    <row r="30" spans="1:56" x14ac:dyDescent="0.25">
      <c r="A30">
        <v>2033221108</v>
      </c>
      <c r="B30" t="s">
        <v>88</v>
      </c>
      <c r="C30" t="s">
        <v>89</v>
      </c>
      <c r="D30" t="str">
        <f>CONCATENATE(C30," ",B30)</f>
        <v>SONNY WAWAK</v>
      </c>
      <c r="E30" t="s">
        <v>90</v>
      </c>
      <c r="F30" t="s">
        <v>72</v>
      </c>
      <c r="G30" s="3">
        <v>0.75</v>
      </c>
      <c r="I30" t="s">
        <v>73</v>
      </c>
      <c r="J30" t="s">
        <v>1329</v>
      </c>
      <c r="K30">
        <v>8307933</v>
      </c>
      <c r="L30">
        <v>8307933</v>
      </c>
      <c r="M30" s="15" t="s">
        <v>157</v>
      </c>
      <c r="N30" s="15" t="s">
        <v>1391</v>
      </c>
      <c r="O30" t="s">
        <v>80</v>
      </c>
      <c r="P30" t="s">
        <v>81</v>
      </c>
      <c r="Q30" t="str">
        <f>CONCATENATE(P30," ",O30)</f>
        <v>GREGORY TEIPEL</v>
      </c>
      <c r="R30" t="s">
        <v>57</v>
      </c>
      <c r="S30" s="1">
        <v>46059</v>
      </c>
      <c r="T30" s="1">
        <v>46087</v>
      </c>
      <c r="U30" s="2">
        <v>94.96</v>
      </c>
      <c r="V30">
        <v>1</v>
      </c>
      <c r="W30" s="3">
        <v>0.75</v>
      </c>
      <c r="X30">
        <v>0</v>
      </c>
      <c r="Y30" t="s">
        <v>60</v>
      </c>
      <c r="Z30" t="s">
        <v>61</v>
      </c>
      <c r="AA30">
        <v>6</v>
      </c>
      <c r="AB30" s="2">
        <v>71.22</v>
      </c>
    </row>
    <row r="31" spans="1:56" x14ac:dyDescent="0.25">
      <c r="A31">
        <v>2033169682</v>
      </c>
      <c r="B31" t="s">
        <v>82</v>
      </c>
      <c r="C31" t="s">
        <v>83</v>
      </c>
      <c r="D31" t="str">
        <f>CONCATENATE(C31," ",B31)</f>
        <v>JILL DAVIS</v>
      </c>
      <c r="E31" t="s">
        <v>84</v>
      </c>
      <c r="F31" t="s">
        <v>72</v>
      </c>
      <c r="G31" s="3">
        <v>0.75</v>
      </c>
      <c r="I31" t="s">
        <v>73</v>
      </c>
      <c r="J31" t="s">
        <v>1329</v>
      </c>
      <c r="K31">
        <v>8307933</v>
      </c>
      <c r="L31">
        <v>8307933</v>
      </c>
      <c r="M31" s="15" t="s">
        <v>157</v>
      </c>
      <c r="N31" s="15" t="s">
        <v>1391</v>
      </c>
      <c r="O31" t="s">
        <v>80</v>
      </c>
      <c r="P31" t="s">
        <v>81</v>
      </c>
      <c r="Q31" t="str">
        <f>CONCATENATE(P31," ",O31)</f>
        <v>GREGORY TEIPEL</v>
      </c>
      <c r="R31" t="s">
        <v>57</v>
      </c>
      <c r="S31" s="1">
        <v>46059</v>
      </c>
      <c r="T31" s="1">
        <v>46087</v>
      </c>
      <c r="U31" s="2">
        <v>96.07</v>
      </c>
      <c r="V31">
        <v>1</v>
      </c>
      <c r="W31" s="3">
        <v>0.75</v>
      </c>
      <c r="X31">
        <v>0</v>
      </c>
      <c r="Y31" t="s">
        <v>60</v>
      </c>
      <c r="Z31" t="s">
        <v>61</v>
      </c>
      <c r="AA31">
        <v>6</v>
      </c>
      <c r="AB31" s="2">
        <v>72.05</v>
      </c>
    </row>
    <row r="32" spans="1:56" x14ac:dyDescent="0.25">
      <c r="A32">
        <v>2033412631</v>
      </c>
      <c r="B32" t="s">
        <v>103</v>
      </c>
      <c r="C32" t="s">
        <v>104</v>
      </c>
      <c r="D32" t="str">
        <f>CONCATENATE(C32," ",B32)</f>
        <v>TIFFANY STAPLETON</v>
      </c>
      <c r="E32" t="s">
        <v>78</v>
      </c>
      <c r="F32" t="s">
        <v>72</v>
      </c>
      <c r="G32" s="3">
        <v>0.9</v>
      </c>
      <c r="I32" t="s">
        <v>93</v>
      </c>
      <c r="J32" t="s">
        <v>1332</v>
      </c>
      <c r="K32">
        <v>8307933</v>
      </c>
      <c r="L32">
        <v>8307933</v>
      </c>
      <c r="M32" s="15" t="s">
        <v>157</v>
      </c>
      <c r="N32" s="15" t="s">
        <v>1391</v>
      </c>
      <c r="O32" t="s">
        <v>80</v>
      </c>
      <c r="P32" t="s">
        <v>81</v>
      </c>
      <c r="Q32" t="str">
        <f>CONCATENATE(P32," ",O32)</f>
        <v>GREGORY TEIPEL</v>
      </c>
      <c r="R32" t="s">
        <v>57</v>
      </c>
      <c r="S32" s="1">
        <v>46059</v>
      </c>
      <c r="T32" s="1">
        <v>46087</v>
      </c>
      <c r="U32" s="2">
        <v>94.63</v>
      </c>
      <c r="V32">
        <v>1</v>
      </c>
      <c r="W32" s="3">
        <v>0.9</v>
      </c>
      <c r="X32">
        <v>0</v>
      </c>
      <c r="Y32" t="s">
        <v>60</v>
      </c>
      <c r="Z32" t="s">
        <v>61</v>
      </c>
      <c r="AA32">
        <v>6</v>
      </c>
      <c r="AB32" s="2">
        <v>85.17</v>
      </c>
    </row>
    <row r="33" spans="1:56" x14ac:dyDescent="0.25">
      <c r="A33">
        <v>2033367161</v>
      </c>
      <c r="B33" t="s">
        <v>101</v>
      </c>
      <c r="C33" t="s">
        <v>102</v>
      </c>
      <c r="D33" t="str">
        <f>CONCATENATE(C33," ",B33)</f>
        <v>SHEILA BOYD</v>
      </c>
      <c r="E33" t="s">
        <v>90</v>
      </c>
      <c r="F33" t="s">
        <v>72</v>
      </c>
      <c r="G33" s="3">
        <v>0.9</v>
      </c>
      <c r="I33" t="s">
        <v>93</v>
      </c>
      <c r="J33" t="s">
        <v>1332</v>
      </c>
      <c r="K33">
        <v>8307933</v>
      </c>
      <c r="L33">
        <v>8307933</v>
      </c>
      <c r="M33" s="15" t="s">
        <v>157</v>
      </c>
      <c r="N33" s="15" t="s">
        <v>1391</v>
      </c>
      <c r="O33" t="s">
        <v>80</v>
      </c>
      <c r="P33" t="s">
        <v>81</v>
      </c>
      <c r="Q33" t="str">
        <f>CONCATENATE(P33," ",O33)</f>
        <v>GREGORY TEIPEL</v>
      </c>
      <c r="R33" t="s">
        <v>57</v>
      </c>
      <c r="S33" s="1">
        <v>46059</v>
      </c>
      <c r="T33" s="1">
        <v>46087</v>
      </c>
      <c r="U33" s="2">
        <v>222.13</v>
      </c>
      <c r="V33">
        <v>1</v>
      </c>
      <c r="W33" s="3">
        <v>0.9</v>
      </c>
      <c r="X33">
        <v>0</v>
      </c>
      <c r="Y33" t="s">
        <v>60</v>
      </c>
      <c r="Z33" t="s">
        <v>61</v>
      </c>
      <c r="AA33">
        <v>6</v>
      </c>
      <c r="AB33" s="2">
        <v>199.92</v>
      </c>
    </row>
    <row r="34" spans="1:56" x14ac:dyDescent="0.25">
      <c r="A34">
        <v>2033331040</v>
      </c>
      <c r="B34" t="s">
        <v>99</v>
      </c>
      <c r="C34" t="s">
        <v>100</v>
      </c>
      <c r="D34" t="str">
        <f>CONCATENATE(C34," ",B34)</f>
        <v>HAYLEY BRINK</v>
      </c>
      <c r="E34" t="s">
        <v>87</v>
      </c>
      <c r="F34" t="s">
        <v>72</v>
      </c>
      <c r="G34" s="3">
        <v>0.9</v>
      </c>
      <c r="I34" t="s">
        <v>93</v>
      </c>
      <c r="J34" t="s">
        <v>1332</v>
      </c>
      <c r="K34">
        <v>8307933</v>
      </c>
      <c r="L34">
        <v>8307933</v>
      </c>
      <c r="M34" s="15" t="s">
        <v>157</v>
      </c>
      <c r="N34" s="15" t="s">
        <v>1391</v>
      </c>
      <c r="O34" t="s">
        <v>80</v>
      </c>
      <c r="P34" t="s">
        <v>81</v>
      </c>
      <c r="Q34" t="str">
        <f>CONCATENATE(P34," ",O34)</f>
        <v>GREGORY TEIPEL</v>
      </c>
      <c r="R34" t="s">
        <v>57</v>
      </c>
      <c r="S34" s="1">
        <v>46059</v>
      </c>
      <c r="T34" s="1">
        <v>46087</v>
      </c>
      <c r="U34" s="2">
        <v>68.25</v>
      </c>
      <c r="V34">
        <v>1</v>
      </c>
      <c r="W34" s="3">
        <v>0.9</v>
      </c>
      <c r="X34">
        <v>0</v>
      </c>
      <c r="Y34" t="s">
        <v>60</v>
      </c>
      <c r="Z34" t="s">
        <v>61</v>
      </c>
      <c r="AA34">
        <v>6</v>
      </c>
      <c r="AB34" s="2">
        <v>61.42</v>
      </c>
    </row>
    <row r="35" spans="1:56" x14ac:dyDescent="0.25">
      <c r="A35">
        <v>2033304010</v>
      </c>
      <c r="B35" t="s">
        <v>97</v>
      </c>
      <c r="C35" t="s">
        <v>98</v>
      </c>
      <c r="D35" t="str">
        <f>CONCATENATE(C35," ",B35)</f>
        <v>LARA FLUHARTY</v>
      </c>
      <c r="E35" t="s">
        <v>87</v>
      </c>
      <c r="F35" t="s">
        <v>72</v>
      </c>
      <c r="G35" s="3">
        <v>0.9</v>
      </c>
      <c r="I35" t="s">
        <v>93</v>
      </c>
      <c r="J35" t="s">
        <v>1332</v>
      </c>
      <c r="K35">
        <v>8307933</v>
      </c>
      <c r="L35">
        <v>8307933</v>
      </c>
      <c r="M35" s="15" t="s">
        <v>157</v>
      </c>
      <c r="N35" s="15" t="s">
        <v>1391</v>
      </c>
      <c r="O35" t="s">
        <v>80</v>
      </c>
      <c r="P35" t="s">
        <v>81</v>
      </c>
      <c r="Q35" t="str">
        <f>CONCATENATE(P35," ",O35)</f>
        <v>GREGORY TEIPEL</v>
      </c>
      <c r="R35" t="s">
        <v>57</v>
      </c>
      <c r="S35" s="1">
        <v>46059</v>
      </c>
      <c r="T35" s="1">
        <v>46087</v>
      </c>
      <c r="U35" s="2">
        <v>92.46</v>
      </c>
      <c r="V35">
        <v>1</v>
      </c>
      <c r="W35" s="3">
        <v>0.9</v>
      </c>
      <c r="X35">
        <v>0</v>
      </c>
      <c r="Y35" t="s">
        <v>60</v>
      </c>
      <c r="Z35" t="s">
        <v>61</v>
      </c>
      <c r="AA35">
        <v>6</v>
      </c>
      <c r="AB35" s="2">
        <v>83.21</v>
      </c>
    </row>
    <row r="36" spans="1:56" x14ac:dyDescent="0.25">
      <c r="A36">
        <v>2033231467</v>
      </c>
      <c r="B36" t="s">
        <v>91</v>
      </c>
      <c r="C36" t="s">
        <v>92</v>
      </c>
      <c r="D36" t="str">
        <f>CONCATENATE(C36," ",B36)</f>
        <v>TIMOTHY STAHL</v>
      </c>
      <c r="E36" t="s">
        <v>84</v>
      </c>
      <c r="F36" t="s">
        <v>72</v>
      </c>
      <c r="G36" s="3">
        <v>0.9</v>
      </c>
      <c r="I36" t="s">
        <v>93</v>
      </c>
      <c r="J36" t="s">
        <v>1332</v>
      </c>
      <c r="K36">
        <v>8307933</v>
      </c>
      <c r="L36">
        <v>8307933</v>
      </c>
      <c r="M36" s="15" t="s">
        <v>157</v>
      </c>
      <c r="N36" s="15" t="s">
        <v>1391</v>
      </c>
      <c r="O36" t="s">
        <v>80</v>
      </c>
      <c r="P36" t="s">
        <v>81</v>
      </c>
      <c r="Q36" t="str">
        <f>CONCATENATE(P36," ",O36)</f>
        <v>GREGORY TEIPEL</v>
      </c>
      <c r="R36" t="s">
        <v>57</v>
      </c>
      <c r="S36" s="1">
        <v>46059</v>
      </c>
      <c r="T36" s="1">
        <v>46087</v>
      </c>
      <c r="U36" s="2">
        <v>216.83</v>
      </c>
      <c r="V36">
        <v>1</v>
      </c>
      <c r="W36" s="3">
        <v>0.9</v>
      </c>
      <c r="X36">
        <v>0</v>
      </c>
      <c r="Y36" t="s">
        <v>60</v>
      </c>
      <c r="Z36" t="s">
        <v>61</v>
      </c>
      <c r="AA36">
        <v>6</v>
      </c>
      <c r="AB36" s="2">
        <v>195.15</v>
      </c>
    </row>
    <row r="37" spans="1:56" x14ac:dyDescent="0.25">
      <c r="A37">
        <v>2033499221</v>
      </c>
      <c r="B37" t="s">
        <v>124</v>
      </c>
      <c r="C37" t="s">
        <v>125</v>
      </c>
      <c r="D37" t="str">
        <f>CONCATENATE(C37," ",B37)</f>
        <v>PAULA LEVASSEUR</v>
      </c>
      <c r="E37" t="s">
        <v>71</v>
      </c>
      <c r="F37" t="s">
        <v>72</v>
      </c>
      <c r="G37" s="3">
        <v>0.75</v>
      </c>
      <c r="I37" t="s">
        <v>73</v>
      </c>
      <c r="J37" t="s">
        <v>1329</v>
      </c>
      <c r="K37">
        <v>18201929</v>
      </c>
      <c r="L37">
        <v>18201929</v>
      </c>
      <c r="M37" s="15" t="s">
        <v>157</v>
      </c>
      <c r="N37" s="15" t="s">
        <v>1391</v>
      </c>
      <c r="O37" t="s">
        <v>126</v>
      </c>
      <c r="P37" t="s">
        <v>127</v>
      </c>
      <c r="Q37" t="str">
        <f>CONCATENATE(P37," ",O37)</f>
        <v>Jake Shulman</v>
      </c>
      <c r="R37" t="s">
        <v>57</v>
      </c>
      <c r="S37" s="1">
        <v>46082</v>
      </c>
      <c r="T37" s="1">
        <v>46113</v>
      </c>
      <c r="U37" s="2">
        <v>89.35</v>
      </c>
      <c r="V37">
        <v>1</v>
      </c>
      <c r="W37" s="3">
        <v>0.75</v>
      </c>
      <c r="X37">
        <v>0</v>
      </c>
      <c r="Y37" t="s">
        <v>60</v>
      </c>
      <c r="Z37" t="s">
        <v>61</v>
      </c>
      <c r="AA37">
        <v>6</v>
      </c>
      <c r="AB37" s="2">
        <v>67.010000000000005</v>
      </c>
    </row>
    <row r="38" spans="1:56" x14ac:dyDescent="0.25">
      <c r="A38">
        <v>2033444616</v>
      </c>
      <c r="B38" t="s">
        <v>105</v>
      </c>
      <c r="C38" t="s">
        <v>92</v>
      </c>
      <c r="D38" t="str">
        <f>CONCATENATE(C38," ",B38)</f>
        <v>TIMOTHY TALLEY</v>
      </c>
      <c r="E38" t="s">
        <v>90</v>
      </c>
      <c r="F38" t="s">
        <v>72</v>
      </c>
      <c r="G38" s="3">
        <v>0.75</v>
      </c>
      <c r="I38" t="s">
        <v>79</v>
      </c>
      <c r="J38" t="s">
        <v>1329</v>
      </c>
      <c r="K38">
        <v>1706194</v>
      </c>
      <c r="L38">
        <v>1706194</v>
      </c>
      <c r="M38" s="15" t="s">
        <v>157</v>
      </c>
      <c r="N38" s="15" t="s">
        <v>1391</v>
      </c>
      <c r="O38" t="s">
        <v>74</v>
      </c>
      <c r="P38" t="s">
        <v>75</v>
      </c>
      <c r="Q38" t="str">
        <f>CONCATENATE(P38," ",O38)</f>
        <v>MATTHEW DAUGHERTY</v>
      </c>
      <c r="R38" t="s">
        <v>57</v>
      </c>
      <c r="S38" s="1">
        <v>46056</v>
      </c>
      <c r="T38" s="1">
        <v>46084</v>
      </c>
      <c r="U38" s="2">
        <v>302.2</v>
      </c>
      <c r="V38">
        <v>1</v>
      </c>
      <c r="W38" s="3">
        <v>0.75</v>
      </c>
      <c r="X38">
        <v>0</v>
      </c>
      <c r="Y38" t="s">
        <v>60</v>
      </c>
      <c r="Z38" t="s">
        <v>61</v>
      </c>
      <c r="AA38">
        <v>6</v>
      </c>
      <c r="AB38" s="2">
        <v>226.65</v>
      </c>
    </row>
    <row r="39" spans="1:56" x14ac:dyDescent="0.25">
      <c r="A39">
        <v>2033126232</v>
      </c>
      <c r="B39" t="s">
        <v>69</v>
      </c>
      <c r="C39" t="s">
        <v>70</v>
      </c>
      <c r="D39" t="str">
        <f>CONCATENATE(C39," ",B39)</f>
        <v>CHARLES WALKER</v>
      </c>
      <c r="E39" t="s">
        <v>71</v>
      </c>
      <c r="F39" t="s">
        <v>72</v>
      </c>
      <c r="G39" s="3">
        <v>0.75</v>
      </c>
      <c r="I39" t="s">
        <v>73</v>
      </c>
      <c r="J39" t="s">
        <v>1329</v>
      </c>
      <c r="K39">
        <v>1706194</v>
      </c>
      <c r="L39">
        <v>1706194</v>
      </c>
      <c r="M39" s="15" t="s">
        <v>157</v>
      </c>
      <c r="N39" s="15" t="s">
        <v>1391</v>
      </c>
      <c r="O39" t="s">
        <v>74</v>
      </c>
      <c r="P39" t="s">
        <v>75</v>
      </c>
      <c r="Q39" t="str">
        <f>CONCATENATE(P39," ",O39)</f>
        <v>MATTHEW DAUGHERTY</v>
      </c>
      <c r="R39" t="s">
        <v>57</v>
      </c>
      <c r="S39" s="1">
        <v>46054</v>
      </c>
      <c r="T39" s="1">
        <v>46082</v>
      </c>
      <c r="U39" s="2">
        <v>156.25</v>
      </c>
      <c r="V39">
        <v>1</v>
      </c>
      <c r="W39" s="3">
        <v>0.75</v>
      </c>
      <c r="X39">
        <v>0</v>
      </c>
      <c r="Y39" t="s">
        <v>60</v>
      </c>
      <c r="Z39" t="s">
        <v>61</v>
      </c>
      <c r="AA39">
        <v>6</v>
      </c>
      <c r="AB39" s="2">
        <v>117.19</v>
      </c>
    </row>
    <row r="40" spans="1:56" x14ac:dyDescent="0.25">
      <c r="A40">
        <v>2033521992</v>
      </c>
      <c r="B40" t="s">
        <v>359</v>
      </c>
      <c r="C40" t="s">
        <v>360</v>
      </c>
      <c r="D40" t="str">
        <f>CONCATENATE(C40," ",B40)</f>
        <v>COLETTE EVANGELISTA</v>
      </c>
      <c r="E40" t="s">
        <v>193</v>
      </c>
      <c r="F40" t="s">
        <v>350</v>
      </c>
      <c r="G40" s="3">
        <v>0.19</v>
      </c>
      <c r="I40" t="s">
        <v>361</v>
      </c>
      <c r="J40" t="s">
        <v>1340</v>
      </c>
      <c r="K40">
        <v>20003537</v>
      </c>
      <c r="L40">
        <v>20003537</v>
      </c>
      <c r="M40" s="15" t="s">
        <v>157</v>
      </c>
      <c r="N40" s="15" t="s">
        <v>1391</v>
      </c>
      <c r="O40" t="s">
        <v>108</v>
      </c>
      <c r="P40" t="s">
        <v>109</v>
      </c>
      <c r="Q40" t="str">
        <f>CONCATENATE(P40," ",O40)</f>
        <v>Chad Yale</v>
      </c>
      <c r="R40" t="s">
        <v>57</v>
      </c>
      <c r="S40" s="1">
        <v>46060</v>
      </c>
      <c r="T40" s="1">
        <v>46088</v>
      </c>
      <c r="U40" s="2">
        <v>15</v>
      </c>
      <c r="V40">
        <v>1</v>
      </c>
      <c r="W40" s="3">
        <v>0.19</v>
      </c>
      <c r="X40">
        <v>0</v>
      </c>
      <c r="Y40" t="s">
        <v>60</v>
      </c>
      <c r="Z40" t="s">
        <v>61</v>
      </c>
      <c r="AA40">
        <v>6</v>
      </c>
      <c r="AB40" s="2">
        <v>2.85</v>
      </c>
    </row>
    <row r="41" spans="1:56" x14ac:dyDescent="0.25">
      <c r="A41">
        <v>2033491562</v>
      </c>
      <c r="B41" t="s">
        <v>352</v>
      </c>
      <c r="C41" t="s">
        <v>326</v>
      </c>
      <c r="D41" t="str">
        <f>CONCATENATE(C41," ",B41)</f>
        <v>JACOB NAILL</v>
      </c>
      <c r="E41" t="s">
        <v>353</v>
      </c>
      <c r="F41" t="s">
        <v>350</v>
      </c>
      <c r="G41" s="3">
        <v>0.38</v>
      </c>
      <c r="I41" t="s">
        <v>354</v>
      </c>
      <c r="J41" t="s">
        <v>380</v>
      </c>
      <c r="K41">
        <v>5442438</v>
      </c>
      <c r="L41">
        <v>5442438</v>
      </c>
      <c r="M41" s="15" t="s">
        <v>157</v>
      </c>
      <c r="N41" s="15" t="s">
        <v>1391</v>
      </c>
      <c r="O41" t="s">
        <v>355</v>
      </c>
      <c r="P41" t="s">
        <v>356</v>
      </c>
      <c r="Q41" t="str">
        <f>CONCATENATE(P41," ",O41)</f>
        <v>Ronald Max</v>
      </c>
      <c r="R41" t="s">
        <v>57</v>
      </c>
      <c r="S41" s="1">
        <v>46058</v>
      </c>
      <c r="T41" s="1">
        <v>46086</v>
      </c>
      <c r="U41" s="2">
        <v>15</v>
      </c>
      <c r="V41">
        <v>1</v>
      </c>
      <c r="W41" s="3">
        <v>0.38</v>
      </c>
      <c r="X41">
        <v>0</v>
      </c>
      <c r="Y41" t="s">
        <v>60</v>
      </c>
      <c r="Z41" t="s">
        <v>61</v>
      </c>
      <c r="AA41">
        <v>6</v>
      </c>
      <c r="AB41" s="2">
        <v>5.7</v>
      </c>
    </row>
    <row r="42" spans="1:56" x14ac:dyDescent="0.25">
      <c r="A42">
        <v>2033267344</v>
      </c>
      <c r="B42" t="s">
        <v>94</v>
      </c>
      <c r="C42" t="s">
        <v>95</v>
      </c>
      <c r="D42" t="str">
        <f>CONCATENATE(C42," ",B42)</f>
        <v>GARETT TURNER</v>
      </c>
      <c r="E42" t="s">
        <v>96</v>
      </c>
      <c r="F42" t="s">
        <v>363</v>
      </c>
      <c r="G42" s="4">
        <v>0.375</v>
      </c>
      <c r="I42" t="s">
        <v>364</v>
      </c>
      <c r="J42" t="s">
        <v>364</v>
      </c>
      <c r="K42">
        <v>8307933</v>
      </c>
      <c r="L42">
        <v>8307933</v>
      </c>
      <c r="M42" s="15" t="s">
        <v>157</v>
      </c>
      <c r="N42" s="15" t="s">
        <v>1391</v>
      </c>
      <c r="O42" t="s">
        <v>80</v>
      </c>
      <c r="P42" t="s">
        <v>81</v>
      </c>
      <c r="Q42" t="str">
        <f>CONCATENATE(P42," ",O42)</f>
        <v>GREGORY TEIPEL</v>
      </c>
      <c r="R42" t="s">
        <v>57</v>
      </c>
      <c r="S42" s="1">
        <v>46059</v>
      </c>
      <c r="T42" s="1">
        <v>46087</v>
      </c>
      <c r="U42" s="2">
        <v>100.9</v>
      </c>
      <c r="V42">
        <v>1</v>
      </c>
      <c r="W42" s="4">
        <v>0.375</v>
      </c>
      <c r="X42">
        <v>0</v>
      </c>
      <c r="Y42" t="s">
        <v>60</v>
      </c>
      <c r="Z42" t="s">
        <v>61</v>
      </c>
      <c r="AA42">
        <v>6</v>
      </c>
      <c r="AB42" s="2">
        <v>37.840000000000003</v>
      </c>
    </row>
    <row r="43" spans="1:56" x14ac:dyDescent="0.25">
      <c r="A43">
        <v>2033179604</v>
      </c>
      <c r="B43" t="s">
        <v>85</v>
      </c>
      <c r="C43" t="s">
        <v>86</v>
      </c>
      <c r="D43" t="str">
        <f>CONCATENATE(C43," ",B43)</f>
        <v>BUFFY BEAVER</v>
      </c>
      <c r="E43" t="s">
        <v>87</v>
      </c>
      <c r="F43" t="s">
        <v>363</v>
      </c>
      <c r="G43" s="4">
        <v>0.375</v>
      </c>
      <c r="I43" t="s">
        <v>364</v>
      </c>
      <c r="J43" t="s">
        <v>364</v>
      </c>
      <c r="K43">
        <v>8307933</v>
      </c>
      <c r="L43">
        <v>8307933</v>
      </c>
      <c r="M43" s="15" t="s">
        <v>157</v>
      </c>
      <c r="N43" s="15" t="s">
        <v>1391</v>
      </c>
      <c r="O43" t="s">
        <v>80</v>
      </c>
      <c r="P43" t="s">
        <v>81</v>
      </c>
      <c r="Q43" t="str">
        <f>CONCATENATE(P43," ",O43)</f>
        <v>GREGORY TEIPEL</v>
      </c>
      <c r="R43" t="s">
        <v>57</v>
      </c>
      <c r="S43" s="1">
        <v>46054</v>
      </c>
      <c r="T43" s="1">
        <v>46082</v>
      </c>
      <c r="U43" s="2">
        <v>84.72</v>
      </c>
      <c r="V43">
        <v>1</v>
      </c>
      <c r="W43" s="4">
        <v>0.375</v>
      </c>
      <c r="X43">
        <v>0</v>
      </c>
      <c r="Y43" t="s">
        <v>60</v>
      </c>
      <c r="Z43" t="s">
        <v>61</v>
      </c>
      <c r="AA43">
        <v>6</v>
      </c>
      <c r="AB43" s="2">
        <v>31.77</v>
      </c>
    </row>
    <row r="44" spans="1:56" s="6" customFormat="1" x14ac:dyDescent="0.25">
      <c r="A44">
        <v>2033144398</v>
      </c>
      <c r="B44" t="s">
        <v>76</v>
      </c>
      <c r="C44" t="s">
        <v>77</v>
      </c>
      <c r="D44" t="str">
        <f>CONCATENATE(C44," ",B44)</f>
        <v>JORDIS LUNDGREN</v>
      </c>
      <c r="E44" t="s">
        <v>78</v>
      </c>
      <c r="F44" t="s">
        <v>363</v>
      </c>
      <c r="G44" s="4">
        <v>0.375</v>
      </c>
      <c r="H44"/>
      <c r="I44" t="s">
        <v>364</v>
      </c>
      <c r="J44" t="s">
        <v>364</v>
      </c>
      <c r="K44">
        <v>8307933</v>
      </c>
      <c r="L44">
        <v>8307933</v>
      </c>
      <c r="M44" s="15" t="s">
        <v>157</v>
      </c>
      <c r="N44" s="15" t="s">
        <v>1391</v>
      </c>
      <c r="O44" t="s">
        <v>80</v>
      </c>
      <c r="P44" t="s">
        <v>81</v>
      </c>
      <c r="Q44" t="str">
        <f>CONCATENATE(P44," ",O44)</f>
        <v>GREGORY TEIPEL</v>
      </c>
      <c r="R44" t="s">
        <v>57</v>
      </c>
      <c r="S44" s="1">
        <v>46059</v>
      </c>
      <c r="T44" s="1">
        <v>46087</v>
      </c>
      <c r="U44" s="2">
        <v>45.42</v>
      </c>
      <c r="V44">
        <v>1</v>
      </c>
      <c r="W44" s="4">
        <v>0.375</v>
      </c>
      <c r="X44">
        <v>0</v>
      </c>
      <c r="Y44" t="s">
        <v>60</v>
      </c>
      <c r="Z44" t="s">
        <v>61</v>
      </c>
      <c r="AA44">
        <v>6</v>
      </c>
      <c r="AB44" s="2">
        <v>17.03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</row>
    <row r="45" spans="1:56" s="6" customFormat="1" x14ac:dyDescent="0.25">
      <c r="A45">
        <v>2033529276</v>
      </c>
      <c r="B45" t="s">
        <v>374</v>
      </c>
      <c r="C45" t="s">
        <v>375</v>
      </c>
      <c r="D45" t="str">
        <f>CONCATENATE(C45," ",B45)</f>
        <v>SHELLEY PORR</v>
      </c>
      <c r="E45" t="s">
        <v>170</v>
      </c>
      <c r="F45" t="s">
        <v>363</v>
      </c>
      <c r="G45" s="4">
        <v>0.375</v>
      </c>
      <c r="H45"/>
      <c r="I45" t="s">
        <v>364</v>
      </c>
      <c r="J45" t="s">
        <v>364</v>
      </c>
      <c r="K45">
        <v>8977234</v>
      </c>
      <c r="L45">
        <v>8977234</v>
      </c>
      <c r="M45" s="15" t="s">
        <v>157</v>
      </c>
      <c r="N45" s="15" t="s">
        <v>1391</v>
      </c>
      <c r="O45" t="s">
        <v>162</v>
      </c>
      <c r="P45" t="s">
        <v>180</v>
      </c>
      <c r="Q45" t="str">
        <f>CONCATENATE(P45," ",O45)</f>
        <v>RYAN CALTAGIRONE</v>
      </c>
      <c r="R45" t="s">
        <v>57</v>
      </c>
      <c r="S45" s="1">
        <v>46060</v>
      </c>
      <c r="T45" s="1">
        <v>46088</v>
      </c>
      <c r="U45" s="2">
        <v>54.95</v>
      </c>
      <c r="V45">
        <v>1</v>
      </c>
      <c r="W45" s="4">
        <v>0.375</v>
      </c>
      <c r="X45">
        <v>0</v>
      </c>
      <c r="Y45" t="s">
        <v>60</v>
      </c>
      <c r="Z45" t="s">
        <v>61</v>
      </c>
      <c r="AA45">
        <v>6</v>
      </c>
      <c r="AB45" s="2">
        <v>20.61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</row>
    <row r="46" spans="1:56" x14ac:dyDescent="0.25">
      <c r="A46">
        <v>2033346373</v>
      </c>
      <c r="B46" t="s">
        <v>367</v>
      </c>
      <c r="C46" t="s">
        <v>368</v>
      </c>
      <c r="D46" t="str">
        <f>CONCATENATE(C46," ",B46)</f>
        <v>TIA DARGAN</v>
      </c>
      <c r="E46" t="s">
        <v>90</v>
      </c>
      <c r="F46" t="s">
        <v>363</v>
      </c>
      <c r="G46" s="4">
        <v>0.375</v>
      </c>
      <c r="I46" t="s">
        <v>364</v>
      </c>
      <c r="J46" t="s">
        <v>364</v>
      </c>
      <c r="K46">
        <v>8977234</v>
      </c>
      <c r="L46">
        <v>8977234</v>
      </c>
      <c r="M46" s="15" t="s">
        <v>157</v>
      </c>
      <c r="N46" s="15" t="s">
        <v>1391</v>
      </c>
      <c r="O46" t="s">
        <v>162</v>
      </c>
      <c r="P46" t="s">
        <v>180</v>
      </c>
      <c r="Q46" t="str">
        <f>CONCATENATE(P46," ",O46)</f>
        <v>RYAN CALTAGIRONE</v>
      </c>
      <c r="R46" t="s">
        <v>57</v>
      </c>
      <c r="S46" s="1">
        <v>46059</v>
      </c>
      <c r="T46" s="1">
        <v>46087</v>
      </c>
      <c r="U46" s="2">
        <v>65.56</v>
      </c>
      <c r="V46">
        <v>1</v>
      </c>
      <c r="W46" s="4">
        <v>0.375</v>
      </c>
      <c r="X46">
        <v>0</v>
      </c>
      <c r="Y46" t="s">
        <v>60</v>
      </c>
      <c r="Z46" t="s">
        <v>61</v>
      </c>
      <c r="AA46">
        <v>6</v>
      </c>
      <c r="AB46" s="2">
        <v>24.58</v>
      </c>
    </row>
    <row r="47" spans="1:56" x14ac:dyDescent="0.25">
      <c r="A47">
        <v>2033521991</v>
      </c>
      <c r="B47" t="s">
        <v>359</v>
      </c>
      <c r="C47" t="s">
        <v>360</v>
      </c>
      <c r="D47" t="str">
        <f>CONCATENATE(C47," ",B47)</f>
        <v>COLETTE EVANGELISTA</v>
      </c>
      <c r="E47" t="s">
        <v>193</v>
      </c>
      <c r="F47" t="s">
        <v>378</v>
      </c>
      <c r="G47" s="3">
        <v>0.19</v>
      </c>
      <c r="I47" t="s">
        <v>382</v>
      </c>
      <c r="J47" t="s">
        <v>1340</v>
      </c>
      <c r="K47">
        <v>20003537</v>
      </c>
      <c r="L47">
        <v>20003537</v>
      </c>
      <c r="M47" s="15" t="s">
        <v>157</v>
      </c>
      <c r="N47" s="15" t="s">
        <v>1391</v>
      </c>
      <c r="O47" t="s">
        <v>108</v>
      </c>
      <c r="P47" t="s">
        <v>109</v>
      </c>
      <c r="Q47" t="str">
        <f>CONCATENATE(P47," ",O47)</f>
        <v>Chad Yale</v>
      </c>
      <c r="R47" t="s">
        <v>57</v>
      </c>
      <c r="S47" s="1">
        <v>46060</v>
      </c>
      <c r="T47" s="1">
        <v>46088</v>
      </c>
      <c r="U47" s="2">
        <v>171.8</v>
      </c>
      <c r="V47">
        <v>1</v>
      </c>
      <c r="W47" s="3">
        <v>0.19</v>
      </c>
      <c r="X47">
        <v>0</v>
      </c>
      <c r="Y47" t="s">
        <v>60</v>
      </c>
      <c r="Z47" t="s">
        <v>61</v>
      </c>
      <c r="AA47">
        <v>6</v>
      </c>
      <c r="AB47" s="2">
        <v>32.64</v>
      </c>
    </row>
    <row r="48" spans="1:56" x14ac:dyDescent="0.25">
      <c r="A48">
        <v>2033053092</v>
      </c>
      <c r="B48" t="s">
        <v>62</v>
      </c>
      <c r="C48" t="s">
        <v>63</v>
      </c>
      <c r="D48" t="str">
        <f>CONCATENATE(C48," ",B48)</f>
        <v>TARA OWENS</v>
      </c>
      <c r="E48" t="s">
        <v>52</v>
      </c>
      <c r="F48" t="s">
        <v>378</v>
      </c>
      <c r="G48" s="3">
        <v>0.38</v>
      </c>
      <c r="I48" t="s">
        <v>379</v>
      </c>
      <c r="J48" t="s">
        <v>379</v>
      </c>
      <c r="K48">
        <v>21758900</v>
      </c>
      <c r="L48">
        <v>21758900</v>
      </c>
      <c r="M48" s="15" t="s">
        <v>157</v>
      </c>
      <c r="N48" s="15" t="s">
        <v>1391</v>
      </c>
      <c r="O48" t="s">
        <v>55</v>
      </c>
      <c r="P48" t="s">
        <v>56</v>
      </c>
      <c r="Q48" t="str">
        <f>CONCATENATE(P48," ",O48)</f>
        <v>John Rader</v>
      </c>
      <c r="R48" t="s">
        <v>57</v>
      </c>
      <c r="S48" s="1">
        <v>46054</v>
      </c>
      <c r="T48" s="1">
        <v>46082</v>
      </c>
      <c r="U48" s="2">
        <v>21.97</v>
      </c>
      <c r="V48">
        <v>1</v>
      </c>
      <c r="W48" s="3">
        <v>0.38</v>
      </c>
      <c r="X48">
        <v>0</v>
      </c>
      <c r="Y48" t="s">
        <v>60</v>
      </c>
      <c r="Z48" t="s">
        <v>61</v>
      </c>
      <c r="AA48">
        <v>6</v>
      </c>
      <c r="AB48" s="2">
        <v>8.35</v>
      </c>
    </row>
    <row r="49" spans="1:56" x14ac:dyDescent="0.25">
      <c r="A49">
        <v>2032987489</v>
      </c>
      <c r="B49" t="s">
        <v>49</v>
      </c>
      <c r="C49" t="s">
        <v>50</v>
      </c>
      <c r="D49" t="str">
        <f>CONCATENATE(C49," ",B49)</f>
        <v>LEWIS BENN</v>
      </c>
      <c r="E49" t="s">
        <v>52</v>
      </c>
      <c r="F49" t="s">
        <v>378</v>
      </c>
      <c r="G49" s="3">
        <v>0.38</v>
      </c>
      <c r="I49" t="s">
        <v>379</v>
      </c>
      <c r="J49" t="s">
        <v>379</v>
      </c>
      <c r="K49">
        <v>20411454</v>
      </c>
      <c r="L49">
        <v>20411454</v>
      </c>
      <c r="M49" s="15" t="s">
        <v>157</v>
      </c>
      <c r="N49" s="15" t="s">
        <v>1391</v>
      </c>
      <c r="O49" t="s">
        <v>55</v>
      </c>
      <c r="P49" t="s">
        <v>56</v>
      </c>
      <c r="Q49" t="str">
        <f>CONCATENATE(P49," ",O49)</f>
        <v>John Rader</v>
      </c>
      <c r="R49" t="s">
        <v>57</v>
      </c>
      <c r="S49" s="1">
        <v>46054</v>
      </c>
      <c r="T49" s="1">
        <v>46082</v>
      </c>
      <c r="U49" s="2">
        <v>61.39</v>
      </c>
      <c r="V49">
        <v>1</v>
      </c>
      <c r="W49" s="3">
        <v>0.38</v>
      </c>
      <c r="X49">
        <v>0</v>
      </c>
      <c r="Y49" t="s">
        <v>60</v>
      </c>
      <c r="Z49" t="s">
        <v>61</v>
      </c>
      <c r="AA49">
        <v>6</v>
      </c>
      <c r="AB49" s="2">
        <v>23.33</v>
      </c>
    </row>
    <row r="50" spans="1:56" x14ac:dyDescent="0.25">
      <c r="A50">
        <v>2033491560</v>
      </c>
      <c r="B50" t="s">
        <v>352</v>
      </c>
      <c r="C50" t="s">
        <v>326</v>
      </c>
      <c r="D50" t="str">
        <f>CONCATENATE(C50," ",B50)</f>
        <v>JACOB NAILL</v>
      </c>
      <c r="E50" t="s">
        <v>353</v>
      </c>
      <c r="F50" t="s">
        <v>378</v>
      </c>
      <c r="G50" s="3">
        <v>0.38</v>
      </c>
      <c r="I50" t="s">
        <v>380</v>
      </c>
      <c r="J50" t="s">
        <v>380</v>
      </c>
      <c r="K50">
        <v>20411454</v>
      </c>
      <c r="L50">
        <v>20411454</v>
      </c>
      <c r="M50" s="15" t="s">
        <v>157</v>
      </c>
      <c r="N50" s="15" t="s">
        <v>1391</v>
      </c>
      <c r="O50" t="s">
        <v>355</v>
      </c>
      <c r="P50" t="s">
        <v>356</v>
      </c>
      <c r="Q50" t="str">
        <f>CONCATENATE(P50," ",O50)</f>
        <v>Ronald Max</v>
      </c>
      <c r="R50" t="s">
        <v>57</v>
      </c>
      <c r="S50" s="1">
        <v>46058</v>
      </c>
      <c r="T50" s="1">
        <v>46086</v>
      </c>
      <c r="U50" s="2">
        <v>164.14</v>
      </c>
      <c r="V50">
        <v>1</v>
      </c>
      <c r="W50" s="3">
        <v>0.38</v>
      </c>
      <c r="X50">
        <v>0</v>
      </c>
      <c r="Y50" t="s">
        <v>60</v>
      </c>
      <c r="Z50" t="s">
        <v>61</v>
      </c>
      <c r="AA50">
        <v>6</v>
      </c>
      <c r="AB50" s="2">
        <v>62.37</v>
      </c>
    </row>
    <row r="51" spans="1:56" s="6" customFormat="1" x14ac:dyDescent="0.25">
      <c r="A51">
        <v>2033491561</v>
      </c>
      <c r="B51" t="s">
        <v>352</v>
      </c>
      <c r="C51" t="s">
        <v>326</v>
      </c>
      <c r="D51" t="str">
        <f>CONCATENATE(C51," ",B51)</f>
        <v>JACOB NAILL</v>
      </c>
      <c r="E51" t="s">
        <v>353</v>
      </c>
      <c r="F51" t="s">
        <v>378</v>
      </c>
      <c r="G51" s="3">
        <v>0.38</v>
      </c>
      <c r="H51"/>
      <c r="I51" t="s">
        <v>381</v>
      </c>
      <c r="J51" t="s">
        <v>380</v>
      </c>
      <c r="K51">
        <v>5442438</v>
      </c>
      <c r="L51">
        <v>5442438</v>
      </c>
      <c r="M51" s="15" t="s">
        <v>157</v>
      </c>
      <c r="N51" s="15" t="s">
        <v>1391</v>
      </c>
      <c r="O51" t="s">
        <v>355</v>
      </c>
      <c r="P51" t="s">
        <v>356</v>
      </c>
      <c r="Q51" t="str">
        <f>CONCATENATE(P51," ",O51)</f>
        <v>Ronald Max</v>
      </c>
      <c r="R51" t="s">
        <v>57</v>
      </c>
      <c r="S51" s="1">
        <v>46058</v>
      </c>
      <c r="T51" s="1">
        <v>46086</v>
      </c>
      <c r="U51" s="2">
        <v>7.09</v>
      </c>
      <c r="V51">
        <v>1</v>
      </c>
      <c r="W51" s="3">
        <v>0.38</v>
      </c>
      <c r="X51">
        <v>0</v>
      </c>
      <c r="Y51" t="s">
        <v>60</v>
      </c>
      <c r="Z51" t="s">
        <v>61</v>
      </c>
      <c r="AA51">
        <v>6</v>
      </c>
      <c r="AB51" s="2">
        <v>2.69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</row>
    <row r="52" spans="1:56" x14ac:dyDescent="0.25">
      <c r="A52">
        <v>2033454263</v>
      </c>
      <c r="B52" t="s">
        <v>390</v>
      </c>
      <c r="C52" t="s">
        <v>391</v>
      </c>
      <c r="D52" t="str">
        <f>CONCATENATE(C52," ",B52)</f>
        <v>LUIS HERNANDEZ</v>
      </c>
      <c r="E52" t="s">
        <v>392</v>
      </c>
      <c r="F52" t="s">
        <v>383</v>
      </c>
      <c r="G52" s="3">
        <v>0.9</v>
      </c>
      <c r="I52" t="s">
        <v>385</v>
      </c>
      <c r="J52" t="s">
        <v>385</v>
      </c>
      <c r="K52">
        <v>9079571</v>
      </c>
      <c r="L52">
        <v>9079571</v>
      </c>
      <c r="M52" s="15" t="s">
        <v>157</v>
      </c>
      <c r="N52" s="15" t="s">
        <v>1391</v>
      </c>
      <c r="O52" t="s">
        <v>171</v>
      </c>
      <c r="P52" t="s">
        <v>172</v>
      </c>
      <c r="Q52" t="str">
        <f>CONCATENATE(P52," ",O52)</f>
        <v>ADAM RICHTER</v>
      </c>
      <c r="R52" t="s">
        <v>57</v>
      </c>
      <c r="S52" s="1">
        <v>46056</v>
      </c>
      <c r="T52" s="1">
        <v>46084</v>
      </c>
      <c r="U52" s="2">
        <v>35.369999999999997</v>
      </c>
      <c r="V52">
        <v>1</v>
      </c>
      <c r="W52" s="3">
        <v>0.9</v>
      </c>
      <c r="X52">
        <v>0</v>
      </c>
      <c r="Y52" t="s">
        <v>60</v>
      </c>
      <c r="Z52" t="s">
        <v>61</v>
      </c>
      <c r="AA52">
        <v>6</v>
      </c>
      <c r="AB52" s="2">
        <v>31.83</v>
      </c>
    </row>
    <row r="53" spans="1:56" x14ac:dyDescent="0.25">
      <c r="A53">
        <v>2033521990</v>
      </c>
      <c r="B53" t="s">
        <v>359</v>
      </c>
      <c r="C53" t="s">
        <v>360</v>
      </c>
      <c r="D53" t="str">
        <f>CONCATENATE(C53," ",B53)</f>
        <v>COLETTE EVANGELISTA</v>
      </c>
      <c r="E53" t="s">
        <v>193</v>
      </c>
      <c r="F53" t="s">
        <v>383</v>
      </c>
      <c r="G53" s="3">
        <v>0.7</v>
      </c>
      <c r="I53" t="s">
        <v>384</v>
      </c>
      <c r="J53" t="s">
        <v>384</v>
      </c>
      <c r="K53">
        <v>20003537</v>
      </c>
      <c r="L53">
        <v>20003537</v>
      </c>
      <c r="M53" s="15" t="s">
        <v>157</v>
      </c>
      <c r="N53" s="15" t="s">
        <v>1391</v>
      </c>
      <c r="O53" t="s">
        <v>108</v>
      </c>
      <c r="P53" t="s">
        <v>109</v>
      </c>
      <c r="Q53" t="str">
        <f>CONCATENATE(P53," ",O53)</f>
        <v>Chad Yale</v>
      </c>
      <c r="R53" t="s">
        <v>57</v>
      </c>
      <c r="S53" s="1">
        <v>46060</v>
      </c>
      <c r="T53" s="1">
        <v>46088</v>
      </c>
      <c r="U53" s="2">
        <v>35.04</v>
      </c>
      <c r="V53">
        <v>1</v>
      </c>
      <c r="W53" s="3">
        <v>0.7</v>
      </c>
      <c r="X53">
        <v>0</v>
      </c>
      <c r="Y53" t="s">
        <v>60</v>
      </c>
      <c r="Z53" t="s">
        <v>61</v>
      </c>
      <c r="AA53">
        <v>6</v>
      </c>
      <c r="AB53" s="2">
        <v>24.53</v>
      </c>
    </row>
    <row r="54" spans="1:56" x14ac:dyDescent="0.25">
      <c r="A54">
        <v>2033468528</v>
      </c>
      <c r="B54" t="s">
        <v>106</v>
      </c>
      <c r="C54" t="s">
        <v>107</v>
      </c>
      <c r="D54" t="str">
        <f>CONCATENATE(C54," ",B54)</f>
        <v>PAMELA BREEN</v>
      </c>
      <c r="E54" t="s">
        <v>66</v>
      </c>
      <c r="F54" t="s">
        <v>383</v>
      </c>
      <c r="G54" s="3">
        <v>0.7</v>
      </c>
      <c r="I54" t="s">
        <v>384</v>
      </c>
      <c r="J54" t="s">
        <v>384</v>
      </c>
      <c r="K54">
        <v>20003537</v>
      </c>
      <c r="L54">
        <v>20003537</v>
      </c>
      <c r="M54" s="15" t="s">
        <v>157</v>
      </c>
      <c r="N54" s="15" t="s">
        <v>1391</v>
      </c>
      <c r="O54" t="s">
        <v>108</v>
      </c>
      <c r="P54" t="s">
        <v>109</v>
      </c>
      <c r="Q54" t="str">
        <f>CONCATENATE(P54," ",O54)</f>
        <v>Chad Yale</v>
      </c>
      <c r="R54" t="s">
        <v>57</v>
      </c>
      <c r="S54" s="1">
        <v>46082</v>
      </c>
      <c r="T54" s="1">
        <v>46113</v>
      </c>
      <c r="U54" s="2">
        <v>66.36</v>
      </c>
      <c r="V54">
        <v>1</v>
      </c>
      <c r="W54" s="3">
        <v>0.7</v>
      </c>
      <c r="X54">
        <v>0</v>
      </c>
      <c r="Y54" t="s">
        <v>60</v>
      </c>
      <c r="Z54" t="s">
        <v>61</v>
      </c>
      <c r="AA54">
        <v>6</v>
      </c>
      <c r="AB54" s="2">
        <v>46.45</v>
      </c>
    </row>
    <row r="55" spans="1:56" x14ac:dyDescent="0.25">
      <c r="A55">
        <v>2033412630</v>
      </c>
      <c r="B55" t="s">
        <v>103</v>
      </c>
      <c r="C55" t="s">
        <v>104</v>
      </c>
      <c r="D55" t="str">
        <f>CONCATENATE(C55," ",B55)</f>
        <v>TIFFANY STAPLETON</v>
      </c>
      <c r="E55" t="s">
        <v>78</v>
      </c>
      <c r="F55" t="s">
        <v>383</v>
      </c>
      <c r="G55" s="3">
        <v>0.7</v>
      </c>
      <c r="I55" t="s">
        <v>384</v>
      </c>
      <c r="J55" t="s">
        <v>384</v>
      </c>
      <c r="K55">
        <v>8307933</v>
      </c>
      <c r="L55">
        <v>8307933</v>
      </c>
      <c r="M55" s="15" t="s">
        <v>157</v>
      </c>
      <c r="N55" s="15" t="s">
        <v>1391</v>
      </c>
      <c r="O55" t="s">
        <v>80</v>
      </c>
      <c r="P55" t="s">
        <v>81</v>
      </c>
      <c r="Q55" t="str">
        <f>CONCATENATE(P55," ",O55)</f>
        <v>GREGORY TEIPEL</v>
      </c>
      <c r="R55" t="s">
        <v>57</v>
      </c>
      <c r="S55" s="1">
        <v>46059</v>
      </c>
      <c r="T55" s="1">
        <v>46087</v>
      </c>
      <c r="U55" s="2">
        <v>78.760000000000005</v>
      </c>
      <c r="V55">
        <v>1</v>
      </c>
      <c r="W55" s="3">
        <v>0.7</v>
      </c>
      <c r="X55">
        <v>0</v>
      </c>
      <c r="Y55" t="s">
        <v>60</v>
      </c>
      <c r="Z55" t="s">
        <v>61</v>
      </c>
      <c r="AA55">
        <v>6</v>
      </c>
      <c r="AB55" s="2">
        <v>55.13</v>
      </c>
    </row>
    <row r="56" spans="1:56" s="6" customFormat="1" x14ac:dyDescent="0.25">
      <c r="A56">
        <v>2033331039</v>
      </c>
      <c r="B56" t="s">
        <v>99</v>
      </c>
      <c r="C56" t="s">
        <v>100</v>
      </c>
      <c r="D56" t="str">
        <f>CONCATENATE(C56," ",B56)</f>
        <v>HAYLEY BRINK</v>
      </c>
      <c r="E56" t="s">
        <v>87</v>
      </c>
      <c r="F56" t="s">
        <v>383</v>
      </c>
      <c r="G56" s="3">
        <v>0.7</v>
      </c>
      <c r="H56"/>
      <c r="I56" t="s">
        <v>384</v>
      </c>
      <c r="J56" t="s">
        <v>384</v>
      </c>
      <c r="K56">
        <v>8307933</v>
      </c>
      <c r="L56">
        <v>8307933</v>
      </c>
      <c r="M56" s="15" t="s">
        <v>157</v>
      </c>
      <c r="N56" s="15" t="s">
        <v>1391</v>
      </c>
      <c r="O56" t="s">
        <v>80</v>
      </c>
      <c r="P56" t="s">
        <v>81</v>
      </c>
      <c r="Q56" t="str">
        <f>CONCATENATE(P56," ",O56)</f>
        <v>GREGORY TEIPEL</v>
      </c>
      <c r="R56" t="s">
        <v>57</v>
      </c>
      <c r="S56" s="1">
        <v>46059</v>
      </c>
      <c r="T56" s="1">
        <v>46087</v>
      </c>
      <c r="U56" s="2">
        <v>49.46</v>
      </c>
      <c r="V56">
        <v>1</v>
      </c>
      <c r="W56" s="3">
        <v>0.7</v>
      </c>
      <c r="X56">
        <v>0</v>
      </c>
      <c r="Y56" t="s">
        <v>60</v>
      </c>
      <c r="Z56" t="s">
        <v>61</v>
      </c>
      <c r="AA56">
        <v>6</v>
      </c>
      <c r="AB56" s="2">
        <v>34.619999999999997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1:56" s="6" customFormat="1" x14ac:dyDescent="0.25">
      <c r="A57">
        <v>2033304009</v>
      </c>
      <c r="B57" t="s">
        <v>97</v>
      </c>
      <c r="C57" t="s">
        <v>98</v>
      </c>
      <c r="D57" t="str">
        <f>CONCATENATE(C57," ",B57)</f>
        <v>LARA FLUHARTY</v>
      </c>
      <c r="E57" t="s">
        <v>87</v>
      </c>
      <c r="F57" t="s">
        <v>383</v>
      </c>
      <c r="G57" s="3">
        <v>0.7</v>
      </c>
      <c r="H57"/>
      <c r="I57" t="s">
        <v>384</v>
      </c>
      <c r="J57" t="s">
        <v>384</v>
      </c>
      <c r="K57">
        <v>8307933</v>
      </c>
      <c r="L57">
        <v>8307933</v>
      </c>
      <c r="M57" s="15" t="s">
        <v>157</v>
      </c>
      <c r="N57" s="15" t="s">
        <v>1391</v>
      </c>
      <c r="O57" t="s">
        <v>80</v>
      </c>
      <c r="P57" t="s">
        <v>81</v>
      </c>
      <c r="Q57" t="str">
        <f>CONCATENATE(P57," ",O57)</f>
        <v>GREGORY TEIPEL</v>
      </c>
      <c r="R57" t="s">
        <v>57</v>
      </c>
      <c r="S57" s="1">
        <v>46059</v>
      </c>
      <c r="T57" s="1">
        <v>46087</v>
      </c>
      <c r="U57" s="2">
        <v>94.38</v>
      </c>
      <c r="V57">
        <v>1</v>
      </c>
      <c r="W57" s="3">
        <v>0.7</v>
      </c>
      <c r="X57">
        <v>0</v>
      </c>
      <c r="Y57" t="s">
        <v>60</v>
      </c>
      <c r="Z57" t="s">
        <v>61</v>
      </c>
      <c r="AA57">
        <v>6</v>
      </c>
      <c r="AB57" s="2">
        <v>66.069999999999993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</row>
    <row r="58" spans="1:56" x14ac:dyDescent="0.25">
      <c r="A58">
        <v>2033267341</v>
      </c>
      <c r="B58" t="s">
        <v>94</v>
      </c>
      <c r="C58" t="s">
        <v>95</v>
      </c>
      <c r="D58" t="str">
        <f>CONCATENATE(C58," ",B58)</f>
        <v>GARETT TURNER</v>
      </c>
      <c r="E58" t="s">
        <v>96</v>
      </c>
      <c r="F58" t="s">
        <v>383</v>
      </c>
      <c r="G58" s="3">
        <v>0.7</v>
      </c>
      <c r="I58" t="s">
        <v>384</v>
      </c>
      <c r="J58" t="s">
        <v>384</v>
      </c>
      <c r="K58">
        <v>8307933</v>
      </c>
      <c r="L58">
        <v>8307933</v>
      </c>
      <c r="M58" s="15" t="s">
        <v>157</v>
      </c>
      <c r="N58" s="15" t="s">
        <v>1391</v>
      </c>
      <c r="O58" t="s">
        <v>80</v>
      </c>
      <c r="P58" t="s">
        <v>81</v>
      </c>
      <c r="Q58" t="str">
        <f>CONCATENATE(P58," ",O58)</f>
        <v>GREGORY TEIPEL</v>
      </c>
      <c r="R58" t="s">
        <v>57</v>
      </c>
      <c r="S58" s="1">
        <v>46059</v>
      </c>
      <c r="T58" s="1">
        <v>46087</v>
      </c>
      <c r="U58" s="2">
        <v>48.47</v>
      </c>
      <c r="V58">
        <v>1</v>
      </c>
      <c r="W58" s="3">
        <v>0.7</v>
      </c>
      <c r="X58">
        <v>0</v>
      </c>
      <c r="Y58" t="s">
        <v>60</v>
      </c>
      <c r="Z58" t="s">
        <v>61</v>
      </c>
      <c r="AA58">
        <v>6</v>
      </c>
      <c r="AB58" s="2">
        <v>33.93</v>
      </c>
    </row>
    <row r="59" spans="1:56" x14ac:dyDescent="0.25">
      <c r="A59">
        <v>2033231466</v>
      </c>
      <c r="B59" t="s">
        <v>91</v>
      </c>
      <c r="C59" t="s">
        <v>92</v>
      </c>
      <c r="D59" t="str">
        <f>CONCATENATE(C59," ",B59)</f>
        <v>TIMOTHY STAHL</v>
      </c>
      <c r="E59" t="s">
        <v>84</v>
      </c>
      <c r="F59" t="s">
        <v>383</v>
      </c>
      <c r="G59" s="3">
        <v>0.7</v>
      </c>
      <c r="I59" t="s">
        <v>384</v>
      </c>
      <c r="J59" t="s">
        <v>384</v>
      </c>
      <c r="K59">
        <v>8307933</v>
      </c>
      <c r="L59">
        <v>8307933</v>
      </c>
      <c r="M59" s="15" t="s">
        <v>157</v>
      </c>
      <c r="N59" s="15" t="s">
        <v>1391</v>
      </c>
      <c r="O59" t="s">
        <v>80</v>
      </c>
      <c r="P59" t="s">
        <v>81</v>
      </c>
      <c r="Q59" t="str">
        <f>CONCATENATE(P59," ",O59)</f>
        <v>GREGORY TEIPEL</v>
      </c>
      <c r="R59" t="s">
        <v>57</v>
      </c>
      <c r="S59" s="1">
        <v>46059</v>
      </c>
      <c r="T59" s="1">
        <v>46087</v>
      </c>
      <c r="U59" s="2">
        <v>35.799999999999997</v>
      </c>
      <c r="V59">
        <v>1</v>
      </c>
      <c r="W59" s="3">
        <v>0.7</v>
      </c>
      <c r="X59">
        <v>0</v>
      </c>
      <c r="Y59" t="s">
        <v>60</v>
      </c>
      <c r="Z59" t="s">
        <v>61</v>
      </c>
      <c r="AA59">
        <v>6</v>
      </c>
      <c r="AB59" s="2">
        <v>25.06</v>
      </c>
    </row>
    <row r="60" spans="1:56" x14ac:dyDescent="0.25">
      <c r="A60">
        <v>2033221107</v>
      </c>
      <c r="B60" t="s">
        <v>88</v>
      </c>
      <c r="C60" t="s">
        <v>89</v>
      </c>
      <c r="D60" t="str">
        <f>CONCATENATE(C60," ",B60)</f>
        <v>SONNY WAWAK</v>
      </c>
      <c r="E60" t="s">
        <v>90</v>
      </c>
      <c r="F60" t="s">
        <v>383</v>
      </c>
      <c r="G60" s="3">
        <v>0.7</v>
      </c>
      <c r="I60" t="s">
        <v>384</v>
      </c>
      <c r="J60" t="s">
        <v>384</v>
      </c>
      <c r="K60">
        <v>8307933</v>
      </c>
      <c r="L60">
        <v>8307933</v>
      </c>
      <c r="M60" s="15" t="s">
        <v>157</v>
      </c>
      <c r="N60" s="15" t="s">
        <v>1391</v>
      </c>
      <c r="O60" t="s">
        <v>80</v>
      </c>
      <c r="P60" t="s">
        <v>81</v>
      </c>
      <c r="Q60" t="str">
        <f>CONCATENATE(P60," ",O60)</f>
        <v>GREGORY TEIPEL</v>
      </c>
      <c r="R60" t="s">
        <v>57</v>
      </c>
      <c r="S60" s="1">
        <v>46059</v>
      </c>
      <c r="T60" s="1">
        <v>46087</v>
      </c>
      <c r="U60" s="2">
        <v>89.52</v>
      </c>
      <c r="V60">
        <v>1</v>
      </c>
      <c r="W60" s="3">
        <v>0.7</v>
      </c>
      <c r="X60">
        <v>0</v>
      </c>
      <c r="Y60" t="s">
        <v>60</v>
      </c>
      <c r="Z60" t="s">
        <v>61</v>
      </c>
      <c r="AA60">
        <v>6</v>
      </c>
      <c r="AB60" s="2">
        <v>62.66</v>
      </c>
    </row>
    <row r="61" spans="1:56" s="6" customFormat="1" x14ac:dyDescent="0.25">
      <c r="A61">
        <v>2033179603</v>
      </c>
      <c r="B61" t="s">
        <v>85</v>
      </c>
      <c r="C61" t="s">
        <v>86</v>
      </c>
      <c r="D61" t="str">
        <f>CONCATENATE(C61," ",B61)</f>
        <v>BUFFY BEAVER</v>
      </c>
      <c r="E61" t="s">
        <v>87</v>
      </c>
      <c r="F61" t="s">
        <v>383</v>
      </c>
      <c r="G61" s="3">
        <v>0.7</v>
      </c>
      <c r="H61"/>
      <c r="I61" t="s">
        <v>384</v>
      </c>
      <c r="J61" t="s">
        <v>384</v>
      </c>
      <c r="K61">
        <v>8307933</v>
      </c>
      <c r="L61">
        <v>8307933</v>
      </c>
      <c r="M61" s="15" t="s">
        <v>157</v>
      </c>
      <c r="N61" s="15" t="s">
        <v>1391</v>
      </c>
      <c r="O61" t="s">
        <v>80</v>
      </c>
      <c r="P61" t="s">
        <v>81</v>
      </c>
      <c r="Q61" t="str">
        <f>CONCATENATE(P61," ",O61)</f>
        <v>GREGORY TEIPEL</v>
      </c>
      <c r="R61" t="s">
        <v>57</v>
      </c>
      <c r="S61" s="1">
        <v>46054</v>
      </c>
      <c r="T61" s="1">
        <v>46082</v>
      </c>
      <c r="U61" s="2">
        <v>94.38</v>
      </c>
      <c r="V61">
        <v>1</v>
      </c>
      <c r="W61" s="3">
        <v>0.7</v>
      </c>
      <c r="X61">
        <v>0</v>
      </c>
      <c r="Y61" t="s">
        <v>60</v>
      </c>
      <c r="Z61" t="s">
        <v>61</v>
      </c>
      <c r="AA61">
        <v>6</v>
      </c>
      <c r="AB61" s="2">
        <v>66.069999999999993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1:56" s="6" customFormat="1" x14ac:dyDescent="0.25">
      <c r="A62">
        <v>2033169681</v>
      </c>
      <c r="B62" t="s">
        <v>82</v>
      </c>
      <c r="C62" t="s">
        <v>83</v>
      </c>
      <c r="D62" t="str">
        <f>CONCATENATE(C62," ",B62)</f>
        <v>JILL DAVIS</v>
      </c>
      <c r="E62" t="s">
        <v>84</v>
      </c>
      <c r="F62" t="s">
        <v>383</v>
      </c>
      <c r="G62" s="3">
        <v>0.7</v>
      </c>
      <c r="H62"/>
      <c r="I62" t="s">
        <v>384</v>
      </c>
      <c r="J62" t="s">
        <v>384</v>
      </c>
      <c r="K62">
        <v>8307933</v>
      </c>
      <c r="L62">
        <v>8307933</v>
      </c>
      <c r="M62" s="15" t="s">
        <v>157</v>
      </c>
      <c r="N62" s="15" t="s">
        <v>1391</v>
      </c>
      <c r="O62" t="s">
        <v>80</v>
      </c>
      <c r="P62" t="s">
        <v>81</v>
      </c>
      <c r="Q62" t="str">
        <f>CONCATENATE(P62," ",O62)</f>
        <v>GREGORY TEIPEL</v>
      </c>
      <c r="R62" t="s">
        <v>57</v>
      </c>
      <c r="S62" s="1">
        <v>46059</v>
      </c>
      <c r="T62" s="1">
        <v>46087</v>
      </c>
      <c r="U62" s="2">
        <v>34</v>
      </c>
      <c r="V62">
        <v>1</v>
      </c>
      <c r="W62" s="3">
        <v>0.7</v>
      </c>
      <c r="X62">
        <v>0</v>
      </c>
      <c r="Y62" t="s">
        <v>60</v>
      </c>
      <c r="Z62" t="s">
        <v>61</v>
      </c>
      <c r="AA62">
        <v>6</v>
      </c>
      <c r="AB62" s="2">
        <v>23.8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1:56" x14ac:dyDescent="0.25">
      <c r="A63">
        <v>2033144396</v>
      </c>
      <c r="B63" t="s">
        <v>76</v>
      </c>
      <c r="C63" t="s">
        <v>77</v>
      </c>
      <c r="D63" t="str">
        <f>CONCATENATE(C63," ",B63)</f>
        <v>JORDIS LUNDGREN</v>
      </c>
      <c r="E63" t="s">
        <v>78</v>
      </c>
      <c r="F63" t="s">
        <v>383</v>
      </c>
      <c r="G63" s="3">
        <v>0.7</v>
      </c>
      <c r="I63" t="s">
        <v>384</v>
      </c>
      <c r="J63" t="s">
        <v>384</v>
      </c>
      <c r="K63">
        <v>8307933</v>
      </c>
      <c r="L63">
        <v>8307933</v>
      </c>
      <c r="M63" s="15" t="s">
        <v>157</v>
      </c>
      <c r="N63" s="15" t="s">
        <v>1391</v>
      </c>
      <c r="O63" t="s">
        <v>80</v>
      </c>
      <c r="P63" t="s">
        <v>81</v>
      </c>
      <c r="Q63" t="str">
        <f>CONCATENATE(P63," ",O63)</f>
        <v>GREGORY TEIPEL</v>
      </c>
      <c r="R63" t="s">
        <v>57</v>
      </c>
      <c r="S63" s="1">
        <v>46059</v>
      </c>
      <c r="T63" s="1">
        <v>46087</v>
      </c>
      <c r="U63" s="2">
        <v>31.28</v>
      </c>
      <c r="V63">
        <v>1</v>
      </c>
      <c r="W63" s="3">
        <v>0.7</v>
      </c>
      <c r="X63">
        <v>0</v>
      </c>
      <c r="Y63" t="s">
        <v>60</v>
      </c>
      <c r="Z63" t="s">
        <v>61</v>
      </c>
      <c r="AA63">
        <v>6</v>
      </c>
      <c r="AB63" s="2">
        <v>21.9</v>
      </c>
    </row>
    <row r="64" spans="1:56" x14ac:dyDescent="0.25">
      <c r="A64">
        <v>2033267343</v>
      </c>
      <c r="B64" t="s">
        <v>94</v>
      </c>
      <c r="C64" t="s">
        <v>95</v>
      </c>
      <c r="D64" t="str">
        <f>CONCATENATE(C64," ",B64)</f>
        <v>GARETT TURNER</v>
      </c>
      <c r="E64" t="s">
        <v>96</v>
      </c>
      <c r="F64" t="s">
        <v>383</v>
      </c>
      <c r="G64" s="3">
        <v>0.9</v>
      </c>
      <c r="I64" t="s">
        <v>385</v>
      </c>
      <c r="J64" t="s">
        <v>385</v>
      </c>
      <c r="K64">
        <v>8307933</v>
      </c>
      <c r="L64">
        <v>8307933</v>
      </c>
      <c r="M64" s="15" t="s">
        <v>157</v>
      </c>
      <c r="N64" s="15" t="s">
        <v>1391</v>
      </c>
      <c r="O64" t="s">
        <v>80</v>
      </c>
      <c r="P64" t="s">
        <v>81</v>
      </c>
      <c r="Q64" t="str">
        <f>CONCATENATE(P64," ",O64)</f>
        <v>GREGORY TEIPEL</v>
      </c>
      <c r="R64" t="s">
        <v>57</v>
      </c>
      <c r="S64" s="1">
        <v>46059</v>
      </c>
      <c r="T64" s="1">
        <v>46087</v>
      </c>
      <c r="U64" s="2">
        <v>48.88</v>
      </c>
      <c r="V64">
        <v>1</v>
      </c>
      <c r="W64" s="3">
        <v>0.9</v>
      </c>
      <c r="X64">
        <v>0</v>
      </c>
      <c r="Y64" t="s">
        <v>60</v>
      </c>
      <c r="Z64" t="s">
        <v>61</v>
      </c>
      <c r="AA64">
        <v>6</v>
      </c>
      <c r="AB64" s="2">
        <v>43.99</v>
      </c>
    </row>
    <row r="65" spans="1:28" x14ac:dyDescent="0.25">
      <c r="A65">
        <v>2033533797</v>
      </c>
      <c r="B65" t="s">
        <v>401</v>
      </c>
      <c r="C65" t="s">
        <v>197</v>
      </c>
      <c r="D65" t="str">
        <f>CONCATENATE(C65," ",B65)</f>
        <v>LISA NYDAM</v>
      </c>
      <c r="E65" t="s">
        <v>66</v>
      </c>
      <c r="F65" t="s">
        <v>383</v>
      </c>
      <c r="G65" s="3">
        <v>0.7</v>
      </c>
      <c r="I65" t="s">
        <v>384</v>
      </c>
      <c r="J65" t="s">
        <v>384</v>
      </c>
      <c r="K65">
        <v>18754354</v>
      </c>
      <c r="L65">
        <v>18754354</v>
      </c>
      <c r="M65" s="15" t="s">
        <v>157</v>
      </c>
      <c r="N65" s="15" t="s">
        <v>1391</v>
      </c>
      <c r="O65" t="s">
        <v>325</v>
      </c>
      <c r="P65" t="s">
        <v>326</v>
      </c>
      <c r="Q65" t="str">
        <f>CONCATENATE(P65," ",O65)</f>
        <v>JACOB YALE</v>
      </c>
      <c r="R65" t="s">
        <v>57</v>
      </c>
      <c r="S65" s="1">
        <v>46082</v>
      </c>
      <c r="T65" s="1">
        <v>46113</v>
      </c>
      <c r="U65" s="2">
        <v>145.54</v>
      </c>
      <c r="V65">
        <v>1</v>
      </c>
      <c r="W65" s="3">
        <v>0.7</v>
      </c>
      <c r="X65">
        <v>0</v>
      </c>
      <c r="Y65" t="s">
        <v>60</v>
      </c>
      <c r="Z65" t="s">
        <v>61</v>
      </c>
      <c r="AA65">
        <v>6</v>
      </c>
      <c r="AB65" s="2">
        <v>101.88</v>
      </c>
    </row>
    <row r="66" spans="1:28" x14ac:dyDescent="0.25">
      <c r="A66">
        <v>2033499220</v>
      </c>
      <c r="B66" t="s">
        <v>124</v>
      </c>
      <c r="C66" t="s">
        <v>125</v>
      </c>
      <c r="D66" t="str">
        <f>CONCATENATE(C66," ",B66)</f>
        <v>PAULA LEVASSEUR</v>
      </c>
      <c r="E66" t="s">
        <v>71</v>
      </c>
      <c r="F66" t="s">
        <v>383</v>
      </c>
      <c r="G66" s="3">
        <v>0.7</v>
      </c>
      <c r="I66" t="s">
        <v>384</v>
      </c>
      <c r="J66" t="s">
        <v>384</v>
      </c>
      <c r="K66">
        <v>18201929</v>
      </c>
      <c r="L66">
        <v>18201929</v>
      </c>
      <c r="M66" s="15" t="s">
        <v>157</v>
      </c>
      <c r="N66" s="15" t="s">
        <v>1391</v>
      </c>
      <c r="O66" t="s">
        <v>126</v>
      </c>
      <c r="P66" t="s">
        <v>127</v>
      </c>
      <c r="Q66" t="str">
        <f>CONCATENATE(P66," ",O66)</f>
        <v>Jake Shulman</v>
      </c>
      <c r="R66" t="s">
        <v>57</v>
      </c>
      <c r="S66" s="1">
        <v>46082</v>
      </c>
      <c r="T66" s="1">
        <v>46113</v>
      </c>
      <c r="U66" s="2">
        <v>101.99</v>
      </c>
      <c r="V66">
        <v>1</v>
      </c>
      <c r="W66" s="3">
        <v>0.7</v>
      </c>
      <c r="X66">
        <v>0</v>
      </c>
      <c r="Y66" t="s">
        <v>60</v>
      </c>
      <c r="Z66" t="s">
        <v>61</v>
      </c>
      <c r="AA66">
        <v>6</v>
      </c>
      <c r="AB66" s="2">
        <v>71.39</v>
      </c>
    </row>
    <row r="67" spans="1:28" x14ac:dyDescent="0.25">
      <c r="A67">
        <v>2033126233</v>
      </c>
      <c r="B67" t="s">
        <v>69</v>
      </c>
      <c r="C67" t="s">
        <v>70</v>
      </c>
      <c r="D67" t="str">
        <f>CONCATENATE(C67," ",B67)</f>
        <v>CHARLES WALKER</v>
      </c>
      <c r="E67" t="s">
        <v>71</v>
      </c>
      <c r="F67" t="s">
        <v>383</v>
      </c>
      <c r="G67" s="3">
        <v>0.7</v>
      </c>
      <c r="I67" t="s">
        <v>384</v>
      </c>
      <c r="J67" t="s">
        <v>384</v>
      </c>
      <c r="K67">
        <v>1706194</v>
      </c>
      <c r="L67">
        <v>1706194</v>
      </c>
      <c r="M67" s="15" t="s">
        <v>157</v>
      </c>
      <c r="N67" s="15" t="s">
        <v>1391</v>
      </c>
      <c r="O67" t="s">
        <v>74</v>
      </c>
      <c r="P67" t="s">
        <v>75</v>
      </c>
      <c r="Q67" t="str">
        <f>CONCATENATE(P67," ",O67)</f>
        <v>MATTHEW DAUGHERTY</v>
      </c>
      <c r="R67" t="s">
        <v>57</v>
      </c>
      <c r="S67" s="1">
        <v>46054</v>
      </c>
      <c r="T67" s="1">
        <v>46082</v>
      </c>
      <c r="U67" s="2">
        <v>121.92</v>
      </c>
      <c r="V67">
        <v>1</v>
      </c>
      <c r="W67" s="3">
        <v>0.7</v>
      </c>
      <c r="X67">
        <v>0</v>
      </c>
      <c r="Y67" t="s">
        <v>60</v>
      </c>
      <c r="Z67" t="s">
        <v>61</v>
      </c>
      <c r="AA67">
        <v>6</v>
      </c>
      <c r="AB67" s="2">
        <v>85.34</v>
      </c>
    </row>
    <row r="68" spans="1:28" x14ac:dyDescent="0.25">
      <c r="A68">
        <v>2033527015</v>
      </c>
      <c r="B68" t="s">
        <v>398</v>
      </c>
      <c r="C68" t="s">
        <v>399</v>
      </c>
      <c r="D68" t="str">
        <f>CONCATENATE(C68," ",B68)</f>
        <v>JACQUELINE DEJARNETTE</v>
      </c>
      <c r="E68" t="s">
        <v>392</v>
      </c>
      <c r="F68" t="s">
        <v>383</v>
      </c>
      <c r="G68" s="3">
        <v>0.7</v>
      </c>
      <c r="I68" t="s">
        <v>400</v>
      </c>
      <c r="J68" t="s">
        <v>1172</v>
      </c>
      <c r="K68">
        <v>5442438</v>
      </c>
      <c r="L68">
        <v>5442438</v>
      </c>
      <c r="M68" s="15" t="s">
        <v>157</v>
      </c>
      <c r="N68" s="15" t="s">
        <v>1391</v>
      </c>
      <c r="O68" t="s">
        <v>355</v>
      </c>
      <c r="P68" t="s">
        <v>356</v>
      </c>
      <c r="Q68" t="str">
        <f>CONCATENATE(P68," ",O68)</f>
        <v>Ronald Max</v>
      </c>
      <c r="R68" t="s">
        <v>57</v>
      </c>
      <c r="S68" s="1">
        <v>46082</v>
      </c>
      <c r="T68" s="1">
        <v>46113</v>
      </c>
      <c r="U68" s="2">
        <v>48</v>
      </c>
      <c r="V68">
        <v>1</v>
      </c>
      <c r="W68" s="3">
        <v>0.7</v>
      </c>
      <c r="X68">
        <v>0</v>
      </c>
      <c r="Y68" t="s">
        <v>60</v>
      </c>
      <c r="Z68" t="s">
        <v>61</v>
      </c>
      <c r="AA68">
        <v>6</v>
      </c>
      <c r="AB68" s="2">
        <v>33.6</v>
      </c>
    </row>
    <row r="69" spans="1:28" x14ac:dyDescent="0.25">
      <c r="A69">
        <v>2033527014</v>
      </c>
      <c r="B69" t="s">
        <v>398</v>
      </c>
      <c r="C69" t="s">
        <v>399</v>
      </c>
      <c r="D69" t="str">
        <f>CONCATENATE(C69," ",B69)</f>
        <v>JACQUELINE DEJARNETTE</v>
      </c>
      <c r="E69" t="s">
        <v>392</v>
      </c>
      <c r="F69" t="s">
        <v>383</v>
      </c>
      <c r="G69" s="3">
        <v>0.9</v>
      </c>
      <c r="I69" t="s">
        <v>385</v>
      </c>
      <c r="J69" t="s">
        <v>385</v>
      </c>
      <c r="K69">
        <v>5442438</v>
      </c>
      <c r="L69">
        <v>5442438</v>
      </c>
      <c r="M69" s="15" t="s">
        <v>157</v>
      </c>
      <c r="N69" s="15" t="s">
        <v>1391</v>
      </c>
      <c r="O69" t="s">
        <v>355</v>
      </c>
      <c r="P69" t="s">
        <v>356</v>
      </c>
      <c r="Q69" t="str">
        <f>CONCATENATE(P69," ",O69)</f>
        <v>Ronald Max</v>
      </c>
      <c r="R69" t="s">
        <v>57</v>
      </c>
      <c r="S69" s="1">
        <v>46082</v>
      </c>
      <c r="T69" s="1">
        <v>46113</v>
      </c>
      <c r="U69" s="2">
        <v>184.5</v>
      </c>
      <c r="V69">
        <v>1</v>
      </c>
      <c r="W69" s="3">
        <v>0.9</v>
      </c>
      <c r="X69">
        <v>0</v>
      </c>
      <c r="Y69" t="s">
        <v>60</v>
      </c>
      <c r="Z69" t="s">
        <v>61</v>
      </c>
      <c r="AA69">
        <v>6</v>
      </c>
      <c r="AB69" s="2">
        <v>166.05</v>
      </c>
    </row>
    <row r="70" spans="1:28" x14ac:dyDescent="0.25">
      <c r="A70">
        <v>2033529277</v>
      </c>
      <c r="B70" t="s">
        <v>374</v>
      </c>
      <c r="C70" t="s">
        <v>375</v>
      </c>
      <c r="D70" t="str">
        <f>CONCATENATE(C70," ",B70)</f>
        <v>SHELLEY PORR</v>
      </c>
      <c r="E70" t="s">
        <v>170</v>
      </c>
      <c r="F70" t="s">
        <v>383</v>
      </c>
      <c r="G70" s="3">
        <v>0.7</v>
      </c>
      <c r="I70" t="s">
        <v>384</v>
      </c>
      <c r="J70" t="s">
        <v>384</v>
      </c>
      <c r="K70">
        <v>8977234</v>
      </c>
      <c r="L70">
        <v>8977234</v>
      </c>
      <c r="M70" s="15" t="s">
        <v>157</v>
      </c>
      <c r="N70" s="15" t="s">
        <v>1391</v>
      </c>
      <c r="O70" t="s">
        <v>162</v>
      </c>
      <c r="P70" t="s">
        <v>180</v>
      </c>
      <c r="Q70" t="str">
        <f>CONCATENATE(P70," ",O70)</f>
        <v>RYAN CALTAGIRONE</v>
      </c>
      <c r="R70" t="s">
        <v>57</v>
      </c>
      <c r="S70" s="1">
        <v>46060</v>
      </c>
      <c r="T70" s="1">
        <v>46088</v>
      </c>
      <c r="U70" s="2">
        <v>10.53</v>
      </c>
      <c r="V70">
        <v>1</v>
      </c>
      <c r="W70" s="3">
        <v>0.7</v>
      </c>
      <c r="X70">
        <v>0</v>
      </c>
      <c r="Y70" t="s">
        <v>60</v>
      </c>
      <c r="Z70" t="s">
        <v>61</v>
      </c>
      <c r="AA70">
        <v>6</v>
      </c>
      <c r="AB70" s="2">
        <v>7.37</v>
      </c>
    </row>
    <row r="71" spans="1:28" x14ac:dyDescent="0.25">
      <c r="A71">
        <v>2033514791</v>
      </c>
      <c r="B71" t="s">
        <v>395</v>
      </c>
      <c r="C71" t="s">
        <v>396</v>
      </c>
      <c r="D71" t="str">
        <f>CONCATENATE(C71," ",B71)</f>
        <v>TONYA SCARLETT</v>
      </c>
      <c r="E71" t="s">
        <v>397</v>
      </c>
      <c r="F71" t="s">
        <v>383</v>
      </c>
      <c r="G71" s="3">
        <v>0.7</v>
      </c>
      <c r="I71" t="s">
        <v>384</v>
      </c>
      <c r="J71" t="s">
        <v>384</v>
      </c>
      <c r="K71">
        <v>8977234</v>
      </c>
      <c r="L71">
        <v>8977234</v>
      </c>
      <c r="M71" s="15" t="s">
        <v>157</v>
      </c>
      <c r="N71" s="15" t="s">
        <v>1391</v>
      </c>
      <c r="O71" t="s">
        <v>162</v>
      </c>
      <c r="P71" t="s">
        <v>180</v>
      </c>
      <c r="Q71" t="str">
        <f>CONCATENATE(P71," ",O71)</f>
        <v>RYAN CALTAGIRONE</v>
      </c>
      <c r="R71" t="s">
        <v>57</v>
      </c>
      <c r="S71" s="1">
        <v>46059</v>
      </c>
      <c r="T71" s="1">
        <v>46087</v>
      </c>
      <c r="U71" s="2">
        <v>135.69999999999999</v>
      </c>
      <c r="V71">
        <v>1</v>
      </c>
      <c r="W71" s="3">
        <v>0.7</v>
      </c>
      <c r="X71">
        <v>0</v>
      </c>
      <c r="Y71" t="s">
        <v>60</v>
      </c>
      <c r="Z71" t="s">
        <v>61</v>
      </c>
      <c r="AA71">
        <v>6</v>
      </c>
      <c r="AB71" s="2">
        <v>94.99</v>
      </c>
    </row>
    <row r="72" spans="1:28" x14ac:dyDescent="0.25">
      <c r="A72">
        <v>2033360697</v>
      </c>
      <c r="B72" t="s">
        <v>388</v>
      </c>
      <c r="C72" t="s">
        <v>389</v>
      </c>
      <c r="D72" t="str">
        <f>CONCATENATE(C72," ",B72)</f>
        <v>SUSAN FULLER</v>
      </c>
      <c r="E72" t="s">
        <v>170</v>
      </c>
      <c r="F72" t="s">
        <v>383</v>
      </c>
      <c r="G72" s="3">
        <v>0.7</v>
      </c>
      <c r="I72" t="s">
        <v>384</v>
      </c>
      <c r="J72" t="s">
        <v>384</v>
      </c>
      <c r="K72">
        <v>8977234</v>
      </c>
      <c r="L72">
        <v>8977234</v>
      </c>
      <c r="M72" s="15" t="s">
        <v>157</v>
      </c>
      <c r="N72" s="15" t="s">
        <v>1391</v>
      </c>
      <c r="O72" t="s">
        <v>162</v>
      </c>
      <c r="P72" t="s">
        <v>180</v>
      </c>
      <c r="Q72" t="str">
        <f>CONCATENATE(P72," ",O72)</f>
        <v>RYAN CALTAGIRONE</v>
      </c>
      <c r="R72" t="s">
        <v>57</v>
      </c>
      <c r="S72" s="1">
        <v>46082</v>
      </c>
      <c r="T72" s="1">
        <v>46113</v>
      </c>
      <c r="U72" s="2">
        <v>26.23</v>
      </c>
      <c r="V72">
        <v>1</v>
      </c>
      <c r="W72" s="3">
        <v>0.7</v>
      </c>
      <c r="X72">
        <v>0</v>
      </c>
      <c r="Y72" t="s">
        <v>60</v>
      </c>
      <c r="Z72" t="s">
        <v>61</v>
      </c>
      <c r="AA72">
        <v>6</v>
      </c>
      <c r="AB72" s="2">
        <v>18.36</v>
      </c>
    </row>
    <row r="73" spans="1:28" s="15" customFormat="1" x14ac:dyDescent="0.25">
      <c r="A73" s="15">
        <v>2033508329</v>
      </c>
      <c r="B73" s="15" t="s">
        <v>407</v>
      </c>
      <c r="C73" s="15" t="s">
        <v>408</v>
      </c>
      <c r="D73" s="15" t="str">
        <f>CONCATENATE(C73," ",B73)</f>
        <v>TIANNA FOX</v>
      </c>
      <c r="E73" s="15" t="s">
        <v>392</v>
      </c>
      <c r="F73" s="15" t="s">
        <v>130</v>
      </c>
      <c r="G73" s="18">
        <v>0.27</v>
      </c>
      <c r="I73" s="15" t="s">
        <v>404</v>
      </c>
      <c r="J73" s="15" t="s">
        <v>1331</v>
      </c>
      <c r="K73" s="15">
        <v>17554531</v>
      </c>
      <c r="L73" s="15">
        <v>17554531</v>
      </c>
      <c r="M73" s="15" t="s">
        <v>157</v>
      </c>
      <c r="N73" s="15" t="s">
        <v>1391</v>
      </c>
      <c r="O73" s="15" t="s">
        <v>405</v>
      </c>
      <c r="P73" s="15" t="s">
        <v>406</v>
      </c>
      <c r="Q73" s="15" t="str">
        <f>CONCATENATE(P73," ",O73)</f>
        <v>Brittany Oliver</v>
      </c>
      <c r="R73" s="15" t="s">
        <v>57</v>
      </c>
      <c r="S73" s="16">
        <v>46059</v>
      </c>
      <c r="T73" s="16">
        <v>46087</v>
      </c>
      <c r="U73" s="17">
        <v>69.36</v>
      </c>
      <c r="V73" s="15">
        <v>1</v>
      </c>
      <c r="W73" s="18">
        <v>0.27</v>
      </c>
      <c r="X73" s="15">
        <v>0</v>
      </c>
      <c r="Y73" s="15" t="s">
        <v>60</v>
      </c>
      <c r="Z73" s="15" t="s">
        <v>61</v>
      </c>
      <c r="AA73" s="15">
        <v>0</v>
      </c>
      <c r="AB73" s="17">
        <v>18.73</v>
      </c>
    </row>
    <row r="74" spans="1:28" s="15" customFormat="1" x14ac:dyDescent="0.25">
      <c r="A74" s="15">
        <v>2033469076</v>
      </c>
      <c r="B74" s="15" t="s">
        <v>402</v>
      </c>
      <c r="C74" s="15" t="s">
        <v>403</v>
      </c>
      <c r="D74" s="15" t="str">
        <f>CONCATENATE(C74," ",B74)</f>
        <v>BARBARA MILLER</v>
      </c>
      <c r="E74" s="15" t="s">
        <v>392</v>
      </c>
      <c r="F74" s="15" t="s">
        <v>130</v>
      </c>
      <c r="G74" s="18">
        <v>0.27</v>
      </c>
      <c r="I74" s="15" t="s">
        <v>404</v>
      </c>
      <c r="J74" s="15" t="s">
        <v>1331</v>
      </c>
      <c r="K74" s="15">
        <v>17554531</v>
      </c>
      <c r="L74" s="15">
        <v>17554531</v>
      </c>
      <c r="M74" s="15" t="s">
        <v>157</v>
      </c>
      <c r="N74" s="15" t="s">
        <v>1391</v>
      </c>
      <c r="O74" s="15" t="s">
        <v>405</v>
      </c>
      <c r="P74" s="15" t="s">
        <v>406</v>
      </c>
      <c r="Q74" s="15" t="str">
        <f>CONCATENATE(P74," ",O74)</f>
        <v>Brittany Oliver</v>
      </c>
      <c r="R74" s="15" t="s">
        <v>57</v>
      </c>
      <c r="S74" s="16">
        <v>46057</v>
      </c>
      <c r="T74" s="16">
        <v>46085</v>
      </c>
      <c r="U74" s="17">
        <v>271.5</v>
      </c>
      <c r="V74" s="15">
        <v>1</v>
      </c>
      <c r="W74" s="18">
        <v>0.27</v>
      </c>
      <c r="X74" s="15">
        <v>0</v>
      </c>
      <c r="Y74" s="15" t="s">
        <v>60</v>
      </c>
      <c r="Z74" s="15" t="s">
        <v>61</v>
      </c>
      <c r="AA74" s="15">
        <v>0</v>
      </c>
      <c r="AB74" s="17">
        <v>73.3</v>
      </c>
    </row>
    <row r="75" spans="1:28" s="15" customFormat="1" x14ac:dyDescent="0.25">
      <c r="A75" s="15">
        <v>2033508331</v>
      </c>
      <c r="B75" s="15" t="s">
        <v>407</v>
      </c>
      <c r="C75" s="15" t="s">
        <v>408</v>
      </c>
      <c r="D75" s="15" t="str">
        <f>CONCATENATE(C75," ",B75)</f>
        <v>TIANNA FOX</v>
      </c>
      <c r="E75" s="15" t="s">
        <v>392</v>
      </c>
      <c r="F75" s="15" t="s">
        <v>130</v>
      </c>
      <c r="G75" s="18">
        <v>0.27</v>
      </c>
      <c r="I75" s="15" t="s">
        <v>409</v>
      </c>
      <c r="J75" s="15" t="s">
        <v>1331</v>
      </c>
      <c r="K75" s="15">
        <v>17554531</v>
      </c>
      <c r="L75" s="15">
        <v>17554531</v>
      </c>
      <c r="M75" s="15" t="s">
        <v>157</v>
      </c>
      <c r="N75" s="15" t="s">
        <v>1391</v>
      </c>
      <c r="O75" s="15" t="s">
        <v>405</v>
      </c>
      <c r="P75" s="15" t="s">
        <v>406</v>
      </c>
      <c r="Q75" s="15" t="str">
        <f>CONCATENATE(P75," ",O75)</f>
        <v>Brittany Oliver</v>
      </c>
      <c r="R75" s="15" t="s">
        <v>57</v>
      </c>
      <c r="S75" s="16">
        <v>46059</v>
      </c>
      <c r="T75" s="16">
        <v>46087</v>
      </c>
      <c r="U75" s="17">
        <v>5</v>
      </c>
      <c r="V75" s="15">
        <v>1</v>
      </c>
      <c r="W75" s="18">
        <v>0.27</v>
      </c>
      <c r="X75" s="15">
        <v>0</v>
      </c>
      <c r="Y75" s="15" t="s">
        <v>60</v>
      </c>
      <c r="Z75" s="15" t="s">
        <v>61</v>
      </c>
      <c r="AA75" s="15">
        <v>0</v>
      </c>
      <c r="AB75" s="17">
        <v>1.35</v>
      </c>
    </row>
    <row r="76" spans="1:28" s="15" customFormat="1" x14ac:dyDescent="0.25">
      <c r="A76" s="15">
        <v>2033508330</v>
      </c>
      <c r="B76" s="15" t="s">
        <v>407</v>
      </c>
      <c r="C76" s="15" t="s">
        <v>408</v>
      </c>
      <c r="D76" s="15" t="str">
        <f>CONCATENATE(C76," ",B76)</f>
        <v>TIANNA FOX</v>
      </c>
      <c r="E76" s="15" t="s">
        <v>392</v>
      </c>
      <c r="F76" s="15" t="s">
        <v>130</v>
      </c>
      <c r="G76" s="18">
        <v>0.27</v>
      </c>
      <c r="I76" s="15" t="s">
        <v>409</v>
      </c>
      <c r="J76" s="15" t="s">
        <v>1331</v>
      </c>
      <c r="K76" s="15">
        <v>17554531</v>
      </c>
      <c r="L76" s="15">
        <v>17554531</v>
      </c>
      <c r="M76" s="15" t="s">
        <v>157</v>
      </c>
      <c r="N76" s="15" t="s">
        <v>1391</v>
      </c>
      <c r="O76" s="15" t="s">
        <v>405</v>
      </c>
      <c r="P76" s="15" t="s">
        <v>406</v>
      </c>
      <c r="Q76" s="15" t="str">
        <f>CONCATENATE(P76," ",O76)</f>
        <v>Brittany Oliver</v>
      </c>
      <c r="R76" s="15" t="s">
        <v>57</v>
      </c>
      <c r="S76" s="16">
        <v>46059</v>
      </c>
      <c r="T76" s="16">
        <v>46087</v>
      </c>
      <c r="U76" s="17">
        <v>9.9499999999999993</v>
      </c>
      <c r="V76" s="15">
        <v>1</v>
      </c>
      <c r="W76" s="18">
        <v>0.27</v>
      </c>
      <c r="X76" s="15">
        <v>0</v>
      </c>
      <c r="Y76" s="15" t="s">
        <v>60</v>
      </c>
      <c r="Z76" s="15" t="s">
        <v>61</v>
      </c>
      <c r="AA76" s="15">
        <v>0</v>
      </c>
      <c r="AB76" s="17">
        <v>2.69</v>
      </c>
    </row>
    <row r="77" spans="1:28" s="15" customFormat="1" x14ac:dyDescent="0.25">
      <c r="A77" s="15">
        <v>2033542305</v>
      </c>
      <c r="B77" s="15" t="s">
        <v>410</v>
      </c>
      <c r="C77" s="15" t="s">
        <v>411</v>
      </c>
      <c r="D77" s="15" t="str">
        <f>CONCATENATE(C77," ",B77)</f>
        <v>SABRYNA SIMMS</v>
      </c>
      <c r="E77" s="15" t="s">
        <v>71</v>
      </c>
      <c r="F77" s="15" t="s">
        <v>130</v>
      </c>
      <c r="G77" s="18">
        <v>0.27</v>
      </c>
      <c r="I77" s="15" t="s">
        <v>404</v>
      </c>
      <c r="J77" s="15" t="s">
        <v>1331</v>
      </c>
      <c r="K77" s="15">
        <v>18201929</v>
      </c>
      <c r="L77" s="15">
        <v>18201929</v>
      </c>
      <c r="M77" s="15" t="s">
        <v>157</v>
      </c>
      <c r="N77" s="15" t="s">
        <v>1391</v>
      </c>
      <c r="O77" s="15" t="s">
        <v>126</v>
      </c>
      <c r="P77" s="15" t="s">
        <v>127</v>
      </c>
      <c r="Q77" s="15" t="str">
        <f>CONCATENATE(P77," ",O77)</f>
        <v>Jake Shulman</v>
      </c>
      <c r="R77" s="15" t="s">
        <v>57</v>
      </c>
      <c r="S77" s="16">
        <v>46060</v>
      </c>
      <c r="T77" s="16">
        <v>46088</v>
      </c>
      <c r="U77" s="17">
        <v>89.25</v>
      </c>
      <c r="V77" s="15">
        <v>1</v>
      </c>
      <c r="W77" s="18">
        <v>0.27</v>
      </c>
      <c r="X77" s="15">
        <v>0</v>
      </c>
      <c r="Y77" s="15" t="s">
        <v>60</v>
      </c>
      <c r="Z77" s="15" t="s">
        <v>61</v>
      </c>
      <c r="AA77" s="15">
        <v>0</v>
      </c>
      <c r="AB77" s="17">
        <v>24.1</v>
      </c>
    </row>
    <row r="78" spans="1:28" s="15" customFormat="1" x14ac:dyDescent="0.25">
      <c r="A78" s="15">
        <v>2033542306</v>
      </c>
      <c r="B78" s="15" t="s">
        <v>410</v>
      </c>
      <c r="C78" s="15" t="s">
        <v>411</v>
      </c>
      <c r="D78" s="15" t="str">
        <f>CONCATENATE(C78," ",B78)</f>
        <v>SABRYNA SIMMS</v>
      </c>
      <c r="E78" s="15" t="s">
        <v>71</v>
      </c>
      <c r="F78" s="15" t="s">
        <v>130</v>
      </c>
      <c r="G78" s="18">
        <v>0.27</v>
      </c>
      <c r="I78" s="15" t="s">
        <v>409</v>
      </c>
      <c r="J78" s="15" t="s">
        <v>1331</v>
      </c>
      <c r="K78" s="15">
        <v>18201929</v>
      </c>
      <c r="L78" s="15">
        <v>18201929</v>
      </c>
      <c r="M78" s="15" t="s">
        <v>157</v>
      </c>
      <c r="N78" s="15" t="s">
        <v>1391</v>
      </c>
      <c r="O78" s="15" t="s">
        <v>126</v>
      </c>
      <c r="P78" s="15" t="s">
        <v>127</v>
      </c>
      <c r="Q78" s="15" t="str">
        <f>CONCATENATE(P78," ",O78)</f>
        <v>Jake Shulman</v>
      </c>
      <c r="R78" s="15" t="s">
        <v>57</v>
      </c>
      <c r="S78" s="16">
        <v>46060</v>
      </c>
      <c r="T78" s="16">
        <v>46088</v>
      </c>
      <c r="U78" s="17">
        <v>9.9499999999999993</v>
      </c>
      <c r="V78" s="15">
        <v>1</v>
      </c>
      <c r="W78" s="18">
        <v>0.27</v>
      </c>
      <c r="X78" s="15">
        <v>0</v>
      </c>
      <c r="Y78" s="15" t="s">
        <v>60</v>
      </c>
      <c r="Z78" s="15" t="s">
        <v>61</v>
      </c>
      <c r="AA78" s="15">
        <v>0</v>
      </c>
      <c r="AB78" s="17">
        <v>2.69</v>
      </c>
    </row>
    <row r="79" spans="1:28" s="15" customFormat="1" x14ac:dyDescent="0.25">
      <c r="A79" s="15">
        <v>2033474598</v>
      </c>
      <c r="B79" s="15" t="s">
        <v>348</v>
      </c>
      <c r="C79" s="15" t="s">
        <v>349</v>
      </c>
      <c r="D79" s="15" t="str">
        <f>CONCATENATE(C79," ",B79)</f>
        <v>SHAWN SHIPP</v>
      </c>
      <c r="E79" s="15" t="s">
        <v>116</v>
      </c>
      <c r="F79" s="15" t="s">
        <v>130</v>
      </c>
      <c r="G79" s="18">
        <v>0.19</v>
      </c>
      <c r="I79" s="15" t="s">
        <v>131</v>
      </c>
      <c r="J79" s="15" t="s">
        <v>1337</v>
      </c>
      <c r="K79" s="15">
        <v>20724564</v>
      </c>
      <c r="L79" s="15">
        <v>20724564</v>
      </c>
      <c r="M79" s="15" t="s">
        <v>157</v>
      </c>
      <c r="N79" s="15" t="s">
        <v>1391</v>
      </c>
      <c r="O79" s="15" t="s">
        <v>132</v>
      </c>
      <c r="P79" s="15" t="s">
        <v>133</v>
      </c>
      <c r="Q79" s="15" t="str">
        <f>CONCATENATE(P79," ",O79)</f>
        <v>Marsha Sanderock</v>
      </c>
      <c r="R79" s="15" t="s">
        <v>57</v>
      </c>
      <c r="S79" s="16">
        <v>46057</v>
      </c>
      <c r="T79" s="16">
        <v>46085</v>
      </c>
      <c r="U79" s="17">
        <v>221.52</v>
      </c>
      <c r="V79" s="15">
        <v>1</v>
      </c>
      <c r="W79" s="18">
        <v>0.19</v>
      </c>
      <c r="X79" s="15">
        <v>0</v>
      </c>
      <c r="Y79" s="15" t="s">
        <v>60</v>
      </c>
      <c r="Z79" s="15" t="s">
        <v>61</v>
      </c>
      <c r="AA79" s="15">
        <v>6</v>
      </c>
      <c r="AB79" s="17">
        <v>42.09</v>
      </c>
    </row>
  </sheetData>
  <sortState xmlns:xlrd2="http://schemas.microsoft.com/office/spreadsheetml/2017/richdata2" ref="A2:BD79">
    <sortCondition sortBy="cellColor" ref="F2:F79" dxfId="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9535-0DDE-4AA3-8E3D-FB3D7C06DFCE}">
  <dimension ref="A1:BC1022"/>
  <sheetViews>
    <sheetView topLeftCell="E580" workbookViewId="0">
      <selection activeCell="H595" sqref="H595"/>
    </sheetView>
  </sheetViews>
  <sheetFormatPr defaultRowHeight="15" x14ac:dyDescent="0.25"/>
  <cols>
    <col min="1" max="1" width="11" bestFit="1" customWidth="1"/>
    <col min="2" max="2" width="11.28515625" customWidth="1"/>
    <col min="3" max="3" width="10.140625" customWidth="1"/>
    <col min="4" max="4" width="12.28515625" customWidth="1"/>
    <col min="5" max="5" width="5.5703125" bestFit="1" customWidth="1"/>
    <col min="6" max="6" width="20.85546875" bestFit="1" customWidth="1"/>
    <col min="7" max="7" width="27.42578125" customWidth="1"/>
    <col min="8" max="8" width="43" bestFit="1" customWidth="1"/>
    <col min="9" max="9" width="15.7109375" style="19" bestFit="1" customWidth="1"/>
    <col min="10" max="10" width="6.5703125" customWidth="1"/>
    <col min="11" max="11" width="10" customWidth="1"/>
    <col min="12" max="12" width="17.28515625" bestFit="1" customWidth="1"/>
    <col min="13" max="13" width="12.140625" bestFit="1" customWidth="1"/>
    <col min="14" max="14" width="13.5703125" bestFit="1" customWidth="1"/>
    <col min="15" max="15" width="12" bestFit="1" customWidth="1"/>
    <col min="16" max="16" width="5.7109375" style="22" customWidth="1"/>
    <col min="17" max="17" width="6.140625" style="22" customWidth="1"/>
    <col min="18" max="18" width="8" style="22" customWidth="1"/>
    <col min="19" max="19" width="16" bestFit="1" customWidth="1"/>
    <col min="20" max="20" width="11.28515625" bestFit="1" customWidth="1"/>
    <col min="21" max="21" width="8.28515625" bestFit="1" customWidth="1"/>
    <col min="22" max="22" width="15.5703125" bestFit="1" customWidth="1"/>
    <col min="23" max="23" width="13.7109375" bestFit="1" customWidth="1"/>
  </cols>
  <sheetData>
    <row r="1" spans="1:55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s="19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S1" t="s">
        <v>17</v>
      </c>
      <c r="T1" t="s">
        <v>21</v>
      </c>
      <c r="U1" t="s">
        <v>24</v>
      </c>
      <c r="V1" t="s">
        <v>25</v>
      </c>
      <c r="W1" t="s">
        <v>37</v>
      </c>
    </row>
    <row r="2" spans="1:55" x14ac:dyDescent="0.25">
      <c r="A2" s="15">
        <v>2030951715</v>
      </c>
      <c r="B2" s="15" t="s">
        <v>1050</v>
      </c>
      <c r="C2" s="15" t="s">
        <v>500</v>
      </c>
      <c r="D2" s="15" t="str">
        <f>CONCATENATE(C2," ",B2)</f>
        <v>SARAH FULLERTON</v>
      </c>
      <c r="E2" s="15" t="s">
        <v>392</v>
      </c>
      <c r="F2" s="15" t="s">
        <v>72</v>
      </c>
      <c r="G2" s="15" t="s">
        <v>93</v>
      </c>
      <c r="H2" s="15" t="s">
        <v>1332</v>
      </c>
      <c r="I2" s="21">
        <v>9079571</v>
      </c>
      <c r="J2" s="15" t="s">
        <v>171</v>
      </c>
      <c r="K2" s="15" t="s">
        <v>172</v>
      </c>
      <c r="L2" s="15" t="str">
        <f>CONCATENATE(K2," ",J2)</f>
        <v>ADAM RICHTER</v>
      </c>
      <c r="M2" s="15" t="s">
        <v>57</v>
      </c>
      <c r="N2" s="16">
        <v>45910</v>
      </c>
      <c r="O2" s="16">
        <v>46091</v>
      </c>
      <c r="P2" s="24">
        <f>DATEDIF(N2,O2,"M")</f>
        <v>6</v>
      </c>
      <c r="Q2" s="24" t="s">
        <v>157</v>
      </c>
      <c r="R2" s="24" t="s">
        <v>1391</v>
      </c>
      <c r="S2" s="17">
        <v>38.67</v>
      </c>
      <c r="T2" s="18">
        <v>0.9</v>
      </c>
      <c r="U2" s="15" t="s">
        <v>60</v>
      </c>
      <c r="V2" s="15" t="s">
        <v>135</v>
      </c>
      <c r="W2" s="17">
        <v>34.799999999999997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</row>
    <row r="3" spans="1:55" x14ac:dyDescent="0.25">
      <c r="A3" s="15">
        <v>2030386535</v>
      </c>
      <c r="B3" s="15" t="s">
        <v>1035</v>
      </c>
      <c r="C3" s="15" t="s">
        <v>1036</v>
      </c>
      <c r="D3" s="15" t="str">
        <f>CONCATENATE(C3," ",B3)</f>
        <v>BATTS ANDRE</v>
      </c>
      <c r="E3" s="15" t="s">
        <v>392</v>
      </c>
      <c r="F3" s="15" t="s">
        <v>72</v>
      </c>
      <c r="G3" s="15" t="s">
        <v>93</v>
      </c>
      <c r="H3" s="15" t="s">
        <v>1332</v>
      </c>
      <c r="I3" s="21">
        <v>9079571</v>
      </c>
      <c r="J3" s="15" t="s">
        <v>171</v>
      </c>
      <c r="K3" s="15" t="s">
        <v>172</v>
      </c>
      <c r="L3" s="15" t="str">
        <f>CONCATENATE(K3," ",J3)</f>
        <v>ADAM RICHTER</v>
      </c>
      <c r="M3" s="15" t="s">
        <v>57</v>
      </c>
      <c r="N3" s="16">
        <v>45878</v>
      </c>
      <c r="O3" s="16">
        <v>46090</v>
      </c>
      <c r="P3" s="24">
        <f>DATEDIF(N3,O3,"M")</f>
        <v>7</v>
      </c>
      <c r="Q3" s="24" t="s">
        <v>157</v>
      </c>
      <c r="R3" s="24" t="s">
        <v>1391</v>
      </c>
      <c r="S3" s="17">
        <v>124.88</v>
      </c>
      <c r="T3" s="18">
        <v>0.9</v>
      </c>
      <c r="U3" s="15" t="s">
        <v>60</v>
      </c>
      <c r="V3" s="15" t="s">
        <v>135</v>
      </c>
      <c r="W3" s="17">
        <v>112.38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</row>
    <row r="4" spans="1:55" x14ac:dyDescent="0.25">
      <c r="A4" s="15">
        <v>2027501753</v>
      </c>
      <c r="B4" s="15" t="s">
        <v>990</v>
      </c>
      <c r="C4" s="15" t="s">
        <v>991</v>
      </c>
      <c r="D4" s="15" t="str">
        <f>CONCATENATE(C4," ",B4)</f>
        <v>HANSSI ESCHEVERRIA</v>
      </c>
      <c r="E4" s="15" t="s">
        <v>392</v>
      </c>
      <c r="F4" s="15" t="s">
        <v>383</v>
      </c>
      <c r="G4" s="15" t="s">
        <v>1172</v>
      </c>
      <c r="H4" s="15" t="s">
        <v>1172</v>
      </c>
      <c r="I4" s="21">
        <v>9079571</v>
      </c>
      <c r="J4" s="15" t="s">
        <v>171</v>
      </c>
      <c r="K4" s="15" t="s">
        <v>172</v>
      </c>
      <c r="L4" s="15" t="str">
        <f>CONCATENATE(K4," ",J4)</f>
        <v>ADAM RICHTER</v>
      </c>
      <c r="M4" s="15" t="s">
        <v>57</v>
      </c>
      <c r="N4" s="16">
        <v>45718</v>
      </c>
      <c r="O4" s="16">
        <v>46083</v>
      </c>
      <c r="P4" s="24">
        <f>DATEDIF(N4,O4,"M")</f>
        <v>12</v>
      </c>
      <c r="Q4" s="24" t="s">
        <v>157</v>
      </c>
      <c r="R4" s="24" t="s">
        <v>1391</v>
      </c>
      <c r="S4" s="17">
        <v>24.61</v>
      </c>
      <c r="T4" s="18">
        <v>0.7</v>
      </c>
      <c r="U4" s="15" t="s">
        <v>60</v>
      </c>
      <c r="V4" s="15" t="s">
        <v>135</v>
      </c>
      <c r="W4" s="17">
        <v>17.23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</row>
    <row r="5" spans="1:55" x14ac:dyDescent="0.25">
      <c r="A5" s="15">
        <v>2027501754</v>
      </c>
      <c r="B5" s="15" t="s">
        <v>990</v>
      </c>
      <c r="C5" s="15" t="s">
        <v>991</v>
      </c>
      <c r="D5" s="15" t="str">
        <f>CONCATENATE(C5," ",B5)</f>
        <v>HANSSI ESCHEVERRIA</v>
      </c>
      <c r="E5" s="15" t="s">
        <v>392</v>
      </c>
      <c r="F5" s="15" t="s">
        <v>72</v>
      </c>
      <c r="G5" s="15" t="s">
        <v>93</v>
      </c>
      <c r="H5" s="15" t="s">
        <v>1332</v>
      </c>
      <c r="I5" s="21">
        <v>9079571</v>
      </c>
      <c r="J5" s="15" t="s">
        <v>171</v>
      </c>
      <c r="K5" s="15" t="s">
        <v>172</v>
      </c>
      <c r="L5" s="15" t="str">
        <f>CONCATENATE(K5," ",J5)</f>
        <v>ADAM RICHTER</v>
      </c>
      <c r="M5" s="15" t="s">
        <v>57</v>
      </c>
      <c r="N5" s="16">
        <v>45718</v>
      </c>
      <c r="O5" s="16">
        <v>46083</v>
      </c>
      <c r="P5" s="24">
        <f>DATEDIF(N5,O5,"M")</f>
        <v>12</v>
      </c>
      <c r="Q5" s="24" t="s">
        <v>157</v>
      </c>
      <c r="R5" s="24" t="s">
        <v>1391</v>
      </c>
      <c r="S5" s="17">
        <v>38.07</v>
      </c>
      <c r="T5" s="18">
        <v>0.9</v>
      </c>
      <c r="U5" s="15" t="s">
        <v>60</v>
      </c>
      <c r="V5" s="15" t="s">
        <v>135</v>
      </c>
      <c r="W5" s="17">
        <v>34.26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</row>
    <row r="6" spans="1:55" x14ac:dyDescent="0.25">
      <c r="A6" s="15">
        <v>2027501755</v>
      </c>
      <c r="B6" s="15" t="s">
        <v>990</v>
      </c>
      <c r="C6" s="15" t="s">
        <v>991</v>
      </c>
      <c r="D6" s="15" t="str">
        <f>CONCATENATE(C6," ",B6)</f>
        <v>HANSSI ESCHEVERRIA</v>
      </c>
      <c r="E6" s="15" t="s">
        <v>392</v>
      </c>
      <c r="F6" s="15" t="s">
        <v>383</v>
      </c>
      <c r="G6" s="15" t="s">
        <v>843</v>
      </c>
      <c r="H6" s="15" t="s">
        <v>843</v>
      </c>
      <c r="I6" s="21">
        <v>9079571</v>
      </c>
      <c r="J6" s="15" t="s">
        <v>171</v>
      </c>
      <c r="K6" s="15" t="s">
        <v>172</v>
      </c>
      <c r="L6" s="15" t="str">
        <f>CONCATENATE(K6," ",J6)</f>
        <v>ADAM RICHTER</v>
      </c>
      <c r="M6" s="15" t="s">
        <v>57</v>
      </c>
      <c r="N6" s="16">
        <v>45718</v>
      </c>
      <c r="O6" s="16">
        <v>46083</v>
      </c>
      <c r="P6" s="24">
        <f>DATEDIF(N6,O6,"M")</f>
        <v>12</v>
      </c>
      <c r="Q6" s="24" t="s">
        <v>157</v>
      </c>
      <c r="R6" s="24" t="s">
        <v>1391</v>
      </c>
      <c r="S6" s="17">
        <v>36.299999999999997</v>
      </c>
      <c r="T6" s="18">
        <v>0.42</v>
      </c>
      <c r="U6" s="15" t="s">
        <v>60</v>
      </c>
      <c r="V6" s="15" t="s">
        <v>135</v>
      </c>
      <c r="W6" s="17">
        <v>15.25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</row>
    <row r="7" spans="1:55" x14ac:dyDescent="0.25">
      <c r="A7" s="15">
        <v>2018924838</v>
      </c>
      <c r="B7" s="15" t="s">
        <v>1177</v>
      </c>
      <c r="C7" s="15" t="s">
        <v>492</v>
      </c>
      <c r="D7" s="15" t="str">
        <f>CONCATENATE(C7," ",B7)</f>
        <v>WILLIAM NEMETHY</v>
      </c>
      <c r="E7" s="15" t="s">
        <v>392</v>
      </c>
      <c r="F7" s="15" t="s">
        <v>383</v>
      </c>
      <c r="G7" s="15" t="s">
        <v>1172</v>
      </c>
      <c r="H7" s="15" t="s">
        <v>1172</v>
      </c>
      <c r="I7" s="21">
        <v>9079571</v>
      </c>
      <c r="J7" s="15" t="s">
        <v>171</v>
      </c>
      <c r="K7" s="15" t="s">
        <v>172</v>
      </c>
      <c r="L7" s="15" t="str">
        <f>CONCATENATE(K7," ",J7)</f>
        <v>ADAM RICHTER</v>
      </c>
      <c r="M7" s="15" t="s">
        <v>57</v>
      </c>
      <c r="N7" s="16">
        <v>45084</v>
      </c>
      <c r="O7" s="16">
        <v>46088</v>
      </c>
      <c r="P7" s="24">
        <f>DATEDIF(N7,O7,"M")</f>
        <v>33</v>
      </c>
      <c r="Q7" s="24" t="s">
        <v>157</v>
      </c>
      <c r="R7" s="24" t="s">
        <v>1391</v>
      </c>
      <c r="S7" s="17">
        <v>24.61</v>
      </c>
      <c r="T7" s="18">
        <v>0.15</v>
      </c>
      <c r="U7" s="15" t="s">
        <v>157</v>
      </c>
      <c r="V7" s="15" t="s">
        <v>135</v>
      </c>
      <c r="W7" s="17">
        <v>3.69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</row>
    <row r="8" spans="1:55" x14ac:dyDescent="0.25">
      <c r="A8" s="15">
        <v>2018966124</v>
      </c>
      <c r="B8" s="15" t="s">
        <v>1178</v>
      </c>
      <c r="C8" s="15" t="s">
        <v>1179</v>
      </c>
      <c r="D8" s="15" t="str">
        <f>CONCATENATE(C8," ",B8)</f>
        <v>NAKKIARA POWELL</v>
      </c>
      <c r="E8" s="15" t="s">
        <v>392</v>
      </c>
      <c r="F8" s="15" t="s">
        <v>383</v>
      </c>
      <c r="G8" s="15" t="s">
        <v>1172</v>
      </c>
      <c r="H8" s="15" t="s">
        <v>1172</v>
      </c>
      <c r="I8" s="21">
        <v>9079571</v>
      </c>
      <c r="J8" s="15" t="s">
        <v>171</v>
      </c>
      <c r="K8" s="15" t="s">
        <v>172</v>
      </c>
      <c r="L8" s="15" t="str">
        <f>CONCATENATE(K8," ",J8)</f>
        <v>ADAM RICHTER</v>
      </c>
      <c r="M8" s="15" t="s">
        <v>57</v>
      </c>
      <c r="N8" s="16">
        <v>45087</v>
      </c>
      <c r="O8" s="16">
        <v>46091</v>
      </c>
      <c r="P8" s="24">
        <f>DATEDIF(N8,O8,"M")</f>
        <v>33</v>
      </c>
      <c r="Q8" s="24" t="s">
        <v>157</v>
      </c>
      <c r="R8" s="24" t="s">
        <v>1391</v>
      </c>
      <c r="S8" s="17">
        <v>24.61</v>
      </c>
      <c r="T8" s="18">
        <v>0.15</v>
      </c>
      <c r="U8" s="15" t="s">
        <v>157</v>
      </c>
      <c r="V8" s="15" t="s">
        <v>135</v>
      </c>
      <c r="W8" s="17">
        <v>3.69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</row>
    <row r="9" spans="1:55" x14ac:dyDescent="0.25">
      <c r="A9" s="15">
        <v>2017242800</v>
      </c>
      <c r="B9" s="15" t="s">
        <v>168</v>
      </c>
      <c r="C9" s="15" t="s">
        <v>169</v>
      </c>
      <c r="D9" s="15" t="str">
        <f>CONCATENATE(C9," ",B9)</f>
        <v>BONNI STEPHENSON</v>
      </c>
      <c r="E9" s="15" t="s">
        <v>170</v>
      </c>
      <c r="F9" s="15" t="s">
        <v>383</v>
      </c>
      <c r="G9" s="15" t="s">
        <v>1172</v>
      </c>
      <c r="H9" s="15" t="s">
        <v>1172</v>
      </c>
      <c r="I9" s="21">
        <v>9079571</v>
      </c>
      <c r="J9" s="15" t="s">
        <v>171</v>
      </c>
      <c r="K9" s="15" t="s">
        <v>172</v>
      </c>
      <c r="L9" s="15" t="str">
        <f>CONCATENATE(K9," ",J9)</f>
        <v>ADAM RICHTER</v>
      </c>
      <c r="M9" s="15" t="s">
        <v>57</v>
      </c>
      <c r="N9" s="16">
        <v>44930</v>
      </c>
      <c r="O9" s="16">
        <v>46085</v>
      </c>
      <c r="P9" s="24">
        <f>DATEDIF(N9,O9,"M")</f>
        <v>38</v>
      </c>
      <c r="Q9" s="24" t="s">
        <v>157</v>
      </c>
      <c r="R9" s="24" t="s">
        <v>1391</v>
      </c>
      <c r="S9" s="17">
        <v>25.73</v>
      </c>
      <c r="T9" s="18">
        <v>0.15</v>
      </c>
      <c r="U9" s="15" t="s">
        <v>157</v>
      </c>
      <c r="V9" s="15" t="s">
        <v>135</v>
      </c>
      <c r="W9" s="17">
        <v>3.86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</row>
    <row r="10" spans="1:55" x14ac:dyDescent="0.25">
      <c r="A10" s="15">
        <v>2017242799</v>
      </c>
      <c r="B10" s="15" t="s">
        <v>168</v>
      </c>
      <c r="C10" s="15" t="s">
        <v>169</v>
      </c>
      <c r="D10" s="15" t="str">
        <f>CONCATENATE(C10," ",B10)</f>
        <v>BONNI STEPHENSON</v>
      </c>
      <c r="E10" s="15" t="s">
        <v>170</v>
      </c>
      <c r="F10" s="15" t="s">
        <v>72</v>
      </c>
      <c r="G10" s="15" t="s">
        <v>455</v>
      </c>
      <c r="H10" s="15" t="s">
        <v>1330</v>
      </c>
      <c r="I10" s="21">
        <v>9079571</v>
      </c>
      <c r="J10" s="15" t="s">
        <v>171</v>
      </c>
      <c r="K10" s="15" t="s">
        <v>172</v>
      </c>
      <c r="L10" s="15" t="str">
        <f>CONCATENATE(K10," ",J10)</f>
        <v>ADAM RICHTER</v>
      </c>
      <c r="M10" s="15" t="s">
        <v>57</v>
      </c>
      <c r="N10" s="16">
        <v>44930</v>
      </c>
      <c r="O10" s="16">
        <v>46085</v>
      </c>
      <c r="P10" s="24">
        <f>DATEDIF(N10,O10,"M")</f>
        <v>38</v>
      </c>
      <c r="Q10" s="24" t="s">
        <v>157</v>
      </c>
      <c r="R10" s="24" t="s">
        <v>1391</v>
      </c>
      <c r="S10" s="17">
        <v>53.56</v>
      </c>
      <c r="T10" s="18">
        <v>0.1</v>
      </c>
      <c r="U10" s="15" t="s">
        <v>157</v>
      </c>
      <c r="V10" s="15" t="s">
        <v>135</v>
      </c>
      <c r="W10" s="17">
        <v>5.36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</row>
    <row r="11" spans="1:55" x14ac:dyDescent="0.25">
      <c r="A11" s="15">
        <v>2017242798</v>
      </c>
      <c r="B11" s="15" t="s">
        <v>168</v>
      </c>
      <c r="C11" s="15" t="s">
        <v>169</v>
      </c>
      <c r="D11" s="15" t="str">
        <f>CONCATENATE(C11," ",B11)</f>
        <v>BONNI STEPHENSON</v>
      </c>
      <c r="E11" s="15" t="s">
        <v>170</v>
      </c>
      <c r="F11" s="15" t="s">
        <v>152</v>
      </c>
      <c r="G11" s="15" t="s">
        <v>153</v>
      </c>
      <c r="H11" s="15" t="s">
        <v>153</v>
      </c>
      <c r="I11" s="21">
        <v>9079571</v>
      </c>
      <c r="J11" s="15" t="s">
        <v>171</v>
      </c>
      <c r="K11" s="15" t="s">
        <v>172</v>
      </c>
      <c r="L11" s="15" t="str">
        <f>CONCATENATE(K11," ",J11)</f>
        <v>ADAM RICHTER</v>
      </c>
      <c r="M11" s="15" t="s">
        <v>57</v>
      </c>
      <c r="N11" s="16">
        <v>44930</v>
      </c>
      <c r="O11" s="16">
        <v>46085</v>
      </c>
      <c r="P11" s="24">
        <f>DATEDIF(N11,O11,"M")</f>
        <v>38</v>
      </c>
      <c r="Q11" s="24" t="s">
        <v>157</v>
      </c>
      <c r="R11" s="24" t="s">
        <v>1391</v>
      </c>
      <c r="S11" s="17">
        <v>57.84</v>
      </c>
      <c r="T11" s="25">
        <v>5.2499999999999998E-2</v>
      </c>
      <c r="U11" s="15" t="s">
        <v>157</v>
      </c>
      <c r="V11" s="15" t="s">
        <v>135</v>
      </c>
      <c r="W11" s="17">
        <v>3.04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</row>
    <row r="12" spans="1:55" x14ac:dyDescent="0.25">
      <c r="A12" s="15">
        <v>2017242803</v>
      </c>
      <c r="B12" s="15" t="s">
        <v>168</v>
      </c>
      <c r="C12" s="15" t="s">
        <v>169</v>
      </c>
      <c r="D12" s="15" t="str">
        <f>CONCATENATE(C12," ",B12)</f>
        <v>BONNI STEPHENSON</v>
      </c>
      <c r="E12" s="15" t="s">
        <v>170</v>
      </c>
      <c r="F12" s="15" t="s">
        <v>383</v>
      </c>
      <c r="G12" s="15" t="s">
        <v>385</v>
      </c>
      <c r="H12" s="15" t="s">
        <v>385</v>
      </c>
      <c r="I12" s="21">
        <v>9079571</v>
      </c>
      <c r="J12" s="15" t="s">
        <v>171</v>
      </c>
      <c r="K12" s="15" t="s">
        <v>172</v>
      </c>
      <c r="L12" s="15" t="str">
        <f>CONCATENATE(K12," ",J12)</f>
        <v>ADAM RICHTER</v>
      </c>
      <c r="M12" s="15" t="s">
        <v>57</v>
      </c>
      <c r="N12" s="16">
        <v>44930</v>
      </c>
      <c r="O12" s="16">
        <v>46085</v>
      </c>
      <c r="P12" s="24">
        <f>DATEDIF(N12,O12,"M")</f>
        <v>38</v>
      </c>
      <c r="Q12" s="24" t="s">
        <v>157</v>
      </c>
      <c r="R12" s="24" t="s">
        <v>1391</v>
      </c>
      <c r="S12" s="17">
        <v>51.63</v>
      </c>
      <c r="T12" s="18">
        <v>0.1</v>
      </c>
      <c r="U12" s="15" t="s">
        <v>157</v>
      </c>
      <c r="V12" s="15" t="s">
        <v>135</v>
      </c>
      <c r="W12" s="17">
        <v>5.16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</row>
    <row r="13" spans="1:55" x14ac:dyDescent="0.25">
      <c r="A13" s="15">
        <v>2017242801</v>
      </c>
      <c r="B13" s="15" t="s">
        <v>168</v>
      </c>
      <c r="C13" s="15" t="s">
        <v>169</v>
      </c>
      <c r="D13" s="15" t="str">
        <f>CONCATENATE(C13," ",B13)</f>
        <v>BONNI STEPHENSON</v>
      </c>
      <c r="E13" s="15" t="s">
        <v>170</v>
      </c>
      <c r="F13" s="15" t="s">
        <v>53</v>
      </c>
      <c r="G13" s="15" t="s">
        <v>413</v>
      </c>
      <c r="H13" s="15" t="s">
        <v>413</v>
      </c>
      <c r="I13" s="21">
        <v>9079571</v>
      </c>
      <c r="J13" s="15" t="s">
        <v>171</v>
      </c>
      <c r="K13" s="15" t="s">
        <v>172</v>
      </c>
      <c r="L13" s="15" t="str">
        <f>CONCATENATE(K13," ",J13)</f>
        <v>ADAM RICHTER</v>
      </c>
      <c r="M13" s="15" t="s">
        <v>57</v>
      </c>
      <c r="N13" s="16">
        <v>44930</v>
      </c>
      <c r="O13" s="16">
        <v>46085</v>
      </c>
      <c r="P13" s="24">
        <f>DATEDIF(N13,O13,"M")</f>
        <v>38</v>
      </c>
      <c r="Q13" s="24" t="s">
        <v>157</v>
      </c>
      <c r="R13" s="24" t="s">
        <v>1391</v>
      </c>
      <c r="S13" s="17">
        <v>105.84</v>
      </c>
      <c r="T13" s="25">
        <v>6.5000000000000002E-2</v>
      </c>
      <c r="U13" s="15" t="s">
        <v>157</v>
      </c>
      <c r="V13" s="15" t="s">
        <v>135</v>
      </c>
      <c r="W13" s="17">
        <v>6.88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</row>
    <row r="14" spans="1:55" x14ac:dyDescent="0.25">
      <c r="A14" s="15">
        <v>2016750307</v>
      </c>
      <c r="B14" s="15" t="s">
        <v>412</v>
      </c>
      <c r="C14" s="15" t="s">
        <v>83</v>
      </c>
      <c r="D14" s="15" t="str">
        <f>CONCATENATE(C14," ",B14)</f>
        <v>JILL DUNN</v>
      </c>
      <c r="E14" s="15" t="s">
        <v>170</v>
      </c>
      <c r="F14" s="15" t="s">
        <v>363</v>
      </c>
      <c r="G14" s="15" t="s">
        <v>364</v>
      </c>
      <c r="H14" s="15" t="s">
        <v>364</v>
      </c>
      <c r="I14" s="21">
        <v>9079571</v>
      </c>
      <c r="J14" s="15" t="s">
        <v>171</v>
      </c>
      <c r="K14" s="15" t="s">
        <v>172</v>
      </c>
      <c r="L14" s="15" t="str">
        <f>CONCATENATE(K14," ",J14)</f>
        <v>ADAM RICHTER</v>
      </c>
      <c r="M14" s="15" t="s">
        <v>57</v>
      </c>
      <c r="N14" s="16">
        <v>44873</v>
      </c>
      <c r="O14" s="16">
        <v>46089</v>
      </c>
      <c r="P14" s="24">
        <f>DATEDIF(N14,O14,"M")</f>
        <v>40</v>
      </c>
      <c r="Q14" s="24" t="s">
        <v>157</v>
      </c>
      <c r="R14" s="24" t="s">
        <v>1391</v>
      </c>
      <c r="S14" s="17">
        <v>58.09</v>
      </c>
      <c r="T14" s="18">
        <v>0.06</v>
      </c>
      <c r="U14" s="15" t="s">
        <v>157</v>
      </c>
      <c r="V14" s="15" t="s">
        <v>135</v>
      </c>
      <c r="W14" s="17">
        <v>3.49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</row>
    <row r="15" spans="1:55" x14ac:dyDescent="0.25">
      <c r="A15" s="15">
        <v>2016750308</v>
      </c>
      <c r="B15" s="15" t="s">
        <v>412</v>
      </c>
      <c r="C15" s="15" t="s">
        <v>83</v>
      </c>
      <c r="D15" s="15" t="str">
        <f>CONCATENATE(C15," ",B15)</f>
        <v>JILL DUNN</v>
      </c>
      <c r="E15" s="15" t="s">
        <v>170</v>
      </c>
      <c r="F15" s="15" t="s">
        <v>53</v>
      </c>
      <c r="G15" s="15" t="s">
        <v>54</v>
      </c>
      <c r="H15" s="15" t="s">
        <v>54</v>
      </c>
      <c r="I15" s="21">
        <v>9079571</v>
      </c>
      <c r="J15" s="15" t="s">
        <v>171</v>
      </c>
      <c r="K15" s="15" t="s">
        <v>172</v>
      </c>
      <c r="L15" s="15" t="str">
        <f>CONCATENATE(K15," ",J15)</f>
        <v>ADAM RICHTER</v>
      </c>
      <c r="M15" s="15" t="s">
        <v>57</v>
      </c>
      <c r="N15" s="16">
        <v>44873</v>
      </c>
      <c r="O15" s="16">
        <v>46089</v>
      </c>
      <c r="P15" s="24">
        <f>DATEDIF(N15,O15,"M")</f>
        <v>40</v>
      </c>
      <c r="Q15" s="24" t="s">
        <v>157</v>
      </c>
      <c r="R15" s="24" t="s">
        <v>1391</v>
      </c>
      <c r="S15" s="17">
        <v>36.159999999999997</v>
      </c>
      <c r="T15" s="25">
        <v>6.5000000000000002E-2</v>
      </c>
      <c r="U15" s="15" t="s">
        <v>157</v>
      </c>
      <c r="V15" s="15" t="s">
        <v>135</v>
      </c>
      <c r="W15" s="17">
        <v>2.35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</row>
    <row r="16" spans="1:55" s="6" customFormat="1" x14ac:dyDescent="0.25">
      <c r="A16" s="6">
        <v>2032234325</v>
      </c>
      <c r="B16" s="6" t="s">
        <v>835</v>
      </c>
      <c r="C16" s="6" t="s">
        <v>836</v>
      </c>
      <c r="D16" s="6" t="str">
        <f>CONCATENATE(C16," ",B16)</f>
        <v>SAMANTHA MYERS</v>
      </c>
      <c r="E16" s="6" t="s">
        <v>66</v>
      </c>
      <c r="F16" s="6" t="s">
        <v>383</v>
      </c>
      <c r="G16" s="6" t="s">
        <v>384</v>
      </c>
      <c r="H16" s="6" t="s">
        <v>384</v>
      </c>
      <c r="I16" s="20" t="s">
        <v>1346</v>
      </c>
      <c r="J16" s="6" t="s">
        <v>295</v>
      </c>
      <c r="K16" s="6" t="s">
        <v>296</v>
      </c>
      <c r="L16" s="6" t="str">
        <f>CONCATENATE(K16," ",J16)</f>
        <v>ANDREA PETRUNGARO</v>
      </c>
      <c r="M16" s="6" t="s">
        <v>57</v>
      </c>
      <c r="N16" s="5">
        <v>45980</v>
      </c>
      <c r="O16" s="5">
        <v>46072</v>
      </c>
      <c r="P16" s="23">
        <f>DATEDIF(N16,O16,"M")</f>
        <v>3</v>
      </c>
      <c r="Q16" s="23" t="s">
        <v>157</v>
      </c>
      <c r="R16" s="23" t="s">
        <v>1390</v>
      </c>
      <c r="S16" s="7">
        <v>-2.35</v>
      </c>
      <c r="T16" s="13">
        <v>0.7</v>
      </c>
      <c r="U16" s="6" t="s">
        <v>60</v>
      </c>
      <c r="V16" s="6" t="s">
        <v>135</v>
      </c>
      <c r="W16" s="7">
        <v>-1.64</v>
      </c>
    </row>
    <row r="17" spans="1:23" s="6" customFormat="1" x14ac:dyDescent="0.25">
      <c r="A17" s="6">
        <v>2032234326</v>
      </c>
      <c r="B17" s="6" t="s">
        <v>835</v>
      </c>
      <c r="C17" s="6" t="s">
        <v>836</v>
      </c>
      <c r="D17" s="6" t="str">
        <f>CONCATENATE(C17," ",B17)</f>
        <v>SAMANTHA MYERS</v>
      </c>
      <c r="E17" s="6" t="s">
        <v>66</v>
      </c>
      <c r="F17" s="6" t="s">
        <v>363</v>
      </c>
      <c r="G17" s="6" t="s">
        <v>364</v>
      </c>
      <c r="H17" s="6" t="s">
        <v>364</v>
      </c>
      <c r="I17" s="20" t="s">
        <v>1346</v>
      </c>
      <c r="J17" s="6" t="s">
        <v>295</v>
      </c>
      <c r="K17" s="6" t="s">
        <v>296</v>
      </c>
      <c r="L17" s="6" t="str">
        <f>CONCATENATE(K17," ",J17)</f>
        <v>ANDREA PETRUNGARO</v>
      </c>
      <c r="M17" s="6" t="s">
        <v>57</v>
      </c>
      <c r="N17" s="5">
        <v>45980</v>
      </c>
      <c r="O17" s="5">
        <v>46072</v>
      </c>
      <c r="P17" s="23">
        <f>DATEDIF(N17,O17,"M")</f>
        <v>3</v>
      </c>
      <c r="Q17" s="23" t="s">
        <v>157</v>
      </c>
      <c r="R17" s="23" t="s">
        <v>1390</v>
      </c>
      <c r="S17" s="7">
        <v>-2.5</v>
      </c>
      <c r="T17" s="14">
        <v>0.375</v>
      </c>
      <c r="U17" s="6" t="s">
        <v>60</v>
      </c>
      <c r="V17" s="6" t="s">
        <v>135</v>
      </c>
      <c r="W17" s="7">
        <v>-0.94</v>
      </c>
    </row>
    <row r="18" spans="1:23" s="6" customFormat="1" x14ac:dyDescent="0.25">
      <c r="A18" s="6">
        <v>2031501468</v>
      </c>
      <c r="B18" s="6" t="s">
        <v>1288</v>
      </c>
      <c r="C18" s="6" t="s">
        <v>705</v>
      </c>
      <c r="D18" s="6" t="str">
        <f>CONCATENATE(C18," ",B18)</f>
        <v>NICOLE DENOFRIO</v>
      </c>
      <c r="E18" s="6" t="s">
        <v>66</v>
      </c>
      <c r="F18" s="6" t="s">
        <v>383</v>
      </c>
      <c r="G18" s="6" t="s">
        <v>384</v>
      </c>
      <c r="H18" s="6" t="s">
        <v>384</v>
      </c>
      <c r="I18" s="20" t="s">
        <v>1346</v>
      </c>
      <c r="J18" s="6" t="s">
        <v>295</v>
      </c>
      <c r="K18" s="6" t="s">
        <v>296</v>
      </c>
      <c r="L18" s="6" t="str">
        <f>CONCATENATE(K18," ",J18)</f>
        <v>ANDREA PETRUNGARO</v>
      </c>
      <c r="M18" s="6" t="s">
        <v>57</v>
      </c>
      <c r="N18" s="5">
        <v>45938</v>
      </c>
      <c r="O18" s="5">
        <v>46089</v>
      </c>
      <c r="P18" s="23">
        <f>DATEDIF(N18,O18,"M")</f>
        <v>5</v>
      </c>
      <c r="Q18" s="23" t="s">
        <v>157</v>
      </c>
      <c r="R18" s="23" t="s">
        <v>1390</v>
      </c>
      <c r="S18" s="7">
        <v>96</v>
      </c>
      <c r="T18" s="13">
        <v>0.7</v>
      </c>
      <c r="U18" s="6" t="s">
        <v>60</v>
      </c>
      <c r="V18" s="6" t="s">
        <v>135</v>
      </c>
      <c r="W18" s="7">
        <v>67.2</v>
      </c>
    </row>
    <row r="19" spans="1:23" s="6" customFormat="1" x14ac:dyDescent="0.25">
      <c r="A19" s="6">
        <v>2027712448</v>
      </c>
      <c r="B19" s="6" t="s">
        <v>294</v>
      </c>
      <c r="C19" s="6" t="s">
        <v>188</v>
      </c>
      <c r="D19" s="6" t="str">
        <f>CONCATENATE(C19," ",B19)</f>
        <v>MICHAEL CAMPANELLA</v>
      </c>
      <c r="E19" s="6" t="s">
        <v>66</v>
      </c>
      <c r="F19" s="6" t="s">
        <v>152</v>
      </c>
      <c r="G19" s="6" t="s">
        <v>153</v>
      </c>
      <c r="H19" s="6" t="s">
        <v>153</v>
      </c>
      <c r="I19" s="20" t="s">
        <v>1346</v>
      </c>
      <c r="J19" s="6" t="s">
        <v>295</v>
      </c>
      <c r="K19" s="6" t="s">
        <v>296</v>
      </c>
      <c r="L19" s="6" t="str">
        <f>CONCATENATE(K19," ",J19)</f>
        <v>ANDREA PETRUNGARO</v>
      </c>
      <c r="M19" s="6" t="s">
        <v>57</v>
      </c>
      <c r="N19" s="5">
        <v>45748</v>
      </c>
      <c r="O19" s="5">
        <v>46082</v>
      </c>
      <c r="P19" s="23">
        <f>DATEDIF(N19,O19,"M")</f>
        <v>11</v>
      </c>
      <c r="Q19" s="23" t="s">
        <v>157</v>
      </c>
      <c r="R19" s="23" t="s">
        <v>1391</v>
      </c>
      <c r="S19" s="7">
        <v>126.91</v>
      </c>
      <c r="T19" s="13">
        <v>0.47</v>
      </c>
      <c r="U19" s="6" t="s">
        <v>60</v>
      </c>
      <c r="V19" s="6" t="s">
        <v>135</v>
      </c>
      <c r="W19" s="7">
        <v>59.65</v>
      </c>
    </row>
    <row r="20" spans="1:23" s="6" customFormat="1" x14ac:dyDescent="0.25">
      <c r="A20" s="6">
        <v>2027712447</v>
      </c>
      <c r="B20" s="6" t="s">
        <v>294</v>
      </c>
      <c r="C20" s="6" t="s">
        <v>188</v>
      </c>
      <c r="D20" s="6" t="str">
        <f>CONCATENATE(C20," ",B20)</f>
        <v>MICHAEL CAMPANELLA</v>
      </c>
      <c r="E20" s="6" t="s">
        <v>66</v>
      </c>
      <c r="F20" s="6" t="s">
        <v>1132</v>
      </c>
      <c r="G20" s="6" t="s">
        <v>1146</v>
      </c>
      <c r="H20" s="6" t="s">
        <v>1343</v>
      </c>
      <c r="I20" s="20" t="s">
        <v>1346</v>
      </c>
      <c r="J20" s="6" t="s">
        <v>295</v>
      </c>
      <c r="K20" s="6" t="s">
        <v>296</v>
      </c>
      <c r="L20" s="6" t="str">
        <f>CONCATENATE(K20," ",J20)</f>
        <v>ANDREA PETRUNGARO</v>
      </c>
      <c r="M20" s="6" t="s">
        <v>57</v>
      </c>
      <c r="N20" s="5">
        <v>45748</v>
      </c>
      <c r="O20" s="5">
        <v>46082</v>
      </c>
      <c r="P20" s="23">
        <f>DATEDIF(N20,O20,"M")</f>
        <v>11</v>
      </c>
      <c r="Q20" s="23" t="s">
        <v>157</v>
      </c>
      <c r="R20" s="23" t="s">
        <v>1391</v>
      </c>
      <c r="S20" s="7">
        <v>132.22</v>
      </c>
      <c r="T20" s="13">
        <v>0.26</v>
      </c>
      <c r="U20" s="6" t="s">
        <v>60</v>
      </c>
      <c r="V20" s="6" t="s">
        <v>135</v>
      </c>
      <c r="W20" s="7">
        <v>34.380000000000003</v>
      </c>
    </row>
    <row r="21" spans="1:23" s="6" customFormat="1" x14ac:dyDescent="0.25">
      <c r="A21" s="6">
        <v>2027889499</v>
      </c>
      <c r="B21" s="6" t="s">
        <v>1164</v>
      </c>
      <c r="C21" s="6" t="s">
        <v>1165</v>
      </c>
      <c r="D21" s="6" t="str">
        <f>CONCATENATE(C21," ",B21)</f>
        <v>ALEX DIVITO</v>
      </c>
      <c r="E21" s="6" t="s">
        <v>66</v>
      </c>
      <c r="F21" s="6" t="s">
        <v>1132</v>
      </c>
      <c r="G21" s="6" t="s">
        <v>1146</v>
      </c>
      <c r="H21" s="6" t="s">
        <v>1343</v>
      </c>
      <c r="I21" s="20">
        <v>16912722</v>
      </c>
      <c r="J21" s="6" t="s">
        <v>295</v>
      </c>
      <c r="K21" s="6" t="s">
        <v>296</v>
      </c>
      <c r="L21" s="6" t="str">
        <f>CONCATENATE(K21," ",J21)</f>
        <v>ANDREA PETRUNGARO</v>
      </c>
      <c r="M21" s="6" t="s">
        <v>57</v>
      </c>
      <c r="N21" s="5">
        <v>45748</v>
      </c>
      <c r="O21" s="5">
        <v>46082</v>
      </c>
      <c r="P21" s="23">
        <f>DATEDIF(N21,O21,"M")</f>
        <v>11</v>
      </c>
      <c r="Q21" s="23" t="s">
        <v>157</v>
      </c>
      <c r="R21" s="23" t="s">
        <v>1391</v>
      </c>
      <c r="S21" s="7">
        <v>132.22</v>
      </c>
      <c r="T21" s="13">
        <v>0.26</v>
      </c>
      <c r="U21" s="6" t="s">
        <v>60</v>
      </c>
      <c r="V21" s="6" t="s">
        <v>135</v>
      </c>
      <c r="W21" s="7">
        <v>34.380000000000003</v>
      </c>
    </row>
    <row r="22" spans="1:23" s="6" customFormat="1" x14ac:dyDescent="0.25">
      <c r="A22" s="6">
        <v>2027922845</v>
      </c>
      <c r="B22" s="6" t="s">
        <v>1166</v>
      </c>
      <c r="C22" s="6" t="s">
        <v>773</v>
      </c>
      <c r="D22" s="6" t="str">
        <f>CONCATENATE(C22," ",B22)</f>
        <v>SANDRA BOWIE</v>
      </c>
      <c r="E22" s="6" t="s">
        <v>66</v>
      </c>
      <c r="F22" s="6" t="s">
        <v>1132</v>
      </c>
      <c r="G22" s="6" t="s">
        <v>1146</v>
      </c>
      <c r="H22" s="6" t="s">
        <v>1343</v>
      </c>
      <c r="I22" s="20" t="s">
        <v>1346</v>
      </c>
      <c r="J22" s="6" t="s">
        <v>295</v>
      </c>
      <c r="K22" s="6" t="s">
        <v>296</v>
      </c>
      <c r="L22" s="6" t="str">
        <f>CONCATENATE(K22," ",J22)</f>
        <v>ANDREA PETRUNGARO</v>
      </c>
      <c r="M22" s="6" t="s">
        <v>57</v>
      </c>
      <c r="N22" s="5">
        <v>45748</v>
      </c>
      <c r="O22" s="5">
        <v>46082</v>
      </c>
      <c r="P22" s="23">
        <f>DATEDIF(N22,O22,"M")</f>
        <v>11</v>
      </c>
      <c r="Q22" s="23" t="s">
        <v>157</v>
      </c>
      <c r="R22" s="23" t="s">
        <v>1391</v>
      </c>
      <c r="S22" s="7">
        <v>123.21</v>
      </c>
      <c r="T22" s="13">
        <v>0.26</v>
      </c>
      <c r="U22" s="6" t="s">
        <v>60</v>
      </c>
      <c r="V22" s="6" t="s">
        <v>135</v>
      </c>
      <c r="W22" s="7">
        <v>32.03</v>
      </c>
    </row>
    <row r="23" spans="1:23" s="6" customFormat="1" x14ac:dyDescent="0.25">
      <c r="A23" s="6">
        <v>2027922860</v>
      </c>
      <c r="B23" s="6" t="s">
        <v>1166</v>
      </c>
      <c r="C23" s="6" t="s">
        <v>537</v>
      </c>
      <c r="D23" s="6" t="str">
        <f>CONCATENATE(C23," ",B23)</f>
        <v>BRIAN BOWIE</v>
      </c>
      <c r="E23" s="6" t="s">
        <v>66</v>
      </c>
      <c r="F23" s="6" t="s">
        <v>1132</v>
      </c>
      <c r="G23" s="6" t="s">
        <v>1146</v>
      </c>
      <c r="H23" s="6" t="s">
        <v>1343</v>
      </c>
      <c r="I23" s="20" t="s">
        <v>1346</v>
      </c>
      <c r="J23" s="6" t="s">
        <v>295</v>
      </c>
      <c r="K23" s="6" t="s">
        <v>296</v>
      </c>
      <c r="L23" s="6" t="str">
        <f>CONCATENATE(K23," ",J23)</f>
        <v>ANDREA PETRUNGARO</v>
      </c>
      <c r="M23" s="6" t="s">
        <v>57</v>
      </c>
      <c r="N23" s="5">
        <v>45748</v>
      </c>
      <c r="O23" s="5">
        <v>46082</v>
      </c>
      <c r="P23" s="23">
        <f>DATEDIF(N23,O23,"M")</f>
        <v>11</v>
      </c>
      <c r="Q23" s="23" t="s">
        <v>157</v>
      </c>
      <c r="R23" s="23" t="s">
        <v>1391</v>
      </c>
      <c r="S23" s="7">
        <v>139.18</v>
      </c>
      <c r="T23" s="13">
        <v>0.26</v>
      </c>
      <c r="U23" s="6" t="s">
        <v>60</v>
      </c>
      <c r="V23" s="6" t="s">
        <v>135</v>
      </c>
      <c r="W23" s="7">
        <v>36.19</v>
      </c>
    </row>
    <row r="24" spans="1:23" s="6" customFormat="1" x14ac:dyDescent="0.25">
      <c r="A24" s="6">
        <v>2027922888</v>
      </c>
      <c r="B24" s="6" t="s">
        <v>1164</v>
      </c>
      <c r="C24" s="6" t="s">
        <v>501</v>
      </c>
      <c r="D24" s="6" t="str">
        <f>CONCATENATE(C24," ",B24)</f>
        <v>LINDA DIVITO</v>
      </c>
      <c r="E24" s="6" t="s">
        <v>66</v>
      </c>
      <c r="F24" s="6" t="s">
        <v>1132</v>
      </c>
      <c r="G24" s="6" t="s">
        <v>1146</v>
      </c>
      <c r="H24" s="6" t="s">
        <v>1343</v>
      </c>
      <c r="I24" s="20">
        <v>16912722</v>
      </c>
      <c r="J24" s="6" t="s">
        <v>295</v>
      </c>
      <c r="K24" s="6" t="s">
        <v>296</v>
      </c>
      <c r="L24" s="6" t="str">
        <f>CONCATENATE(K24," ",J24)</f>
        <v>ANDREA PETRUNGARO</v>
      </c>
      <c r="M24" s="6" t="s">
        <v>57</v>
      </c>
      <c r="N24" s="5">
        <v>45748</v>
      </c>
      <c r="O24" s="5">
        <v>46082</v>
      </c>
      <c r="P24" s="23">
        <f>DATEDIF(N24,O24,"M")</f>
        <v>11</v>
      </c>
      <c r="Q24" s="23" t="s">
        <v>157</v>
      </c>
      <c r="R24" s="23" t="s">
        <v>1391</v>
      </c>
      <c r="S24" s="7">
        <v>117.05</v>
      </c>
      <c r="T24" s="13">
        <v>0.26</v>
      </c>
      <c r="U24" s="6" t="s">
        <v>60</v>
      </c>
      <c r="V24" s="6" t="s">
        <v>135</v>
      </c>
      <c r="W24" s="7">
        <v>30.43</v>
      </c>
    </row>
    <row r="25" spans="1:23" s="6" customFormat="1" x14ac:dyDescent="0.25">
      <c r="A25" s="6">
        <v>2027706490</v>
      </c>
      <c r="B25" s="6" t="s">
        <v>696</v>
      </c>
      <c r="C25" s="6" t="s">
        <v>92</v>
      </c>
      <c r="D25" s="6" t="str">
        <f>CONCATENATE(C25," ",B25)</f>
        <v>TIMOTHY HUDZIK</v>
      </c>
      <c r="E25" s="6" t="s">
        <v>66</v>
      </c>
      <c r="F25" s="6" t="s">
        <v>383</v>
      </c>
      <c r="G25" s="6" t="s">
        <v>384</v>
      </c>
      <c r="H25" s="6" t="s">
        <v>384</v>
      </c>
      <c r="I25" s="20">
        <v>16912722</v>
      </c>
      <c r="J25" s="6" t="s">
        <v>295</v>
      </c>
      <c r="K25" s="6" t="s">
        <v>296</v>
      </c>
      <c r="L25" s="6" t="str">
        <f>CONCATENATE(K25," ",J25)</f>
        <v>ANDREA PETRUNGARO</v>
      </c>
      <c r="M25" s="6" t="s">
        <v>57</v>
      </c>
      <c r="N25" s="5">
        <v>45727</v>
      </c>
      <c r="O25" s="5">
        <v>46092</v>
      </c>
      <c r="P25" s="23">
        <f>DATEDIF(N25,O25,"M")</f>
        <v>12</v>
      </c>
      <c r="Q25" s="23" t="s">
        <v>157</v>
      </c>
      <c r="R25" s="23" t="s">
        <v>1391</v>
      </c>
      <c r="S25" s="7">
        <v>145.41999999999999</v>
      </c>
      <c r="T25" s="13">
        <v>0.7</v>
      </c>
      <c r="U25" s="6" t="s">
        <v>60</v>
      </c>
      <c r="V25" s="6" t="s">
        <v>135</v>
      </c>
      <c r="W25" s="7">
        <v>101.79</v>
      </c>
    </row>
    <row r="26" spans="1:23" s="6" customFormat="1" x14ac:dyDescent="0.25">
      <c r="A26" s="6">
        <v>2027721564</v>
      </c>
      <c r="B26" s="6" t="s">
        <v>1237</v>
      </c>
      <c r="C26" s="6" t="s">
        <v>1238</v>
      </c>
      <c r="D26" s="6" t="str">
        <f>CONCATENATE(C26," ",B26)</f>
        <v>MANJIT KAUR</v>
      </c>
      <c r="E26" s="6" t="s">
        <v>66</v>
      </c>
      <c r="F26" s="6" t="s">
        <v>383</v>
      </c>
      <c r="G26" s="6" t="s">
        <v>384</v>
      </c>
      <c r="H26" s="6" t="s">
        <v>384</v>
      </c>
      <c r="I26" s="20">
        <v>16912722</v>
      </c>
      <c r="J26" s="6" t="s">
        <v>295</v>
      </c>
      <c r="K26" s="6" t="s">
        <v>296</v>
      </c>
      <c r="L26" s="6" t="str">
        <f>CONCATENATE(K26," ",J26)</f>
        <v>ANDREA PETRUNGARO</v>
      </c>
      <c r="M26" s="6" t="s">
        <v>57</v>
      </c>
      <c r="N26" s="5">
        <v>45727</v>
      </c>
      <c r="O26" s="5">
        <v>46092</v>
      </c>
      <c r="P26" s="23">
        <f>DATEDIF(N26,O26,"M")</f>
        <v>12</v>
      </c>
      <c r="Q26" s="23" t="s">
        <v>157</v>
      </c>
      <c r="R26" s="23" t="s">
        <v>1391</v>
      </c>
      <c r="S26" s="7">
        <v>145.41999999999999</v>
      </c>
      <c r="T26" s="13">
        <v>0.7</v>
      </c>
      <c r="U26" s="6" t="s">
        <v>60</v>
      </c>
      <c r="V26" s="6" t="s">
        <v>135</v>
      </c>
      <c r="W26" s="7">
        <v>101.79</v>
      </c>
    </row>
    <row r="27" spans="1:23" s="6" customFormat="1" x14ac:dyDescent="0.25">
      <c r="A27" s="6">
        <v>2027706491</v>
      </c>
      <c r="B27" s="6" t="s">
        <v>696</v>
      </c>
      <c r="C27" s="6" t="s">
        <v>92</v>
      </c>
      <c r="D27" s="6" t="str">
        <f>CONCATENATE(C27," ",B27)</f>
        <v>TIMOTHY HUDZIK</v>
      </c>
      <c r="E27" s="6" t="s">
        <v>66</v>
      </c>
      <c r="F27" s="6" t="s">
        <v>363</v>
      </c>
      <c r="G27" s="6" t="s">
        <v>364</v>
      </c>
      <c r="H27" s="6" t="s">
        <v>364</v>
      </c>
      <c r="I27" s="20">
        <v>16912722</v>
      </c>
      <c r="J27" s="6" t="s">
        <v>295</v>
      </c>
      <c r="K27" s="6" t="s">
        <v>296</v>
      </c>
      <c r="L27" s="6" t="str">
        <f>CONCATENATE(K27," ",J27)</f>
        <v>ANDREA PETRUNGARO</v>
      </c>
      <c r="M27" s="6" t="s">
        <v>57</v>
      </c>
      <c r="N27" s="5">
        <v>45727</v>
      </c>
      <c r="O27" s="5">
        <v>46092</v>
      </c>
      <c r="P27" s="23">
        <f>DATEDIF(N27,O27,"M")</f>
        <v>12</v>
      </c>
      <c r="Q27" s="23" t="s">
        <v>157</v>
      </c>
      <c r="R27" s="23" t="s">
        <v>1391</v>
      </c>
      <c r="S27" s="7">
        <v>103.42</v>
      </c>
      <c r="T27" s="14">
        <v>0.375</v>
      </c>
      <c r="U27" s="6" t="s">
        <v>60</v>
      </c>
      <c r="V27" s="6" t="s">
        <v>135</v>
      </c>
      <c r="W27" s="7">
        <v>38.78</v>
      </c>
    </row>
    <row r="28" spans="1:23" s="6" customFormat="1" x14ac:dyDescent="0.25">
      <c r="A28" s="6">
        <v>2023981104</v>
      </c>
      <c r="B28" s="6" t="s">
        <v>1145</v>
      </c>
      <c r="C28" s="6" t="s">
        <v>195</v>
      </c>
      <c r="D28" s="6" t="str">
        <f>CONCATENATE(C28," ",B28)</f>
        <v>CAROL LU</v>
      </c>
      <c r="E28" s="6" t="s">
        <v>66</v>
      </c>
      <c r="F28" s="6" t="s">
        <v>1132</v>
      </c>
      <c r="G28" s="6" t="s">
        <v>1146</v>
      </c>
      <c r="H28" s="6" t="s">
        <v>1343</v>
      </c>
      <c r="I28" s="20">
        <v>16912722</v>
      </c>
      <c r="J28" s="6" t="s">
        <v>295</v>
      </c>
      <c r="K28" s="6" t="s">
        <v>296</v>
      </c>
      <c r="L28" s="6" t="str">
        <f>CONCATENATE(K28," ",J28)</f>
        <v>ANDREA PETRUNGARO</v>
      </c>
      <c r="M28" s="6" t="s">
        <v>57</v>
      </c>
      <c r="N28" s="5">
        <v>45505</v>
      </c>
      <c r="O28" s="5">
        <v>46082</v>
      </c>
      <c r="P28" s="23">
        <f>DATEDIF(N28,O28,"M")</f>
        <v>19</v>
      </c>
      <c r="Q28" s="23" t="s">
        <v>157</v>
      </c>
      <c r="R28" s="23" t="s">
        <v>1391</v>
      </c>
      <c r="S28" s="7">
        <v>132.85</v>
      </c>
      <c r="T28" s="13">
        <v>0.26</v>
      </c>
      <c r="U28" s="6" t="s">
        <v>157</v>
      </c>
      <c r="V28" s="6" t="s">
        <v>135</v>
      </c>
      <c r="W28" s="7">
        <v>34.54</v>
      </c>
    </row>
    <row r="29" spans="1:23" s="6" customFormat="1" x14ac:dyDescent="0.25">
      <c r="A29" s="6">
        <v>2033029172</v>
      </c>
      <c r="B29" s="6" t="s">
        <v>618</v>
      </c>
      <c r="C29" s="6" t="s">
        <v>619</v>
      </c>
      <c r="D29" s="6" t="str">
        <f>CONCATENATE(C29," ",B29)</f>
        <v>JANELLE CONTRERAS</v>
      </c>
      <c r="E29" s="6" t="s">
        <v>66</v>
      </c>
      <c r="F29" s="6" t="s">
        <v>378</v>
      </c>
      <c r="G29" s="6" t="s">
        <v>380</v>
      </c>
      <c r="H29" s="6" t="s">
        <v>380</v>
      </c>
      <c r="I29" s="20" t="s">
        <v>1347</v>
      </c>
      <c r="J29" s="6" t="s">
        <v>569</v>
      </c>
      <c r="K29" s="6" t="s">
        <v>570</v>
      </c>
      <c r="L29" s="6" t="str">
        <f>CONCATENATE(K29," ",J29)</f>
        <v>Andrew Choi</v>
      </c>
      <c r="M29" s="6" t="s">
        <v>57</v>
      </c>
      <c r="N29" s="5">
        <v>46030</v>
      </c>
      <c r="O29" s="5">
        <v>46089</v>
      </c>
      <c r="P29" s="23">
        <f>DATEDIF(N29,O29,"M")</f>
        <v>2</v>
      </c>
      <c r="Q29" s="23" t="s">
        <v>157</v>
      </c>
      <c r="R29" s="23" t="s">
        <v>1390</v>
      </c>
      <c r="S29" s="7">
        <v>118.19</v>
      </c>
      <c r="T29" s="13">
        <v>0.38</v>
      </c>
      <c r="U29" s="6" t="s">
        <v>60</v>
      </c>
      <c r="V29" s="6" t="s">
        <v>135</v>
      </c>
      <c r="W29" s="7">
        <v>44.91</v>
      </c>
    </row>
    <row r="30" spans="1:23" s="6" customFormat="1" x14ac:dyDescent="0.25">
      <c r="A30" s="6">
        <v>2033029175</v>
      </c>
      <c r="B30" s="6" t="s">
        <v>618</v>
      </c>
      <c r="C30" s="6" t="s">
        <v>619</v>
      </c>
      <c r="D30" s="6" t="str">
        <f>CONCATENATE(C30," ",B30)</f>
        <v>JANELLE CONTRERAS</v>
      </c>
      <c r="E30" s="6" t="s">
        <v>66</v>
      </c>
      <c r="F30" s="6" t="s">
        <v>378</v>
      </c>
      <c r="G30" s="6" t="s">
        <v>381</v>
      </c>
      <c r="H30" s="6" t="s">
        <v>380</v>
      </c>
      <c r="I30" s="20" t="s">
        <v>1347</v>
      </c>
      <c r="J30" s="6" t="s">
        <v>569</v>
      </c>
      <c r="K30" s="6" t="s">
        <v>570</v>
      </c>
      <c r="L30" s="6" t="str">
        <f>CONCATENATE(K30," ",J30)</f>
        <v>Andrew Choi</v>
      </c>
      <c r="M30" s="6" t="s">
        <v>57</v>
      </c>
      <c r="N30" s="5">
        <v>46030</v>
      </c>
      <c r="O30" s="5">
        <v>46089</v>
      </c>
      <c r="P30" s="23">
        <f>DATEDIF(N30,O30,"M")</f>
        <v>2</v>
      </c>
      <c r="Q30" s="23" t="s">
        <v>157</v>
      </c>
      <c r="R30" s="23" t="s">
        <v>1390</v>
      </c>
      <c r="S30" s="7">
        <v>7.09</v>
      </c>
      <c r="T30" s="13">
        <v>0.38</v>
      </c>
      <c r="U30" s="6" t="s">
        <v>60</v>
      </c>
      <c r="V30" s="6" t="s">
        <v>135</v>
      </c>
      <c r="W30" s="7">
        <v>2.69</v>
      </c>
    </row>
    <row r="31" spans="1:23" s="6" customFormat="1" x14ac:dyDescent="0.25">
      <c r="A31" s="6">
        <v>2033029173</v>
      </c>
      <c r="B31" s="6" t="s">
        <v>618</v>
      </c>
      <c r="C31" s="6" t="s">
        <v>619</v>
      </c>
      <c r="D31" s="6" t="str">
        <f>CONCATENATE(C31," ",B31)</f>
        <v>JANELLE CONTRERAS</v>
      </c>
      <c r="E31" s="6" t="s">
        <v>66</v>
      </c>
      <c r="F31" s="6" t="s">
        <v>383</v>
      </c>
      <c r="G31" s="6" t="s">
        <v>384</v>
      </c>
      <c r="H31" s="6" t="s">
        <v>1336</v>
      </c>
      <c r="I31" s="20" t="s">
        <v>1347</v>
      </c>
      <c r="J31" s="6" t="s">
        <v>569</v>
      </c>
      <c r="K31" s="6" t="s">
        <v>570</v>
      </c>
      <c r="L31" s="6" t="str">
        <f>CONCATENATE(K31," ",J31)</f>
        <v>Andrew Choi</v>
      </c>
      <c r="M31" s="6" t="s">
        <v>57</v>
      </c>
      <c r="N31" s="5">
        <v>46030</v>
      </c>
      <c r="O31" s="5">
        <v>46089</v>
      </c>
      <c r="P31" s="23">
        <f>DATEDIF(N31,O31,"M")</f>
        <v>2</v>
      </c>
      <c r="Q31" s="23" t="s">
        <v>157</v>
      </c>
      <c r="R31" s="23" t="s">
        <v>1390</v>
      </c>
      <c r="S31" s="7">
        <v>22</v>
      </c>
      <c r="T31" s="13">
        <v>0.7</v>
      </c>
      <c r="U31" s="6" t="s">
        <v>60</v>
      </c>
      <c r="V31" s="6" t="s">
        <v>135</v>
      </c>
      <c r="W31" s="7">
        <v>15.4</v>
      </c>
    </row>
    <row r="32" spans="1:23" s="6" customFormat="1" x14ac:dyDescent="0.25">
      <c r="A32" s="6">
        <v>2033029171</v>
      </c>
      <c r="B32" s="6" t="s">
        <v>618</v>
      </c>
      <c r="C32" s="6" t="s">
        <v>619</v>
      </c>
      <c r="D32" s="6" t="str">
        <f>CONCATENATE(C32," ",B32)</f>
        <v>JANELLE CONTRERAS</v>
      </c>
      <c r="E32" s="6" t="s">
        <v>66</v>
      </c>
      <c r="F32" s="6" t="s">
        <v>363</v>
      </c>
      <c r="G32" s="6" t="s">
        <v>364</v>
      </c>
      <c r="H32" s="6" t="s">
        <v>1338</v>
      </c>
      <c r="I32" s="20" t="s">
        <v>1347</v>
      </c>
      <c r="J32" s="6" t="s">
        <v>569</v>
      </c>
      <c r="K32" s="6" t="s">
        <v>570</v>
      </c>
      <c r="L32" s="6" t="str">
        <f>CONCATENATE(K32," ",J32)</f>
        <v>Andrew Choi</v>
      </c>
      <c r="M32" s="6" t="s">
        <v>57</v>
      </c>
      <c r="N32" s="5">
        <v>46030</v>
      </c>
      <c r="O32" s="5">
        <v>46089</v>
      </c>
      <c r="P32" s="23">
        <f>DATEDIF(N32,O32,"M")</f>
        <v>2</v>
      </c>
      <c r="Q32" s="23" t="s">
        <v>157</v>
      </c>
      <c r="R32" s="23" t="s">
        <v>1390</v>
      </c>
      <c r="S32" s="7">
        <v>78.760000000000005</v>
      </c>
      <c r="T32" s="14">
        <v>0.375</v>
      </c>
      <c r="U32" s="6" t="s">
        <v>60</v>
      </c>
      <c r="V32" s="6" t="s">
        <v>135</v>
      </c>
      <c r="W32" s="7">
        <v>29.54</v>
      </c>
    </row>
    <row r="33" spans="1:23" s="6" customFormat="1" x14ac:dyDescent="0.25">
      <c r="A33" s="6">
        <v>2032196914</v>
      </c>
      <c r="B33" s="6" t="s">
        <v>829</v>
      </c>
      <c r="C33" s="6" t="s">
        <v>188</v>
      </c>
      <c r="D33" s="6" t="str">
        <f>CONCATENATE(C33," ",B33)</f>
        <v>MICHAEL WITT</v>
      </c>
      <c r="E33" s="6" t="s">
        <v>66</v>
      </c>
      <c r="F33" s="6" t="s">
        <v>72</v>
      </c>
      <c r="G33" s="6" t="s">
        <v>73</v>
      </c>
      <c r="H33" s="6" t="s">
        <v>1329</v>
      </c>
      <c r="I33" s="20" t="s">
        <v>1347</v>
      </c>
      <c r="J33" s="6" t="s">
        <v>569</v>
      </c>
      <c r="K33" s="6" t="s">
        <v>570</v>
      </c>
      <c r="L33" s="6" t="str">
        <f>CONCATENATE(K33," ",J33)</f>
        <v>Andrew Choi</v>
      </c>
      <c r="M33" s="6" t="s">
        <v>57</v>
      </c>
      <c r="N33" s="5">
        <v>46023</v>
      </c>
      <c r="O33" s="5">
        <v>46082</v>
      </c>
      <c r="P33" s="23">
        <f>DATEDIF(N33,O33,"M")</f>
        <v>2</v>
      </c>
      <c r="Q33" s="23" t="s">
        <v>157</v>
      </c>
      <c r="R33" s="23" t="s">
        <v>1390</v>
      </c>
      <c r="S33" s="7">
        <v>-96.65</v>
      </c>
      <c r="T33" s="13">
        <v>0.75</v>
      </c>
      <c r="U33" s="6" t="s">
        <v>60</v>
      </c>
      <c r="V33" s="6" t="s">
        <v>135</v>
      </c>
      <c r="W33" s="7">
        <v>-72.489999999999995</v>
      </c>
    </row>
    <row r="34" spans="1:23" s="6" customFormat="1" x14ac:dyDescent="0.25">
      <c r="A34" s="6">
        <v>2033029174</v>
      </c>
      <c r="B34" s="6" t="s">
        <v>618</v>
      </c>
      <c r="C34" s="6" t="s">
        <v>619</v>
      </c>
      <c r="D34" s="6" t="str">
        <f>CONCATENATE(C34," ",B34)</f>
        <v>JANELLE CONTRERAS</v>
      </c>
      <c r="E34" s="6" t="s">
        <v>66</v>
      </c>
      <c r="F34" s="6" t="s">
        <v>72</v>
      </c>
      <c r="G34" s="6" t="s">
        <v>93</v>
      </c>
      <c r="H34" s="6" t="s">
        <v>1332</v>
      </c>
      <c r="I34" s="20" t="s">
        <v>1347</v>
      </c>
      <c r="J34" s="6" t="s">
        <v>569</v>
      </c>
      <c r="K34" s="6" t="s">
        <v>570</v>
      </c>
      <c r="L34" s="6" t="str">
        <f>CONCATENATE(K34," ",J34)</f>
        <v>Andrew Choi</v>
      </c>
      <c r="M34" s="6" t="s">
        <v>57</v>
      </c>
      <c r="N34" s="5">
        <v>46030</v>
      </c>
      <c r="O34" s="5">
        <v>46089</v>
      </c>
      <c r="P34" s="23">
        <f>DATEDIF(N34,O34,"M")</f>
        <v>2</v>
      </c>
      <c r="Q34" s="23" t="s">
        <v>157</v>
      </c>
      <c r="R34" s="23" t="s">
        <v>1390</v>
      </c>
      <c r="S34" s="7">
        <v>43.66</v>
      </c>
      <c r="T34" s="13">
        <v>0.9</v>
      </c>
      <c r="U34" s="6" t="s">
        <v>60</v>
      </c>
      <c r="V34" s="6" t="s">
        <v>135</v>
      </c>
      <c r="W34" s="7">
        <v>39.29</v>
      </c>
    </row>
    <row r="35" spans="1:23" s="6" customFormat="1" x14ac:dyDescent="0.25">
      <c r="A35" s="6">
        <v>2033029176</v>
      </c>
      <c r="B35" s="6" t="s">
        <v>618</v>
      </c>
      <c r="C35" s="6" t="s">
        <v>619</v>
      </c>
      <c r="D35" s="6" t="str">
        <f>CONCATENATE(C35," ",B35)</f>
        <v>JANELLE CONTRERAS</v>
      </c>
      <c r="E35" s="6" t="s">
        <v>66</v>
      </c>
      <c r="F35" s="6" t="s">
        <v>350</v>
      </c>
      <c r="G35" s="6" t="s">
        <v>354</v>
      </c>
      <c r="H35" s="6" t="s">
        <v>354</v>
      </c>
      <c r="I35" s="20" t="s">
        <v>1347</v>
      </c>
      <c r="J35" s="6" t="s">
        <v>569</v>
      </c>
      <c r="K35" s="6" t="s">
        <v>570</v>
      </c>
      <c r="L35" s="6" t="str">
        <f>CONCATENATE(K35," ",J35)</f>
        <v>Andrew Choi</v>
      </c>
      <c r="M35" s="6" t="s">
        <v>57</v>
      </c>
      <c r="N35" s="5">
        <v>46030</v>
      </c>
      <c r="O35" s="5">
        <v>46089</v>
      </c>
      <c r="P35" s="23">
        <f>DATEDIF(N35,O35,"M")</f>
        <v>2</v>
      </c>
      <c r="Q35" s="23" t="s">
        <v>157</v>
      </c>
      <c r="R35" s="23" t="s">
        <v>1390</v>
      </c>
      <c r="S35" s="7">
        <v>15</v>
      </c>
      <c r="T35" s="13">
        <v>0.38</v>
      </c>
      <c r="U35" s="6" t="s">
        <v>60</v>
      </c>
      <c r="V35" s="6" t="s">
        <v>135</v>
      </c>
      <c r="W35" s="7">
        <v>5.7</v>
      </c>
    </row>
    <row r="36" spans="1:23" s="6" customFormat="1" x14ac:dyDescent="0.25">
      <c r="A36" s="6">
        <v>2032196913</v>
      </c>
      <c r="B36" s="6" t="s">
        <v>829</v>
      </c>
      <c r="C36" s="6" t="s">
        <v>188</v>
      </c>
      <c r="D36" s="6" t="str">
        <f>CONCATENATE(C36," ",B36)</f>
        <v>MICHAEL WITT</v>
      </c>
      <c r="E36" s="6" t="s">
        <v>66</v>
      </c>
      <c r="F36" s="6" t="s">
        <v>383</v>
      </c>
      <c r="G36" s="6" t="s">
        <v>384</v>
      </c>
      <c r="H36" s="6" t="s">
        <v>384</v>
      </c>
      <c r="I36" s="20" t="s">
        <v>1347</v>
      </c>
      <c r="J36" s="6" t="s">
        <v>569</v>
      </c>
      <c r="K36" s="6" t="s">
        <v>570</v>
      </c>
      <c r="L36" s="6" t="str">
        <f>CONCATENATE(K36," ",J36)</f>
        <v>Andrew Choi</v>
      </c>
      <c r="M36" s="6" t="s">
        <v>57</v>
      </c>
      <c r="N36" s="5">
        <v>46023</v>
      </c>
      <c r="O36" s="5">
        <v>46082</v>
      </c>
      <c r="P36" s="23">
        <f>DATEDIF(N36,O36,"M")</f>
        <v>2</v>
      </c>
      <c r="Q36" s="23" t="s">
        <v>157</v>
      </c>
      <c r="R36" s="23" t="s">
        <v>1390</v>
      </c>
      <c r="S36" s="7">
        <v>-37.18</v>
      </c>
      <c r="T36" s="13">
        <v>0.7</v>
      </c>
      <c r="U36" s="6" t="s">
        <v>60</v>
      </c>
      <c r="V36" s="6" t="s">
        <v>135</v>
      </c>
      <c r="W36" s="7">
        <v>-26.03</v>
      </c>
    </row>
    <row r="37" spans="1:23" s="6" customFormat="1" x14ac:dyDescent="0.25">
      <c r="A37" s="6">
        <v>2032196915</v>
      </c>
      <c r="B37" s="6" t="s">
        <v>829</v>
      </c>
      <c r="C37" s="6" t="s">
        <v>188</v>
      </c>
      <c r="D37" s="6" t="str">
        <f>CONCATENATE(C37," ",B37)</f>
        <v>MICHAEL WITT</v>
      </c>
      <c r="E37" s="6" t="s">
        <v>66</v>
      </c>
      <c r="F37" s="6" t="s">
        <v>363</v>
      </c>
      <c r="G37" s="6" t="s">
        <v>364</v>
      </c>
      <c r="H37" s="6" t="s">
        <v>364</v>
      </c>
      <c r="I37" s="20" t="s">
        <v>1347</v>
      </c>
      <c r="J37" s="6" t="s">
        <v>569</v>
      </c>
      <c r="K37" s="6" t="s">
        <v>570</v>
      </c>
      <c r="L37" s="6" t="str">
        <f>CONCATENATE(K37," ",J37)</f>
        <v>Andrew Choi</v>
      </c>
      <c r="M37" s="6" t="s">
        <v>57</v>
      </c>
      <c r="N37" s="5">
        <v>46023</v>
      </c>
      <c r="O37" s="5">
        <v>46082</v>
      </c>
      <c r="P37" s="23">
        <f>DATEDIF(N37,O37,"M")</f>
        <v>2</v>
      </c>
      <c r="Q37" s="23" t="s">
        <v>157</v>
      </c>
      <c r="R37" s="23" t="s">
        <v>1390</v>
      </c>
      <c r="S37" s="7">
        <v>-78.760000000000005</v>
      </c>
      <c r="T37" s="14">
        <v>0.375</v>
      </c>
      <c r="U37" s="6" t="s">
        <v>60</v>
      </c>
      <c r="V37" s="6" t="s">
        <v>135</v>
      </c>
      <c r="W37" s="7">
        <v>-29.54</v>
      </c>
    </row>
    <row r="38" spans="1:23" s="6" customFormat="1" x14ac:dyDescent="0.25">
      <c r="A38" s="6">
        <v>2032196916</v>
      </c>
      <c r="B38" s="6" t="s">
        <v>829</v>
      </c>
      <c r="C38" s="6" t="s">
        <v>188</v>
      </c>
      <c r="D38" s="6" t="str">
        <f>CONCATENATE(C38," ",B38)</f>
        <v>MICHAEL WITT</v>
      </c>
      <c r="E38" s="6" t="s">
        <v>66</v>
      </c>
      <c r="F38" s="6" t="s">
        <v>383</v>
      </c>
      <c r="G38" s="6" t="s">
        <v>385</v>
      </c>
      <c r="H38" s="6" t="s">
        <v>385</v>
      </c>
      <c r="I38" s="20" t="s">
        <v>1347</v>
      </c>
      <c r="J38" s="6" t="s">
        <v>569</v>
      </c>
      <c r="K38" s="6" t="s">
        <v>570</v>
      </c>
      <c r="L38" s="6" t="str">
        <f>CONCATENATE(K38," ",J38)</f>
        <v>Andrew Choi</v>
      </c>
      <c r="M38" s="6" t="s">
        <v>57</v>
      </c>
      <c r="N38" s="5">
        <v>46023</v>
      </c>
      <c r="O38" s="5">
        <v>46082</v>
      </c>
      <c r="P38" s="23">
        <f>DATEDIF(N38,O38,"M")</f>
        <v>2</v>
      </c>
      <c r="Q38" s="23" t="s">
        <v>157</v>
      </c>
      <c r="R38" s="23" t="s">
        <v>1390</v>
      </c>
      <c r="S38" s="7">
        <v>-83.63</v>
      </c>
      <c r="T38" s="13">
        <v>0.9</v>
      </c>
      <c r="U38" s="6" t="s">
        <v>60</v>
      </c>
      <c r="V38" s="6" t="s">
        <v>135</v>
      </c>
      <c r="W38" s="7">
        <v>-75.27</v>
      </c>
    </row>
    <row r="39" spans="1:23" s="6" customFormat="1" x14ac:dyDescent="0.25">
      <c r="A39" s="6">
        <v>2030399997</v>
      </c>
      <c r="B39" s="6" t="s">
        <v>568</v>
      </c>
      <c r="C39" s="6" t="s">
        <v>184</v>
      </c>
      <c r="D39" s="6" t="str">
        <f>CONCATENATE(C39," ",B39)</f>
        <v>KELLY LOYD</v>
      </c>
      <c r="E39" s="6" t="s">
        <v>66</v>
      </c>
      <c r="F39" s="6" t="s">
        <v>378</v>
      </c>
      <c r="G39" s="6" t="s">
        <v>381</v>
      </c>
      <c r="H39" s="6" t="s">
        <v>380</v>
      </c>
      <c r="I39" s="20" t="s">
        <v>1347</v>
      </c>
      <c r="J39" s="6" t="s">
        <v>569</v>
      </c>
      <c r="K39" s="6" t="s">
        <v>570</v>
      </c>
      <c r="L39" s="6" t="str">
        <f>CONCATENATE(K39," ",J39)</f>
        <v>Andrew Choi</v>
      </c>
      <c r="M39" s="6" t="s">
        <v>57</v>
      </c>
      <c r="N39" s="5">
        <v>45878</v>
      </c>
      <c r="O39" s="5">
        <v>46090</v>
      </c>
      <c r="P39" s="23">
        <f>DATEDIF(N39,O39,"M")</f>
        <v>7</v>
      </c>
      <c r="Q39" s="23" t="s">
        <v>157</v>
      </c>
      <c r="R39" s="23" t="s">
        <v>1391</v>
      </c>
      <c r="S39" s="7">
        <v>7.09</v>
      </c>
      <c r="T39" s="13">
        <v>0.38</v>
      </c>
      <c r="U39" s="6" t="s">
        <v>60</v>
      </c>
      <c r="V39" s="6" t="s">
        <v>135</v>
      </c>
      <c r="W39" s="7">
        <v>2.66</v>
      </c>
    </row>
    <row r="40" spans="1:23" s="6" customFormat="1" x14ac:dyDescent="0.25">
      <c r="A40" s="6">
        <v>2030399994</v>
      </c>
      <c r="B40" s="6" t="s">
        <v>568</v>
      </c>
      <c r="C40" s="6" t="s">
        <v>184</v>
      </c>
      <c r="D40" s="6" t="str">
        <f>CONCATENATE(C40," ",B40)</f>
        <v>KELLY LOYD</v>
      </c>
      <c r="E40" s="6" t="s">
        <v>66</v>
      </c>
      <c r="F40" s="6" t="s">
        <v>378</v>
      </c>
      <c r="G40" s="6" t="s">
        <v>380</v>
      </c>
      <c r="H40" s="6" t="s">
        <v>380</v>
      </c>
      <c r="I40" s="20" t="s">
        <v>1347</v>
      </c>
      <c r="J40" s="6" t="s">
        <v>569</v>
      </c>
      <c r="K40" s="6" t="s">
        <v>570</v>
      </c>
      <c r="L40" s="6" t="str">
        <f>CONCATENATE(K40," ",J40)</f>
        <v>Andrew Choi</v>
      </c>
      <c r="M40" s="6" t="s">
        <v>57</v>
      </c>
      <c r="N40" s="5">
        <v>45878</v>
      </c>
      <c r="O40" s="5">
        <v>46090</v>
      </c>
      <c r="P40" s="23">
        <f>DATEDIF(N40,O40,"M")</f>
        <v>7</v>
      </c>
      <c r="Q40" s="23" t="s">
        <v>157</v>
      </c>
      <c r="R40" s="23" t="s">
        <v>1391</v>
      </c>
      <c r="S40" s="7">
        <v>758.34</v>
      </c>
      <c r="T40" s="13">
        <v>0.38</v>
      </c>
      <c r="U40" s="6" t="s">
        <v>60</v>
      </c>
      <c r="V40" s="6" t="s">
        <v>135</v>
      </c>
      <c r="W40" s="7">
        <v>288.17</v>
      </c>
    </row>
    <row r="41" spans="1:23" s="6" customFormat="1" x14ac:dyDescent="0.25">
      <c r="A41" s="6">
        <v>2030399998</v>
      </c>
      <c r="B41" s="6" t="s">
        <v>568</v>
      </c>
      <c r="C41" s="6" t="s">
        <v>184</v>
      </c>
      <c r="D41" s="6" t="str">
        <f>CONCATENATE(C41," ",B41)</f>
        <v>KELLY LOYD</v>
      </c>
      <c r="E41" s="6" t="s">
        <v>66</v>
      </c>
      <c r="F41" s="6" t="s">
        <v>350</v>
      </c>
      <c r="G41" s="6" t="s">
        <v>354</v>
      </c>
      <c r="H41" s="6" t="s">
        <v>354</v>
      </c>
      <c r="I41" s="20" t="s">
        <v>1347</v>
      </c>
      <c r="J41" s="6" t="s">
        <v>569</v>
      </c>
      <c r="K41" s="6" t="s">
        <v>570</v>
      </c>
      <c r="L41" s="6" t="str">
        <f>CONCATENATE(K41," ",J41)</f>
        <v>Andrew Choi</v>
      </c>
      <c r="M41" s="6" t="s">
        <v>57</v>
      </c>
      <c r="N41" s="5">
        <v>45878</v>
      </c>
      <c r="O41" s="5">
        <v>46090</v>
      </c>
      <c r="P41" s="23">
        <f>DATEDIF(N41,O41,"M")</f>
        <v>7</v>
      </c>
      <c r="Q41" s="23" t="s">
        <v>157</v>
      </c>
      <c r="R41" s="23" t="s">
        <v>1391</v>
      </c>
      <c r="S41" s="7">
        <v>15</v>
      </c>
      <c r="T41" s="13">
        <v>0.38</v>
      </c>
      <c r="U41" s="6" t="s">
        <v>60</v>
      </c>
      <c r="V41" s="6" t="s">
        <v>135</v>
      </c>
      <c r="W41" s="7">
        <v>5.7</v>
      </c>
    </row>
    <row r="42" spans="1:23" s="6" customFormat="1" x14ac:dyDescent="0.25">
      <c r="A42" s="6">
        <v>2030399995</v>
      </c>
      <c r="B42" s="6" t="s">
        <v>568</v>
      </c>
      <c r="C42" s="6" t="s">
        <v>184</v>
      </c>
      <c r="D42" s="6" t="str">
        <f>CONCATENATE(C42," ",B42)</f>
        <v>KELLY LOYD</v>
      </c>
      <c r="E42" s="6" t="s">
        <v>66</v>
      </c>
      <c r="F42" s="6" t="s">
        <v>383</v>
      </c>
      <c r="G42" s="6" t="s">
        <v>384</v>
      </c>
      <c r="H42" s="6" t="s">
        <v>384</v>
      </c>
      <c r="I42" s="20" t="s">
        <v>1347</v>
      </c>
      <c r="J42" s="6" t="s">
        <v>569</v>
      </c>
      <c r="K42" s="6" t="s">
        <v>570</v>
      </c>
      <c r="L42" s="6" t="str">
        <f>CONCATENATE(K42," ",J42)</f>
        <v>Andrew Choi</v>
      </c>
      <c r="M42" s="6" t="s">
        <v>57</v>
      </c>
      <c r="N42" s="5">
        <v>45878</v>
      </c>
      <c r="O42" s="5">
        <v>46090</v>
      </c>
      <c r="P42" s="23">
        <f>DATEDIF(N42,O42,"M")</f>
        <v>7</v>
      </c>
      <c r="Q42" s="23" t="s">
        <v>157</v>
      </c>
      <c r="R42" s="23" t="s">
        <v>1391</v>
      </c>
      <c r="S42" s="7">
        <v>99.19</v>
      </c>
      <c r="T42" s="13">
        <v>0.7</v>
      </c>
      <c r="U42" s="6" t="s">
        <v>60</v>
      </c>
      <c r="V42" s="6" t="s">
        <v>135</v>
      </c>
      <c r="W42" s="7">
        <v>69.41</v>
      </c>
    </row>
    <row r="43" spans="1:23" s="6" customFormat="1" x14ac:dyDescent="0.25">
      <c r="A43" s="6">
        <v>2030399996</v>
      </c>
      <c r="B43" s="6" t="s">
        <v>568</v>
      </c>
      <c r="C43" s="6" t="s">
        <v>184</v>
      </c>
      <c r="D43" s="6" t="str">
        <f>CONCATENATE(C43," ",B43)</f>
        <v>KELLY LOYD</v>
      </c>
      <c r="E43" s="6" t="s">
        <v>66</v>
      </c>
      <c r="F43" s="6" t="s">
        <v>383</v>
      </c>
      <c r="G43" s="6" t="s">
        <v>385</v>
      </c>
      <c r="H43" s="6" t="s">
        <v>385</v>
      </c>
      <c r="I43" s="20" t="s">
        <v>1347</v>
      </c>
      <c r="J43" s="6" t="s">
        <v>569</v>
      </c>
      <c r="K43" s="6" t="s">
        <v>570</v>
      </c>
      <c r="L43" s="6" t="str">
        <f>CONCATENATE(K43," ",J43)</f>
        <v>Andrew Choi</v>
      </c>
      <c r="M43" s="6" t="s">
        <v>57</v>
      </c>
      <c r="N43" s="5">
        <v>45878</v>
      </c>
      <c r="O43" s="5">
        <v>46090</v>
      </c>
      <c r="P43" s="23">
        <f>DATEDIF(N43,O43,"M")</f>
        <v>7</v>
      </c>
      <c r="Q43" s="23" t="s">
        <v>157</v>
      </c>
      <c r="R43" s="23" t="s">
        <v>1391</v>
      </c>
      <c r="S43" s="7">
        <v>258.5</v>
      </c>
      <c r="T43" s="13">
        <v>0.9</v>
      </c>
      <c r="U43" s="6" t="s">
        <v>60</v>
      </c>
      <c r="V43" s="6" t="s">
        <v>135</v>
      </c>
      <c r="W43" s="7">
        <v>232.65</v>
      </c>
    </row>
    <row r="44" spans="1:23" s="6" customFormat="1" x14ac:dyDescent="0.25">
      <c r="A44" s="6">
        <v>2027080634</v>
      </c>
      <c r="B44" s="6" t="s">
        <v>1089</v>
      </c>
      <c r="C44" s="6" t="s">
        <v>387</v>
      </c>
      <c r="D44" s="6" t="str">
        <f>CONCATENATE(C44," ",B44)</f>
        <v>MARYANN GALLARELLO</v>
      </c>
      <c r="E44" s="6" t="s">
        <v>1090</v>
      </c>
      <c r="F44" s="6" t="s">
        <v>350</v>
      </c>
      <c r="G44" s="6" t="s">
        <v>574</v>
      </c>
      <c r="H44" s="6" t="s">
        <v>148</v>
      </c>
      <c r="I44" s="20">
        <v>7470776</v>
      </c>
      <c r="J44" s="6" t="s">
        <v>569</v>
      </c>
      <c r="K44" s="6" t="s">
        <v>570</v>
      </c>
      <c r="L44" s="6" t="str">
        <f>CONCATENATE(K44," ",J44)</f>
        <v>Andrew Choi</v>
      </c>
      <c r="M44" s="6" t="s">
        <v>57</v>
      </c>
      <c r="N44" s="5">
        <v>45701</v>
      </c>
      <c r="O44" s="5">
        <v>46094</v>
      </c>
      <c r="P44" s="23">
        <f>DATEDIF(N44,O44,"M")</f>
        <v>13</v>
      </c>
      <c r="Q44" s="23" t="s">
        <v>157</v>
      </c>
      <c r="R44" s="23" t="s">
        <v>1391</v>
      </c>
      <c r="S44" s="7">
        <v>15</v>
      </c>
      <c r="T44" s="13">
        <v>0.28999999999999998</v>
      </c>
      <c r="U44" s="6" t="s">
        <v>157</v>
      </c>
      <c r="V44" s="6" t="s">
        <v>135</v>
      </c>
      <c r="W44" s="7">
        <v>4.3499999999999996</v>
      </c>
    </row>
    <row r="45" spans="1:23" s="6" customFormat="1" x14ac:dyDescent="0.25">
      <c r="A45" s="6">
        <v>2026978805</v>
      </c>
      <c r="B45" s="6" t="s">
        <v>679</v>
      </c>
      <c r="C45" s="6" t="s">
        <v>680</v>
      </c>
      <c r="D45" s="6" t="str">
        <f>CONCATENATE(C45," ",B45)</f>
        <v>MAGDALENA SCIUPIDER</v>
      </c>
      <c r="E45" s="6" t="s">
        <v>66</v>
      </c>
      <c r="F45" s="6" t="s">
        <v>383</v>
      </c>
      <c r="G45" s="6" t="s">
        <v>384</v>
      </c>
      <c r="H45" s="6" t="s">
        <v>384</v>
      </c>
      <c r="I45" s="20">
        <v>7470776</v>
      </c>
      <c r="J45" s="6" t="s">
        <v>569</v>
      </c>
      <c r="K45" s="6" t="s">
        <v>570</v>
      </c>
      <c r="L45" s="6" t="str">
        <f>CONCATENATE(K45," ",J45)</f>
        <v>Andrew Choi</v>
      </c>
      <c r="M45" s="6" t="s">
        <v>57</v>
      </c>
      <c r="N45" s="5">
        <v>45695</v>
      </c>
      <c r="O45" s="5">
        <v>46088</v>
      </c>
      <c r="P45" s="23">
        <f>DATEDIF(N45,O45,"M")</f>
        <v>13</v>
      </c>
      <c r="Q45" s="23" t="s">
        <v>157</v>
      </c>
      <c r="R45" s="23" t="s">
        <v>1391</v>
      </c>
      <c r="S45" s="7">
        <v>15.75</v>
      </c>
      <c r="T45" s="13">
        <v>0.15</v>
      </c>
      <c r="U45" s="6" t="s">
        <v>157</v>
      </c>
      <c r="V45" s="6" t="s">
        <v>135</v>
      </c>
      <c r="W45" s="7">
        <v>2.36</v>
      </c>
    </row>
    <row r="46" spans="1:23" s="6" customFormat="1" x14ac:dyDescent="0.25">
      <c r="A46" s="6">
        <v>2027059396</v>
      </c>
      <c r="B46" s="6" t="s">
        <v>346</v>
      </c>
      <c r="C46" s="6" t="s">
        <v>686</v>
      </c>
      <c r="D46" s="6" t="str">
        <f>CONCATENATE(C46," ",B46)</f>
        <v>VAN NGUYEN</v>
      </c>
      <c r="E46" s="6" t="s">
        <v>66</v>
      </c>
      <c r="F46" s="6" t="s">
        <v>383</v>
      </c>
      <c r="G46" s="6" t="s">
        <v>384</v>
      </c>
      <c r="H46" s="6" t="s">
        <v>384</v>
      </c>
      <c r="I46" s="20">
        <v>7470776</v>
      </c>
      <c r="J46" s="6" t="s">
        <v>569</v>
      </c>
      <c r="K46" s="6" t="s">
        <v>570</v>
      </c>
      <c r="L46" s="6" t="str">
        <f>CONCATENATE(K46," ",J46)</f>
        <v>Andrew Choi</v>
      </c>
      <c r="M46" s="6" t="s">
        <v>57</v>
      </c>
      <c r="N46" s="5">
        <v>45700</v>
      </c>
      <c r="O46" s="5">
        <v>46093</v>
      </c>
      <c r="P46" s="23">
        <f>DATEDIF(N46,O46,"M")</f>
        <v>13</v>
      </c>
      <c r="Q46" s="23" t="s">
        <v>157</v>
      </c>
      <c r="R46" s="23" t="s">
        <v>1391</v>
      </c>
      <c r="S46" s="7">
        <v>41.5</v>
      </c>
      <c r="T46" s="13">
        <v>0.15</v>
      </c>
      <c r="U46" s="6" t="s">
        <v>157</v>
      </c>
      <c r="V46" s="6" t="s">
        <v>135</v>
      </c>
      <c r="W46" s="7">
        <v>6.22</v>
      </c>
    </row>
    <row r="47" spans="1:23" s="6" customFormat="1" x14ac:dyDescent="0.25">
      <c r="A47" s="6">
        <v>2026978806</v>
      </c>
      <c r="B47" s="6" t="s">
        <v>679</v>
      </c>
      <c r="C47" s="6" t="s">
        <v>680</v>
      </c>
      <c r="D47" s="6" t="str">
        <f>CONCATENATE(C47," ",B47)</f>
        <v>MAGDALENA SCIUPIDER</v>
      </c>
      <c r="E47" s="6" t="s">
        <v>66</v>
      </c>
      <c r="F47" s="6" t="s">
        <v>363</v>
      </c>
      <c r="G47" s="6" t="s">
        <v>364</v>
      </c>
      <c r="H47" s="6" t="s">
        <v>364</v>
      </c>
      <c r="I47" s="20">
        <v>7470776</v>
      </c>
      <c r="J47" s="6" t="s">
        <v>569</v>
      </c>
      <c r="K47" s="6" t="s">
        <v>570</v>
      </c>
      <c r="L47" s="6" t="str">
        <f>CONCATENATE(K47," ",J47)</f>
        <v>Andrew Choi</v>
      </c>
      <c r="M47" s="6" t="s">
        <v>57</v>
      </c>
      <c r="N47" s="5">
        <v>45695</v>
      </c>
      <c r="O47" s="5">
        <v>46088</v>
      </c>
      <c r="P47" s="23">
        <f>DATEDIF(N47,O47,"M")</f>
        <v>13</v>
      </c>
      <c r="Q47" s="23" t="s">
        <v>157</v>
      </c>
      <c r="R47" s="23" t="s">
        <v>1391</v>
      </c>
      <c r="S47" s="7">
        <v>112.85</v>
      </c>
      <c r="T47" s="13">
        <v>0.06</v>
      </c>
      <c r="U47" s="6" t="s">
        <v>157</v>
      </c>
      <c r="V47" s="6" t="s">
        <v>135</v>
      </c>
      <c r="W47" s="7">
        <v>6.77</v>
      </c>
    </row>
    <row r="48" spans="1:23" s="6" customFormat="1" x14ac:dyDescent="0.25">
      <c r="A48" s="6">
        <v>2027059395</v>
      </c>
      <c r="B48" s="6" t="s">
        <v>346</v>
      </c>
      <c r="C48" s="6" t="s">
        <v>686</v>
      </c>
      <c r="D48" s="6" t="str">
        <f>CONCATENATE(C48," ",B48)</f>
        <v>VAN NGUYEN</v>
      </c>
      <c r="E48" s="6" t="s">
        <v>66</v>
      </c>
      <c r="F48" s="6" t="s">
        <v>363</v>
      </c>
      <c r="G48" s="6" t="s">
        <v>364</v>
      </c>
      <c r="H48" s="6" t="s">
        <v>364</v>
      </c>
      <c r="I48" s="20">
        <v>7470776</v>
      </c>
      <c r="J48" s="6" t="s">
        <v>569</v>
      </c>
      <c r="K48" s="6" t="s">
        <v>570</v>
      </c>
      <c r="L48" s="6" t="str">
        <f>CONCATENATE(K48," ",J48)</f>
        <v>Andrew Choi</v>
      </c>
      <c r="M48" s="6" t="s">
        <v>57</v>
      </c>
      <c r="N48" s="5">
        <v>45700</v>
      </c>
      <c r="O48" s="5">
        <v>46093</v>
      </c>
      <c r="P48" s="23">
        <f>DATEDIF(N48,O48,"M")</f>
        <v>13</v>
      </c>
      <c r="Q48" s="23" t="s">
        <v>157</v>
      </c>
      <c r="R48" s="23" t="s">
        <v>1391</v>
      </c>
      <c r="S48" s="7">
        <v>64.760000000000005</v>
      </c>
      <c r="T48" s="13">
        <v>0.06</v>
      </c>
      <c r="U48" s="6" t="s">
        <v>157</v>
      </c>
      <c r="V48" s="6" t="s">
        <v>135</v>
      </c>
      <c r="W48" s="7">
        <v>3.89</v>
      </c>
    </row>
    <row r="49" spans="1:55" x14ac:dyDescent="0.25">
      <c r="A49" s="15">
        <v>2026073907</v>
      </c>
      <c r="B49" s="15" t="s">
        <v>1211</v>
      </c>
      <c r="C49" s="15" t="s">
        <v>1212</v>
      </c>
      <c r="D49" s="15" t="str">
        <f>CONCATENATE(C49," ",B49)</f>
        <v>KELLI NUGENT</v>
      </c>
      <c r="E49" s="15" t="s">
        <v>90</v>
      </c>
      <c r="F49" s="15" t="s">
        <v>383</v>
      </c>
      <c r="G49" s="15" t="s">
        <v>384</v>
      </c>
      <c r="H49" s="15" t="s">
        <v>384</v>
      </c>
      <c r="I49" s="21">
        <v>593918</v>
      </c>
      <c r="J49" s="15" t="s">
        <v>1213</v>
      </c>
      <c r="K49" s="15" t="s">
        <v>683</v>
      </c>
      <c r="L49" s="15" t="str">
        <f>CONCATENATE(K49," ",J49)</f>
        <v>ANDREW GOODMAN</v>
      </c>
      <c r="M49" s="15" t="s">
        <v>57</v>
      </c>
      <c r="N49" s="16">
        <v>45658</v>
      </c>
      <c r="O49" s="16">
        <v>46082</v>
      </c>
      <c r="P49" s="24">
        <f>DATEDIF(N49,O49,"M")</f>
        <v>14</v>
      </c>
      <c r="Q49" s="24" t="s">
        <v>157</v>
      </c>
      <c r="R49" s="24" t="s">
        <v>1391</v>
      </c>
      <c r="S49" s="17">
        <v>56.91</v>
      </c>
      <c r="T49" s="18">
        <v>0.15</v>
      </c>
      <c r="U49" s="15" t="s">
        <v>157</v>
      </c>
      <c r="V49" s="15" t="s">
        <v>135</v>
      </c>
      <c r="W49" s="17">
        <v>8.5399999999999991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</row>
    <row r="50" spans="1:55" x14ac:dyDescent="0.25">
      <c r="A50" s="15">
        <v>2025670861</v>
      </c>
      <c r="B50" s="15" t="s">
        <v>258</v>
      </c>
      <c r="C50" s="15" t="s">
        <v>259</v>
      </c>
      <c r="D50" s="15" t="str">
        <f>CONCATENATE(C50," ",B50)</f>
        <v>KAREN CHURCHVILLE</v>
      </c>
      <c r="E50" s="15" t="s">
        <v>52</v>
      </c>
      <c r="F50" s="15" t="s">
        <v>152</v>
      </c>
      <c r="G50" s="15" t="s">
        <v>153</v>
      </c>
      <c r="H50" s="15" t="s">
        <v>153</v>
      </c>
      <c r="I50" s="21" t="s">
        <v>1348</v>
      </c>
      <c r="J50" s="15" t="s">
        <v>204</v>
      </c>
      <c r="K50" s="15" t="s">
        <v>205</v>
      </c>
      <c r="L50" s="15" t="str">
        <f>CONCATENATE(K50," ",J50)</f>
        <v>ANNE MARIE KOZACHECK</v>
      </c>
      <c r="M50" s="15" t="s">
        <v>57</v>
      </c>
      <c r="N50" s="16">
        <v>45658</v>
      </c>
      <c r="O50" s="16">
        <v>46082</v>
      </c>
      <c r="P50" s="24">
        <f>DATEDIF(N50,O50,"M")</f>
        <v>14</v>
      </c>
      <c r="Q50" s="24" t="s">
        <v>157</v>
      </c>
      <c r="R50" s="24" t="s">
        <v>1391</v>
      </c>
      <c r="S50" s="17">
        <v>56.88</v>
      </c>
      <c r="T50" s="25">
        <v>5.2499999999999998E-2</v>
      </c>
      <c r="U50" s="15" t="s">
        <v>157</v>
      </c>
      <c r="V50" s="15" t="s">
        <v>135</v>
      </c>
      <c r="W50" s="17">
        <v>2.99</v>
      </c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</row>
    <row r="51" spans="1:55" x14ac:dyDescent="0.25">
      <c r="A51" s="15">
        <v>2025937347</v>
      </c>
      <c r="B51" s="15" t="s">
        <v>260</v>
      </c>
      <c r="C51" s="15" t="s">
        <v>261</v>
      </c>
      <c r="D51" s="15" t="str">
        <f>CONCATENATE(C51," ",B51)</f>
        <v>LYNN LYMAN</v>
      </c>
      <c r="E51" s="15" t="s">
        <v>52</v>
      </c>
      <c r="F51" s="15" t="s">
        <v>152</v>
      </c>
      <c r="G51" s="15" t="s">
        <v>153</v>
      </c>
      <c r="H51" s="15" t="s">
        <v>153</v>
      </c>
      <c r="I51" s="21" t="s">
        <v>1348</v>
      </c>
      <c r="J51" s="15" t="s">
        <v>204</v>
      </c>
      <c r="K51" s="15" t="s">
        <v>205</v>
      </c>
      <c r="L51" s="15" t="str">
        <f>CONCATENATE(K51," ",J51)</f>
        <v>ANNE MARIE KOZACHECK</v>
      </c>
      <c r="M51" s="15" t="s">
        <v>57</v>
      </c>
      <c r="N51" s="16">
        <v>45658</v>
      </c>
      <c r="O51" s="16">
        <v>46082</v>
      </c>
      <c r="P51" s="24">
        <f>DATEDIF(N51,O51,"M")</f>
        <v>14</v>
      </c>
      <c r="Q51" s="24" t="s">
        <v>157</v>
      </c>
      <c r="R51" s="24" t="s">
        <v>1391</v>
      </c>
      <c r="S51" s="17">
        <v>56.88</v>
      </c>
      <c r="T51" s="25">
        <v>5.2499999999999998E-2</v>
      </c>
      <c r="U51" s="15" t="s">
        <v>157</v>
      </c>
      <c r="V51" s="15" t="s">
        <v>135</v>
      </c>
      <c r="W51" s="17">
        <v>2.99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</row>
    <row r="52" spans="1:55" x14ac:dyDescent="0.25">
      <c r="A52" s="15">
        <v>2024254141</v>
      </c>
      <c r="B52" s="15" t="s">
        <v>253</v>
      </c>
      <c r="C52" s="15" t="s">
        <v>254</v>
      </c>
      <c r="D52" s="15" t="str">
        <f>CONCATENATE(C52," ",B52)</f>
        <v>HELAINE DUBACH</v>
      </c>
      <c r="E52" s="15" t="s">
        <v>52</v>
      </c>
      <c r="F52" s="15" t="s">
        <v>152</v>
      </c>
      <c r="G52" s="15" t="s">
        <v>153</v>
      </c>
      <c r="H52" s="15" t="s">
        <v>153</v>
      </c>
      <c r="I52" s="21" t="s">
        <v>1348</v>
      </c>
      <c r="J52" s="15" t="s">
        <v>204</v>
      </c>
      <c r="K52" s="15" t="s">
        <v>205</v>
      </c>
      <c r="L52" s="15" t="str">
        <f>CONCATENATE(K52," ",J52)</f>
        <v>ANNE MARIE KOZACHECK</v>
      </c>
      <c r="M52" s="15" t="s">
        <v>57</v>
      </c>
      <c r="N52" s="16">
        <v>45510</v>
      </c>
      <c r="O52" s="16">
        <v>46087</v>
      </c>
      <c r="P52" s="24">
        <f>DATEDIF(N52,O52,"M")</f>
        <v>19</v>
      </c>
      <c r="Q52" s="24" t="s">
        <v>157</v>
      </c>
      <c r="R52" s="24" t="s">
        <v>1391</v>
      </c>
      <c r="S52" s="17">
        <v>45.54</v>
      </c>
      <c r="T52" s="25">
        <v>5.2499999999999998E-2</v>
      </c>
      <c r="U52" s="15" t="s">
        <v>157</v>
      </c>
      <c r="V52" s="15" t="s">
        <v>135</v>
      </c>
      <c r="W52" s="17">
        <v>2.39</v>
      </c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</row>
    <row r="53" spans="1:55" x14ac:dyDescent="0.25">
      <c r="A53" s="15">
        <v>2022645069</v>
      </c>
      <c r="B53" s="15" t="s">
        <v>517</v>
      </c>
      <c r="C53" s="15" t="s">
        <v>120</v>
      </c>
      <c r="D53" s="15" t="str">
        <f>CONCATENATE(C53," ",B53)</f>
        <v>CHRISTOPHER LEVY</v>
      </c>
      <c r="E53" s="15" t="s">
        <v>52</v>
      </c>
      <c r="F53" s="15" t="s">
        <v>363</v>
      </c>
      <c r="G53" s="15" t="s">
        <v>364</v>
      </c>
      <c r="H53" s="15" t="s">
        <v>364</v>
      </c>
      <c r="I53" s="21" t="s">
        <v>1348</v>
      </c>
      <c r="J53" s="15" t="s">
        <v>204</v>
      </c>
      <c r="K53" s="15" t="s">
        <v>205</v>
      </c>
      <c r="L53" s="15" t="str">
        <f>CONCATENATE(K53," ",J53)</f>
        <v>ANNE MARIE KOZACHECK</v>
      </c>
      <c r="M53" s="15" t="s">
        <v>57</v>
      </c>
      <c r="N53" s="16">
        <v>45392</v>
      </c>
      <c r="O53" s="16">
        <v>46091</v>
      </c>
      <c r="P53" s="24">
        <f>DATEDIF(N53,O53,"M")</f>
        <v>23</v>
      </c>
      <c r="Q53" s="24" t="s">
        <v>157</v>
      </c>
      <c r="R53" s="24" t="s">
        <v>1391</v>
      </c>
      <c r="S53" s="17">
        <v>39.979999999999997</v>
      </c>
      <c r="T53" s="18">
        <v>0.06</v>
      </c>
      <c r="U53" s="15" t="s">
        <v>157</v>
      </c>
      <c r="V53" s="15" t="s">
        <v>135</v>
      </c>
      <c r="W53" s="17">
        <v>2.4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</row>
    <row r="54" spans="1:55" x14ac:dyDescent="0.25">
      <c r="A54" s="15">
        <v>2021180346</v>
      </c>
      <c r="B54" s="15" t="s">
        <v>221</v>
      </c>
      <c r="C54" s="15" t="s">
        <v>222</v>
      </c>
      <c r="D54" s="15" t="str">
        <f>CONCATENATE(C54," ",B54)</f>
        <v>LEONARD DIMIDIO</v>
      </c>
      <c r="E54" s="15" t="s">
        <v>52</v>
      </c>
      <c r="F54" s="15" t="s">
        <v>152</v>
      </c>
      <c r="G54" s="15" t="s">
        <v>153</v>
      </c>
      <c r="H54" s="15" t="s">
        <v>153</v>
      </c>
      <c r="I54" s="21" t="s">
        <v>1348</v>
      </c>
      <c r="J54" s="15" t="s">
        <v>204</v>
      </c>
      <c r="K54" s="15" t="s">
        <v>205</v>
      </c>
      <c r="L54" s="15" t="str">
        <f>CONCATENATE(K54," ",J54)</f>
        <v>ANNE MARIE KOZACHECK</v>
      </c>
      <c r="M54" s="15" t="s">
        <v>57</v>
      </c>
      <c r="N54" s="16">
        <v>45292</v>
      </c>
      <c r="O54" s="16">
        <v>46082</v>
      </c>
      <c r="P54" s="24">
        <f>DATEDIF(N54,O54,"M")</f>
        <v>26</v>
      </c>
      <c r="Q54" s="24" t="s">
        <v>157</v>
      </c>
      <c r="R54" s="24" t="s">
        <v>1391</v>
      </c>
      <c r="S54" s="17">
        <v>104.08</v>
      </c>
      <c r="T54" s="25">
        <v>5.2499999999999998E-2</v>
      </c>
      <c r="U54" s="15" t="s">
        <v>157</v>
      </c>
      <c r="V54" s="15" t="s">
        <v>135</v>
      </c>
      <c r="W54" s="17">
        <v>5.46</v>
      </c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</row>
    <row r="55" spans="1:55" x14ac:dyDescent="0.25">
      <c r="A55" s="15">
        <v>2020977489</v>
      </c>
      <c r="B55" s="15" t="s">
        <v>219</v>
      </c>
      <c r="C55" s="15" t="s">
        <v>220</v>
      </c>
      <c r="D55" s="15" t="str">
        <f>CONCATENATE(C55," ",B55)</f>
        <v>PETER FOSTER</v>
      </c>
      <c r="E55" s="15" t="s">
        <v>52</v>
      </c>
      <c r="F55" s="15" t="s">
        <v>152</v>
      </c>
      <c r="G55" s="15" t="s">
        <v>153</v>
      </c>
      <c r="H55" s="15" t="s">
        <v>153</v>
      </c>
      <c r="I55" s="21" t="s">
        <v>1348</v>
      </c>
      <c r="J55" s="15" t="s">
        <v>204</v>
      </c>
      <c r="K55" s="15" t="s">
        <v>205</v>
      </c>
      <c r="L55" s="15" t="str">
        <f>CONCATENATE(K55," ",J55)</f>
        <v>ANNE MARIE KOZACHECK</v>
      </c>
      <c r="M55" s="15" t="s">
        <v>57</v>
      </c>
      <c r="N55" s="16">
        <v>45262</v>
      </c>
      <c r="O55" s="16">
        <v>46083</v>
      </c>
      <c r="P55" s="24">
        <f>DATEDIF(N55,O55,"M")</f>
        <v>27</v>
      </c>
      <c r="Q55" s="24" t="s">
        <v>157</v>
      </c>
      <c r="R55" s="24" t="s">
        <v>1391</v>
      </c>
      <c r="S55" s="17">
        <v>115.64</v>
      </c>
      <c r="T55" s="25">
        <v>5.2499999999999998E-2</v>
      </c>
      <c r="U55" s="15" t="s">
        <v>157</v>
      </c>
      <c r="V55" s="15" t="s">
        <v>135</v>
      </c>
      <c r="W55" s="17">
        <v>6.07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</row>
    <row r="56" spans="1:55" s="12" customFormat="1" x14ac:dyDescent="0.25">
      <c r="A56" s="15">
        <v>2020542149</v>
      </c>
      <c r="B56" s="15" t="s">
        <v>1130</v>
      </c>
      <c r="C56" s="15" t="s">
        <v>1131</v>
      </c>
      <c r="D56" s="15" t="str">
        <f>CONCATENATE(C56," ",B56)</f>
        <v>CYNTHIA CROWE</v>
      </c>
      <c r="E56" s="15" t="s">
        <v>52</v>
      </c>
      <c r="F56" s="15" t="s">
        <v>1132</v>
      </c>
      <c r="G56" s="15" t="s">
        <v>1133</v>
      </c>
      <c r="H56" s="15" t="s">
        <v>1343</v>
      </c>
      <c r="I56" s="21" t="s">
        <v>1348</v>
      </c>
      <c r="J56" s="15" t="s">
        <v>204</v>
      </c>
      <c r="K56" s="15" t="s">
        <v>205</v>
      </c>
      <c r="L56" s="15" t="str">
        <f>CONCATENATE(K56," ",J56)</f>
        <v>ANNE MARIE KOZACHECK</v>
      </c>
      <c r="M56" s="15" t="s">
        <v>57</v>
      </c>
      <c r="N56" s="16">
        <v>45261</v>
      </c>
      <c r="O56" s="16">
        <v>46082</v>
      </c>
      <c r="P56" s="24">
        <f>DATEDIF(N56,O56,"M")</f>
        <v>27</v>
      </c>
      <c r="Q56" s="24" t="s">
        <v>157</v>
      </c>
      <c r="R56" s="24" t="s">
        <v>1391</v>
      </c>
      <c r="S56" s="17">
        <v>116.79</v>
      </c>
      <c r="T56" s="18">
        <v>0.26</v>
      </c>
      <c r="U56" s="15" t="s">
        <v>157</v>
      </c>
      <c r="V56" s="15" t="s">
        <v>135</v>
      </c>
      <c r="W56" s="17">
        <v>30.37</v>
      </c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</row>
    <row r="57" spans="1:55" s="12" customFormat="1" x14ac:dyDescent="0.25">
      <c r="A57" s="15">
        <v>2020450119</v>
      </c>
      <c r="B57" s="15" t="s">
        <v>202</v>
      </c>
      <c r="C57" s="15" t="s">
        <v>203</v>
      </c>
      <c r="D57" s="15" t="str">
        <f>CONCATENATE(C57," ",B57)</f>
        <v>EDWARD GREENHOW</v>
      </c>
      <c r="E57" s="15" t="s">
        <v>52</v>
      </c>
      <c r="F57" s="15" t="s">
        <v>152</v>
      </c>
      <c r="G57" s="15" t="s">
        <v>153</v>
      </c>
      <c r="H57" s="15" t="s">
        <v>153</v>
      </c>
      <c r="I57" s="21" t="s">
        <v>1348</v>
      </c>
      <c r="J57" s="15" t="s">
        <v>204</v>
      </c>
      <c r="K57" s="15" t="s">
        <v>205</v>
      </c>
      <c r="L57" s="15" t="str">
        <f>CONCATENATE(K57," ",J57)</f>
        <v>ANNE MARIE KOZACHECK</v>
      </c>
      <c r="M57" s="15" t="s">
        <v>57</v>
      </c>
      <c r="N57" s="16">
        <v>45231</v>
      </c>
      <c r="O57" s="16">
        <v>46082</v>
      </c>
      <c r="P57" s="24">
        <f>DATEDIF(N57,O57,"M")</f>
        <v>28</v>
      </c>
      <c r="Q57" s="24" t="s">
        <v>157</v>
      </c>
      <c r="R57" s="24" t="s">
        <v>1391</v>
      </c>
      <c r="S57" s="17">
        <v>115.64</v>
      </c>
      <c r="T57" s="25">
        <v>5.2499999999999998E-2</v>
      </c>
      <c r="U57" s="15" t="s">
        <v>157</v>
      </c>
      <c r="V57" s="15" t="s">
        <v>135</v>
      </c>
      <c r="W57" s="17">
        <v>6.07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</row>
    <row r="58" spans="1:55" s="12" customFormat="1" x14ac:dyDescent="0.25">
      <c r="A58" s="15">
        <v>2020622534</v>
      </c>
      <c r="B58" s="15" t="s">
        <v>1134</v>
      </c>
      <c r="C58" s="15" t="s">
        <v>1135</v>
      </c>
      <c r="D58" s="15" t="str">
        <f>CONCATENATE(C58," ",B58)</f>
        <v>R AMRAVANESWAREN</v>
      </c>
      <c r="E58" s="15" t="s">
        <v>52</v>
      </c>
      <c r="F58" s="15" t="s">
        <v>1132</v>
      </c>
      <c r="G58" s="15" t="s">
        <v>1133</v>
      </c>
      <c r="H58" s="15" t="s">
        <v>1343</v>
      </c>
      <c r="I58" s="21" t="s">
        <v>1348</v>
      </c>
      <c r="J58" s="15" t="s">
        <v>204</v>
      </c>
      <c r="K58" s="15" t="s">
        <v>205</v>
      </c>
      <c r="L58" s="15" t="str">
        <f>CONCATENATE(K58," ",J58)</f>
        <v>ANNE MARIE KOZACHECK</v>
      </c>
      <c r="M58" s="15" t="s">
        <v>57</v>
      </c>
      <c r="N58" s="16">
        <v>45231</v>
      </c>
      <c r="O58" s="16">
        <v>46082</v>
      </c>
      <c r="P58" s="24">
        <f>DATEDIF(N58,O58,"M")</f>
        <v>28</v>
      </c>
      <c r="Q58" s="24" t="s">
        <v>157</v>
      </c>
      <c r="R58" s="24" t="s">
        <v>1391</v>
      </c>
      <c r="S58" s="17">
        <v>125.33</v>
      </c>
      <c r="T58" s="18">
        <v>0.26</v>
      </c>
      <c r="U58" s="15" t="s">
        <v>157</v>
      </c>
      <c r="V58" s="15" t="s">
        <v>135</v>
      </c>
      <c r="W58" s="17">
        <v>32.590000000000003</v>
      </c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</row>
    <row r="59" spans="1:55" s="12" customFormat="1" x14ac:dyDescent="0.25">
      <c r="A59" s="15">
        <v>2019352254</v>
      </c>
      <c r="B59" s="15" t="s">
        <v>624</v>
      </c>
      <c r="C59" s="15" t="s">
        <v>625</v>
      </c>
      <c r="D59" s="15" t="str">
        <f>CONCATENATE(C59," ",B59)</f>
        <v>BRITTANY FRISHKORN</v>
      </c>
      <c r="E59" s="15" t="s">
        <v>52</v>
      </c>
      <c r="F59" s="15" t="s">
        <v>363</v>
      </c>
      <c r="G59" s="15" t="s">
        <v>364</v>
      </c>
      <c r="H59" s="15" t="s">
        <v>364</v>
      </c>
      <c r="I59" s="21" t="s">
        <v>1348</v>
      </c>
      <c r="J59" s="15" t="s">
        <v>204</v>
      </c>
      <c r="K59" s="15" t="s">
        <v>205</v>
      </c>
      <c r="L59" s="15" t="str">
        <f>CONCATENATE(K59," ",J59)</f>
        <v>ANNE MARIE KOZACHECK</v>
      </c>
      <c r="M59" s="15" t="s">
        <v>57</v>
      </c>
      <c r="N59" s="16">
        <v>45120</v>
      </c>
      <c r="O59" s="16">
        <v>46094</v>
      </c>
      <c r="P59" s="24">
        <f>DATEDIF(N59,O59,"M")</f>
        <v>32</v>
      </c>
      <c r="Q59" s="24" t="s">
        <v>157</v>
      </c>
      <c r="R59" s="24" t="s">
        <v>1391</v>
      </c>
      <c r="S59" s="17">
        <v>49.98</v>
      </c>
      <c r="T59" s="18">
        <v>0.06</v>
      </c>
      <c r="U59" s="15" t="s">
        <v>157</v>
      </c>
      <c r="V59" s="15" t="s">
        <v>135</v>
      </c>
      <c r="W59" s="17">
        <v>3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</row>
    <row r="60" spans="1:55" s="12" customFormat="1" x14ac:dyDescent="0.25">
      <c r="A60" s="15">
        <v>2033053424</v>
      </c>
      <c r="B60" s="15" t="s">
        <v>944</v>
      </c>
      <c r="C60" s="15" t="s">
        <v>945</v>
      </c>
      <c r="D60" s="15" t="str">
        <f>CONCATENATE(C60," ",B60)</f>
        <v>VIDA MIKALUNAS</v>
      </c>
      <c r="E60" s="15" t="s">
        <v>66</v>
      </c>
      <c r="F60" s="15" t="s">
        <v>383</v>
      </c>
      <c r="G60" s="15" t="s">
        <v>384</v>
      </c>
      <c r="H60" s="15" t="s">
        <v>1336</v>
      </c>
      <c r="I60" s="21" t="s">
        <v>1349</v>
      </c>
      <c r="J60" s="15" t="s">
        <v>344</v>
      </c>
      <c r="K60" s="15" t="s">
        <v>345</v>
      </c>
      <c r="L60" s="15" t="str">
        <f>CONCATENATE(K60," ",J60)</f>
        <v>BARRY BRENNER</v>
      </c>
      <c r="M60" s="15" t="s">
        <v>57</v>
      </c>
      <c r="N60" s="16">
        <v>46031</v>
      </c>
      <c r="O60" s="16">
        <v>46090</v>
      </c>
      <c r="P60" s="24">
        <f>DATEDIF(N60,O60,"M")</f>
        <v>2</v>
      </c>
      <c r="Q60" s="24" t="s">
        <v>157</v>
      </c>
      <c r="R60" s="24" t="s">
        <v>1391</v>
      </c>
      <c r="S60" s="17">
        <v>124.72</v>
      </c>
      <c r="T60" s="18">
        <v>0.7</v>
      </c>
      <c r="U60" s="15" t="s">
        <v>60</v>
      </c>
      <c r="V60" s="15" t="s">
        <v>135</v>
      </c>
      <c r="W60" s="17">
        <v>87.3</v>
      </c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</row>
    <row r="61" spans="1:55" s="12" customFormat="1" x14ac:dyDescent="0.25">
      <c r="A61" s="15">
        <v>2033079879</v>
      </c>
      <c r="B61" s="15" t="s">
        <v>954</v>
      </c>
      <c r="C61" s="15" t="s">
        <v>373</v>
      </c>
      <c r="D61" s="15" t="str">
        <f>CONCATENATE(C61," ",B61)</f>
        <v>VICTOR MICHEL</v>
      </c>
      <c r="E61" s="15" t="s">
        <v>66</v>
      </c>
      <c r="F61" s="15" t="s">
        <v>383</v>
      </c>
      <c r="G61" s="15" t="s">
        <v>384</v>
      </c>
      <c r="H61" s="15" t="s">
        <v>1336</v>
      </c>
      <c r="I61" s="21" t="s">
        <v>1349</v>
      </c>
      <c r="J61" s="15" t="s">
        <v>344</v>
      </c>
      <c r="K61" s="15" t="s">
        <v>345</v>
      </c>
      <c r="L61" s="15" t="str">
        <f>CONCATENATE(K61," ",J61)</f>
        <v>BARRY BRENNER</v>
      </c>
      <c r="M61" s="15" t="s">
        <v>57</v>
      </c>
      <c r="N61" s="16">
        <v>46032</v>
      </c>
      <c r="O61" s="16">
        <v>46091</v>
      </c>
      <c r="P61" s="24">
        <f>DATEDIF(N61,O61,"M")</f>
        <v>2</v>
      </c>
      <c r="Q61" s="24" t="s">
        <v>157</v>
      </c>
      <c r="R61" s="24" t="s">
        <v>1391</v>
      </c>
      <c r="S61" s="17">
        <v>51</v>
      </c>
      <c r="T61" s="18">
        <v>0.7</v>
      </c>
      <c r="U61" s="15" t="s">
        <v>60</v>
      </c>
      <c r="V61" s="15" t="s">
        <v>135</v>
      </c>
      <c r="W61" s="17">
        <v>35.700000000000003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</row>
    <row r="62" spans="1:55" s="12" customFormat="1" x14ac:dyDescent="0.25">
      <c r="A62" s="15">
        <v>2032657543</v>
      </c>
      <c r="B62" s="15" t="s">
        <v>899</v>
      </c>
      <c r="C62" s="15" t="s">
        <v>900</v>
      </c>
      <c r="D62" s="15" t="str">
        <f>CONCATENATE(C62," ",B62)</f>
        <v>AWA SALL</v>
      </c>
      <c r="E62" s="15" t="s">
        <v>66</v>
      </c>
      <c r="F62" s="15" t="s">
        <v>383</v>
      </c>
      <c r="G62" s="15" t="s">
        <v>384</v>
      </c>
      <c r="H62" s="15" t="s">
        <v>384</v>
      </c>
      <c r="I62" s="21" t="s">
        <v>1349</v>
      </c>
      <c r="J62" s="15" t="s">
        <v>344</v>
      </c>
      <c r="K62" s="15" t="s">
        <v>345</v>
      </c>
      <c r="L62" s="15" t="str">
        <f>CONCATENATE(K62," ",J62)</f>
        <v>BARRY BRENNER</v>
      </c>
      <c r="M62" s="15" t="s">
        <v>57</v>
      </c>
      <c r="N62" s="16">
        <v>46004</v>
      </c>
      <c r="O62" s="16">
        <v>46094</v>
      </c>
      <c r="P62" s="24">
        <f>DATEDIF(N62,O62,"M")</f>
        <v>3</v>
      </c>
      <c r="Q62" s="24" t="s">
        <v>157</v>
      </c>
      <c r="R62" s="24" t="s">
        <v>1391</v>
      </c>
      <c r="S62" s="17">
        <v>58.24</v>
      </c>
      <c r="T62" s="18">
        <v>0.7</v>
      </c>
      <c r="U62" s="15" t="s">
        <v>60</v>
      </c>
      <c r="V62" s="15" t="s">
        <v>135</v>
      </c>
      <c r="W62" s="17">
        <v>40.770000000000003</v>
      </c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</row>
    <row r="63" spans="1:55" s="12" customFormat="1" x14ac:dyDescent="0.25">
      <c r="A63" s="15">
        <v>2032650556</v>
      </c>
      <c r="B63" s="15" t="s">
        <v>725</v>
      </c>
      <c r="C63" s="15" t="s">
        <v>726</v>
      </c>
      <c r="D63" s="15" t="str">
        <f>CONCATENATE(C63," ",B63)</f>
        <v>MARIA REYNA</v>
      </c>
      <c r="E63" s="15" t="s">
        <v>170</v>
      </c>
      <c r="F63" s="15" t="s">
        <v>383</v>
      </c>
      <c r="G63" s="15" t="s">
        <v>384</v>
      </c>
      <c r="H63" s="15" t="s">
        <v>384</v>
      </c>
      <c r="I63" s="21" t="s">
        <v>1349</v>
      </c>
      <c r="J63" s="15" t="s">
        <v>344</v>
      </c>
      <c r="K63" s="15" t="s">
        <v>345</v>
      </c>
      <c r="L63" s="15" t="str">
        <f>CONCATENATE(K63," ",J63)</f>
        <v>BARRY BRENNER</v>
      </c>
      <c r="M63" s="15" t="s">
        <v>57</v>
      </c>
      <c r="N63" s="16">
        <v>46004</v>
      </c>
      <c r="O63" s="16">
        <v>46094</v>
      </c>
      <c r="P63" s="24">
        <f>DATEDIF(N63,O63,"M")</f>
        <v>3</v>
      </c>
      <c r="Q63" s="24" t="s">
        <v>157</v>
      </c>
      <c r="R63" s="24" t="s">
        <v>1391</v>
      </c>
      <c r="S63" s="17">
        <v>33.979999999999997</v>
      </c>
      <c r="T63" s="18">
        <v>0.7</v>
      </c>
      <c r="U63" s="15" t="s">
        <v>60</v>
      </c>
      <c r="V63" s="15" t="s">
        <v>135</v>
      </c>
      <c r="W63" s="17">
        <v>23.79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</row>
    <row r="64" spans="1:55" s="12" customFormat="1" x14ac:dyDescent="0.25">
      <c r="A64" s="15">
        <v>2028878699</v>
      </c>
      <c r="B64" s="15" t="s">
        <v>725</v>
      </c>
      <c r="C64" s="15" t="s">
        <v>726</v>
      </c>
      <c r="D64" s="15" t="str">
        <f>CONCATENATE(C64," ",B64)</f>
        <v>MARIA REYNA</v>
      </c>
      <c r="E64" s="15" t="s">
        <v>170</v>
      </c>
      <c r="F64" s="15" t="s">
        <v>363</v>
      </c>
      <c r="G64" s="15" t="s">
        <v>364</v>
      </c>
      <c r="H64" s="15" t="s">
        <v>364</v>
      </c>
      <c r="I64" s="21" t="s">
        <v>1349</v>
      </c>
      <c r="J64" s="15" t="s">
        <v>344</v>
      </c>
      <c r="K64" s="15" t="s">
        <v>345</v>
      </c>
      <c r="L64" s="15" t="str">
        <f>CONCATENATE(K64," ",J64)</f>
        <v>BARRY BRENNER</v>
      </c>
      <c r="M64" s="15" t="s">
        <v>57</v>
      </c>
      <c r="N64" s="16">
        <v>45788</v>
      </c>
      <c r="O64" s="16">
        <v>46092</v>
      </c>
      <c r="P64" s="24">
        <f>DATEDIF(N64,O64,"M")</f>
        <v>10</v>
      </c>
      <c r="Q64" s="24" t="s">
        <v>157</v>
      </c>
      <c r="R64" s="24" t="s">
        <v>1391</v>
      </c>
      <c r="S64" s="17">
        <v>37.5</v>
      </c>
      <c r="T64" s="25">
        <v>0.375</v>
      </c>
      <c r="U64" s="15" t="s">
        <v>60</v>
      </c>
      <c r="V64" s="15" t="s">
        <v>135</v>
      </c>
      <c r="W64" s="17">
        <v>14.06</v>
      </c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</row>
    <row r="65" spans="1:55" s="12" customFormat="1" x14ac:dyDescent="0.25">
      <c r="A65" s="15">
        <v>2028281048</v>
      </c>
      <c r="B65" s="15" t="s">
        <v>704</v>
      </c>
      <c r="C65" s="15" t="s">
        <v>705</v>
      </c>
      <c r="D65" s="15" t="str">
        <f>CONCATENATE(C65," ",B65)</f>
        <v>NICOLE BOERSMA</v>
      </c>
      <c r="E65" s="15" t="s">
        <v>66</v>
      </c>
      <c r="F65" s="15" t="s">
        <v>383</v>
      </c>
      <c r="G65" s="15" t="s">
        <v>384</v>
      </c>
      <c r="H65" s="15" t="s">
        <v>384</v>
      </c>
      <c r="I65" s="21" t="s">
        <v>1349</v>
      </c>
      <c r="J65" s="15" t="s">
        <v>344</v>
      </c>
      <c r="K65" s="15" t="s">
        <v>345</v>
      </c>
      <c r="L65" s="15" t="str">
        <f>CONCATENATE(K65," ",J65)</f>
        <v>BARRY BRENNER</v>
      </c>
      <c r="M65" s="15" t="s">
        <v>57</v>
      </c>
      <c r="N65" s="16">
        <v>45755</v>
      </c>
      <c r="O65" s="16">
        <v>46089</v>
      </c>
      <c r="P65" s="24">
        <f>DATEDIF(N65,O65,"M")</f>
        <v>11</v>
      </c>
      <c r="Q65" s="24" t="s">
        <v>157</v>
      </c>
      <c r="R65" s="24" t="s">
        <v>1391</v>
      </c>
      <c r="S65" s="17">
        <v>24.65</v>
      </c>
      <c r="T65" s="18">
        <v>0.7</v>
      </c>
      <c r="U65" s="15" t="s">
        <v>60</v>
      </c>
      <c r="V65" s="15" t="s">
        <v>135</v>
      </c>
      <c r="W65" s="17">
        <v>17.260000000000002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</row>
    <row r="66" spans="1:55" s="12" customFormat="1" x14ac:dyDescent="0.25">
      <c r="A66" s="15">
        <v>2028281047</v>
      </c>
      <c r="B66" s="15" t="s">
        <v>704</v>
      </c>
      <c r="C66" s="15" t="s">
        <v>705</v>
      </c>
      <c r="D66" s="15" t="str">
        <f>CONCATENATE(C66," ",B66)</f>
        <v>NICOLE BOERSMA</v>
      </c>
      <c r="E66" s="15" t="s">
        <v>66</v>
      </c>
      <c r="F66" s="15" t="s">
        <v>363</v>
      </c>
      <c r="G66" s="15" t="s">
        <v>364</v>
      </c>
      <c r="H66" s="15" t="s">
        <v>364</v>
      </c>
      <c r="I66" s="21" t="s">
        <v>1349</v>
      </c>
      <c r="J66" s="15" t="s">
        <v>344</v>
      </c>
      <c r="K66" s="15" t="s">
        <v>345</v>
      </c>
      <c r="L66" s="15" t="str">
        <f>CONCATENATE(K66," ",J66)</f>
        <v>BARRY BRENNER</v>
      </c>
      <c r="M66" s="15" t="s">
        <v>57</v>
      </c>
      <c r="N66" s="16">
        <v>45755</v>
      </c>
      <c r="O66" s="16">
        <v>46089</v>
      </c>
      <c r="P66" s="24">
        <f>DATEDIF(N66,O66,"M")</f>
        <v>11</v>
      </c>
      <c r="Q66" s="24" t="s">
        <v>157</v>
      </c>
      <c r="R66" s="24" t="s">
        <v>1391</v>
      </c>
      <c r="S66" s="17">
        <v>59.51</v>
      </c>
      <c r="T66" s="25">
        <v>0.375</v>
      </c>
      <c r="U66" s="15" t="s">
        <v>60</v>
      </c>
      <c r="V66" s="15" t="s">
        <v>135</v>
      </c>
      <c r="W66" s="17">
        <v>22.32</v>
      </c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</row>
    <row r="67" spans="1:55" s="12" customFormat="1" x14ac:dyDescent="0.25">
      <c r="A67" s="15">
        <v>2025744022</v>
      </c>
      <c r="B67" s="15" t="s">
        <v>1200</v>
      </c>
      <c r="C67" s="15" t="s">
        <v>420</v>
      </c>
      <c r="D67" s="15" t="str">
        <f>CONCATENATE(C67," ",B67)</f>
        <v>GLORIA PANGAN</v>
      </c>
      <c r="E67" s="15" t="s">
        <v>66</v>
      </c>
      <c r="F67" s="15" t="s">
        <v>383</v>
      </c>
      <c r="G67" s="15" t="s">
        <v>384</v>
      </c>
      <c r="H67" s="15" t="s">
        <v>384</v>
      </c>
      <c r="I67" s="21" t="s">
        <v>1349</v>
      </c>
      <c r="J67" s="15" t="s">
        <v>344</v>
      </c>
      <c r="K67" s="15" t="s">
        <v>345</v>
      </c>
      <c r="L67" s="15" t="str">
        <f>CONCATENATE(K67," ",J67)</f>
        <v>BARRY BRENNER</v>
      </c>
      <c r="M67" s="15" t="s">
        <v>57</v>
      </c>
      <c r="N67" s="16">
        <v>45609</v>
      </c>
      <c r="O67" s="16">
        <v>46094</v>
      </c>
      <c r="P67" s="24">
        <f>DATEDIF(N67,O67,"M")</f>
        <v>16</v>
      </c>
      <c r="Q67" s="24" t="s">
        <v>157</v>
      </c>
      <c r="R67" s="24" t="s">
        <v>1391</v>
      </c>
      <c r="S67" s="17">
        <v>118</v>
      </c>
      <c r="T67" s="18">
        <v>0.15</v>
      </c>
      <c r="U67" s="15" t="s">
        <v>157</v>
      </c>
      <c r="V67" s="15" t="s">
        <v>135</v>
      </c>
      <c r="W67" s="17">
        <v>17.7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</row>
    <row r="68" spans="1:55" s="6" customFormat="1" x14ac:dyDescent="0.25">
      <c r="A68" s="6">
        <v>2029275522</v>
      </c>
      <c r="B68" s="6" t="s">
        <v>733</v>
      </c>
      <c r="C68" s="6" t="s">
        <v>734</v>
      </c>
      <c r="D68" s="6" t="str">
        <f>CONCATENATE(C68," ",B68)</f>
        <v>JENNIFER QUESINBERRY</v>
      </c>
      <c r="E68" s="6" t="s">
        <v>66</v>
      </c>
      <c r="F68" s="6" t="s">
        <v>72</v>
      </c>
      <c r="G68" s="6" t="s">
        <v>79</v>
      </c>
      <c r="H68" s="6" t="s">
        <v>1329</v>
      </c>
      <c r="I68" s="20" t="s">
        <v>1350</v>
      </c>
      <c r="J68" s="6" t="s">
        <v>735</v>
      </c>
      <c r="K68" s="6" t="s">
        <v>736</v>
      </c>
      <c r="L68" s="6" t="str">
        <f>CONCATENATE(K68," ",J68)</f>
        <v>Barry Schumann</v>
      </c>
      <c r="M68" s="6" t="s">
        <v>57</v>
      </c>
      <c r="N68" s="5">
        <v>45815</v>
      </c>
      <c r="O68" s="5">
        <v>46088</v>
      </c>
      <c r="P68" s="23">
        <f>DATEDIF(N68,O68,"M")</f>
        <v>9</v>
      </c>
      <c r="Q68" s="23" t="s">
        <v>157</v>
      </c>
      <c r="R68" s="23" t="s">
        <v>1391</v>
      </c>
      <c r="S68" s="7">
        <v>76.8</v>
      </c>
      <c r="T68" s="13">
        <v>0.75</v>
      </c>
      <c r="U68" s="6" t="s">
        <v>60</v>
      </c>
      <c r="V68" s="6" t="s">
        <v>135</v>
      </c>
      <c r="W68" s="7">
        <v>57.6</v>
      </c>
    </row>
    <row r="69" spans="1:55" s="6" customFormat="1" x14ac:dyDescent="0.25">
      <c r="A69" s="6">
        <v>2029275521</v>
      </c>
      <c r="B69" s="6" t="s">
        <v>733</v>
      </c>
      <c r="C69" s="6" t="s">
        <v>734</v>
      </c>
      <c r="D69" s="6" t="str">
        <f>CONCATENATE(C69," ",B69)</f>
        <v>JENNIFER QUESINBERRY</v>
      </c>
      <c r="E69" s="6" t="s">
        <v>66</v>
      </c>
      <c r="F69" s="6" t="s">
        <v>383</v>
      </c>
      <c r="G69" s="6" t="s">
        <v>384</v>
      </c>
      <c r="H69" s="6" t="s">
        <v>384</v>
      </c>
      <c r="I69" s="20" t="s">
        <v>1350</v>
      </c>
      <c r="J69" s="6" t="s">
        <v>735</v>
      </c>
      <c r="K69" s="6" t="s">
        <v>736</v>
      </c>
      <c r="L69" s="6" t="str">
        <f>CONCATENATE(K69," ",J69)</f>
        <v>Barry Schumann</v>
      </c>
      <c r="M69" s="6" t="s">
        <v>57</v>
      </c>
      <c r="N69" s="5">
        <v>45815</v>
      </c>
      <c r="O69" s="5">
        <v>46088</v>
      </c>
      <c r="P69" s="23">
        <f>DATEDIF(N69,O69,"M")</f>
        <v>9</v>
      </c>
      <c r="Q69" s="23" t="s">
        <v>157</v>
      </c>
      <c r="R69" s="23" t="s">
        <v>1391</v>
      </c>
      <c r="S69" s="7">
        <v>341.13</v>
      </c>
      <c r="T69" s="13">
        <v>0.7</v>
      </c>
      <c r="U69" s="6" t="s">
        <v>60</v>
      </c>
      <c r="V69" s="6" t="s">
        <v>135</v>
      </c>
      <c r="W69" s="7">
        <v>238.79</v>
      </c>
    </row>
    <row r="70" spans="1:55" s="6" customFormat="1" x14ac:dyDescent="0.25">
      <c r="A70" s="6">
        <v>2029275519</v>
      </c>
      <c r="B70" s="6" t="s">
        <v>733</v>
      </c>
      <c r="C70" s="6" t="s">
        <v>734</v>
      </c>
      <c r="D70" s="6" t="str">
        <f>CONCATENATE(C70," ",B70)</f>
        <v>JENNIFER QUESINBERRY</v>
      </c>
      <c r="E70" s="6" t="s">
        <v>66</v>
      </c>
      <c r="F70" s="6" t="s">
        <v>363</v>
      </c>
      <c r="G70" s="6" t="s">
        <v>364</v>
      </c>
      <c r="H70" s="6" t="s">
        <v>364</v>
      </c>
      <c r="I70" s="20" t="s">
        <v>1350</v>
      </c>
      <c r="J70" s="6" t="s">
        <v>735</v>
      </c>
      <c r="K70" s="6" t="s">
        <v>736</v>
      </c>
      <c r="L70" s="6" t="str">
        <f>CONCATENATE(K70," ",J70)</f>
        <v>Barry Schumann</v>
      </c>
      <c r="M70" s="6" t="s">
        <v>57</v>
      </c>
      <c r="N70" s="5">
        <v>45815</v>
      </c>
      <c r="O70" s="5">
        <v>46088</v>
      </c>
      <c r="P70" s="23">
        <f>DATEDIF(N70,O70,"M")</f>
        <v>9</v>
      </c>
      <c r="Q70" s="23" t="s">
        <v>157</v>
      </c>
      <c r="R70" s="23" t="s">
        <v>1391</v>
      </c>
      <c r="S70" s="7">
        <v>156.16</v>
      </c>
      <c r="T70" s="14">
        <v>0.375</v>
      </c>
      <c r="U70" s="6" t="s">
        <v>60</v>
      </c>
      <c r="V70" s="6" t="s">
        <v>135</v>
      </c>
      <c r="W70" s="7">
        <v>58.56</v>
      </c>
    </row>
    <row r="71" spans="1:55" s="6" customFormat="1" x14ac:dyDescent="0.25">
      <c r="A71" s="6">
        <v>2029275520</v>
      </c>
      <c r="B71" s="6" t="s">
        <v>733</v>
      </c>
      <c r="C71" s="6" t="s">
        <v>734</v>
      </c>
      <c r="D71" s="6" t="str">
        <f>CONCATENATE(C71," ",B71)</f>
        <v>JENNIFER QUESINBERRY</v>
      </c>
      <c r="E71" s="6" t="s">
        <v>66</v>
      </c>
      <c r="F71" s="6" t="s">
        <v>383</v>
      </c>
      <c r="G71" s="6" t="s">
        <v>385</v>
      </c>
      <c r="H71" s="6" t="s">
        <v>385</v>
      </c>
      <c r="I71" s="20" t="s">
        <v>1350</v>
      </c>
      <c r="J71" s="6" t="s">
        <v>735</v>
      </c>
      <c r="K71" s="6" t="s">
        <v>736</v>
      </c>
      <c r="L71" s="6" t="str">
        <f>CONCATENATE(K71," ",J71)</f>
        <v>Barry Schumann</v>
      </c>
      <c r="M71" s="6" t="s">
        <v>57</v>
      </c>
      <c r="N71" s="5">
        <v>45815</v>
      </c>
      <c r="O71" s="5">
        <v>46088</v>
      </c>
      <c r="P71" s="23">
        <f>DATEDIF(N71,O71,"M")</f>
        <v>9</v>
      </c>
      <c r="Q71" s="23" t="s">
        <v>157</v>
      </c>
      <c r="R71" s="23" t="s">
        <v>1391</v>
      </c>
      <c r="S71" s="7">
        <v>75.75</v>
      </c>
      <c r="T71" s="13">
        <v>0.9</v>
      </c>
      <c r="U71" s="6" t="s">
        <v>60</v>
      </c>
      <c r="V71" s="6" t="s">
        <v>135</v>
      </c>
      <c r="W71" s="7">
        <v>68.180000000000007</v>
      </c>
    </row>
    <row r="72" spans="1:55" s="6" customFormat="1" x14ac:dyDescent="0.25">
      <c r="A72" s="6">
        <v>2028582349</v>
      </c>
      <c r="B72" s="6" t="s">
        <v>428</v>
      </c>
      <c r="C72" s="6" t="s">
        <v>1249</v>
      </c>
      <c r="D72" s="6" t="str">
        <f>CONCATENATE(C72," ",B72)</f>
        <v>BRITT MOORE</v>
      </c>
      <c r="E72" s="6" t="s">
        <v>66</v>
      </c>
      <c r="F72" s="6" t="s">
        <v>383</v>
      </c>
      <c r="G72" s="6" t="s">
        <v>384</v>
      </c>
      <c r="H72" s="6" t="s">
        <v>384</v>
      </c>
      <c r="I72" s="20" t="s">
        <v>1350</v>
      </c>
      <c r="J72" s="6" t="s">
        <v>735</v>
      </c>
      <c r="K72" s="6" t="s">
        <v>736</v>
      </c>
      <c r="L72" s="6" t="str">
        <f>CONCATENATE(K72," ",J72)</f>
        <v>Barry Schumann</v>
      </c>
      <c r="M72" s="6" t="s">
        <v>57</v>
      </c>
      <c r="N72" s="5">
        <v>45784</v>
      </c>
      <c r="O72" s="5">
        <v>46088</v>
      </c>
      <c r="P72" s="23">
        <f>DATEDIF(N72,O72,"M")</f>
        <v>10</v>
      </c>
      <c r="Q72" s="23" t="s">
        <v>157</v>
      </c>
      <c r="R72" s="23" t="s">
        <v>1391</v>
      </c>
      <c r="S72" s="7">
        <v>77.52</v>
      </c>
      <c r="T72" s="13">
        <v>0.7</v>
      </c>
      <c r="U72" s="6" t="s">
        <v>60</v>
      </c>
      <c r="V72" s="6" t="s">
        <v>135</v>
      </c>
      <c r="W72" s="7">
        <v>54.26</v>
      </c>
    </row>
    <row r="73" spans="1:55" s="6" customFormat="1" x14ac:dyDescent="0.25">
      <c r="A73" s="6">
        <v>2032456510</v>
      </c>
      <c r="B73" s="6" t="s">
        <v>412</v>
      </c>
      <c r="C73" s="6" t="s">
        <v>299</v>
      </c>
      <c r="D73" s="6" t="str">
        <f>CONCATENATE(C73," ",B73)</f>
        <v>PATRICIA DUNN</v>
      </c>
      <c r="E73" s="6" t="s">
        <v>392</v>
      </c>
      <c r="F73" s="6" t="s">
        <v>383</v>
      </c>
      <c r="G73" s="6" t="s">
        <v>843</v>
      </c>
      <c r="H73" s="6" t="s">
        <v>843</v>
      </c>
      <c r="I73" s="20" t="s">
        <v>1351</v>
      </c>
      <c r="J73" s="6" t="s">
        <v>405</v>
      </c>
      <c r="K73" s="6" t="s">
        <v>406</v>
      </c>
      <c r="L73" s="6" t="str">
        <f>CONCATENATE(K73," ",J73)</f>
        <v>Brittany Oliver</v>
      </c>
      <c r="M73" s="6" t="s">
        <v>57</v>
      </c>
      <c r="N73" s="5">
        <v>46023</v>
      </c>
      <c r="O73" s="5">
        <v>46082</v>
      </c>
      <c r="P73" s="23">
        <f>DATEDIF(N73,O73,"M")</f>
        <v>2</v>
      </c>
      <c r="Q73" s="23" t="s">
        <v>157</v>
      </c>
      <c r="R73" s="23" t="s">
        <v>1390</v>
      </c>
      <c r="S73" s="7">
        <v>-24.8</v>
      </c>
      <c r="T73" s="13">
        <v>0.42</v>
      </c>
      <c r="U73" s="6" t="s">
        <v>60</v>
      </c>
      <c r="V73" s="6" t="s">
        <v>135</v>
      </c>
      <c r="W73" s="7">
        <v>-10.42</v>
      </c>
    </row>
    <row r="74" spans="1:55" s="6" customFormat="1" x14ac:dyDescent="0.25">
      <c r="A74" s="6">
        <v>2033020562</v>
      </c>
      <c r="B74" s="6" t="s">
        <v>718</v>
      </c>
      <c r="C74" s="6" t="s">
        <v>555</v>
      </c>
      <c r="D74" s="6" t="str">
        <f>CONCATENATE(C74," ",B74)</f>
        <v>LEE JONES</v>
      </c>
      <c r="E74" s="6" t="s">
        <v>392</v>
      </c>
      <c r="F74" s="6" t="s">
        <v>130</v>
      </c>
      <c r="G74" s="6" t="s">
        <v>404</v>
      </c>
      <c r="H74" s="6" t="s">
        <v>1331</v>
      </c>
      <c r="I74" s="20">
        <v>17554531</v>
      </c>
      <c r="J74" s="6" t="s">
        <v>405</v>
      </c>
      <c r="K74" s="6" t="s">
        <v>406</v>
      </c>
      <c r="L74" s="6" t="str">
        <f>CONCATENATE(K74," ",J74)</f>
        <v>Brittany Oliver</v>
      </c>
      <c r="M74" s="6" t="s">
        <v>57</v>
      </c>
      <c r="N74" s="5">
        <v>46029</v>
      </c>
      <c r="O74" s="5">
        <v>46088</v>
      </c>
      <c r="P74" s="23">
        <f>DATEDIF(N74,O74,"M")</f>
        <v>2</v>
      </c>
      <c r="Q74" s="23" t="s">
        <v>157</v>
      </c>
      <c r="R74" s="23" t="s">
        <v>1390</v>
      </c>
      <c r="S74" s="7">
        <v>375.94</v>
      </c>
      <c r="T74" s="13">
        <v>0.27</v>
      </c>
      <c r="U74" s="6" t="s">
        <v>60</v>
      </c>
      <c r="V74" s="6" t="s">
        <v>135</v>
      </c>
      <c r="W74" s="7">
        <v>101.5</v>
      </c>
    </row>
    <row r="75" spans="1:55" s="6" customFormat="1" x14ac:dyDescent="0.25">
      <c r="A75" s="6">
        <v>2032981348</v>
      </c>
      <c r="B75" s="6" t="s">
        <v>222</v>
      </c>
      <c r="C75" s="6" t="s">
        <v>610</v>
      </c>
      <c r="D75" s="6" t="str">
        <f>CONCATENATE(C75," ",B75)</f>
        <v>BRIDGET LEONARD</v>
      </c>
      <c r="E75" s="6" t="s">
        <v>392</v>
      </c>
      <c r="F75" s="6" t="s">
        <v>130</v>
      </c>
      <c r="G75" s="6" t="s">
        <v>404</v>
      </c>
      <c r="H75" s="6" t="s">
        <v>1331</v>
      </c>
      <c r="I75" s="20">
        <v>17554531</v>
      </c>
      <c r="J75" s="6" t="s">
        <v>405</v>
      </c>
      <c r="K75" s="6" t="s">
        <v>406</v>
      </c>
      <c r="L75" s="6" t="str">
        <f>CONCATENATE(K75," ",J75)</f>
        <v>Brittany Oliver</v>
      </c>
      <c r="M75" s="6" t="s">
        <v>57</v>
      </c>
      <c r="N75" s="5">
        <v>46028</v>
      </c>
      <c r="O75" s="5">
        <v>46087</v>
      </c>
      <c r="P75" s="23">
        <f>DATEDIF(N75,O75,"M")</f>
        <v>2</v>
      </c>
      <c r="Q75" s="23" t="s">
        <v>157</v>
      </c>
      <c r="R75" s="23" t="s">
        <v>1390</v>
      </c>
      <c r="S75" s="7">
        <v>222.35</v>
      </c>
      <c r="T75" s="13">
        <v>0.27</v>
      </c>
      <c r="U75" s="6" t="s">
        <v>60</v>
      </c>
      <c r="V75" s="6" t="s">
        <v>135</v>
      </c>
      <c r="W75" s="7">
        <v>60.03</v>
      </c>
    </row>
    <row r="76" spans="1:55" s="6" customFormat="1" x14ac:dyDescent="0.25">
      <c r="A76" s="6">
        <v>2032981351</v>
      </c>
      <c r="B76" s="6" t="s">
        <v>222</v>
      </c>
      <c r="C76" s="6" t="s">
        <v>610</v>
      </c>
      <c r="D76" s="6" t="str">
        <f>CONCATENATE(C76," ",B76)</f>
        <v>BRIDGET LEONARD</v>
      </c>
      <c r="E76" s="6" t="s">
        <v>392</v>
      </c>
      <c r="F76" s="6" t="s">
        <v>350</v>
      </c>
      <c r="G76" s="6" t="s">
        <v>611</v>
      </c>
      <c r="H76" s="6" t="s">
        <v>1331</v>
      </c>
      <c r="I76" s="20" t="s">
        <v>1351</v>
      </c>
      <c r="J76" s="6" t="s">
        <v>405</v>
      </c>
      <c r="K76" s="6" t="s">
        <v>406</v>
      </c>
      <c r="L76" s="6" t="str">
        <f>CONCATENATE(K76," ",J76)</f>
        <v>Brittany Oliver</v>
      </c>
      <c r="M76" s="6" t="s">
        <v>57</v>
      </c>
      <c r="N76" s="5">
        <v>46028</v>
      </c>
      <c r="O76" s="5">
        <v>46087</v>
      </c>
      <c r="P76" s="23">
        <f>DATEDIF(N76,O76,"M")</f>
        <v>2</v>
      </c>
      <c r="Q76" s="23" t="s">
        <v>157</v>
      </c>
      <c r="R76" s="23" t="s">
        <v>1390</v>
      </c>
      <c r="S76" s="7">
        <v>15</v>
      </c>
      <c r="T76" s="13">
        <v>0.27</v>
      </c>
      <c r="U76" s="6" t="s">
        <v>60</v>
      </c>
      <c r="V76" s="6" t="s">
        <v>135</v>
      </c>
      <c r="W76" s="7">
        <v>4.05</v>
      </c>
    </row>
    <row r="77" spans="1:55" s="6" customFormat="1" x14ac:dyDescent="0.25">
      <c r="A77" s="6">
        <v>2032981349</v>
      </c>
      <c r="B77" s="6" t="s">
        <v>222</v>
      </c>
      <c r="C77" s="6" t="s">
        <v>610</v>
      </c>
      <c r="D77" s="6" t="str">
        <f>CONCATENATE(C77," ",B77)</f>
        <v>BRIDGET LEONARD</v>
      </c>
      <c r="E77" s="6" t="s">
        <v>392</v>
      </c>
      <c r="F77" s="6" t="s">
        <v>130</v>
      </c>
      <c r="G77" s="6" t="s">
        <v>409</v>
      </c>
      <c r="H77" s="6" t="s">
        <v>1331</v>
      </c>
      <c r="I77" s="20">
        <v>17554531</v>
      </c>
      <c r="J77" s="6" t="s">
        <v>405</v>
      </c>
      <c r="K77" s="6" t="s">
        <v>406</v>
      </c>
      <c r="L77" s="6" t="str">
        <f>CONCATENATE(K77," ",J77)</f>
        <v>Brittany Oliver</v>
      </c>
      <c r="M77" s="6" t="s">
        <v>57</v>
      </c>
      <c r="N77" s="5">
        <v>46028</v>
      </c>
      <c r="O77" s="5">
        <v>46087</v>
      </c>
      <c r="P77" s="23">
        <f>DATEDIF(N77,O77,"M")</f>
        <v>2</v>
      </c>
      <c r="Q77" s="23" t="s">
        <v>157</v>
      </c>
      <c r="R77" s="23" t="s">
        <v>1390</v>
      </c>
      <c r="S77" s="7">
        <v>9.9499999999999993</v>
      </c>
      <c r="T77" s="13">
        <v>0.27</v>
      </c>
      <c r="U77" s="6" t="s">
        <v>60</v>
      </c>
      <c r="V77" s="6" t="s">
        <v>135</v>
      </c>
      <c r="W77" s="7">
        <v>2.69</v>
      </c>
    </row>
    <row r="78" spans="1:55" s="6" customFormat="1" x14ac:dyDescent="0.25">
      <c r="A78" s="6">
        <v>2033020563</v>
      </c>
      <c r="B78" s="6" t="s">
        <v>718</v>
      </c>
      <c r="C78" s="6" t="s">
        <v>555</v>
      </c>
      <c r="D78" s="6" t="str">
        <f>CONCATENATE(C78," ",B78)</f>
        <v>LEE JONES</v>
      </c>
      <c r="E78" s="6" t="s">
        <v>392</v>
      </c>
      <c r="F78" s="6" t="s">
        <v>130</v>
      </c>
      <c r="G78" s="6" t="s">
        <v>409</v>
      </c>
      <c r="H78" s="6" t="s">
        <v>1331</v>
      </c>
      <c r="I78" s="20">
        <v>17554531</v>
      </c>
      <c r="J78" s="6" t="s">
        <v>405</v>
      </c>
      <c r="K78" s="6" t="s">
        <v>406</v>
      </c>
      <c r="L78" s="6" t="str">
        <f>CONCATENATE(K78," ",J78)</f>
        <v>Brittany Oliver</v>
      </c>
      <c r="M78" s="6" t="s">
        <v>57</v>
      </c>
      <c r="N78" s="5">
        <v>46029</v>
      </c>
      <c r="O78" s="5">
        <v>46088</v>
      </c>
      <c r="P78" s="23">
        <f>DATEDIF(N78,O78,"M")</f>
        <v>2</v>
      </c>
      <c r="Q78" s="23" t="s">
        <v>157</v>
      </c>
      <c r="R78" s="23" t="s">
        <v>1390</v>
      </c>
      <c r="S78" s="7">
        <v>9.9499999999999993</v>
      </c>
      <c r="T78" s="13">
        <v>0.27</v>
      </c>
      <c r="U78" s="6" t="s">
        <v>60</v>
      </c>
      <c r="V78" s="6" t="s">
        <v>135</v>
      </c>
      <c r="W78" s="7">
        <v>2.69</v>
      </c>
    </row>
    <row r="79" spans="1:55" s="6" customFormat="1" x14ac:dyDescent="0.25">
      <c r="A79" s="6">
        <v>2032981350</v>
      </c>
      <c r="B79" s="6" t="s">
        <v>222</v>
      </c>
      <c r="C79" s="6" t="s">
        <v>610</v>
      </c>
      <c r="D79" s="6" t="str">
        <f>CONCATENATE(C79," ",B79)</f>
        <v>BRIDGET LEONARD</v>
      </c>
      <c r="E79" s="6" t="s">
        <v>392</v>
      </c>
      <c r="F79" s="6" t="s">
        <v>130</v>
      </c>
      <c r="G79" s="6" t="s">
        <v>409</v>
      </c>
      <c r="H79" s="6" t="s">
        <v>1331</v>
      </c>
      <c r="I79" s="20">
        <v>17554531</v>
      </c>
      <c r="J79" s="6" t="s">
        <v>405</v>
      </c>
      <c r="K79" s="6" t="s">
        <v>406</v>
      </c>
      <c r="L79" s="6" t="str">
        <f>CONCATENATE(K79," ",J79)</f>
        <v>Brittany Oliver</v>
      </c>
      <c r="M79" s="6" t="s">
        <v>57</v>
      </c>
      <c r="N79" s="5">
        <v>46028</v>
      </c>
      <c r="O79" s="5">
        <v>46087</v>
      </c>
      <c r="P79" s="23">
        <f>DATEDIF(N79,O79,"M")</f>
        <v>2</v>
      </c>
      <c r="Q79" s="23" t="s">
        <v>157</v>
      </c>
      <c r="R79" s="23" t="s">
        <v>1390</v>
      </c>
      <c r="S79" s="7">
        <v>5</v>
      </c>
      <c r="T79" s="13">
        <v>0.27</v>
      </c>
      <c r="U79" s="6" t="s">
        <v>60</v>
      </c>
      <c r="V79" s="6" t="s">
        <v>135</v>
      </c>
      <c r="W79" s="7">
        <v>1.35</v>
      </c>
    </row>
    <row r="80" spans="1:55" s="6" customFormat="1" x14ac:dyDescent="0.25">
      <c r="A80" s="6">
        <v>2033020564</v>
      </c>
      <c r="B80" s="6" t="s">
        <v>718</v>
      </c>
      <c r="C80" s="6" t="s">
        <v>555</v>
      </c>
      <c r="D80" s="6" t="str">
        <f>CONCATENATE(C80," ",B80)</f>
        <v>LEE JONES</v>
      </c>
      <c r="E80" s="6" t="s">
        <v>392</v>
      </c>
      <c r="F80" s="6" t="s">
        <v>130</v>
      </c>
      <c r="G80" s="6" t="s">
        <v>409</v>
      </c>
      <c r="H80" s="6" t="s">
        <v>1331</v>
      </c>
      <c r="I80" s="20">
        <v>17554531</v>
      </c>
      <c r="J80" s="6" t="s">
        <v>405</v>
      </c>
      <c r="K80" s="6" t="s">
        <v>406</v>
      </c>
      <c r="L80" s="6" t="str">
        <f>CONCATENATE(K80," ",J80)</f>
        <v>Brittany Oliver</v>
      </c>
      <c r="M80" s="6" t="s">
        <v>57</v>
      </c>
      <c r="N80" s="5">
        <v>46029</v>
      </c>
      <c r="O80" s="5">
        <v>46088</v>
      </c>
      <c r="P80" s="23">
        <f>DATEDIF(N80,O80,"M")</f>
        <v>2</v>
      </c>
      <c r="Q80" s="23" t="s">
        <v>157</v>
      </c>
      <c r="R80" s="23" t="s">
        <v>1390</v>
      </c>
      <c r="S80" s="7">
        <v>5</v>
      </c>
      <c r="T80" s="13">
        <v>0.27</v>
      </c>
      <c r="U80" s="6" t="s">
        <v>60</v>
      </c>
      <c r="V80" s="6" t="s">
        <v>135</v>
      </c>
      <c r="W80" s="7">
        <v>1.35</v>
      </c>
    </row>
    <row r="81" spans="1:55" x14ac:dyDescent="0.25">
      <c r="A81" s="15">
        <v>2033012322</v>
      </c>
      <c r="B81" s="15" t="s">
        <v>616</v>
      </c>
      <c r="C81" s="15" t="s">
        <v>617</v>
      </c>
      <c r="D81" s="15" t="str">
        <f>CONCATENATE(C81," ",B81)</f>
        <v>CHASE STRICKLAND</v>
      </c>
      <c r="E81" s="15" t="s">
        <v>170</v>
      </c>
      <c r="F81" s="15" t="s">
        <v>350</v>
      </c>
      <c r="G81" s="15" t="s">
        <v>574</v>
      </c>
      <c r="H81" s="15" t="s">
        <v>1333</v>
      </c>
      <c r="I81" s="21">
        <v>17425766</v>
      </c>
      <c r="J81" s="15" t="s">
        <v>246</v>
      </c>
      <c r="K81" s="15" t="s">
        <v>195</v>
      </c>
      <c r="L81" s="15" t="str">
        <f>CONCATENATE(K81," ",J81)</f>
        <v>CAROL FOLEY</v>
      </c>
      <c r="M81" s="15" t="s">
        <v>57</v>
      </c>
      <c r="N81" s="16">
        <v>46029</v>
      </c>
      <c r="O81" s="16">
        <v>46088</v>
      </c>
      <c r="P81" s="24">
        <f>DATEDIF(N81,O81,"M")</f>
        <v>2</v>
      </c>
      <c r="Q81" s="24" t="s">
        <v>157</v>
      </c>
      <c r="R81" s="24" t="s">
        <v>1391</v>
      </c>
      <c r="S81" s="17">
        <v>15</v>
      </c>
      <c r="T81" s="18">
        <v>0.28999999999999998</v>
      </c>
      <c r="U81" s="15" t="s">
        <v>60</v>
      </c>
      <c r="V81" s="15" t="s">
        <v>135</v>
      </c>
      <c r="W81" s="17">
        <v>4.3499999999999996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</row>
    <row r="82" spans="1:55" x14ac:dyDescent="0.25">
      <c r="A82" s="15">
        <v>2032749838</v>
      </c>
      <c r="B82" s="15" t="s">
        <v>607</v>
      </c>
      <c r="C82" s="15" t="s">
        <v>608</v>
      </c>
      <c r="D82" s="15" t="str">
        <f>CONCATENATE(C82," ",B82)</f>
        <v>IRENE HARALAMBIDIS</v>
      </c>
      <c r="E82" s="15" t="s">
        <v>170</v>
      </c>
      <c r="F82" s="15" t="s">
        <v>350</v>
      </c>
      <c r="G82" s="15" t="s">
        <v>582</v>
      </c>
      <c r="H82" s="15" t="s">
        <v>582</v>
      </c>
      <c r="I82" s="21">
        <v>17425766</v>
      </c>
      <c r="J82" s="15" t="s">
        <v>246</v>
      </c>
      <c r="K82" s="15" t="s">
        <v>195</v>
      </c>
      <c r="L82" s="15" t="str">
        <f>CONCATENATE(K82," ",J82)</f>
        <v>CAROL FOLEY</v>
      </c>
      <c r="M82" s="15" t="s">
        <v>57</v>
      </c>
      <c r="N82" s="16">
        <v>46023</v>
      </c>
      <c r="O82" s="16">
        <v>46082</v>
      </c>
      <c r="P82" s="24">
        <f>DATEDIF(N82,O82,"M")</f>
        <v>2</v>
      </c>
      <c r="Q82" s="24" t="s">
        <v>157</v>
      </c>
      <c r="R82" s="24" t="s">
        <v>1391</v>
      </c>
      <c r="S82" s="17">
        <v>15</v>
      </c>
      <c r="T82" s="18">
        <v>0.38</v>
      </c>
      <c r="U82" s="15" t="s">
        <v>60</v>
      </c>
      <c r="V82" s="15" t="s">
        <v>135</v>
      </c>
      <c r="W82" s="17">
        <v>5.7</v>
      </c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</row>
    <row r="83" spans="1:55" x14ac:dyDescent="0.25">
      <c r="A83" s="15">
        <v>2032749836</v>
      </c>
      <c r="B83" s="15" t="s">
        <v>607</v>
      </c>
      <c r="C83" s="15" t="s">
        <v>608</v>
      </c>
      <c r="D83" s="15" t="str">
        <f>CONCATENATE(C83," ",B83)</f>
        <v>IRENE HARALAMBIDIS</v>
      </c>
      <c r="E83" s="15" t="s">
        <v>170</v>
      </c>
      <c r="F83" s="15" t="s">
        <v>378</v>
      </c>
      <c r="G83" s="15" t="s">
        <v>379</v>
      </c>
      <c r="H83" s="15" t="s">
        <v>379</v>
      </c>
      <c r="I83" s="21">
        <v>17425766</v>
      </c>
      <c r="J83" s="15" t="s">
        <v>246</v>
      </c>
      <c r="K83" s="15" t="s">
        <v>195</v>
      </c>
      <c r="L83" s="15" t="str">
        <f>CONCATENATE(K83," ",J83)</f>
        <v>CAROL FOLEY</v>
      </c>
      <c r="M83" s="15" t="s">
        <v>57</v>
      </c>
      <c r="N83" s="16">
        <v>46023</v>
      </c>
      <c r="O83" s="16">
        <v>46082</v>
      </c>
      <c r="P83" s="24">
        <f>DATEDIF(N83,O83,"M")</f>
        <v>2</v>
      </c>
      <c r="Q83" s="24" t="s">
        <v>157</v>
      </c>
      <c r="R83" s="24" t="s">
        <v>1391</v>
      </c>
      <c r="S83" s="17">
        <v>20.76</v>
      </c>
      <c r="T83" s="18">
        <v>0.38</v>
      </c>
      <c r="U83" s="15" t="s">
        <v>60</v>
      </c>
      <c r="V83" s="15" t="s">
        <v>135</v>
      </c>
      <c r="W83" s="17">
        <v>7.89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</row>
    <row r="84" spans="1:55" x14ac:dyDescent="0.25">
      <c r="A84" s="15">
        <v>2033012321</v>
      </c>
      <c r="B84" s="15" t="s">
        <v>616</v>
      </c>
      <c r="C84" s="15" t="s">
        <v>617</v>
      </c>
      <c r="D84" s="15" t="str">
        <f>CONCATENATE(C84," ",B84)</f>
        <v>CHASE STRICKLAND</v>
      </c>
      <c r="E84" s="15" t="s">
        <v>170</v>
      </c>
      <c r="F84" s="15" t="s">
        <v>130</v>
      </c>
      <c r="G84" s="15" t="s">
        <v>976</v>
      </c>
      <c r="H84" s="15" t="s">
        <v>148</v>
      </c>
      <c r="I84" s="21">
        <v>17425766</v>
      </c>
      <c r="J84" s="15" t="s">
        <v>246</v>
      </c>
      <c r="K84" s="15" t="s">
        <v>195</v>
      </c>
      <c r="L84" s="15" t="str">
        <f>CONCATENATE(K84," ",J84)</f>
        <v>CAROL FOLEY</v>
      </c>
      <c r="M84" s="15" t="s">
        <v>57</v>
      </c>
      <c r="N84" s="16">
        <v>46029</v>
      </c>
      <c r="O84" s="16">
        <v>46088</v>
      </c>
      <c r="P84" s="24">
        <f>DATEDIF(N84,O84,"M")</f>
        <v>2</v>
      </c>
      <c r="Q84" s="24" t="s">
        <v>157</v>
      </c>
      <c r="R84" s="24" t="s">
        <v>1391</v>
      </c>
      <c r="S84" s="17">
        <v>194.94</v>
      </c>
      <c r="T84" s="18">
        <v>0.28999999999999998</v>
      </c>
      <c r="U84" s="15" t="s">
        <v>60</v>
      </c>
      <c r="V84" s="15" t="s">
        <v>135</v>
      </c>
      <c r="W84" s="17">
        <v>56.53</v>
      </c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</row>
    <row r="85" spans="1:55" x14ac:dyDescent="0.25">
      <c r="A85" s="15">
        <v>2032749837</v>
      </c>
      <c r="B85" s="15" t="s">
        <v>607</v>
      </c>
      <c r="C85" s="15" t="s">
        <v>608</v>
      </c>
      <c r="D85" s="15" t="str">
        <f>CONCATENATE(C85," ",B85)</f>
        <v>IRENE HARALAMBIDIS</v>
      </c>
      <c r="E85" s="15" t="s">
        <v>170</v>
      </c>
      <c r="F85" s="15" t="s">
        <v>363</v>
      </c>
      <c r="G85" s="15" t="s">
        <v>364</v>
      </c>
      <c r="H85" s="15" t="s">
        <v>364</v>
      </c>
      <c r="I85" s="21">
        <v>17425766</v>
      </c>
      <c r="J85" s="15" t="s">
        <v>246</v>
      </c>
      <c r="K85" s="15" t="s">
        <v>195</v>
      </c>
      <c r="L85" s="15" t="str">
        <f>CONCATENATE(K85," ",J85)</f>
        <v>CAROL FOLEY</v>
      </c>
      <c r="M85" s="15" t="s">
        <v>57</v>
      </c>
      <c r="N85" s="16">
        <v>46023</v>
      </c>
      <c r="O85" s="16">
        <v>46082</v>
      </c>
      <c r="P85" s="24">
        <f>DATEDIF(N85,O85,"M")</f>
        <v>2</v>
      </c>
      <c r="Q85" s="24" t="s">
        <v>157</v>
      </c>
      <c r="R85" s="24" t="s">
        <v>1391</v>
      </c>
      <c r="S85" s="17">
        <v>43.46</v>
      </c>
      <c r="T85" s="25">
        <v>0.375</v>
      </c>
      <c r="U85" s="15" t="s">
        <v>60</v>
      </c>
      <c r="V85" s="15" t="s">
        <v>135</v>
      </c>
      <c r="W85" s="17">
        <v>16.3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</row>
    <row r="86" spans="1:55" x14ac:dyDescent="0.25">
      <c r="A86" s="15">
        <v>2032634421</v>
      </c>
      <c r="B86" s="15" t="s">
        <v>453</v>
      </c>
      <c r="C86" s="15" t="s">
        <v>603</v>
      </c>
      <c r="D86" s="15" t="str">
        <f>CONCATENATE(C86," ",B86)</f>
        <v>COURTNEY HARDING</v>
      </c>
      <c r="E86" s="15" t="s">
        <v>52</v>
      </c>
      <c r="F86" s="15" t="s">
        <v>350</v>
      </c>
      <c r="G86" s="15" t="s">
        <v>582</v>
      </c>
      <c r="H86" s="15" t="s">
        <v>582</v>
      </c>
      <c r="I86" s="21">
        <v>17425766</v>
      </c>
      <c r="J86" s="15" t="s">
        <v>246</v>
      </c>
      <c r="K86" s="15" t="s">
        <v>195</v>
      </c>
      <c r="L86" s="15" t="str">
        <f>CONCATENATE(K86," ",J86)</f>
        <v>CAROL FOLEY</v>
      </c>
      <c r="M86" s="15" t="s">
        <v>57</v>
      </c>
      <c r="N86" s="16">
        <v>46003</v>
      </c>
      <c r="O86" s="16">
        <v>46093</v>
      </c>
      <c r="P86" s="24">
        <f>DATEDIF(N86,O86,"M")</f>
        <v>3</v>
      </c>
      <c r="Q86" s="24" t="s">
        <v>157</v>
      </c>
      <c r="R86" s="24" t="s">
        <v>1391</v>
      </c>
      <c r="S86" s="17">
        <v>15</v>
      </c>
      <c r="T86" s="18">
        <v>0.38</v>
      </c>
      <c r="U86" s="15" t="s">
        <v>60</v>
      </c>
      <c r="V86" s="15" t="s">
        <v>135</v>
      </c>
      <c r="W86" s="17">
        <v>5.7</v>
      </c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</row>
    <row r="87" spans="1:55" x14ac:dyDescent="0.25">
      <c r="A87" s="15">
        <v>2032576730</v>
      </c>
      <c r="B87" s="15" t="s">
        <v>1117</v>
      </c>
      <c r="C87" s="15" t="s">
        <v>1118</v>
      </c>
      <c r="D87" s="15" t="str">
        <f>CONCATENATE(C87," ",B87)</f>
        <v>DONNA OKTAY</v>
      </c>
      <c r="E87" s="15" t="s">
        <v>52</v>
      </c>
      <c r="F87" s="15" t="s">
        <v>378</v>
      </c>
      <c r="G87" s="15" t="s">
        <v>379</v>
      </c>
      <c r="H87" s="15" t="s">
        <v>379</v>
      </c>
      <c r="I87" s="21">
        <v>17425766</v>
      </c>
      <c r="J87" s="15" t="s">
        <v>246</v>
      </c>
      <c r="K87" s="15" t="s">
        <v>195</v>
      </c>
      <c r="L87" s="15" t="str">
        <f>CONCATENATE(K87," ",J87)</f>
        <v>CAROL FOLEY</v>
      </c>
      <c r="M87" s="15" t="s">
        <v>57</v>
      </c>
      <c r="N87" s="16">
        <v>46000</v>
      </c>
      <c r="O87" s="16">
        <v>46090</v>
      </c>
      <c r="P87" s="24">
        <f>DATEDIF(N87,O87,"M")</f>
        <v>3</v>
      </c>
      <c r="Q87" s="24" t="s">
        <v>157</v>
      </c>
      <c r="R87" s="24" t="s">
        <v>1391</v>
      </c>
      <c r="S87" s="17">
        <v>73.81</v>
      </c>
      <c r="T87" s="18">
        <v>0.38</v>
      </c>
      <c r="U87" s="15" t="s">
        <v>60</v>
      </c>
      <c r="V87" s="15" t="s">
        <v>135</v>
      </c>
      <c r="W87" s="17">
        <v>28.05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</row>
    <row r="88" spans="1:55" x14ac:dyDescent="0.25">
      <c r="A88" s="15">
        <v>2032634420</v>
      </c>
      <c r="B88" s="15" t="s">
        <v>453</v>
      </c>
      <c r="C88" s="15" t="s">
        <v>603</v>
      </c>
      <c r="D88" s="15" t="str">
        <f>CONCATENATE(C88," ",B88)</f>
        <v>COURTNEY HARDING</v>
      </c>
      <c r="E88" s="15" t="s">
        <v>52</v>
      </c>
      <c r="F88" s="15" t="s">
        <v>378</v>
      </c>
      <c r="G88" s="15" t="s">
        <v>379</v>
      </c>
      <c r="H88" s="15" t="s">
        <v>379</v>
      </c>
      <c r="I88" s="21">
        <v>17425766</v>
      </c>
      <c r="J88" s="15" t="s">
        <v>246</v>
      </c>
      <c r="K88" s="15" t="s">
        <v>195</v>
      </c>
      <c r="L88" s="15" t="str">
        <f>CONCATENATE(K88," ",J88)</f>
        <v>CAROL FOLEY</v>
      </c>
      <c r="M88" s="15" t="s">
        <v>57</v>
      </c>
      <c r="N88" s="16">
        <v>46003</v>
      </c>
      <c r="O88" s="16">
        <v>46093</v>
      </c>
      <c r="P88" s="24">
        <f>DATEDIF(N88,O88,"M")</f>
        <v>3</v>
      </c>
      <c r="Q88" s="24" t="s">
        <v>157</v>
      </c>
      <c r="R88" s="24" t="s">
        <v>1391</v>
      </c>
      <c r="S88" s="17">
        <v>58.29</v>
      </c>
      <c r="T88" s="18">
        <v>0.38</v>
      </c>
      <c r="U88" s="15" t="s">
        <v>60</v>
      </c>
      <c r="V88" s="15" t="s">
        <v>135</v>
      </c>
      <c r="W88" s="17">
        <v>22.15</v>
      </c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</row>
    <row r="89" spans="1:55" x14ac:dyDescent="0.25">
      <c r="A89" s="15">
        <v>2025118592</v>
      </c>
      <c r="B89" s="15" t="s">
        <v>1147</v>
      </c>
      <c r="C89" s="15" t="s">
        <v>1148</v>
      </c>
      <c r="D89" s="15" t="str">
        <f>CONCATENATE(C89," ",B89)</f>
        <v>AMY KAMINSKI</v>
      </c>
      <c r="E89" s="15" t="s">
        <v>750</v>
      </c>
      <c r="F89" s="15" t="s">
        <v>1132</v>
      </c>
      <c r="G89" s="15" t="s">
        <v>1133</v>
      </c>
      <c r="H89" s="15" t="s">
        <v>1343</v>
      </c>
      <c r="I89" s="21">
        <v>17425766</v>
      </c>
      <c r="J89" s="15" t="s">
        <v>246</v>
      </c>
      <c r="K89" s="15" t="s">
        <v>195</v>
      </c>
      <c r="L89" s="15" t="str">
        <f>CONCATENATE(K89," ",J89)</f>
        <v>CAROL FOLEY</v>
      </c>
      <c r="M89" s="15" t="s">
        <v>57</v>
      </c>
      <c r="N89" s="16">
        <v>45597</v>
      </c>
      <c r="O89" s="16">
        <v>45717</v>
      </c>
      <c r="P89" s="24">
        <f>DATEDIF(N89,O89,"M")</f>
        <v>4</v>
      </c>
      <c r="Q89" s="24" t="s">
        <v>157</v>
      </c>
      <c r="R89" s="24" t="s">
        <v>1391</v>
      </c>
      <c r="S89" s="17">
        <v>-102.08</v>
      </c>
      <c r="T89" s="18">
        <v>0.26</v>
      </c>
      <c r="U89" s="15" t="s">
        <v>60</v>
      </c>
      <c r="V89" s="15" t="s">
        <v>135</v>
      </c>
      <c r="W89" s="17">
        <v>-26.54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</row>
    <row r="90" spans="1:55" x14ac:dyDescent="0.25">
      <c r="A90" s="15">
        <v>2030380471</v>
      </c>
      <c r="B90" s="15" t="s">
        <v>431</v>
      </c>
      <c r="C90" s="15" t="s">
        <v>432</v>
      </c>
      <c r="D90" s="15" t="str">
        <f>CONCATENATE(C90," ",B90)</f>
        <v>BRANNAN KAWAND</v>
      </c>
      <c r="E90" s="15" t="s">
        <v>52</v>
      </c>
      <c r="F90" s="15" t="s">
        <v>378</v>
      </c>
      <c r="G90" s="15" t="s">
        <v>379</v>
      </c>
      <c r="H90" s="15" t="s">
        <v>379</v>
      </c>
      <c r="I90" s="21">
        <v>17425766</v>
      </c>
      <c r="J90" s="15" t="s">
        <v>246</v>
      </c>
      <c r="K90" s="15" t="s">
        <v>195</v>
      </c>
      <c r="L90" s="15" t="str">
        <f>CONCATENATE(K90," ",J90)</f>
        <v>CAROL FOLEY</v>
      </c>
      <c r="M90" s="15" t="s">
        <v>57</v>
      </c>
      <c r="N90" s="16">
        <v>45877</v>
      </c>
      <c r="O90" s="16">
        <v>46089</v>
      </c>
      <c r="P90" s="24">
        <f>DATEDIF(N90,O90,"M")</f>
        <v>7</v>
      </c>
      <c r="Q90" s="24" t="s">
        <v>157</v>
      </c>
      <c r="R90" s="24" t="s">
        <v>1391</v>
      </c>
      <c r="S90" s="17">
        <v>47.17</v>
      </c>
      <c r="T90" s="18">
        <v>0.38</v>
      </c>
      <c r="U90" s="15" t="s">
        <v>60</v>
      </c>
      <c r="V90" s="15" t="s">
        <v>135</v>
      </c>
      <c r="W90" s="17">
        <v>17.89</v>
      </c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</row>
    <row r="91" spans="1:55" x14ac:dyDescent="0.25">
      <c r="A91" s="15">
        <v>2030367108</v>
      </c>
      <c r="B91" s="15" t="s">
        <v>70</v>
      </c>
      <c r="C91" s="15" t="s">
        <v>764</v>
      </c>
      <c r="D91" s="15" t="str">
        <f>CONCATENATE(C91," ",B91)</f>
        <v>VICKERS CHARLES</v>
      </c>
      <c r="E91" s="15" t="s">
        <v>765</v>
      </c>
      <c r="F91" s="15" t="s">
        <v>383</v>
      </c>
      <c r="G91" s="15" t="s">
        <v>384</v>
      </c>
      <c r="H91" s="15" t="s">
        <v>384</v>
      </c>
      <c r="I91" s="21">
        <v>17425766</v>
      </c>
      <c r="J91" s="15" t="s">
        <v>246</v>
      </c>
      <c r="K91" s="15" t="s">
        <v>195</v>
      </c>
      <c r="L91" s="15" t="str">
        <f>CONCATENATE(K91," ",J91)</f>
        <v>CAROL FOLEY</v>
      </c>
      <c r="M91" s="15" t="s">
        <v>57</v>
      </c>
      <c r="N91" s="16">
        <v>45877</v>
      </c>
      <c r="O91" s="16">
        <v>46089</v>
      </c>
      <c r="P91" s="24">
        <f>DATEDIF(N91,O91,"M")</f>
        <v>7</v>
      </c>
      <c r="Q91" s="24" t="s">
        <v>157</v>
      </c>
      <c r="R91" s="24" t="s">
        <v>1391</v>
      </c>
      <c r="S91" s="17">
        <v>10.82</v>
      </c>
      <c r="T91" s="18">
        <v>0.7</v>
      </c>
      <c r="U91" s="15" t="s">
        <v>60</v>
      </c>
      <c r="V91" s="15" t="s">
        <v>135</v>
      </c>
      <c r="W91" s="17">
        <v>7.55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</row>
    <row r="92" spans="1:55" x14ac:dyDescent="0.25">
      <c r="A92" s="15">
        <v>2030367107</v>
      </c>
      <c r="B92" s="15" t="s">
        <v>70</v>
      </c>
      <c r="C92" s="15" t="s">
        <v>764</v>
      </c>
      <c r="D92" s="15" t="str">
        <f>CONCATENATE(C92," ",B92)</f>
        <v>VICKERS CHARLES</v>
      </c>
      <c r="E92" s="15" t="s">
        <v>765</v>
      </c>
      <c r="F92" s="15" t="s">
        <v>363</v>
      </c>
      <c r="G92" s="15" t="s">
        <v>364</v>
      </c>
      <c r="H92" s="15" t="s">
        <v>364</v>
      </c>
      <c r="I92" s="21">
        <v>17425766</v>
      </c>
      <c r="J92" s="15" t="s">
        <v>246</v>
      </c>
      <c r="K92" s="15" t="s">
        <v>195</v>
      </c>
      <c r="L92" s="15" t="str">
        <f>CONCATENATE(K92," ",J92)</f>
        <v>CAROL FOLEY</v>
      </c>
      <c r="M92" s="15" t="s">
        <v>57</v>
      </c>
      <c r="N92" s="16">
        <v>45877</v>
      </c>
      <c r="O92" s="16">
        <v>46089</v>
      </c>
      <c r="P92" s="24">
        <f>DATEDIF(N92,O92,"M")</f>
        <v>7</v>
      </c>
      <c r="Q92" s="24" t="s">
        <v>157</v>
      </c>
      <c r="R92" s="24" t="s">
        <v>1391</v>
      </c>
      <c r="S92" s="17">
        <v>67.63</v>
      </c>
      <c r="T92" s="25">
        <v>0.375</v>
      </c>
      <c r="U92" s="15" t="s">
        <v>60</v>
      </c>
      <c r="V92" s="15" t="s">
        <v>135</v>
      </c>
      <c r="W92" s="17">
        <v>25.35</v>
      </c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</row>
    <row r="93" spans="1:55" x14ac:dyDescent="0.25">
      <c r="A93" s="15">
        <v>2030380470</v>
      </c>
      <c r="B93" s="15" t="s">
        <v>431</v>
      </c>
      <c r="C93" s="15" t="s">
        <v>432</v>
      </c>
      <c r="D93" s="15" t="str">
        <f>CONCATENATE(C93," ",B93)</f>
        <v>BRANNAN KAWAND</v>
      </c>
      <c r="E93" s="15" t="s">
        <v>52</v>
      </c>
      <c r="F93" s="15" t="s">
        <v>363</v>
      </c>
      <c r="G93" s="15" t="s">
        <v>364</v>
      </c>
      <c r="H93" s="15" t="s">
        <v>364</v>
      </c>
      <c r="I93" s="21">
        <v>17425766</v>
      </c>
      <c r="J93" s="15" t="s">
        <v>246</v>
      </c>
      <c r="K93" s="15" t="s">
        <v>195</v>
      </c>
      <c r="L93" s="15" t="str">
        <f>CONCATENATE(K93," ",J93)</f>
        <v>CAROL FOLEY</v>
      </c>
      <c r="M93" s="15" t="s">
        <v>57</v>
      </c>
      <c r="N93" s="16">
        <v>45877</v>
      </c>
      <c r="O93" s="16">
        <v>46089</v>
      </c>
      <c r="P93" s="24">
        <f>DATEDIF(N93,O93,"M")</f>
        <v>7</v>
      </c>
      <c r="Q93" s="24" t="s">
        <v>157</v>
      </c>
      <c r="R93" s="24" t="s">
        <v>1391</v>
      </c>
      <c r="S93" s="17">
        <v>27.11</v>
      </c>
      <c r="T93" s="25">
        <v>0.375</v>
      </c>
      <c r="U93" s="15" t="s">
        <v>60</v>
      </c>
      <c r="V93" s="15" t="s">
        <v>135</v>
      </c>
      <c r="W93" s="17">
        <v>10.17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</row>
    <row r="94" spans="1:55" x14ac:dyDescent="0.25">
      <c r="A94" s="15">
        <v>2030380472</v>
      </c>
      <c r="B94" s="15" t="s">
        <v>431</v>
      </c>
      <c r="C94" s="15" t="s">
        <v>432</v>
      </c>
      <c r="D94" s="15" t="str">
        <f>CONCATENATE(C94," ",B94)</f>
        <v>BRANNAN KAWAND</v>
      </c>
      <c r="E94" s="15" t="s">
        <v>52</v>
      </c>
      <c r="F94" s="15" t="s">
        <v>53</v>
      </c>
      <c r="G94" s="15" t="s">
        <v>54</v>
      </c>
      <c r="H94" s="15" t="s">
        <v>54</v>
      </c>
      <c r="I94" s="21">
        <v>17425766</v>
      </c>
      <c r="J94" s="15" t="s">
        <v>246</v>
      </c>
      <c r="K94" s="15" t="s">
        <v>195</v>
      </c>
      <c r="L94" s="15" t="str">
        <f>CONCATENATE(K94," ",J94)</f>
        <v>CAROL FOLEY</v>
      </c>
      <c r="M94" s="15" t="s">
        <v>57</v>
      </c>
      <c r="N94" s="16">
        <v>45877</v>
      </c>
      <c r="O94" s="16">
        <v>46089</v>
      </c>
      <c r="P94" s="24">
        <f>DATEDIF(N94,O94,"M")</f>
        <v>7</v>
      </c>
      <c r="Q94" s="24" t="s">
        <v>157</v>
      </c>
      <c r="R94" s="24" t="s">
        <v>1391</v>
      </c>
      <c r="S94" s="17">
        <v>56.69</v>
      </c>
      <c r="T94" s="18">
        <v>0.6</v>
      </c>
      <c r="U94" s="15" t="s">
        <v>60</v>
      </c>
      <c r="V94" s="15" t="s">
        <v>135</v>
      </c>
      <c r="W94" s="17">
        <v>33.99</v>
      </c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</row>
    <row r="95" spans="1:55" x14ac:dyDescent="0.25">
      <c r="A95" s="15">
        <v>2028819908</v>
      </c>
      <c r="B95" s="15" t="s">
        <v>721</v>
      </c>
      <c r="C95" s="15" t="s">
        <v>722</v>
      </c>
      <c r="D95" s="15" t="str">
        <f>CONCATENATE(C95," ",B95)</f>
        <v>JEREMY ESTES</v>
      </c>
      <c r="E95" s="15" t="s">
        <v>52</v>
      </c>
      <c r="F95" s="15" t="s">
        <v>383</v>
      </c>
      <c r="G95" s="15" t="s">
        <v>1172</v>
      </c>
      <c r="H95" s="15" t="s">
        <v>1172</v>
      </c>
      <c r="I95" s="21">
        <v>17425766</v>
      </c>
      <c r="J95" s="15" t="s">
        <v>246</v>
      </c>
      <c r="K95" s="15" t="s">
        <v>195</v>
      </c>
      <c r="L95" s="15" t="str">
        <f>CONCATENATE(K95," ",J95)</f>
        <v>CAROL FOLEY</v>
      </c>
      <c r="M95" s="15" t="s">
        <v>57</v>
      </c>
      <c r="N95" s="16">
        <v>45785</v>
      </c>
      <c r="O95" s="16">
        <v>46089</v>
      </c>
      <c r="P95" s="24">
        <f>DATEDIF(N95,O95,"M")</f>
        <v>10</v>
      </c>
      <c r="Q95" s="24" t="s">
        <v>157</v>
      </c>
      <c r="R95" s="24" t="s">
        <v>1391</v>
      </c>
      <c r="S95" s="17">
        <v>25.73</v>
      </c>
      <c r="T95" s="18">
        <v>0.7</v>
      </c>
      <c r="U95" s="15" t="s">
        <v>60</v>
      </c>
      <c r="V95" s="15" t="s">
        <v>135</v>
      </c>
      <c r="W95" s="17">
        <v>18.010000000000002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</row>
    <row r="96" spans="1:55" x14ac:dyDescent="0.25">
      <c r="A96" s="15">
        <v>2028819907</v>
      </c>
      <c r="B96" s="15" t="s">
        <v>721</v>
      </c>
      <c r="C96" s="15" t="s">
        <v>722</v>
      </c>
      <c r="D96" s="15" t="str">
        <f>CONCATENATE(C96," ",B96)</f>
        <v>JEREMY ESTES</v>
      </c>
      <c r="E96" s="15" t="s">
        <v>52</v>
      </c>
      <c r="F96" s="15" t="s">
        <v>378</v>
      </c>
      <c r="G96" s="15" t="s">
        <v>379</v>
      </c>
      <c r="H96" s="15" t="s">
        <v>379</v>
      </c>
      <c r="I96" s="21">
        <v>17425766</v>
      </c>
      <c r="J96" s="15" t="s">
        <v>246</v>
      </c>
      <c r="K96" s="15" t="s">
        <v>195</v>
      </c>
      <c r="L96" s="15" t="str">
        <f>CONCATENATE(K96," ",J96)</f>
        <v>CAROL FOLEY</v>
      </c>
      <c r="M96" s="15" t="s">
        <v>57</v>
      </c>
      <c r="N96" s="16">
        <v>45785</v>
      </c>
      <c r="O96" s="16">
        <v>46089</v>
      </c>
      <c r="P96" s="24">
        <f>DATEDIF(N96,O96,"M")</f>
        <v>10</v>
      </c>
      <c r="Q96" s="24" t="s">
        <v>157</v>
      </c>
      <c r="R96" s="24" t="s">
        <v>1391</v>
      </c>
      <c r="S96" s="17">
        <v>21.97</v>
      </c>
      <c r="T96" s="18">
        <v>0.38</v>
      </c>
      <c r="U96" s="15" t="s">
        <v>60</v>
      </c>
      <c r="V96" s="15" t="s">
        <v>135</v>
      </c>
      <c r="W96" s="17">
        <v>8.35</v>
      </c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</row>
    <row r="97" spans="1:55" x14ac:dyDescent="0.25">
      <c r="A97" s="15">
        <v>2028819906</v>
      </c>
      <c r="B97" s="15" t="s">
        <v>721</v>
      </c>
      <c r="C97" s="15" t="s">
        <v>722</v>
      </c>
      <c r="D97" s="15" t="str">
        <f>CONCATENATE(C97," ",B97)</f>
        <v>JEREMY ESTES</v>
      </c>
      <c r="E97" s="15" t="s">
        <v>52</v>
      </c>
      <c r="F97" s="15" t="s">
        <v>363</v>
      </c>
      <c r="G97" s="15" t="s">
        <v>364</v>
      </c>
      <c r="H97" s="15" t="s">
        <v>364</v>
      </c>
      <c r="I97" s="21">
        <v>17425766</v>
      </c>
      <c r="J97" s="15" t="s">
        <v>246</v>
      </c>
      <c r="K97" s="15" t="s">
        <v>195</v>
      </c>
      <c r="L97" s="15" t="str">
        <f>CONCATENATE(K97," ",J97)</f>
        <v>CAROL FOLEY</v>
      </c>
      <c r="M97" s="15" t="s">
        <v>57</v>
      </c>
      <c r="N97" s="16">
        <v>45785</v>
      </c>
      <c r="O97" s="16">
        <v>46089</v>
      </c>
      <c r="P97" s="24">
        <f>DATEDIF(N97,O97,"M")</f>
        <v>10</v>
      </c>
      <c r="Q97" s="24" t="s">
        <v>157</v>
      </c>
      <c r="R97" s="24" t="s">
        <v>1391</v>
      </c>
      <c r="S97" s="17">
        <v>32.979999999999997</v>
      </c>
      <c r="T97" s="25">
        <v>0.375</v>
      </c>
      <c r="U97" s="15" t="s">
        <v>60</v>
      </c>
      <c r="V97" s="15" t="s">
        <v>135</v>
      </c>
      <c r="W97" s="17">
        <v>12.37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</row>
    <row r="98" spans="1:55" x14ac:dyDescent="0.25">
      <c r="A98" s="15">
        <v>2027097219</v>
      </c>
      <c r="B98" s="15" t="s">
        <v>820</v>
      </c>
      <c r="C98" s="15" t="s">
        <v>561</v>
      </c>
      <c r="D98" s="15" t="str">
        <f>CONCATENATE(C98," ",B98)</f>
        <v>KURT SWANSON</v>
      </c>
      <c r="E98" s="15" t="s">
        <v>52</v>
      </c>
      <c r="F98" s="15" t="s">
        <v>1132</v>
      </c>
      <c r="G98" s="15" t="s">
        <v>1133</v>
      </c>
      <c r="H98" s="15" t="s">
        <v>1343</v>
      </c>
      <c r="I98" s="21">
        <v>17425766</v>
      </c>
      <c r="J98" s="15" t="s">
        <v>246</v>
      </c>
      <c r="K98" s="15" t="s">
        <v>195</v>
      </c>
      <c r="L98" s="15" t="str">
        <f>CONCATENATE(K98," ",J98)</f>
        <v>CAROL FOLEY</v>
      </c>
      <c r="M98" s="15" t="s">
        <v>57</v>
      </c>
      <c r="N98" s="16">
        <v>45748</v>
      </c>
      <c r="O98" s="16">
        <v>46082</v>
      </c>
      <c r="P98" s="24">
        <f>DATEDIF(N98,O98,"M")</f>
        <v>11</v>
      </c>
      <c r="Q98" s="24" t="s">
        <v>157</v>
      </c>
      <c r="R98" s="24" t="s">
        <v>1391</v>
      </c>
      <c r="S98" s="17">
        <v>147.77000000000001</v>
      </c>
      <c r="T98" s="18">
        <v>0.26</v>
      </c>
      <c r="U98" s="15" t="s">
        <v>60</v>
      </c>
      <c r="V98" s="15" t="s">
        <v>135</v>
      </c>
      <c r="W98" s="17">
        <v>38.42</v>
      </c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</row>
    <row r="99" spans="1:55" x14ac:dyDescent="0.25">
      <c r="A99" s="15">
        <v>2026485483</v>
      </c>
      <c r="B99" s="15" t="s">
        <v>428</v>
      </c>
      <c r="C99" s="15" t="s">
        <v>429</v>
      </c>
      <c r="D99" s="15" t="str">
        <f>CONCATENATE(C99," ",B99)</f>
        <v>WAYNE MOORE</v>
      </c>
      <c r="E99" s="15" t="s">
        <v>112</v>
      </c>
      <c r="F99" s="15" t="s">
        <v>378</v>
      </c>
      <c r="G99" s="15" t="s">
        <v>379</v>
      </c>
      <c r="H99" s="15" t="s">
        <v>379</v>
      </c>
      <c r="I99" s="21">
        <v>17425766</v>
      </c>
      <c r="J99" s="15" t="s">
        <v>246</v>
      </c>
      <c r="K99" s="15" t="s">
        <v>195</v>
      </c>
      <c r="L99" s="15" t="str">
        <f>CONCATENATE(K99," ",J99)</f>
        <v>CAROL FOLEY</v>
      </c>
      <c r="M99" s="15" t="s">
        <v>57</v>
      </c>
      <c r="N99" s="16">
        <v>45665</v>
      </c>
      <c r="O99" s="16">
        <v>46089</v>
      </c>
      <c r="P99" s="24">
        <f>DATEDIF(N99,O99,"M")</f>
        <v>14</v>
      </c>
      <c r="Q99" s="24" t="s">
        <v>157</v>
      </c>
      <c r="R99" s="24" t="s">
        <v>1391</v>
      </c>
      <c r="S99" s="17">
        <v>39.28</v>
      </c>
      <c r="T99" s="18">
        <v>0.1</v>
      </c>
      <c r="U99" s="15" t="s">
        <v>157</v>
      </c>
      <c r="V99" s="15" t="s">
        <v>135</v>
      </c>
      <c r="W99" s="17">
        <v>3.93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</row>
    <row r="100" spans="1:55" x14ac:dyDescent="0.25">
      <c r="A100" s="15">
        <v>2025892048</v>
      </c>
      <c r="B100" s="15" t="s">
        <v>1037</v>
      </c>
      <c r="C100" s="15" t="s">
        <v>1153</v>
      </c>
      <c r="D100" s="15" t="str">
        <f>CONCATENATE(C100," ",B100)</f>
        <v>RONNIE BROWN</v>
      </c>
      <c r="E100" s="15" t="s">
        <v>52</v>
      </c>
      <c r="F100" s="15" t="s">
        <v>1132</v>
      </c>
      <c r="G100" s="15" t="s">
        <v>1154</v>
      </c>
      <c r="H100" s="15" t="s">
        <v>1344</v>
      </c>
      <c r="I100" s="21">
        <v>17425766</v>
      </c>
      <c r="J100" s="15" t="s">
        <v>246</v>
      </c>
      <c r="K100" s="15" t="s">
        <v>195</v>
      </c>
      <c r="L100" s="15" t="str">
        <f>CONCATENATE(K100," ",J100)</f>
        <v>CAROL FOLEY</v>
      </c>
      <c r="M100" s="15" t="s">
        <v>57</v>
      </c>
      <c r="N100" s="16">
        <v>45658</v>
      </c>
      <c r="O100" s="16">
        <v>46082</v>
      </c>
      <c r="P100" s="24">
        <f>DATEDIF(N100,O100,"M")</f>
        <v>14</v>
      </c>
      <c r="Q100" s="24" t="s">
        <v>157</v>
      </c>
      <c r="R100" s="24" t="s">
        <v>1391</v>
      </c>
      <c r="S100" s="17">
        <v>214.75</v>
      </c>
      <c r="T100" s="18">
        <v>0.13</v>
      </c>
      <c r="U100" s="15" t="s">
        <v>157</v>
      </c>
      <c r="V100" s="15" t="s">
        <v>135</v>
      </c>
      <c r="W100" s="17">
        <v>27.92</v>
      </c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</row>
    <row r="101" spans="1:55" x14ac:dyDescent="0.25">
      <c r="A101" s="15">
        <v>2026055288</v>
      </c>
      <c r="B101" s="15" t="s">
        <v>1155</v>
      </c>
      <c r="C101" s="15" t="s">
        <v>285</v>
      </c>
      <c r="D101" s="15" t="str">
        <f>CONCATENATE(C101," ",B101)</f>
        <v>FRANK VERANO</v>
      </c>
      <c r="E101" s="15" t="s">
        <v>52</v>
      </c>
      <c r="F101" s="15" t="s">
        <v>1132</v>
      </c>
      <c r="G101" s="15" t="s">
        <v>1150</v>
      </c>
      <c r="H101" s="15" t="s">
        <v>1343</v>
      </c>
      <c r="I101" s="21">
        <v>17425766</v>
      </c>
      <c r="J101" s="15" t="s">
        <v>246</v>
      </c>
      <c r="K101" s="15" t="s">
        <v>195</v>
      </c>
      <c r="L101" s="15" t="str">
        <f>CONCATENATE(K101," ",J101)</f>
        <v>CAROL FOLEY</v>
      </c>
      <c r="M101" s="15" t="s">
        <v>57</v>
      </c>
      <c r="N101" s="16">
        <v>45658</v>
      </c>
      <c r="O101" s="16">
        <v>46082</v>
      </c>
      <c r="P101" s="24">
        <f>DATEDIF(N101,O101,"M")</f>
        <v>14</v>
      </c>
      <c r="Q101" s="24" t="s">
        <v>157</v>
      </c>
      <c r="R101" s="24" t="s">
        <v>1391</v>
      </c>
      <c r="S101" s="17">
        <v>110.69</v>
      </c>
      <c r="T101" s="18">
        <v>0.28000000000000003</v>
      </c>
      <c r="U101" s="15" t="s">
        <v>157</v>
      </c>
      <c r="V101" s="15" t="s">
        <v>135</v>
      </c>
      <c r="W101" s="17">
        <v>30.99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</row>
    <row r="102" spans="1:55" x14ac:dyDescent="0.25">
      <c r="A102" s="15">
        <v>2026485485</v>
      </c>
      <c r="B102" s="15" t="s">
        <v>428</v>
      </c>
      <c r="C102" s="15" t="s">
        <v>429</v>
      </c>
      <c r="D102" s="15" t="str">
        <f>CONCATENATE(C102," ",B102)</f>
        <v>WAYNE MOORE</v>
      </c>
      <c r="E102" s="15" t="s">
        <v>112</v>
      </c>
      <c r="F102" s="15" t="s">
        <v>363</v>
      </c>
      <c r="G102" s="15" t="s">
        <v>364</v>
      </c>
      <c r="H102" s="15" t="s">
        <v>364</v>
      </c>
      <c r="I102" s="21">
        <v>17425766</v>
      </c>
      <c r="J102" s="15" t="s">
        <v>246</v>
      </c>
      <c r="K102" s="15" t="s">
        <v>195</v>
      </c>
      <c r="L102" s="15" t="str">
        <f>CONCATENATE(K102," ",J102)</f>
        <v>CAROL FOLEY</v>
      </c>
      <c r="M102" s="15" t="s">
        <v>57</v>
      </c>
      <c r="N102" s="16">
        <v>45665</v>
      </c>
      <c r="O102" s="16">
        <v>46089</v>
      </c>
      <c r="P102" s="24">
        <f>DATEDIF(N102,O102,"M")</f>
        <v>14</v>
      </c>
      <c r="Q102" s="24" t="s">
        <v>157</v>
      </c>
      <c r="R102" s="24" t="s">
        <v>1391</v>
      </c>
      <c r="S102" s="17">
        <v>55.63</v>
      </c>
      <c r="T102" s="18">
        <v>0.06</v>
      </c>
      <c r="U102" s="15" t="s">
        <v>157</v>
      </c>
      <c r="V102" s="15" t="s">
        <v>135</v>
      </c>
      <c r="W102" s="17">
        <v>3.34</v>
      </c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</row>
    <row r="103" spans="1:55" x14ac:dyDescent="0.25">
      <c r="A103" s="15">
        <v>2026485484</v>
      </c>
      <c r="B103" s="15" t="s">
        <v>428</v>
      </c>
      <c r="C103" s="15" t="s">
        <v>429</v>
      </c>
      <c r="D103" s="15" t="str">
        <f>CONCATENATE(C103," ",B103)</f>
        <v>WAYNE MOORE</v>
      </c>
      <c r="E103" s="15" t="s">
        <v>112</v>
      </c>
      <c r="F103" s="15" t="s">
        <v>53</v>
      </c>
      <c r="G103" s="15" t="s">
        <v>54</v>
      </c>
      <c r="H103" s="15" t="s">
        <v>54</v>
      </c>
      <c r="I103" s="21">
        <v>17425766</v>
      </c>
      <c r="J103" s="15" t="s">
        <v>246</v>
      </c>
      <c r="K103" s="15" t="s">
        <v>195</v>
      </c>
      <c r="L103" s="15" t="str">
        <f>CONCATENATE(K103," ",J103)</f>
        <v>CAROL FOLEY</v>
      </c>
      <c r="M103" s="15" t="s">
        <v>57</v>
      </c>
      <c r="N103" s="16">
        <v>45665</v>
      </c>
      <c r="O103" s="16">
        <v>46089</v>
      </c>
      <c r="P103" s="24">
        <f>DATEDIF(N103,O103,"M")</f>
        <v>14</v>
      </c>
      <c r="Q103" s="24" t="s">
        <v>157</v>
      </c>
      <c r="R103" s="24" t="s">
        <v>1391</v>
      </c>
      <c r="S103" s="17">
        <v>50.06</v>
      </c>
      <c r="T103" s="25">
        <v>6.5000000000000002E-2</v>
      </c>
      <c r="U103" s="15" t="s">
        <v>157</v>
      </c>
      <c r="V103" s="15" t="s">
        <v>135</v>
      </c>
      <c r="W103" s="17">
        <v>3.25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</row>
    <row r="104" spans="1:55" x14ac:dyDescent="0.25">
      <c r="A104" s="15">
        <v>2025698058</v>
      </c>
      <c r="B104" s="15" t="s">
        <v>184</v>
      </c>
      <c r="C104" s="15" t="s">
        <v>107</v>
      </c>
      <c r="D104" s="15" t="str">
        <f>CONCATENATE(C104," ",B104)</f>
        <v>PAMELA KELLY</v>
      </c>
      <c r="E104" s="15" t="s">
        <v>170</v>
      </c>
      <c r="F104" s="15" t="s">
        <v>350</v>
      </c>
      <c r="G104" s="15" t="s">
        <v>582</v>
      </c>
      <c r="H104" s="15" t="s">
        <v>582</v>
      </c>
      <c r="I104" s="21">
        <v>17425766</v>
      </c>
      <c r="J104" s="15" t="s">
        <v>246</v>
      </c>
      <c r="K104" s="15" t="s">
        <v>195</v>
      </c>
      <c r="L104" s="15" t="str">
        <f>CONCATENATE(K104," ",J104)</f>
        <v>CAROL FOLEY</v>
      </c>
      <c r="M104" s="15" t="s">
        <v>57</v>
      </c>
      <c r="N104" s="16">
        <v>45605</v>
      </c>
      <c r="O104" s="16">
        <v>46090</v>
      </c>
      <c r="P104" s="24">
        <f>DATEDIF(N104,O104,"M")</f>
        <v>16</v>
      </c>
      <c r="Q104" s="24" t="s">
        <v>157</v>
      </c>
      <c r="R104" s="24" t="s">
        <v>1391</v>
      </c>
      <c r="S104" s="17">
        <v>15</v>
      </c>
      <c r="T104" s="18">
        <v>0.1</v>
      </c>
      <c r="U104" s="15" t="s">
        <v>157</v>
      </c>
      <c r="V104" s="15" t="s">
        <v>135</v>
      </c>
      <c r="W104" s="17">
        <v>1.5</v>
      </c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</row>
    <row r="105" spans="1:55" x14ac:dyDescent="0.25">
      <c r="A105" s="15">
        <v>2025737165</v>
      </c>
      <c r="B105" s="15" t="s">
        <v>1088</v>
      </c>
      <c r="C105" s="15" t="s">
        <v>885</v>
      </c>
      <c r="D105" s="15" t="str">
        <f>CONCATENATE(C105," ",B105)</f>
        <v>STACEY STANLEY</v>
      </c>
      <c r="E105" s="15" t="s">
        <v>140</v>
      </c>
      <c r="F105" s="15" t="s">
        <v>350</v>
      </c>
      <c r="G105" s="15" t="s">
        <v>582</v>
      </c>
      <c r="H105" s="15" t="s">
        <v>379</v>
      </c>
      <c r="I105" s="21">
        <v>17425766</v>
      </c>
      <c r="J105" s="15" t="s">
        <v>246</v>
      </c>
      <c r="K105" s="15" t="s">
        <v>195</v>
      </c>
      <c r="L105" s="15" t="str">
        <f>CONCATENATE(K105," ",J105)</f>
        <v>CAROL FOLEY</v>
      </c>
      <c r="M105" s="15" t="s">
        <v>57</v>
      </c>
      <c r="N105" s="16">
        <v>45609</v>
      </c>
      <c r="O105" s="16">
        <v>46094</v>
      </c>
      <c r="P105" s="24">
        <f>DATEDIF(N105,O105,"M")</f>
        <v>16</v>
      </c>
      <c r="Q105" s="24" t="s">
        <v>157</v>
      </c>
      <c r="R105" s="24" t="s">
        <v>1391</v>
      </c>
      <c r="S105" s="17">
        <v>15</v>
      </c>
      <c r="T105" s="18">
        <v>0.1</v>
      </c>
      <c r="U105" s="15" t="s">
        <v>157</v>
      </c>
      <c r="V105" s="15" t="s">
        <v>135</v>
      </c>
      <c r="W105" s="17">
        <v>1.5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</row>
    <row r="106" spans="1:55" x14ac:dyDescent="0.25">
      <c r="A106" s="15">
        <v>2025655643</v>
      </c>
      <c r="B106" s="15" t="s">
        <v>1110</v>
      </c>
      <c r="C106" s="15" t="s">
        <v>1111</v>
      </c>
      <c r="D106" s="15" t="str">
        <f>CONCATENATE(C106," ",B106)</f>
        <v>ROSEANN CONSTANTINO</v>
      </c>
      <c r="E106" s="15" t="s">
        <v>52</v>
      </c>
      <c r="F106" s="15" t="s">
        <v>378</v>
      </c>
      <c r="G106" s="15" t="s">
        <v>379</v>
      </c>
      <c r="H106" s="15" t="s">
        <v>379</v>
      </c>
      <c r="I106" s="21">
        <v>17425766</v>
      </c>
      <c r="J106" s="15" t="s">
        <v>246</v>
      </c>
      <c r="K106" s="15" t="s">
        <v>195</v>
      </c>
      <c r="L106" s="15" t="str">
        <f>CONCATENATE(K106," ",J106)</f>
        <v>CAROL FOLEY</v>
      </c>
      <c r="M106" s="15" t="s">
        <v>57</v>
      </c>
      <c r="N106" s="16">
        <v>45603</v>
      </c>
      <c r="O106" s="16">
        <v>46088</v>
      </c>
      <c r="P106" s="24">
        <f>DATEDIF(N106,O106,"M")</f>
        <v>16</v>
      </c>
      <c r="Q106" s="24" t="s">
        <v>157</v>
      </c>
      <c r="R106" s="24" t="s">
        <v>1391</v>
      </c>
      <c r="S106" s="17">
        <v>55.16</v>
      </c>
      <c r="T106" s="18">
        <v>0.1</v>
      </c>
      <c r="U106" s="15" t="s">
        <v>157</v>
      </c>
      <c r="V106" s="15" t="s">
        <v>135</v>
      </c>
      <c r="W106" s="17">
        <v>5.52</v>
      </c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</row>
    <row r="107" spans="1:55" x14ac:dyDescent="0.25">
      <c r="A107" s="15">
        <v>2025698056</v>
      </c>
      <c r="B107" s="15" t="s">
        <v>184</v>
      </c>
      <c r="C107" s="15" t="s">
        <v>107</v>
      </c>
      <c r="D107" s="15" t="str">
        <f>CONCATENATE(C107," ",B107)</f>
        <v>PAMELA KELLY</v>
      </c>
      <c r="E107" s="15" t="s">
        <v>170</v>
      </c>
      <c r="F107" s="15" t="s">
        <v>378</v>
      </c>
      <c r="G107" s="15" t="s">
        <v>379</v>
      </c>
      <c r="H107" s="15" t="s">
        <v>379</v>
      </c>
      <c r="I107" s="21">
        <v>17425766</v>
      </c>
      <c r="J107" s="15" t="s">
        <v>246</v>
      </c>
      <c r="K107" s="15" t="s">
        <v>195</v>
      </c>
      <c r="L107" s="15" t="str">
        <f>CONCATENATE(K107," ",J107)</f>
        <v>CAROL FOLEY</v>
      </c>
      <c r="M107" s="15" t="s">
        <v>57</v>
      </c>
      <c r="N107" s="16">
        <v>45605</v>
      </c>
      <c r="O107" s="16">
        <v>46090</v>
      </c>
      <c r="P107" s="24">
        <f>DATEDIF(N107,O107,"M")</f>
        <v>16</v>
      </c>
      <c r="Q107" s="24" t="s">
        <v>157</v>
      </c>
      <c r="R107" s="24" t="s">
        <v>1391</v>
      </c>
      <c r="S107" s="17">
        <v>26.12</v>
      </c>
      <c r="T107" s="18">
        <v>0.1</v>
      </c>
      <c r="U107" s="15" t="s">
        <v>157</v>
      </c>
      <c r="V107" s="15" t="s">
        <v>135</v>
      </c>
      <c r="W107" s="17">
        <v>2.61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</row>
    <row r="108" spans="1:55" x14ac:dyDescent="0.25">
      <c r="A108" s="15">
        <v>2025724075</v>
      </c>
      <c r="B108" s="15" t="s">
        <v>1112</v>
      </c>
      <c r="C108" s="15" t="s">
        <v>188</v>
      </c>
      <c r="D108" s="15" t="str">
        <f>CONCATENATE(C108," ",B108)</f>
        <v>MICHAEL GIRGENTI</v>
      </c>
      <c r="E108" s="15" t="s">
        <v>52</v>
      </c>
      <c r="F108" s="15" t="s">
        <v>378</v>
      </c>
      <c r="G108" s="15" t="s">
        <v>379</v>
      </c>
      <c r="H108" s="15" t="s">
        <v>379</v>
      </c>
      <c r="I108" s="21">
        <v>17425766</v>
      </c>
      <c r="J108" s="15" t="s">
        <v>246</v>
      </c>
      <c r="K108" s="15" t="s">
        <v>195</v>
      </c>
      <c r="L108" s="15" t="str">
        <f>CONCATENATE(K108," ",J108)</f>
        <v>CAROL FOLEY</v>
      </c>
      <c r="M108" s="15" t="s">
        <v>57</v>
      </c>
      <c r="N108" s="16">
        <v>45608</v>
      </c>
      <c r="O108" s="16">
        <v>46093</v>
      </c>
      <c r="P108" s="24">
        <f>DATEDIF(N108,O108,"M")</f>
        <v>16</v>
      </c>
      <c r="Q108" s="24" t="s">
        <v>157</v>
      </c>
      <c r="R108" s="24" t="s">
        <v>1391</v>
      </c>
      <c r="S108" s="17">
        <v>53.16</v>
      </c>
      <c r="T108" s="18">
        <v>0.1</v>
      </c>
      <c r="U108" s="15" t="s">
        <v>157</v>
      </c>
      <c r="V108" s="15" t="s">
        <v>135</v>
      </c>
      <c r="W108" s="17">
        <v>5.32</v>
      </c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</row>
    <row r="109" spans="1:55" x14ac:dyDescent="0.25">
      <c r="A109" s="15">
        <v>2025729949</v>
      </c>
      <c r="B109" s="15" t="s">
        <v>1113</v>
      </c>
      <c r="C109" s="15" t="s">
        <v>492</v>
      </c>
      <c r="D109" s="15" t="str">
        <f>CONCATENATE(C109," ",B109)</f>
        <v>WILLIAM MARONSKI</v>
      </c>
      <c r="E109" s="15" t="s">
        <v>52</v>
      </c>
      <c r="F109" s="15" t="s">
        <v>378</v>
      </c>
      <c r="G109" s="15" t="s">
        <v>379</v>
      </c>
      <c r="H109" s="15" t="s">
        <v>379</v>
      </c>
      <c r="I109" s="21">
        <v>17425766</v>
      </c>
      <c r="J109" s="15" t="s">
        <v>246</v>
      </c>
      <c r="K109" s="15" t="s">
        <v>195</v>
      </c>
      <c r="L109" s="15" t="str">
        <f>CONCATENATE(K109," ",J109)</f>
        <v>CAROL FOLEY</v>
      </c>
      <c r="M109" s="15" t="s">
        <v>57</v>
      </c>
      <c r="N109" s="16">
        <v>45609</v>
      </c>
      <c r="O109" s="16">
        <v>46094</v>
      </c>
      <c r="P109" s="24">
        <f>DATEDIF(N109,O109,"M")</f>
        <v>16</v>
      </c>
      <c r="Q109" s="24" t="s">
        <v>157</v>
      </c>
      <c r="R109" s="24" t="s">
        <v>1391</v>
      </c>
      <c r="S109" s="17">
        <v>53.16</v>
      </c>
      <c r="T109" s="18">
        <v>0.1</v>
      </c>
      <c r="U109" s="15" t="s">
        <v>157</v>
      </c>
      <c r="V109" s="15" t="s">
        <v>135</v>
      </c>
      <c r="W109" s="17">
        <v>5.32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</row>
    <row r="110" spans="1:55" x14ac:dyDescent="0.25">
      <c r="A110" s="15">
        <v>2025737164</v>
      </c>
      <c r="B110" s="15" t="s">
        <v>1088</v>
      </c>
      <c r="C110" s="15" t="s">
        <v>885</v>
      </c>
      <c r="D110" s="15" t="str">
        <f>CONCATENATE(C110," ",B110)</f>
        <v>STACEY STANLEY</v>
      </c>
      <c r="E110" s="15" t="s">
        <v>140</v>
      </c>
      <c r="F110" s="15" t="s">
        <v>378</v>
      </c>
      <c r="G110" s="15" t="s">
        <v>379</v>
      </c>
      <c r="H110" s="15" t="s">
        <v>379</v>
      </c>
      <c r="I110" s="21">
        <v>17425766</v>
      </c>
      <c r="J110" s="15" t="s">
        <v>246</v>
      </c>
      <c r="K110" s="15" t="s">
        <v>195</v>
      </c>
      <c r="L110" s="15" t="str">
        <f>CONCATENATE(K110," ",J110)</f>
        <v>CAROL FOLEY</v>
      </c>
      <c r="M110" s="15" t="s">
        <v>57</v>
      </c>
      <c r="N110" s="16">
        <v>45609</v>
      </c>
      <c r="O110" s="16">
        <v>46094</v>
      </c>
      <c r="P110" s="24">
        <f>DATEDIF(N110,O110,"M")</f>
        <v>16</v>
      </c>
      <c r="Q110" s="24" t="s">
        <v>157</v>
      </c>
      <c r="R110" s="24" t="s">
        <v>1391</v>
      </c>
      <c r="S110" s="17">
        <v>26.7</v>
      </c>
      <c r="T110" s="18">
        <v>0.1</v>
      </c>
      <c r="U110" s="15" t="s">
        <v>157</v>
      </c>
      <c r="V110" s="15" t="s">
        <v>135</v>
      </c>
      <c r="W110" s="17">
        <v>2.67</v>
      </c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</row>
    <row r="111" spans="1:55" x14ac:dyDescent="0.25">
      <c r="A111" s="15">
        <v>2025118592</v>
      </c>
      <c r="B111" s="15" t="s">
        <v>1147</v>
      </c>
      <c r="C111" s="15" t="s">
        <v>1148</v>
      </c>
      <c r="D111" s="15" t="str">
        <f>CONCATENATE(C111," ",B111)</f>
        <v>AMY KAMINSKI</v>
      </c>
      <c r="E111" s="15" t="s">
        <v>750</v>
      </c>
      <c r="F111" s="15" t="s">
        <v>1132</v>
      </c>
      <c r="G111" s="15" t="s">
        <v>1133</v>
      </c>
      <c r="H111" s="15" t="s">
        <v>1343</v>
      </c>
      <c r="I111" s="21">
        <v>17425766</v>
      </c>
      <c r="J111" s="15" t="s">
        <v>246</v>
      </c>
      <c r="K111" s="15" t="s">
        <v>195</v>
      </c>
      <c r="L111" s="15" t="str">
        <f>CONCATENATE(K111," ",J111)</f>
        <v>CAROL FOLEY</v>
      </c>
      <c r="M111" s="15" t="s">
        <v>57</v>
      </c>
      <c r="N111" s="16">
        <v>45597</v>
      </c>
      <c r="O111" s="16">
        <v>46082</v>
      </c>
      <c r="P111" s="24">
        <f>DATEDIF(N111,O111,"M")</f>
        <v>16</v>
      </c>
      <c r="Q111" s="24" t="s">
        <v>157</v>
      </c>
      <c r="R111" s="24" t="s">
        <v>1391</v>
      </c>
      <c r="S111" s="17">
        <v>102.08</v>
      </c>
      <c r="T111" s="18">
        <v>0.26</v>
      </c>
      <c r="U111" s="15" t="s">
        <v>157</v>
      </c>
      <c r="V111" s="15" t="s">
        <v>135</v>
      </c>
      <c r="W111" s="17">
        <v>26.54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</row>
    <row r="112" spans="1:55" x14ac:dyDescent="0.25">
      <c r="A112" s="15">
        <v>2025698057</v>
      </c>
      <c r="B112" s="15" t="s">
        <v>184</v>
      </c>
      <c r="C112" s="15" t="s">
        <v>107</v>
      </c>
      <c r="D112" s="15" t="str">
        <f>CONCATENATE(C112," ",B112)</f>
        <v>PAMELA KELLY</v>
      </c>
      <c r="E112" s="15" t="s">
        <v>170</v>
      </c>
      <c r="F112" s="15" t="s">
        <v>363</v>
      </c>
      <c r="G112" s="15" t="s">
        <v>364</v>
      </c>
      <c r="H112" s="15" t="s">
        <v>364</v>
      </c>
      <c r="I112" s="21">
        <v>17425766</v>
      </c>
      <c r="J112" s="15" t="s">
        <v>246</v>
      </c>
      <c r="K112" s="15" t="s">
        <v>195</v>
      </c>
      <c r="L112" s="15" t="str">
        <f>CONCATENATE(K112," ",J112)</f>
        <v>CAROL FOLEY</v>
      </c>
      <c r="M112" s="15" t="s">
        <v>57</v>
      </c>
      <c r="N112" s="16">
        <v>45605</v>
      </c>
      <c r="O112" s="16">
        <v>46090</v>
      </c>
      <c r="P112" s="24">
        <f>DATEDIF(N112,O112,"M")</f>
        <v>16</v>
      </c>
      <c r="Q112" s="24" t="s">
        <v>157</v>
      </c>
      <c r="R112" s="24" t="s">
        <v>1391</v>
      </c>
      <c r="S112" s="17">
        <v>36.119999999999997</v>
      </c>
      <c r="T112" s="18">
        <v>0.06</v>
      </c>
      <c r="U112" s="15" t="s">
        <v>157</v>
      </c>
      <c r="V112" s="15" t="s">
        <v>135</v>
      </c>
      <c r="W112" s="17">
        <v>2.17</v>
      </c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</row>
    <row r="113" spans="1:55" x14ac:dyDescent="0.25">
      <c r="A113" s="15">
        <v>2025271292</v>
      </c>
      <c r="B113" s="15" t="s">
        <v>1108</v>
      </c>
      <c r="C113" s="15" t="s">
        <v>1109</v>
      </c>
      <c r="D113" s="15" t="str">
        <f>CONCATENATE(C113," ",B113)</f>
        <v>JESSICA MULLER</v>
      </c>
      <c r="E113" s="15" t="s">
        <v>52</v>
      </c>
      <c r="F113" s="15" t="s">
        <v>378</v>
      </c>
      <c r="G113" s="15" t="s">
        <v>379</v>
      </c>
      <c r="H113" s="15" t="s">
        <v>379</v>
      </c>
      <c r="I113" s="21">
        <v>17425766</v>
      </c>
      <c r="J113" s="15" t="s">
        <v>246</v>
      </c>
      <c r="K113" s="15" t="s">
        <v>195</v>
      </c>
      <c r="L113" s="15" t="str">
        <f>CONCATENATE(K113," ",J113)</f>
        <v>CAROL FOLEY</v>
      </c>
      <c r="M113" s="15" t="s">
        <v>57</v>
      </c>
      <c r="N113" s="16">
        <v>45577</v>
      </c>
      <c r="O113" s="16">
        <v>46093</v>
      </c>
      <c r="P113" s="24">
        <f>DATEDIF(N113,O113,"M")</f>
        <v>17</v>
      </c>
      <c r="Q113" s="24" t="s">
        <v>157</v>
      </c>
      <c r="R113" s="24" t="s">
        <v>1391</v>
      </c>
      <c r="S113" s="17">
        <v>89.62</v>
      </c>
      <c r="T113" s="18">
        <v>0.1</v>
      </c>
      <c r="U113" s="15" t="s">
        <v>157</v>
      </c>
      <c r="V113" s="15" t="s">
        <v>135</v>
      </c>
      <c r="W113" s="17">
        <v>8.9600000000000009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</row>
    <row r="114" spans="1:55" x14ac:dyDescent="0.25">
      <c r="A114" s="15">
        <v>2024324041</v>
      </c>
      <c r="B114" s="15" t="s">
        <v>1085</v>
      </c>
      <c r="C114" s="15" t="s">
        <v>1086</v>
      </c>
      <c r="D114" s="15" t="str">
        <f>CONCATENATE(C114," ",B114)</f>
        <v>JOSEPHINE ADAMS</v>
      </c>
      <c r="E114" s="15" t="s">
        <v>765</v>
      </c>
      <c r="F114" s="15" t="s">
        <v>350</v>
      </c>
      <c r="G114" s="15" t="s">
        <v>582</v>
      </c>
      <c r="H114" s="15" t="s">
        <v>582</v>
      </c>
      <c r="I114" s="21">
        <v>17425766</v>
      </c>
      <c r="J114" s="15" t="s">
        <v>246</v>
      </c>
      <c r="K114" s="15" t="s">
        <v>195</v>
      </c>
      <c r="L114" s="15" t="str">
        <f>CONCATENATE(K114," ",J114)</f>
        <v>CAROL FOLEY</v>
      </c>
      <c r="M114" s="15" t="s">
        <v>57</v>
      </c>
      <c r="N114" s="16">
        <v>45514</v>
      </c>
      <c r="O114" s="16">
        <v>46091</v>
      </c>
      <c r="P114" s="24">
        <f>DATEDIF(N114,O114,"M")</f>
        <v>19</v>
      </c>
      <c r="Q114" s="24" t="s">
        <v>157</v>
      </c>
      <c r="R114" s="24" t="s">
        <v>1391</v>
      </c>
      <c r="S114" s="17">
        <v>15</v>
      </c>
      <c r="T114" s="18">
        <v>0.1</v>
      </c>
      <c r="U114" s="15" t="s">
        <v>157</v>
      </c>
      <c r="V114" s="15" t="s">
        <v>135</v>
      </c>
      <c r="W114" s="17">
        <v>1.5</v>
      </c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</row>
    <row r="115" spans="1:55" x14ac:dyDescent="0.25">
      <c r="A115" s="15">
        <v>2024033856</v>
      </c>
      <c r="B115" s="15" t="s">
        <v>419</v>
      </c>
      <c r="C115" s="15" t="s">
        <v>420</v>
      </c>
      <c r="D115" s="15" t="str">
        <f>CONCATENATE(C115," ",B115)</f>
        <v>GLORIA HARVEY</v>
      </c>
      <c r="E115" s="15" t="s">
        <v>147</v>
      </c>
      <c r="F115" s="15" t="s">
        <v>378</v>
      </c>
      <c r="G115" s="15" t="s">
        <v>379</v>
      </c>
      <c r="H115" s="15" t="s">
        <v>379</v>
      </c>
      <c r="I115" s="21">
        <v>17425766</v>
      </c>
      <c r="J115" s="15" t="s">
        <v>246</v>
      </c>
      <c r="K115" s="15" t="s">
        <v>195</v>
      </c>
      <c r="L115" s="15" t="str">
        <f>CONCATENATE(K115," ",J115)</f>
        <v>CAROL FOLEY</v>
      </c>
      <c r="M115" s="15" t="s">
        <v>57</v>
      </c>
      <c r="N115" s="16">
        <v>45505</v>
      </c>
      <c r="O115" s="16">
        <v>46082</v>
      </c>
      <c r="P115" s="24">
        <f>DATEDIF(N115,O115,"M")</f>
        <v>19</v>
      </c>
      <c r="Q115" s="24" t="s">
        <v>157</v>
      </c>
      <c r="R115" s="24" t="s">
        <v>1391</v>
      </c>
      <c r="S115" s="17">
        <v>37.83</v>
      </c>
      <c r="T115" s="18">
        <v>0.1</v>
      </c>
      <c r="U115" s="15" t="s">
        <v>157</v>
      </c>
      <c r="V115" s="15" t="s">
        <v>135</v>
      </c>
      <c r="W115" s="17">
        <v>3.78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</row>
    <row r="116" spans="1:55" x14ac:dyDescent="0.25">
      <c r="A116" s="15">
        <v>2024320118</v>
      </c>
      <c r="B116" s="15" t="s">
        <v>421</v>
      </c>
      <c r="C116" s="15" t="s">
        <v>298</v>
      </c>
      <c r="D116" s="15" t="str">
        <f>CONCATENATE(C116," ",B116)</f>
        <v>JAMES OLIVER</v>
      </c>
      <c r="E116" s="15" t="s">
        <v>52</v>
      </c>
      <c r="F116" s="15" t="s">
        <v>378</v>
      </c>
      <c r="G116" s="15" t="s">
        <v>379</v>
      </c>
      <c r="H116" s="15" t="s">
        <v>379</v>
      </c>
      <c r="I116" s="21">
        <v>17425766</v>
      </c>
      <c r="J116" s="15" t="s">
        <v>246</v>
      </c>
      <c r="K116" s="15" t="s">
        <v>195</v>
      </c>
      <c r="L116" s="15" t="str">
        <f>CONCATENATE(K116," ",J116)</f>
        <v>CAROL FOLEY</v>
      </c>
      <c r="M116" s="15" t="s">
        <v>57</v>
      </c>
      <c r="N116" s="16">
        <v>45514</v>
      </c>
      <c r="O116" s="16">
        <v>46091</v>
      </c>
      <c r="P116" s="24">
        <f>DATEDIF(N116,O116,"M")</f>
        <v>19</v>
      </c>
      <c r="Q116" s="24" t="s">
        <v>157</v>
      </c>
      <c r="R116" s="24" t="s">
        <v>1391</v>
      </c>
      <c r="S116" s="17">
        <v>19.309999999999999</v>
      </c>
      <c r="T116" s="18">
        <v>0.1</v>
      </c>
      <c r="U116" s="15" t="s">
        <v>157</v>
      </c>
      <c r="V116" s="15" t="s">
        <v>135</v>
      </c>
      <c r="W116" s="17">
        <v>1.93</v>
      </c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</row>
    <row r="117" spans="1:55" x14ac:dyDescent="0.25">
      <c r="A117" s="15">
        <v>2024324039</v>
      </c>
      <c r="B117" s="15" t="s">
        <v>1085</v>
      </c>
      <c r="C117" s="15" t="s">
        <v>1086</v>
      </c>
      <c r="D117" s="15" t="str">
        <f>CONCATENATE(C117," ",B117)</f>
        <v>JOSEPHINE ADAMS</v>
      </c>
      <c r="E117" s="15" t="s">
        <v>765</v>
      </c>
      <c r="F117" s="15" t="s">
        <v>378</v>
      </c>
      <c r="G117" s="15" t="s">
        <v>379</v>
      </c>
      <c r="H117" s="15" t="s">
        <v>379</v>
      </c>
      <c r="I117" s="21">
        <v>17425766</v>
      </c>
      <c r="J117" s="15" t="s">
        <v>246</v>
      </c>
      <c r="K117" s="15" t="s">
        <v>195</v>
      </c>
      <c r="L117" s="15" t="str">
        <f>CONCATENATE(K117," ",J117)</f>
        <v>CAROL FOLEY</v>
      </c>
      <c r="M117" s="15" t="s">
        <v>57</v>
      </c>
      <c r="N117" s="16">
        <v>45514</v>
      </c>
      <c r="O117" s="16">
        <v>46091</v>
      </c>
      <c r="P117" s="24">
        <f>DATEDIF(N117,O117,"M")</f>
        <v>19</v>
      </c>
      <c r="Q117" s="24" t="s">
        <v>157</v>
      </c>
      <c r="R117" s="24" t="s">
        <v>1391</v>
      </c>
      <c r="S117" s="17">
        <v>11.03</v>
      </c>
      <c r="T117" s="18">
        <v>0.1</v>
      </c>
      <c r="U117" s="15" t="s">
        <v>157</v>
      </c>
      <c r="V117" s="15" t="s">
        <v>135</v>
      </c>
      <c r="W117" s="17">
        <v>1.1000000000000001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</row>
    <row r="118" spans="1:55" x14ac:dyDescent="0.25">
      <c r="A118" s="15">
        <v>2024324040</v>
      </c>
      <c r="B118" s="15" t="s">
        <v>1085</v>
      </c>
      <c r="C118" s="15" t="s">
        <v>1086</v>
      </c>
      <c r="D118" s="15" t="str">
        <f>CONCATENATE(C118," ",B118)</f>
        <v>JOSEPHINE ADAMS</v>
      </c>
      <c r="E118" s="15" t="s">
        <v>765</v>
      </c>
      <c r="F118" s="15" t="s">
        <v>383</v>
      </c>
      <c r="G118" s="15" t="s">
        <v>384</v>
      </c>
      <c r="H118" s="15" t="s">
        <v>384</v>
      </c>
      <c r="I118" s="21">
        <v>17425766</v>
      </c>
      <c r="J118" s="15" t="s">
        <v>246</v>
      </c>
      <c r="K118" s="15" t="s">
        <v>195</v>
      </c>
      <c r="L118" s="15" t="str">
        <f>CONCATENATE(K118," ",J118)</f>
        <v>CAROL FOLEY</v>
      </c>
      <c r="M118" s="15" t="s">
        <v>57</v>
      </c>
      <c r="N118" s="16">
        <v>45514</v>
      </c>
      <c r="O118" s="16">
        <v>46091</v>
      </c>
      <c r="P118" s="24">
        <f>DATEDIF(N118,O118,"M")</f>
        <v>19</v>
      </c>
      <c r="Q118" s="24" t="s">
        <v>157</v>
      </c>
      <c r="R118" s="24" t="s">
        <v>1391</v>
      </c>
      <c r="S118" s="17">
        <v>25.55</v>
      </c>
      <c r="T118" s="18">
        <v>0.15</v>
      </c>
      <c r="U118" s="15" t="s">
        <v>157</v>
      </c>
      <c r="V118" s="15" t="s">
        <v>135</v>
      </c>
      <c r="W118" s="17">
        <v>3.83</v>
      </c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</row>
    <row r="119" spans="1:55" x14ac:dyDescent="0.25">
      <c r="A119" s="15">
        <v>2024320117</v>
      </c>
      <c r="B119" s="15" t="s">
        <v>421</v>
      </c>
      <c r="C119" s="15" t="s">
        <v>298</v>
      </c>
      <c r="D119" s="15" t="str">
        <f>CONCATENATE(C119," ",B119)</f>
        <v>JAMES OLIVER</v>
      </c>
      <c r="E119" s="15" t="s">
        <v>52</v>
      </c>
      <c r="F119" s="15" t="s">
        <v>363</v>
      </c>
      <c r="G119" s="15" t="s">
        <v>364</v>
      </c>
      <c r="H119" s="15" t="s">
        <v>364</v>
      </c>
      <c r="I119" s="21">
        <v>17425766</v>
      </c>
      <c r="J119" s="15" t="s">
        <v>246</v>
      </c>
      <c r="K119" s="15" t="s">
        <v>195</v>
      </c>
      <c r="L119" s="15" t="str">
        <f>CONCATENATE(K119," ",J119)</f>
        <v>CAROL FOLEY</v>
      </c>
      <c r="M119" s="15" t="s">
        <v>57</v>
      </c>
      <c r="N119" s="16">
        <v>45514</v>
      </c>
      <c r="O119" s="16">
        <v>46091</v>
      </c>
      <c r="P119" s="24">
        <f>DATEDIF(N119,O119,"M")</f>
        <v>19</v>
      </c>
      <c r="Q119" s="24" t="s">
        <v>157</v>
      </c>
      <c r="R119" s="24" t="s">
        <v>1391</v>
      </c>
      <c r="S119" s="17">
        <v>44.21</v>
      </c>
      <c r="T119" s="18">
        <v>0.06</v>
      </c>
      <c r="U119" s="15" t="s">
        <v>157</v>
      </c>
      <c r="V119" s="15" t="s">
        <v>135</v>
      </c>
      <c r="W119" s="17">
        <v>2.65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</row>
    <row r="120" spans="1:55" x14ac:dyDescent="0.25">
      <c r="A120" s="15">
        <v>2024033857</v>
      </c>
      <c r="B120" s="15" t="s">
        <v>419</v>
      </c>
      <c r="C120" s="15" t="s">
        <v>420</v>
      </c>
      <c r="D120" s="15" t="str">
        <f>CONCATENATE(C120," ",B120)</f>
        <v>GLORIA HARVEY</v>
      </c>
      <c r="E120" s="15" t="s">
        <v>147</v>
      </c>
      <c r="F120" s="15" t="s">
        <v>53</v>
      </c>
      <c r="G120" s="15" t="s">
        <v>54</v>
      </c>
      <c r="H120" s="15" t="s">
        <v>54</v>
      </c>
      <c r="I120" s="21">
        <v>17425766</v>
      </c>
      <c r="J120" s="15" t="s">
        <v>246</v>
      </c>
      <c r="K120" s="15" t="s">
        <v>195</v>
      </c>
      <c r="L120" s="15" t="str">
        <f>CONCATENATE(K120," ",J120)</f>
        <v>CAROL FOLEY</v>
      </c>
      <c r="M120" s="15" t="s">
        <v>57</v>
      </c>
      <c r="N120" s="16">
        <v>45505</v>
      </c>
      <c r="O120" s="16">
        <v>46082</v>
      </c>
      <c r="P120" s="24">
        <f>DATEDIF(N120,O120,"M")</f>
        <v>19</v>
      </c>
      <c r="Q120" s="24" t="s">
        <v>157</v>
      </c>
      <c r="R120" s="24" t="s">
        <v>1391</v>
      </c>
      <c r="S120" s="17">
        <v>46.45</v>
      </c>
      <c r="T120" s="25">
        <v>6.5000000000000002E-2</v>
      </c>
      <c r="U120" s="15" t="s">
        <v>157</v>
      </c>
      <c r="V120" s="15" t="s">
        <v>135</v>
      </c>
      <c r="W120" s="17">
        <v>3.02</v>
      </c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</row>
    <row r="121" spans="1:55" x14ac:dyDescent="0.25">
      <c r="A121" s="15">
        <v>2024320119</v>
      </c>
      <c r="B121" s="15" t="s">
        <v>421</v>
      </c>
      <c r="C121" s="15" t="s">
        <v>298</v>
      </c>
      <c r="D121" s="15" t="str">
        <f>CONCATENATE(C121," ",B121)</f>
        <v>JAMES OLIVER</v>
      </c>
      <c r="E121" s="15" t="s">
        <v>52</v>
      </c>
      <c r="F121" s="15" t="s">
        <v>53</v>
      </c>
      <c r="G121" s="15" t="s">
        <v>54</v>
      </c>
      <c r="H121" s="15" t="s">
        <v>54</v>
      </c>
      <c r="I121" s="21">
        <v>17425766</v>
      </c>
      <c r="J121" s="15" t="s">
        <v>246</v>
      </c>
      <c r="K121" s="15" t="s">
        <v>195</v>
      </c>
      <c r="L121" s="15" t="str">
        <f>CONCATENATE(K121," ",J121)</f>
        <v>CAROL FOLEY</v>
      </c>
      <c r="M121" s="15" t="s">
        <v>57</v>
      </c>
      <c r="N121" s="16">
        <v>45514</v>
      </c>
      <c r="O121" s="16">
        <v>46091</v>
      </c>
      <c r="P121" s="24">
        <f>DATEDIF(N121,O121,"M")</f>
        <v>19</v>
      </c>
      <c r="Q121" s="24" t="s">
        <v>157</v>
      </c>
      <c r="R121" s="24" t="s">
        <v>1391</v>
      </c>
      <c r="S121" s="17">
        <v>46.45</v>
      </c>
      <c r="T121" s="25">
        <v>6.5000000000000002E-2</v>
      </c>
      <c r="U121" s="15" t="s">
        <v>157</v>
      </c>
      <c r="V121" s="15" t="s">
        <v>135</v>
      </c>
      <c r="W121" s="17">
        <v>3.02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</row>
    <row r="122" spans="1:55" x14ac:dyDescent="0.25">
      <c r="A122" s="15">
        <v>2023183893</v>
      </c>
      <c r="B122" s="15" t="s">
        <v>244</v>
      </c>
      <c r="C122" s="15" t="s">
        <v>245</v>
      </c>
      <c r="D122" s="15" t="str">
        <f>CONCATENATE(C122," ",B122)</f>
        <v>RASHID AWAN</v>
      </c>
      <c r="E122" s="15" t="s">
        <v>52</v>
      </c>
      <c r="F122" s="15" t="s">
        <v>152</v>
      </c>
      <c r="G122" s="15" t="s">
        <v>153</v>
      </c>
      <c r="H122" s="15" t="s">
        <v>153</v>
      </c>
      <c r="I122" s="21">
        <v>17425766</v>
      </c>
      <c r="J122" s="15" t="s">
        <v>246</v>
      </c>
      <c r="K122" s="15" t="s">
        <v>195</v>
      </c>
      <c r="L122" s="15" t="str">
        <f>CONCATENATE(K122," ",J122)</f>
        <v>CAROL FOLEY</v>
      </c>
      <c r="M122" s="15" t="s">
        <v>57</v>
      </c>
      <c r="N122" s="16">
        <v>45474</v>
      </c>
      <c r="O122" s="16">
        <v>46082</v>
      </c>
      <c r="P122" s="24">
        <f>DATEDIF(N122,O122,"M")</f>
        <v>20</v>
      </c>
      <c r="Q122" s="24" t="s">
        <v>157</v>
      </c>
      <c r="R122" s="24" t="s">
        <v>1391</v>
      </c>
      <c r="S122" s="17">
        <v>142.08000000000001</v>
      </c>
      <c r="T122" s="25">
        <v>5.2499999999999998E-2</v>
      </c>
      <c r="U122" s="15" t="s">
        <v>157</v>
      </c>
      <c r="V122" s="15" t="s">
        <v>135</v>
      </c>
      <c r="W122" s="17">
        <v>7.46</v>
      </c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</row>
    <row r="123" spans="1:55" x14ac:dyDescent="0.25">
      <c r="A123" s="15">
        <v>2023372598</v>
      </c>
      <c r="B123" s="15" t="s">
        <v>641</v>
      </c>
      <c r="C123" s="15" t="s">
        <v>642</v>
      </c>
      <c r="D123" s="15" t="str">
        <f>CONCATENATE(C123," ",B123)</f>
        <v>KEEVA GARNETT</v>
      </c>
      <c r="E123" s="15" t="s">
        <v>353</v>
      </c>
      <c r="F123" s="15" t="s">
        <v>378</v>
      </c>
      <c r="G123" s="15" t="s">
        <v>379</v>
      </c>
      <c r="H123" s="15" t="s">
        <v>379</v>
      </c>
      <c r="I123" s="21" t="s">
        <v>1352</v>
      </c>
      <c r="J123" s="15" t="s">
        <v>246</v>
      </c>
      <c r="K123" s="15" t="s">
        <v>195</v>
      </c>
      <c r="L123" s="15" t="str">
        <f>CONCATENATE(K123," ",J123)</f>
        <v>CAROL FOLEY</v>
      </c>
      <c r="M123" s="15" t="s">
        <v>57</v>
      </c>
      <c r="N123" s="16">
        <v>45447</v>
      </c>
      <c r="O123" s="16">
        <v>46081</v>
      </c>
      <c r="P123" s="24">
        <f>DATEDIF(N123,O123,"M")</f>
        <v>20</v>
      </c>
      <c r="Q123" s="24" t="s">
        <v>157</v>
      </c>
      <c r="R123" s="24" t="s">
        <v>1391</v>
      </c>
      <c r="S123" s="17">
        <v>-1.49</v>
      </c>
      <c r="T123" s="18">
        <v>0.1</v>
      </c>
      <c r="U123" s="15" t="s">
        <v>157</v>
      </c>
      <c r="V123" s="15" t="s">
        <v>135</v>
      </c>
      <c r="W123" s="17">
        <v>-0.15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</row>
    <row r="124" spans="1:55" x14ac:dyDescent="0.25">
      <c r="A124" s="15">
        <v>2023372600</v>
      </c>
      <c r="B124" s="15" t="s">
        <v>641</v>
      </c>
      <c r="C124" s="15" t="s">
        <v>642</v>
      </c>
      <c r="D124" s="15" t="str">
        <f>CONCATENATE(C124," ",B124)</f>
        <v>KEEVA GARNETT</v>
      </c>
      <c r="E124" s="15" t="s">
        <v>353</v>
      </c>
      <c r="F124" s="15" t="s">
        <v>350</v>
      </c>
      <c r="G124" s="15" t="s">
        <v>582</v>
      </c>
      <c r="H124" s="15" t="s">
        <v>582</v>
      </c>
      <c r="I124" s="21" t="s">
        <v>1352</v>
      </c>
      <c r="J124" s="15" t="s">
        <v>246</v>
      </c>
      <c r="K124" s="15" t="s">
        <v>195</v>
      </c>
      <c r="L124" s="15" t="str">
        <f>CONCATENATE(K124," ",J124)</f>
        <v>CAROL FOLEY</v>
      </c>
      <c r="M124" s="15" t="s">
        <v>57</v>
      </c>
      <c r="N124" s="16">
        <v>45447</v>
      </c>
      <c r="O124" s="16">
        <v>46085</v>
      </c>
      <c r="P124" s="24">
        <f>DATEDIF(N124,O124,"M")</f>
        <v>21</v>
      </c>
      <c r="Q124" s="24" t="s">
        <v>157</v>
      </c>
      <c r="R124" s="24" t="s">
        <v>1391</v>
      </c>
      <c r="S124" s="17">
        <v>15</v>
      </c>
      <c r="T124" s="18">
        <v>0.1</v>
      </c>
      <c r="U124" s="15" t="s">
        <v>157</v>
      </c>
      <c r="V124" s="15" t="s">
        <v>135</v>
      </c>
      <c r="W124" s="17">
        <v>1.5</v>
      </c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</row>
    <row r="125" spans="1:55" x14ac:dyDescent="0.25">
      <c r="A125" s="15">
        <v>2023372598</v>
      </c>
      <c r="B125" s="15" t="s">
        <v>641</v>
      </c>
      <c r="C125" s="15" t="s">
        <v>642</v>
      </c>
      <c r="D125" s="15" t="str">
        <f>CONCATENATE(C125," ",B125)</f>
        <v>KEEVA GARNETT</v>
      </c>
      <c r="E125" s="15" t="s">
        <v>353</v>
      </c>
      <c r="F125" s="15" t="s">
        <v>378</v>
      </c>
      <c r="G125" s="15" t="s">
        <v>379</v>
      </c>
      <c r="H125" s="15" t="s">
        <v>379</v>
      </c>
      <c r="I125" s="21" t="s">
        <v>1352</v>
      </c>
      <c r="J125" s="15" t="s">
        <v>246</v>
      </c>
      <c r="K125" s="15" t="s">
        <v>195</v>
      </c>
      <c r="L125" s="15" t="str">
        <f>CONCATENATE(K125," ",J125)</f>
        <v>CAROL FOLEY</v>
      </c>
      <c r="M125" s="15" t="s">
        <v>57</v>
      </c>
      <c r="N125" s="16">
        <v>45447</v>
      </c>
      <c r="O125" s="16">
        <v>46085</v>
      </c>
      <c r="P125" s="24">
        <f>DATEDIF(N125,O125,"M")</f>
        <v>21</v>
      </c>
      <c r="Q125" s="24" t="s">
        <v>157</v>
      </c>
      <c r="R125" s="24" t="s">
        <v>1391</v>
      </c>
      <c r="S125" s="17">
        <v>24.3</v>
      </c>
      <c r="T125" s="18">
        <v>0.1</v>
      </c>
      <c r="U125" s="15" t="s">
        <v>157</v>
      </c>
      <c r="V125" s="15" t="s">
        <v>135</v>
      </c>
      <c r="W125" s="17">
        <v>2.4300000000000002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</row>
    <row r="126" spans="1:55" x14ac:dyDescent="0.25">
      <c r="A126" s="15">
        <v>2022484796</v>
      </c>
      <c r="B126" s="15" t="s">
        <v>1139</v>
      </c>
      <c r="C126" s="15" t="s">
        <v>188</v>
      </c>
      <c r="D126" s="15" t="str">
        <f>CONCATENATE(C126," ",B126)</f>
        <v>MICHAEL SPROAT</v>
      </c>
      <c r="E126" s="15" t="s">
        <v>52</v>
      </c>
      <c r="F126" s="15" t="s">
        <v>1132</v>
      </c>
      <c r="G126" s="15" t="s">
        <v>1133</v>
      </c>
      <c r="H126" s="15" t="s">
        <v>1343</v>
      </c>
      <c r="I126" s="21" t="s">
        <v>1352</v>
      </c>
      <c r="J126" s="15" t="s">
        <v>246</v>
      </c>
      <c r="K126" s="15" t="s">
        <v>195</v>
      </c>
      <c r="L126" s="15" t="str">
        <f>CONCATENATE(K126," ",J126)</f>
        <v>CAROL FOLEY</v>
      </c>
      <c r="M126" s="15" t="s">
        <v>57</v>
      </c>
      <c r="N126" s="16">
        <v>45383</v>
      </c>
      <c r="O126" s="16">
        <v>46082</v>
      </c>
      <c r="P126" s="24">
        <f>DATEDIF(N126,O126,"M")</f>
        <v>23</v>
      </c>
      <c r="Q126" s="24" t="s">
        <v>157</v>
      </c>
      <c r="R126" s="24" t="s">
        <v>1391</v>
      </c>
      <c r="S126" s="17">
        <v>131.93</v>
      </c>
      <c r="T126" s="18">
        <v>0.26</v>
      </c>
      <c r="U126" s="15" t="s">
        <v>157</v>
      </c>
      <c r="V126" s="15" t="s">
        <v>135</v>
      </c>
      <c r="W126" s="17">
        <v>34.299999999999997</v>
      </c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</row>
    <row r="127" spans="1:55" x14ac:dyDescent="0.25">
      <c r="A127" s="15">
        <v>2021645073</v>
      </c>
      <c r="B127" s="15" t="s">
        <v>637</v>
      </c>
      <c r="C127" s="15" t="s">
        <v>234</v>
      </c>
      <c r="D127" s="15" t="str">
        <f>CONCATENATE(C127," ",B127)</f>
        <v>DIANE DIDONATO</v>
      </c>
      <c r="E127" s="15" t="s">
        <v>52</v>
      </c>
      <c r="F127" s="15" t="s">
        <v>363</v>
      </c>
      <c r="G127" s="15" t="s">
        <v>364</v>
      </c>
      <c r="H127" s="15" t="s">
        <v>364</v>
      </c>
      <c r="I127" s="21" t="s">
        <v>1352</v>
      </c>
      <c r="J127" s="15" t="s">
        <v>246</v>
      </c>
      <c r="K127" s="15" t="s">
        <v>195</v>
      </c>
      <c r="L127" s="15" t="str">
        <f>CONCATENATE(K127," ",J127)</f>
        <v>CAROL FOLEY</v>
      </c>
      <c r="M127" s="15" t="s">
        <v>57</v>
      </c>
      <c r="N127" s="16">
        <v>45356</v>
      </c>
      <c r="O127" s="16">
        <v>46086</v>
      </c>
      <c r="P127" s="24">
        <f>DATEDIF(N127,O127,"M")</f>
        <v>24</v>
      </c>
      <c r="Q127" s="24" t="s">
        <v>157</v>
      </c>
      <c r="R127" s="24" t="s">
        <v>1391</v>
      </c>
      <c r="S127" s="17">
        <v>39.979999999999997</v>
      </c>
      <c r="T127" s="18">
        <v>0.06</v>
      </c>
      <c r="U127" s="15" t="s">
        <v>157</v>
      </c>
      <c r="V127" s="15" t="s">
        <v>135</v>
      </c>
      <c r="W127" s="17">
        <v>2.4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</row>
    <row r="128" spans="1:55" x14ac:dyDescent="0.25">
      <c r="A128" s="15">
        <v>2018695482</v>
      </c>
      <c r="B128" s="15" t="s">
        <v>623</v>
      </c>
      <c r="C128" s="15" t="s">
        <v>188</v>
      </c>
      <c r="D128" s="15" t="str">
        <f>CONCATENATE(C128," ",B128)</f>
        <v>MICHAEL FIGUEROA</v>
      </c>
      <c r="E128" s="15" t="s">
        <v>52</v>
      </c>
      <c r="F128" s="15" t="s">
        <v>363</v>
      </c>
      <c r="G128" s="15" t="s">
        <v>364</v>
      </c>
      <c r="H128" s="15" t="s">
        <v>364</v>
      </c>
      <c r="I128" s="21" t="s">
        <v>1352</v>
      </c>
      <c r="J128" s="15" t="s">
        <v>246</v>
      </c>
      <c r="K128" s="15" t="s">
        <v>195</v>
      </c>
      <c r="L128" s="15" t="str">
        <f>CONCATENATE(K128," ",J128)</f>
        <v>CAROL FOLEY</v>
      </c>
      <c r="M128" s="15" t="s">
        <v>57</v>
      </c>
      <c r="N128" s="16">
        <v>45078</v>
      </c>
      <c r="O128" s="16">
        <v>46082</v>
      </c>
      <c r="P128" s="24">
        <f>DATEDIF(N128,O128,"M")</f>
        <v>33</v>
      </c>
      <c r="Q128" s="24" t="s">
        <v>157</v>
      </c>
      <c r="R128" s="24" t="s">
        <v>1391</v>
      </c>
      <c r="S128" s="17">
        <v>57.29</v>
      </c>
      <c r="T128" s="18">
        <v>0.06</v>
      </c>
      <c r="U128" s="15" t="s">
        <v>157</v>
      </c>
      <c r="V128" s="15" t="s">
        <v>135</v>
      </c>
      <c r="W128" s="17">
        <v>3.44</v>
      </c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</row>
    <row r="129" spans="1:55" x14ac:dyDescent="0.25">
      <c r="A129" s="15">
        <v>2032605130</v>
      </c>
      <c r="B129" s="15" t="s">
        <v>873</v>
      </c>
      <c r="C129" s="15" t="s">
        <v>744</v>
      </c>
      <c r="D129" s="15" t="str">
        <f>CONCATENATE(C129," ",B129)</f>
        <v>CHARLIE BEMORAS</v>
      </c>
      <c r="E129" s="15" t="s">
        <v>66</v>
      </c>
      <c r="F129" s="15" t="s">
        <v>383</v>
      </c>
      <c r="G129" s="15" t="s">
        <v>384</v>
      </c>
      <c r="H129" s="15" t="s">
        <v>384</v>
      </c>
      <c r="I129" s="21">
        <v>20003537</v>
      </c>
      <c r="J129" s="15" t="s">
        <v>108</v>
      </c>
      <c r="K129" s="15" t="s">
        <v>109</v>
      </c>
      <c r="L129" s="15" t="str">
        <f>CONCATENATE(K129," ",J129)</f>
        <v>Chad Yale</v>
      </c>
      <c r="M129" s="15" t="s">
        <v>57</v>
      </c>
      <c r="N129" s="16">
        <v>46002</v>
      </c>
      <c r="O129" s="16">
        <v>46092</v>
      </c>
      <c r="P129" s="24">
        <f>DATEDIF(N129,O129,"M")</f>
        <v>3</v>
      </c>
      <c r="Q129" s="24" t="s">
        <v>157</v>
      </c>
      <c r="R129" s="24" t="s">
        <v>1391</v>
      </c>
      <c r="S129" s="17">
        <v>49.8</v>
      </c>
      <c r="T129" s="18">
        <v>0.7</v>
      </c>
      <c r="U129" s="15" t="s">
        <v>60</v>
      </c>
      <c r="V129" s="15" t="s">
        <v>135</v>
      </c>
      <c r="W129" s="17">
        <v>34.86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</row>
    <row r="130" spans="1:55" x14ac:dyDescent="0.25">
      <c r="A130" s="15">
        <v>2028960906</v>
      </c>
      <c r="B130" s="15" t="s">
        <v>727</v>
      </c>
      <c r="C130" s="15" t="s">
        <v>728</v>
      </c>
      <c r="D130" s="15" t="str">
        <f>CONCATENATE(C130," ",B130)</f>
        <v>LINDSEY SCHOENDIENST</v>
      </c>
      <c r="E130" s="15" t="s">
        <v>66</v>
      </c>
      <c r="F130" s="15" t="s">
        <v>72</v>
      </c>
      <c r="G130" s="15" t="s">
        <v>73</v>
      </c>
      <c r="H130" s="15" t="s">
        <v>1329</v>
      </c>
      <c r="I130" s="21" t="s">
        <v>1353</v>
      </c>
      <c r="J130" s="15" t="s">
        <v>108</v>
      </c>
      <c r="K130" s="15" t="s">
        <v>109</v>
      </c>
      <c r="L130" s="15" t="str">
        <f>CONCATENATE(K130," ",J130)</f>
        <v>Chad Yale</v>
      </c>
      <c r="M130" s="15" t="s">
        <v>57</v>
      </c>
      <c r="N130" s="16">
        <v>45809</v>
      </c>
      <c r="O130" s="16">
        <v>46082</v>
      </c>
      <c r="P130" s="24">
        <f>DATEDIF(N130,O130,"M")</f>
        <v>9</v>
      </c>
      <c r="Q130" s="24" t="s">
        <v>157</v>
      </c>
      <c r="R130" s="24" t="s">
        <v>1391</v>
      </c>
      <c r="S130" s="17">
        <v>13.57</v>
      </c>
      <c r="T130" s="18">
        <v>0.75</v>
      </c>
      <c r="U130" s="15" t="s">
        <v>60</v>
      </c>
      <c r="V130" s="15" t="s">
        <v>135</v>
      </c>
      <c r="W130" s="17">
        <v>10.18</v>
      </c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</row>
    <row r="131" spans="1:55" x14ac:dyDescent="0.25">
      <c r="A131" s="15">
        <v>2028960908</v>
      </c>
      <c r="B131" s="15" t="s">
        <v>727</v>
      </c>
      <c r="C131" s="15" t="s">
        <v>728</v>
      </c>
      <c r="D131" s="15" t="str">
        <f>CONCATENATE(C131," ",B131)</f>
        <v>LINDSEY SCHOENDIENST</v>
      </c>
      <c r="E131" s="15" t="s">
        <v>66</v>
      </c>
      <c r="F131" s="15" t="s">
        <v>363</v>
      </c>
      <c r="G131" s="15" t="s">
        <v>364</v>
      </c>
      <c r="H131" s="15" t="s">
        <v>364</v>
      </c>
      <c r="I131" s="21" t="s">
        <v>1353</v>
      </c>
      <c r="J131" s="15" t="s">
        <v>108</v>
      </c>
      <c r="K131" s="15" t="s">
        <v>109</v>
      </c>
      <c r="L131" s="15" t="str">
        <f>CONCATENATE(K131," ",J131)</f>
        <v>Chad Yale</v>
      </c>
      <c r="M131" s="15" t="s">
        <v>57</v>
      </c>
      <c r="N131" s="16">
        <v>45809</v>
      </c>
      <c r="O131" s="16">
        <v>46082</v>
      </c>
      <c r="P131" s="24">
        <f>DATEDIF(N131,O131,"M")</f>
        <v>9</v>
      </c>
      <c r="Q131" s="24" t="s">
        <v>157</v>
      </c>
      <c r="R131" s="24" t="s">
        <v>1391</v>
      </c>
      <c r="S131" s="17">
        <v>41.17</v>
      </c>
      <c r="T131" s="25">
        <v>0.375</v>
      </c>
      <c r="U131" s="15" t="s">
        <v>60</v>
      </c>
      <c r="V131" s="15" t="s">
        <v>135</v>
      </c>
      <c r="W131" s="17">
        <v>15.44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</row>
    <row r="132" spans="1:55" x14ac:dyDescent="0.25">
      <c r="A132" s="15">
        <v>2028960907</v>
      </c>
      <c r="B132" s="15" t="s">
        <v>727</v>
      </c>
      <c r="C132" s="15" t="s">
        <v>728</v>
      </c>
      <c r="D132" s="15" t="str">
        <f>CONCATENATE(C132," ",B132)</f>
        <v>LINDSEY SCHOENDIENST</v>
      </c>
      <c r="E132" s="15" t="s">
        <v>66</v>
      </c>
      <c r="F132" s="15" t="s">
        <v>383</v>
      </c>
      <c r="G132" s="15" t="s">
        <v>385</v>
      </c>
      <c r="H132" s="15" t="s">
        <v>385</v>
      </c>
      <c r="I132" s="21" t="s">
        <v>1353</v>
      </c>
      <c r="J132" s="15" t="s">
        <v>108</v>
      </c>
      <c r="K132" s="15" t="s">
        <v>109</v>
      </c>
      <c r="L132" s="15" t="str">
        <f>CONCATENATE(K132," ",J132)</f>
        <v>Chad Yale</v>
      </c>
      <c r="M132" s="15" t="s">
        <v>57</v>
      </c>
      <c r="N132" s="16">
        <v>45809</v>
      </c>
      <c r="O132" s="16">
        <v>46082</v>
      </c>
      <c r="P132" s="24">
        <f>DATEDIF(N132,O132,"M")</f>
        <v>9</v>
      </c>
      <c r="Q132" s="24" t="s">
        <v>157</v>
      </c>
      <c r="R132" s="24" t="s">
        <v>1391</v>
      </c>
      <c r="S132" s="17">
        <v>12.92</v>
      </c>
      <c r="T132" s="18">
        <v>0.9</v>
      </c>
      <c r="U132" s="15" t="s">
        <v>60</v>
      </c>
      <c r="V132" s="15" t="s">
        <v>135</v>
      </c>
      <c r="W132" s="17">
        <v>11.63</v>
      </c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</row>
    <row r="133" spans="1:55" x14ac:dyDescent="0.25">
      <c r="A133" s="6">
        <v>2033004230</v>
      </c>
      <c r="B133" s="6" t="s">
        <v>934</v>
      </c>
      <c r="C133" s="6" t="s">
        <v>653</v>
      </c>
      <c r="D133" s="6" t="str">
        <f>CONCATENATE(C133," ",B133)</f>
        <v>KATHRYN SWINSON</v>
      </c>
      <c r="E133" s="6" t="s">
        <v>170</v>
      </c>
      <c r="F133" s="6" t="s">
        <v>383</v>
      </c>
      <c r="G133" s="6" t="s">
        <v>384</v>
      </c>
      <c r="H133" s="6" t="s">
        <v>1336</v>
      </c>
      <c r="I133" s="20" t="s">
        <v>1354</v>
      </c>
      <c r="J133" s="6" t="s">
        <v>303</v>
      </c>
      <c r="K133" s="6" t="s">
        <v>304</v>
      </c>
      <c r="L133" s="6" t="str">
        <f>CONCATENATE(K133," ",J133)</f>
        <v>CHRISTIAN TAUGNER</v>
      </c>
      <c r="M133" s="6" t="s">
        <v>57</v>
      </c>
      <c r="N133" s="5">
        <v>46030</v>
      </c>
      <c r="O133" s="5">
        <v>46089</v>
      </c>
      <c r="P133" s="23">
        <f>DATEDIF(N133,O133,"M")</f>
        <v>2</v>
      </c>
      <c r="Q133" s="23" t="s">
        <v>157</v>
      </c>
      <c r="R133" s="23" t="s">
        <v>1390</v>
      </c>
      <c r="S133" s="7">
        <v>31.23</v>
      </c>
      <c r="T133" s="13">
        <v>0.7</v>
      </c>
      <c r="U133" s="6" t="s">
        <v>60</v>
      </c>
      <c r="V133" s="6" t="s">
        <v>135</v>
      </c>
      <c r="W133" s="7">
        <v>21.86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</row>
    <row r="134" spans="1:55" x14ac:dyDescent="0.25">
      <c r="A134" s="6">
        <v>2033018072</v>
      </c>
      <c r="B134" s="6" t="s">
        <v>937</v>
      </c>
      <c r="C134" s="6" t="s">
        <v>888</v>
      </c>
      <c r="D134" s="6" t="str">
        <f>CONCATENATE(C134," ",B134)</f>
        <v>RONALD BECKER</v>
      </c>
      <c r="E134" s="6" t="s">
        <v>66</v>
      </c>
      <c r="F134" s="6" t="s">
        <v>383</v>
      </c>
      <c r="G134" s="6" t="s">
        <v>384</v>
      </c>
      <c r="H134" s="6" t="s">
        <v>1336</v>
      </c>
      <c r="I134" s="20" t="s">
        <v>1354</v>
      </c>
      <c r="J134" s="6" t="s">
        <v>303</v>
      </c>
      <c r="K134" s="6" t="s">
        <v>304</v>
      </c>
      <c r="L134" s="6" t="str">
        <f>CONCATENATE(K134," ",J134)</f>
        <v>CHRISTIAN TAUGNER</v>
      </c>
      <c r="M134" s="6" t="s">
        <v>57</v>
      </c>
      <c r="N134" s="5">
        <v>46029</v>
      </c>
      <c r="O134" s="5">
        <v>46088</v>
      </c>
      <c r="P134" s="23">
        <f>DATEDIF(N134,O134,"M")</f>
        <v>2</v>
      </c>
      <c r="Q134" s="23" t="s">
        <v>157</v>
      </c>
      <c r="R134" s="23" t="s">
        <v>1390</v>
      </c>
      <c r="S134" s="7">
        <v>11.5</v>
      </c>
      <c r="T134" s="13">
        <v>0.7</v>
      </c>
      <c r="U134" s="6" t="s">
        <v>60</v>
      </c>
      <c r="V134" s="6" t="s">
        <v>135</v>
      </c>
      <c r="W134" s="7">
        <v>8.0500000000000007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</row>
    <row r="135" spans="1:55" x14ac:dyDescent="0.25">
      <c r="A135" s="6">
        <v>2033018071</v>
      </c>
      <c r="B135" s="6" t="s">
        <v>937</v>
      </c>
      <c r="C135" s="6" t="s">
        <v>888</v>
      </c>
      <c r="D135" s="6" t="str">
        <f>CONCATENATE(C135," ",B135)</f>
        <v>RONALD BECKER</v>
      </c>
      <c r="E135" s="6" t="s">
        <v>66</v>
      </c>
      <c r="F135" s="6" t="s">
        <v>363</v>
      </c>
      <c r="G135" s="6" t="s">
        <v>364</v>
      </c>
      <c r="H135" s="6" t="s">
        <v>1338</v>
      </c>
      <c r="I135" s="20" t="s">
        <v>1354</v>
      </c>
      <c r="J135" s="6" t="s">
        <v>303</v>
      </c>
      <c r="K135" s="6" t="s">
        <v>304</v>
      </c>
      <c r="L135" s="6" t="str">
        <f>CONCATENATE(K135," ",J135)</f>
        <v>CHRISTIAN TAUGNER</v>
      </c>
      <c r="M135" s="6" t="s">
        <v>57</v>
      </c>
      <c r="N135" s="5">
        <v>46029</v>
      </c>
      <c r="O135" s="5">
        <v>46088</v>
      </c>
      <c r="P135" s="23">
        <f>DATEDIF(N135,O135,"M")</f>
        <v>2</v>
      </c>
      <c r="Q135" s="23" t="s">
        <v>157</v>
      </c>
      <c r="R135" s="23" t="s">
        <v>1390</v>
      </c>
      <c r="S135" s="7">
        <v>78.760000000000005</v>
      </c>
      <c r="T135" s="14">
        <v>0.375</v>
      </c>
      <c r="U135" s="6" t="s">
        <v>60</v>
      </c>
      <c r="V135" s="6" t="s">
        <v>135</v>
      </c>
      <c r="W135" s="7">
        <v>29.54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</row>
    <row r="136" spans="1:55" x14ac:dyDescent="0.25">
      <c r="A136" s="6">
        <v>2033004231</v>
      </c>
      <c r="B136" s="6" t="s">
        <v>934</v>
      </c>
      <c r="C136" s="6" t="s">
        <v>653</v>
      </c>
      <c r="D136" s="6" t="str">
        <f>CONCATENATE(C136," ",B136)</f>
        <v>KATHRYN SWINSON</v>
      </c>
      <c r="E136" s="6" t="s">
        <v>170</v>
      </c>
      <c r="F136" s="6" t="s">
        <v>72</v>
      </c>
      <c r="G136" s="6" t="s">
        <v>73</v>
      </c>
      <c r="H136" s="6" t="s">
        <v>1329</v>
      </c>
      <c r="I136" s="20" t="s">
        <v>1354</v>
      </c>
      <c r="J136" s="6" t="s">
        <v>303</v>
      </c>
      <c r="K136" s="6" t="s">
        <v>304</v>
      </c>
      <c r="L136" s="6" t="str">
        <f>CONCATENATE(K136," ",J136)</f>
        <v>CHRISTIAN TAUGNER</v>
      </c>
      <c r="M136" s="6" t="s">
        <v>57</v>
      </c>
      <c r="N136" s="5">
        <v>46030</v>
      </c>
      <c r="O136" s="5">
        <v>46089</v>
      </c>
      <c r="P136" s="23">
        <f>DATEDIF(N136,O136,"M")</f>
        <v>2</v>
      </c>
      <c r="Q136" s="23" t="s">
        <v>157</v>
      </c>
      <c r="R136" s="23" t="s">
        <v>1390</v>
      </c>
      <c r="S136" s="7">
        <v>21.19</v>
      </c>
      <c r="T136" s="13">
        <v>0.75</v>
      </c>
      <c r="U136" s="6" t="s">
        <v>60</v>
      </c>
      <c r="V136" s="6" t="s">
        <v>135</v>
      </c>
      <c r="W136" s="7">
        <v>15.89</v>
      </c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</row>
    <row r="137" spans="1:55" s="6" customFormat="1" x14ac:dyDescent="0.25">
      <c r="A137" s="6">
        <v>2032652630</v>
      </c>
      <c r="B137" s="6" t="s">
        <v>898</v>
      </c>
      <c r="C137" s="6" t="s">
        <v>705</v>
      </c>
      <c r="D137" s="6" t="str">
        <f>CONCATENATE(C137," ",B137)</f>
        <v>NICOLE KUCHAR</v>
      </c>
      <c r="E137" s="6" t="s">
        <v>209</v>
      </c>
      <c r="F137" s="6" t="s">
        <v>72</v>
      </c>
      <c r="G137" s="6" t="s">
        <v>73</v>
      </c>
      <c r="H137" s="6" t="s">
        <v>1329</v>
      </c>
      <c r="I137" s="20" t="s">
        <v>1354</v>
      </c>
      <c r="J137" s="6" t="s">
        <v>303</v>
      </c>
      <c r="K137" s="6" t="s">
        <v>304</v>
      </c>
      <c r="L137" s="6" t="str">
        <f>CONCATENATE(K137," ",J137)</f>
        <v>CHRISTIAN TAUGNER</v>
      </c>
      <c r="M137" s="6" t="s">
        <v>57</v>
      </c>
      <c r="N137" s="5">
        <v>46004</v>
      </c>
      <c r="O137" s="5">
        <v>46094</v>
      </c>
      <c r="P137" s="23">
        <f>DATEDIF(N137,O137,"M")</f>
        <v>3</v>
      </c>
      <c r="Q137" s="23" t="s">
        <v>157</v>
      </c>
      <c r="R137" s="23" t="s">
        <v>1390</v>
      </c>
      <c r="S137" s="7">
        <v>46.28</v>
      </c>
      <c r="T137" s="13">
        <v>0.75</v>
      </c>
      <c r="U137" s="6" t="s">
        <v>60</v>
      </c>
      <c r="V137" s="6" t="s">
        <v>135</v>
      </c>
      <c r="W137" s="7">
        <v>34.71</v>
      </c>
    </row>
    <row r="138" spans="1:55" s="6" customFormat="1" x14ac:dyDescent="0.25">
      <c r="A138" s="6">
        <v>2032547051</v>
      </c>
      <c r="B138" s="6" t="s">
        <v>854</v>
      </c>
      <c r="C138" s="6" t="s">
        <v>855</v>
      </c>
      <c r="D138" s="6" t="str">
        <f>CONCATENATE(C138," ",B138)</f>
        <v>BEVERLY WASHINGTON</v>
      </c>
      <c r="E138" s="6" t="s">
        <v>90</v>
      </c>
      <c r="F138" s="6" t="s">
        <v>383</v>
      </c>
      <c r="G138" s="6" t="s">
        <v>384</v>
      </c>
      <c r="H138" s="6" t="s">
        <v>384</v>
      </c>
      <c r="I138" s="20" t="s">
        <v>1354</v>
      </c>
      <c r="J138" s="6" t="s">
        <v>303</v>
      </c>
      <c r="K138" s="6" t="s">
        <v>304</v>
      </c>
      <c r="L138" s="6" t="str">
        <f>CONCATENATE(K138," ",J138)</f>
        <v>CHRISTIAN TAUGNER</v>
      </c>
      <c r="M138" s="6" t="s">
        <v>57</v>
      </c>
      <c r="N138" s="5">
        <v>45998</v>
      </c>
      <c r="O138" s="5">
        <v>46088</v>
      </c>
      <c r="P138" s="23">
        <f>DATEDIF(N138,O138,"M")</f>
        <v>3</v>
      </c>
      <c r="Q138" s="23" t="s">
        <v>157</v>
      </c>
      <c r="R138" s="23" t="s">
        <v>1390</v>
      </c>
      <c r="S138" s="7">
        <v>129.22</v>
      </c>
      <c r="T138" s="13">
        <v>0.7</v>
      </c>
      <c r="U138" s="6" t="s">
        <v>60</v>
      </c>
      <c r="V138" s="6" t="s">
        <v>135</v>
      </c>
      <c r="W138" s="7">
        <v>90.45</v>
      </c>
    </row>
    <row r="139" spans="1:55" s="6" customFormat="1" x14ac:dyDescent="0.25">
      <c r="A139" s="6">
        <v>2032652629</v>
      </c>
      <c r="B139" s="6" t="s">
        <v>898</v>
      </c>
      <c r="C139" s="6" t="s">
        <v>705</v>
      </c>
      <c r="D139" s="6" t="str">
        <f>CONCATENATE(C139," ",B139)</f>
        <v>NICOLE KUCHAR</v>
      </c>
      <c r="E139" s="6" t="s">
        <v>209</v>
      </c>
      <c r="F139" s="6" t="s">
        <v>383</v>
      </c>
      <c r="G139" s="6" t="s">
        <v>384</v>
      </c>
      <c r="H139" s="6" t="s">
        <v>384</v>
      </c>
      <c r="I139" s="20" t="s">
        <v>1354</v>
      </c>
      <c r="J139" s="6" t="s">
        <v>303</v>
      </c>
      <c r="K139" s="6" t="s">
        <v>304</v>
      </c>
      <c r="L139" s="6" t="str">
        <f>CONCATENATE(K139," ",J139)</f>
        <v>CHRISTIAN TAUGNER</v>
      </c>
      <c r="M139" s="6" t="s">
        <v>57</v>
      </c>
      <c r="N139" s="5">
        <v>46004</v>
      </c>
      <c r="O139" s="5">
        <v>46094</v>
      </c>
      <c r="P139" s="23">
        <f>DATEDIF(N139,O139,"M")</f>
        <v>3</v>
      </c>
      <c r="Q139" s="23" t="s">
        <v>157</v>
      </c>
      <c r="R139" s="23" t="s">
        <v>1390</v>
      </c>
      <c r="S139" s="7">
        <v>89.8</v>
      </c>
      <c r="T139" s="13">
        <v>0.7</v>
      </c>
      <c r="U139" s="6" t="s">
        <v>60</v>
      </c>
      <c r="V139" s="6" t="s">
        <v>135</v>
      </c>
      <c r="W139" s="7">
        <v>62.86</v>
      </c>
    </row>
    <row r="140" spans="1:55" s="6" customFormat="1" x14ac:dyDescent="0.25">
      <c r="A140" s="6">
        <v>2032645668</v>
      </c>
      <c r="B140" s="6" t="s">
        <v>894</v>
      </c>
      <c r="C140" s="6" t="s">
        <v>895</v>
      </c>
      <c r="D140" s="6" t="str">
        <f>CONCATENATE(C140," ",B140)</f>
        <v>MARICEL GUERRA</v>
      </c>
      <c r="E140" s="6" t="s">
        <v>209</v>
      </c>
      <c r="F140" s="6" t="s">
        <v>383</v>
      </c>
      <c r="G140" s="6" t="s">
        <v>384</v>
      </c>
      <c r="H140" s="6" t="s">
        <v>384</v>
      </c>
      <c r="I140" s="20" t="s">
        <v>1354</v>
      </c>
      <c r="J140" s="6" t="s">
        <v>303</v>
      </c>
      <c r="K140" s="6" t="s">
        <v>304</v>
      </c>
      <c r="L140" s="6" t="str">
        <f>CONCATENATE(K140," ",J140)</f>
        <v>CHRISTIAN TAUGNER</v>
      </c>
      <c r="M140" s="6" t="s">
        <v>57</v>
      </c>
      <c r="N140" s="5">
        <v>46004</v>
      </c>
      <c r="O140" s="5">
        <v>46094</v>
      </c>
      <c r="P140" s="23">
        <f>DATEDIF(N140,O140,"M")</f>
        <v>3</v>
      </c>
      <c r="Q140" s="23" t="s">
        <v>157</v>
      </c>
      <c r="R140" s="23" t="s">
        <v>1390</v>
      </c>
      <c r="S140" s="7">
        <v>27.18</v>
      </c>
      <c r="T140" s="13">
        <v>0.7</v>
      </c>
      <c r="U140" s="6" t="s">
        <v>60</v>
      </c>
      <c r="V140" s="6" t="s">
        <v>135</v>
      </c>
      <c r="W140" s="7">
        <v>19.03</v>
      </c>
    </row>
    <row r="141" spans="1:55" s="6" customFormat="1" x14ac:dyDescent="0.25">
      <c r="A141" s="6">
        <v>2032547050</v>
      </c>
      <c r="B141" s="6" t="s">
        <v>854</v>
      </c>
      <c r="C141" s="6" t="s">
        <v>855</v>
      </c>
      <c r="D141" s="6" t="str">
        <f>CONCATENATE(C141," ",B141)</f>
        <v>BEVERLY WASHINGTON</v>
      </c>
      <c r="E141" s="6" t="s">
        <v>90</v>
      </c>
      <c r="F141" s="6" t="s">
        <v>363</v>
      </c>
      <c r="G141" s="6" t="s">
        <v>364</v>
      </c>
      <c r="H141" s="6" t="s">
        <v>364</v>
      </c>
      <c r="I141" s="20" t="s">
        <v>1354</v>
      </c>
      <c r="J141" s="6" t="s">
        <v>303</v>
      </c>
      <c r="K141" s="6" t="s">
        <v>304</v>
      </c>
      <c r="L141" s="6" t="str">
        <f>CONCATENATE(K141," ",J141)</f>
        <v>CHRISTIAN TAUGNER</v>
      </c>
      <c r="M141" s="6" t="s">
        <v>57</v>
      </c>
      <c r="N141" s="5">
        <v>45998</v>
      </c>
      <c r="O141" s="5">
        <v>46088</v>
      </c>
      <c r="P141" s="23">
        <f>DATEDIF(N141,O141,"M")</f>
        <v>3</v>
      </c>
      <c r="Q141" s="23" t="s">
        <v>157</v>
      </c>
      <c r="R141" s="23" t="s">
        <v>1390</v>
      </c>
      <c r="S141" s="7">
        <v>41.29</v>
      </c>
      <c r="T141" s="14">
        <v>0.375</v>
      </c>
      <c r="U141" s="6" t="s">
        <v>60</v>
      </c>
      <c r="V141" s="6" t="s">
        <v>135</v>
      </c>
      <c r="W141" s="7">
        <v>15.48</v>
      </c>
    </row>
    <row r="142" spans="1:55" s="6" customFormat="1" x14ac:dyDescent="0.25">
      <c r="A142" s="6">
        <v>2029103669</v>
      </c>
      <c r="B142" s="6" t="s">
        <v>301</v>
      </c>
      <c r="C142" s="6" t="s">
        <v>302</v>
      </c>
      <c r="D142" s="6" t="str">
        <f>CONCATENATE(C142," ",B142)</f>
        <v>ERIC GOTTUNG</v>
      </c>
      <c r="E142" s="6" t="s">
        <v>66</v>
      </c>
      <c r="F142" s="6" t="s">
        <v>152</v>
      </c>
      <c r="G142" s="6" t="s">
        <v>153</v>
      </c>
      <c r="H142" s="6" t="s">
        <v>153</v>
      </c>
      <c r="I142" s="20" t="s">
        <v>1354</v>
      </c>
      <c r="J142" s="6" t="s">
        <v>303</v>
      </c>
      <c r="K142" s="6" t="s">
        <v>304</v>
      </c>
      <c r="L142" s="6" t="str">
        <f>CONCATENATE(K142," ",J142)</f>
        <v>CHRISTIAN TAUGNER</v>
      </c>
      <c r="M142" s="6" t="s">
        <v>57</v>
      </c>
      <c r="N142" s="5">
        <v>45809</v>
      </c>
      <c r="O142" s="5">
        <v>46082</v>
      </c>
      <c r="P142" s="23">
        <f>DATEDIF(N142,O142,"M")</f>
        <v>9</v>
      </c>
      <c r="Q142" s="23" t="s">
        <v>157</v>
      </c>
      <c r="R142" s="23" t="s">
        <v>1391</v>
      </c>
      <c r="S142" s="7">
        <v>92.39</v>
      </c>
      <c r="T142" s="13">
        <v>0.47</v>
      </c>
      <c r="U142" s="6" t="s">
        <v>60</v>
      </c>
      <c r="V142" s="6" t="s">
        <v>135</v>
      </c>
      <c r="W142" s="7">
        <v>43.42</v>
      </c>
    </row>
    <row r="143" spans="1:55" s="6" customFormat="1" x14ac:dyDescent="0.25">
      <c r="A143" s="6">
        <v>2027035340</v>
      </c>
      <c r="B143" s="6" t="s">
        <v>303</v>
      </c>
      <c r="C143" s="6" t="s">
        <v>111</v>
      </c>
      <c r="D143" s="6" t="str">
        <f>CONCATENATE(C143," ",B143)</f>
        <v>CHRIS TAUGNER</v>
      </c>
      <c r="E143" s="6" t="s">
        <v>333</v>
      </c>
      <c r="F143" s="6" t="s">
        <v>378</v>
      </c>
      <c r="G143" s="6" t="s">
        <v>379</v>
      </c>
      <c r="H143" s="6" t="s">
        <v>379</v>
      </c>
      <c r="I143" s="20">
        <v>19681796</v>
      </c>
      <c r="J143" s="6" t="s">
        <v>303</v>
      </c>
      <c r="K143" s="6" t="s">
        <v>304</v>
      </c>
      <c r="L143" s="6" t="str">
        <f>CONCATENATE(K143," ",J143)</f>
        <v>CHRISTIAN TAUGNER</v>
      </c>
      <c r="M143" s="6" t="s">
        <v>57</v>
      </c>
      <c r="N143" s="5">
        <v>45698</v>
      </c>
      <c r="O143" s="5">
        <v>46091</v>
      </c>
      <c r="P143" s="23">
        <f>DATEDIF(N143,O143,"M")</f>
        <v>13</v>
      </c>
      <c r="Q143" s="23" t="s">
        <v>157</v>
      </c>
      <c r="R143" s="23" t="s">
        <v>1391</v>
      </c>
      <c r="S143" s="7">
        <v>60.11</v>
      </c>
      <c r="T143" s="13">
        <v>0.1</v>
      </c>
      <c r="U143" s="6" t="s">
        <v>157</v>
      </c>
      <c r="V143" s="6" t="s">
        <v>135</v>
      </c>
      <c r="W143" s="7">
        <v>6.01</v>
      </c>
    </row>
    <row r="144" spans="1:55" s="6" customFormat="1" x14ac:dyDescent="0.25">
      <c r="A144" s="6">
        <v>2027035339</v>
      </c>
      <c r="B144" s="6" t="s">
        <v>303</v>
      </c>
      <c r="C144" s="6" t="s">
        <v>111</v>
      </c>
      <c r="D144" s="6" t="str">
        <f>CONCATENATE(C144," ",B144)</f>
        <v>CHRIS TAUGNER</v>
      </c>
      <c r="E144" s="6" t="s">
        <v>333</v>
      </c>
      <c r="F144" s="6" t="s">
        <v>383</v>
      </c>
      <c r="G144" s="6" t="s">
        <v>384</v>
      </c>
      <c r="H144" s="6" t="s">
        <v>384</v>
      </c>
      <c r="I144" s="20">
        <v>19681796</v>
      </c>
      <c r="J144" s="6" t="s">
        <v>303</v>
      </c>
      <c r="K144" s="6" t="s">
        <v>304</v>
      </c>
      <c r="L144" s="6" t="str">
        <f>CONCATENATE(K144," ",J144)</f>
        <v>CHRISTIAN TAUGNER</v>
      </c>
      <c r="M144" s="6" t="s">
        <v>57</v>
      </c>
      <c r="N144" s="5">
        <v>45698</v>
      </c>
      <c r="O144" s="5">
        <v>46091</v>
      </c>
      <c r="P144" s="23">
        <f>DATEDIF(N144,O144,"M")</f>
        <v>13</v>
      </c>
      <c r="Q144" s="23" t="s">
        <v>157</v>
      </c>
      <c r="R144" s="23" t="s">
        <v>1391</v>
      </c>
      <c r="S144" s="7">
        <v>39.25</v>
      </c>
      <c r="T144" s="13">
        <v>0.15</v>
      </c>
      <c r="U144" s="6" t="s">
        <v>157</v>
      </c>
      <c r="V144" s="6" t="s">
        <v>135</v>
      </c>
      <c r="W144" s="7">
        <v>5.89</v>
      </c>
    </row>
    <row r="145" spans="1:55" s="6" customFormat="1" x14ac:dyDescent="0.25">
      <c r="A145" s="15">
        <v>2032616558</v>
      </c>
      <c r="B145" s="15" t="s">
        <v>447</v>
      </c>
      <c r="C145" s="15" t="s">
        <v>75</v>
      </c>
      <c r="D145" s="15" t="str">
        <f>CONCATENATE(C145," ",B145)</f>
        <v>MATTHEW FILBY</v>
      </c>
      <c r="E145" s="15" t="s">
        <v>193</v>
      </c>
      <c r="F145" s="15" t="s">
        <v>72</v>
      </c>
      <c r="G145" s="15" t="s">
        <v>93</v>
      </c>
      <c r="H145" s="15" t="s">
        <v>1332</v>
      </c>
      <c r="I145" s="21">
        <v>21435997</v>
      </c>
      <c r="J145" s="15" t="s">
        <v>442</v>
      </c>
      <c r="K145" s="15" t="s">
        <v>443</v>
      </c>
      <c r="L145" s="15" t="str">
        <f>CONCATENATE(K145," ",J145)</f>
        <v>Christopher Brousseau</v>
      </c>
      <c r="M145" s="15" t="s">
        <v>57</v>
      </c>
      <c r="N145" s="16">
        <v>46029</v>
      </c>
      <c r="O145" s="16">
        <v>46088</v>
      </c>
      <c r="P145" s="24">
        <f>DATEDIF(N145,O145,"M")</f>
        <v>2</v>
      </c>
      <c r="Q145" s="24" t="s">
        <v>157</v>
      </c>
      <c r="R145" s="24" t="s">
        <v>1391</v>
      </c>
      <c r="S145" s="17">
        <v>29.85</v>
      </c>
      <c r="T145" s="18">
        <v>0.9</v>
      </c>
      <c r="U145" s="15" t="s">
        <v>60</v>
      </c>
      <c r="V145" s="15" t="s">
        <v>135</v>
      </c>
      <c r="W145" s="17">
        <v>26.86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</row>
    <row r="146" spans="1:55" s="6" customFormat="1" x14ac:dyDescent="0.25">
      <c r="A146" s="15">
        <v>2032801121</v>
      </c>
      <c r="B146" s="15" t="s">
        <v>440</v>
      </c>
      <c r="C146" s="15" t="s">
        <v>441</v>
      </c>
      <c r="D146" s="15" t="str">
        <f>CONCATENATE(C146," ",B146)</f>
        <v>TYRONE CURRY</v>
      </c>
      <c r="E146" s="15" t="s">
        <v>140</v>
      </c>
      <c r="F146" s="15" t="s">
        <v>363</v>
      </c>
      <c r="G146" s="15" t="s">
        <v>364</v>
      </c>
      <c r="H146" s="15" t="s">
        <v>364</v>
      </c>
      <c r="I146" s="21">
        <v>21435997</v>
      </c>
      <c r="J146" s="15" t="s">
        <v>442</v>
      </c>
      <c r="K146" s="15" t="s">
        <v>443</v>
      </c>
      <c r="L146" s="15" t="str">
        <f>CONCATENATE(K146," ",J146)</f>
        <v>Christopher Brousseau</v>
      </c>
      <c r="M146" s="15" t="s">
        <v>57</v>
      </c>
      <c r="N146" s="16">
        <v>46023</v>
      </c>
      <c r="O146" s="16">
        <v>46082</v>
      </c>
      <c r="P146" s="24">
        <f>DATEDIF(N146,O146,"M")</f>
        <v>2</v>
      </c>
      <c r="Q146" s="24" t="s">
        <v>157</v>
      </c>
      <c r="R146" s="24" t="s">
        <v>1391</v>
      </c>
      <c r="S146" s="17">
        <v>27.84</v>
      </c>
      <c r="T146" s="25">
        <v>0.375</v>
      </c>
      <c r="U146" s="15" t="s">
        <v>60</v>
      </c>
      <c r="V146" s="15" t="s">
        <v>135</v>
      </c>
      <c r="W146" s="17">
        <v>10.44</v>
      </c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</row>
    <row r="147" spans="1:55" s="6" customFormat="1" x14ac:dyDescent="0.25">
      <c r="A147" s="15">
        <v>2032385813</v>
      </c>
      <c r="B147" s="15" t="s">
        <v>440</v>
      </c>
      <c r="C147" s="15" t="s">
        <v>441</v>
      </c>
      <c r="D147" s="15" t="str">
        <f>CONCATENATE(C147," ",B147)</f>
        <v>TYRONE CURRY</v>
      </c>
      <c r="E147" s="15" t="s">
        <v>140</v>
      </c>
      <c r="F147" s="15" t="s">
        <v>383</v>
      </c>
      <c r="G147" s="15" t="s">
        <v>385</v>
      </c>
      <c r="H147" s="15" t="s">
        <v>385</v>
      </c>
      <c r="I147" s="21">
        <v>21435997</v>
      </c>
      <c r="J147" s="15" t="s">
        <v>442</v>
      </c>
      <c r="K147" s="15" t="s">
        <v>443</v>
      </c>
      <c r="L147" s="15" t="str">
        <f>CONCATENATE(K147," ",J147)</f>
        <v>Christopher Brousseau</v>
      </c>
      <c r="M147" s="15" t="s">
        <v>57</v>
      </c>
      <c r="N147" s="16">
        <v>46023</v>
      </c>
      <c r="O147" s="16">
        <v>46082</v>
      </c>
      <c r="P147" s="24">
        <f>DATEDIF(N147,O147,"M")</f>
        <v>2</v>
      </c>
      <c r="Q147" s="24" t="s">
        <v>157</v>
      </c>
      <c r="R147" s="24" t="s">
        <v>1391</v>
      </c>
      <c r="S147" s="17">
        <v>25.78</v>
      </c>
      <c r="T147" s="18">
        <v>0.9</v>
      </c>
      <c r="U147" s="15" t="s">
        <v>60</v>
      </c>
      <c r="V147" s="15" t="s">
        <v>135</v>
      </c>
      <c r="W147" s="17">
        <v>23.2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</row>
    <row r="148" spans="1:55" s="6" customFormat="1" x14ac:dyDescent="0.25">
      <c r="A148" s="15">
        <v>2032616557</v>
      </c>
      <c r="B148" s="15" t="s">
        <v>447</v>
      </c>
      <c r="C148" s="15" t="s">
        <v>75</v>
      </c>
      <c r="D148" s="15" t="str">
        <f>CONCATENATE(C148," ",B148)</f>
        <v>MATTHEW FILBY</v>
      </c>
      <c r="E148" s="15" t="s">
        <v>193</v>
      </c>
      <c r="F148" s="15" t="s">
        <v>53</v>
      </c>
      <c r="G148" s="15" t="s">
        <v>54</v>
      </c>
      <c r="H148" s="15" t="s">
        <v>54</v>
      </c>
      <c r="I148" s="21">
        <v>21435997</v>
      </c>
      <c r="J148" s="15" t="s">
        <v>442</v>
      </c>
      <c r="K148" s="15" t="s">
        <v>443</v>
      </c>
      <c r="L148" s="15" t="str">
        <f>CONCATENATE(K148," ",J148)</f>
        <v>Christopher Brousseau</v>
      </c>
      <c r="M148" s="15" t="s">
        <v>57</v>
      </c>
      <c r="N148" s="16">
        <v>46029</v>
      </c>
      <c r="O148" s="16">
        <v>46088</v>
      </c>
      <c r="P148" s="24">
        <f>DATEDIF(N148,O148,"M")</f>
        <v>2</v>
      </c>
      <c r="Q148" s="24" t="s">
        <v>157</v>
      </c>
      <c r="R148" s="24" t="s">
        <v>1391</v>
      </c>
      <c r="S148" s="17">
        <v>75.75</v>
      </c>
      <c r="T148" s="18">
        <v>0.6</v>
      </c>
      <c r="U148" s="15" t="s">
        <v>60</v>
      </c>
      <c r="V148" s="15" t="s">
        <v>135</v>
      </c>
      <c r="W148" s="17">
        <v>45.45</v>
      </c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</row>
    <row r="149" spans="1:55" x14ac:dyDescent="0.25">
      <c r="A149" s="15">
        <v>2032385812</v>
      </c>
      <c r="B149" s="15" t="s">
        <v>440</v>
      </c>
      <c r="C149" s="15" t="s">
        <v>441</v>
      </c>
      <c r="D149" s="15" t="str">
        <f>CONCATENATE(C149," ",B149)</f>
        <v>TYRONE CURRY</v>
      </c>
      <c r="E149" s="15" t="s">
        <v>140</v>
      </c>
      <c r="F149" s="15" t="s">
        <v>53</v>
      </c>
      <c r="G149" s="15" t="s">
        <v>54</v>
      </c>
      <c r="H149" s="15" t="s">
        <v>54</v>
      </c>
      <c r="I149" s="21">
        <v>21435997</v>
      </c>
      <c r="J149" s="15" t="s">
        <v>442</v>
      </c>
      <c r="K149" s="15" t="s">
        <v>443</v>
      </c>
      <c r="L149" s="15" t="str">
        <f>CONCATENATE(K149," ",J149)</f>
        <v>Christopher Brousseau</v>
      </c>
      <c r="M149" s="15" t="s">
        <v>57</v>
      </c>
      <c r="N149" s="16">
        <v>46023</v>
      </c>
      <c r="O149" s="16">
        <v>46082</v>
      </c>
      <c r="P149" s="24">
        <f>DATEDIF(N149,O149,"M")</f>
        <v>2</v>
      </c>
      <c r="Q149" s="24" t="s">
        <v>157</v>
      </c>
      <c r="R149" s="24" t="s">
        <v>1391</v>
      </c>
      <c r="S149" s="17">
        <v>54.66</v>
      </c>
      <c r="T149" s="18">
        <v>0.6</v>
      </c>
      <c r="U149" s="15" t="s">
        <v>60</v>
      </c>
      <c r="V149" s="15" t="s">
        <v>135</v>
      </c>
      <c r="W149" s="17">
        <v>32.799999999999997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</row>
    <row r="150" spans="1:55" x14ac:dyDescent="0.25">
      <c r="A150" s="15">
        <v>2031949601</v>
      </c>
      <c r="B150" s="15" t="s">
        <v>1300</v>
      </c>
      <c r="C150" s="15" t="s">
        <v>1301</v>
      </c>
      <c r="D150" s="15" t="str">
        <f>CONCATENATE(C150," ",B150)</f>
        <v>DESEREE PADILLA</v>
      </c>
      <c r="E150" s="15" t="s">
        <v>90</v>
      </c>
      <c r="F150" s="15" t="s">
        <v>383</v>
      </c>
      <c r="G150" s="15" t="s">
        <v>843</v>
      </c>
      <c r="H150" s="15" t="s">
        <v>843</v>
      </c>
      <c r="I150" s="21">
        <v>21435997</v>
      </c>
      <c r="J150" s="15" t="s">
        <v>442</v>
      </c>
      <c r="K150" s="15" t="s">
        <v>443</v>
      </c>
      <c r="L150" s="15" t="str">
        <f>CONCATENATE(K150," ",J150)</f>
        <v>Christopher Brousseau</v>
      </c>
      <c r="M150" s="15" t="s">
        <v>57</v>
      </c>
      <c r="N150" s="16">
        <v>45969</v>
      </c>
      <c r="O150" s="16">
        <v>46089</v>
      </c>
      <c r="P150" s="24">
        <f>DATEDIF(N150,O150,"M")</f>
        <v>4</v>
      </c>
      <c r="Q150" s="24" t="s">
        <v>157</v>
      </c>
      <c r="R150" s="24" t="s">
        <v>1391</v>
      </c>
      <c r="S150" s="17">
        <v>13.18</v>
      </c>
      <c r="T150" s="18">
        <v>0.42</v>
      </c>
      <c r="U150" s="15" t="s">
        <v>60</v>
      </c>
      <c r="V150" s="15" t="s">
        <v>135</v>
      </c>
      <c r="W150" s="17">
        <v>5.54</v>
      </c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</row>
    <row r="151" spans="1:55" x14ac:dyDescent="0.25">
      <c r="A151" s="15">
        <v>2032077734</v>
      </c>
      <c r="B151" s="15" t="s">
        <v>807</v>
      </c>
      <c r="C151" s="15" t="s">
        <v>808</v>
      </c>
      <c r="D151" s="15" t="str">
        <f>CONCATENATE(C151," ",B151)</f>
        <v>CHRISTY DALY</v>
      </c>
      <c r="E151" s="15" t="s">
        <v>90</v>
      </c>
      <c r="F151" s="15" t="s">
        <v>383</v>
      </c>
      <c r="G151" s="15" t="s">
        <v>384</v>
      </c>
      <c r="H151" s="15" t="s">
        <v>384</v>
      </c>
      <c r="I151" s="21">
        <v>21435997</v>
      </c>
      <c r="J151" s="15" t="s">
        <v>442</v>
      </c>
      <c r="K151" s="15" t="s">
        <v>443</v>
      </c>
      <c r="L151" s="15" t="str">
        <f>CONCATENATE(K151," ",J151)</f>
        <v>Christopher Brousseau</v>
      </c>
      <c r="M151" s="15" t="s">
        <v>57</v>
      </c>
      <c r="N151" s="16">
        <v>45972</v>
      </c>
      <c r="O151" s="16">
        <v>46092</v>
      </c>
      <c r="P151" s="24">
        <f>DATEDIF(N151,O151,"M")</f>
        <v>4</v>
      </c>
      <c r="Q151" s="24" t="s">
        <v>157</v>
      </c>
      <c r="R151" s="24" t="s">
        <v>1391</v>
      </c>
      <c r="S151" s="17">
        <v>89.52</v>
      </c>
      <c r="T151" s="18">
        <v>0.7</v>
      </c>
      <c r="U151" s="15" t="s">
        <v>60</v>
      </c>
      <c r="V151" s="15" t="s">
        <v>135</v>
      </c>
      <c r="W151" s="17">
        <v>62.66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</row>
    <row r="152" spans="1:55" x14ac:dyDescent="0.25">
      <c r="A152" s="15">
        <v>2031949600</v>
      </c>
      <c r="B152" s="15" t="s">
        <v>1300</v>
      </c>
      <c r="C152" s="15" t="s">
        <v>1301</v>
      </c>
      <c r="D152" s="15" t="str">
        <f>CONCATENATE(C152," ",B152)</f>
        <v>DESEREE PADILLA</v>
      </c>
      <c r="E152" s="15" t="s">
        <v>90</v>
      </c>
      <c r="F152" s="15" t="s">
        <v>383</v>
      </c>
      <c r="G152" s="15" t="s">
        <v>384</v>
      </c>
      <c r="H152" s="15" t="s">
        <v>384</v>
      </c>
      <c r="I152" s="21">
        <v>21435997</v>
      </c>
      <c r="J152" s="15" t="s">
        <v>442</v>
      </c>
      <c r="K152" s="15" t="s">
        <v>443</v>
      </c>
      <c r="L152" s="15" t="str">
        <f>CONCATENATE(K152," ",J152)</f>
        <v>Christopher Brousseau</v>
      </c>
      <c r="M152" s="15" t="s">
        <v>57</v>
      </c>
      <c r="N152" s="16">
        <v>45969</v>
      </c>
      <c r="O152" s="16">
        <v>46089</v>
      </c>
      <c r="P152" s="24">
        <f>DATEDIF(N152,O152,"M")</f>
        <v>4</v>
      </c>
      <c r="Q152" s="24" t="s">
        <v>157</v>
      </c>
      <c r="R152" s="24" t="s">
        <v>1391</v>
      </c>
      <c r="S152" s="17">
        <v>28.38</v>
      </c>
      <c r="T152" s="18">
        <v>0.7</v>
      </c>
      <c r="U152" s="15" t="s">
        <v>60</v>
      </c>
      <c r="V152" s="15" t="s">
        <v>135</v>
      </c>
      <c r="W152" s="17">
        <v>19.87</v>
      </c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</row>
    <row r="153" spans="1:55" x14ac:dyDescent="0.25">
      <c r="A153" s="15">
        <v>2030302641</v>
      </c>
      <c r="B153" s="15" t="s">
        <v>302</v>
      </c>
      <c r="C153" s="15" t="s">
        <v>1270</v>
      </c>
      <c r="D153" s="15" t="str">
        <f>CONCATENATE(C153," ",B153)</f>
        <v>SCHAENZER ERIC</v>
      </c>
      <c r="E153" s="15" t="s">
        <v>71</v>
      </c>
      <c r="F153" s="15" t="s">
        <v>383</v>
      </c>
      <c r="G153" s="15" t="s">
        <v>384</v>
      </c>
      <c r="H153" s="15" t="s">
        <v>384</v>
      </c>
      <c r="I153" s="21">
        <v>21435997</v>
      </c>
      <c r="J153" s="15" t="s">
        <v>442</v>
      </c>
      <c r="K153" s="15" t="s">
        <v>443</v>
      </c>
      <c r="L153" s="15" t="str">
        <f>CONCATENATE(K153," ",J153)</f>
        <v>Christopher Brousseau</v>
      </c>
      <c r="M153" s="15" t="s">
        <v>57</v>
      </c>
      <c r="N153" s="16">
        <v>45876</v>
      </c>
      <c r="O153" s="16">
        <v>46088</v>
      </c>
      <c r="P153" s="24">
        <f>DATEDIF(N153,O153,"M")</f>
        <v>7</v>
      </c>
      <c r="Q153" s="24" t="s">
        <v>157</v>
      </c>
      <c r="R153" s="24" t="s">
        <v>1391</v>
      </c>
      <c r="S153" s="17">
        <v>45.46</v>
      </c>
      <c r="T153" s="18">
        <v>0.7</v>
      </c>
      <c r="U153" s="15" t="s">
        <v>60</v>
      </c>
      <c r="V153" s="15" t="s">
        <v>135</v>
      </c>
      <c r="W153" s="17">
        <v>31.81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</row>
    <row r="154" spans="1:55" x14ac:dyDescent="0.25">
      <c r="A154" s="15">
        <v>2028368523</v>
      </c>
      <c r="B154" s="15" t="s">
        <v>797</v>
      </c>
      <c r="C154" s="15" t="s">
        <v>545</v>
      </c>
      <c r="D154" s="15" t="str">
        <f>CONCATENATE(C154," ",B154)</f>
        <v>MARY REGAN</v>
      </c>
      <c r="E154" s="15" t="s">
        <v>90</v>
      </c>
      <c r="F154" s="15" t="s">
        <v>383</v>
      </c>
      <c r="G154" s="15" t="s">
        <v>384</v>
      </c>
      <c r="H154" s="15" t="s">
        <v>384</v>
      </c>
      <c r="I154" s="21">
        <v>21435997</v>
      </c>
      <c r="J154" s="15" t="s">
        <v>442</v>
      </c>
      <c r="K154" s="15" t="s">
        <v>443</v>
      </c>
      <c r="L154" s="15" t="str">
        <f>CONCATENATE(K154," ",J154)</f>
        <v>Christopher Brousseau</v>
      </c>
      <c r="M154" s="15" t="s">
        <v>57</v>
      </c>
      <c r="N154" s="16">
        <v>45784</v>
      </c>
      <c r="O154" s="16">
        <v>46088</v>
      </c>
      <c r="P154" s="24">
        <f>DATEDIF(N154,O154,"M")</f>
        <v>10</v>
      </c>
      <c r="Q154" s="24" t="s">
        <v>157</v>
      </c>
      <c r="R154" s="24" t="s">
        <v>1391</v>
      </c>
      <c r="S154" s="17">
        <v>48.76</v>
      </c>
      <c r="T154" s="18">
        <v>0.7</v>
      </c>
      <c r="U154" s="15" t="s">
        <v>60</v>
      </c>
      <c r="V154" s="15" t="s">
        <v>135</v>
      </c>
      <c r="W154" s="17">
        <v>34.130000000000003</v>
      </c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</row>
    <row r="155" spans="1:55" x14ac:dyDescent="0.25">
      <c r="A155" s="15">
        <v>2028073917</v>
      </c>
      <c r="B155" s="15" t="s">
        <v>1242</v>
      </c>
      <c r="C155" s="15" t="s">
        <v>1243</v>
      </c>
      <c r="D155" s="15" t="str">
        <f>CONCATENATE(C155," ",B155)</f>
        <v>SHERYL CASILHAS</v>
      </c>
      <c r="E155" s="15" t="s">
        <v>90</v>
      </c>
      <c r="F155" s="15" t="s">
        <v>383</v>
      </c>
      <c r="G155" s="15" t="s">
        <v>384</v>
      </c>
      <c r="H155" s="15" t="s">
        <v>384</v>
      </c>
      <c r="I155" s="21">
        <v>21435997</v>
      </c>
      <c r="J155" s="15" t="s">
        <v>442</v>
      </c>
      <c r="K155" s="15" t="s">
        <v>443</v>
      </c>
      <c r="L155" s="15" t="str">
        <f>CONCATENATE(K155," ",J155)</f>
        <v>Christopher Brousseau</v>
      </c>
      <c r="M155" s="15" t="s">
        <v>57</v>
      </c>
      <c r="N155" s="16">
        <v>45754</v>
      </c>
      <c r="O155" s="16">
        <v>46088</v>
      </c>
      <c r="P155" s="24">
        <f>DATEDIF(N155,O155,"M")</f>
        <v>11</v>
      </c>
      <c r="Q155" s="24" t="s">
        <v>157</v>
      </c>
      <c r="R155" s="24" t="s">
        <v>1391</v>
      </c>
      <c r="S155" s="17">
        <v>129.22</v>
      </c>
      <c r="T155" s="18">
        <v>0.7</v>
      </c>
      <c r="U155" s="15" t="s">
        <v>60</v>
      </c>
      <c r="V155" s="15" t="s">
        <v>135</v>
      </c>
      <c r="W155" s="17">
        <v>90.45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</row>
    <row r="156" spans="1:55" x14ac:dyDescent="0.25">
      <c r="A156" s="15">
        <v>2028143929</v>
      </c>
      <c r="B156" s="15" t="s">
        <v>1244</v>
      </c>
      <c r="C156" s="15" t="s">
        <v>1245</v>
      </c>
      <c r="D156" s="15" t="str">
        <f>CONCATENATE(C156," ",B156)</f>
        <v>IFEANYICHUKWU METUIWE</v>
      </c>
      <c r="E156" s="15" t="s">
        <v>90</v>
      </c>
      <c r="F156" s="15" t="s">
        <v>383</v>
      </c>
      <c r="G156" s="15" t="s">
        <v>384</v>
      </c>
      <c r="H156" s="15" t="s">
        <v>384</v>
      </c>
      <c r="I156" s="21">
        <v>21435997</v>
      </c>
      <c r="J156" s="15" t="s">
        <v>442</v>
      </c>
      <c r="K156" s="15" t="s">
        <v>443</v>
      </c>
      <c r="L156" s="15" t="str">
        <f>CONCATENATE(K156," ",J156)</f>
        <v>Christopher Brousseau</v>
      </c>
      <c r="M156" s="15" t="s">
        <v>57</v>
      </c>
      <c r="N156" s="16">
        <v>45754</v>
      </c>
      <c r="O156" s="16">
        <v>46088</v>
      </c>
      <c r="P156" s="24">
        <f>DATEDIF(N156,O156,"M")</f>
        <v>11</v>
      </c>
      <c r="Q156" s="24" t="s">
        <v>157</v>
      </c>
      <c r="R156" s="24" t="s">
        <v>1391</v>
      </c>
      <c r="S156" s="17">
        <v>48.76</v>
      </c>
      <c r="T156" s="18">
        <v>0.7</v>
      </c>
      <c r="U156" s="15" t="s">
        <v>60</v>
      </c>
      <c r="V156" s="15" t="s">
        <v>135</v>
      </c>
      <c r="W156" s="17">
        <v>34.130000000000003</v>
      </c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</row>
    <row r="157" spans="1:55" x14ac:dyDescent="0.25">
      <c r="A157" s="15">
        <v>2027380471</v>
      </c>
      <c r="B157" s="15" t="s">
        <v>687</v>
      </c>
      <c r="C157" s="15" t="s">
        <v>688</v>
      </c>
      <c r="D157" s="15" t="str">
        <f>CONCATENATE(C157," ",B157)</f>
        <v>ALDWIN AUSTIN</v>
      </c>
      <c r="E157" s="15" t="s">
        <v>66</v>
      </c>
      <c r="F157" s="15" t="s">
        <v>383</v>
      </c>
      <c r="G157" s="15" t="s">
        <v>384</v>
      </c>
      <c r="H157" s="15" t="s">
        <v>384</v>
      </c>
      <c r="I157" s="21">
        <v>21435997</v>
      </c>
      <c r="J157" s="15" t="s">
        <v>442</v>
      </c>
      <c r="K157" s="15" t="s">
        <v>443</v>
      </c>
      <c r="L157" s="15" t="str">
        <f>CONCATENATE(K157," ",J157)</f>
        <v>Christopher Brousseau</v>
      </c>
      <c r="M157" s="15" t="s">
        <v>57</v>
      </c>
      <c r="N157" s="16">
        <v>45723</v>
      </c>
      <c r="O157" s="16">
        <v>46088</v>
      </c>
      <c r="P157" s="24">
        <f>DATEDIF(N157,O157,"M")</f>
        <v>12</v>
      </c>
      <c r="Q157" s="24" t="s">
        <v>157</v>
      </c>
      <c r="R157" s="24" t="s">
        <v>1391</v>
      </c>
      <c r="S157" s="17">
        <v>11.5</v>
      </c>
      <c r="T157" s="18">
        <v>0.7</v>
      </c>
      <c r="U157" s="15" t="s">
        <v>60</v>
      </c>
      <c r="V157" s="15" t="s">
        <v>135</v>
      </c>
      <c r="W157" s="17">
        <v>8.0500000000000007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</row>
    <row r="158" spans="1:55" x14ac:dyDescent="0.25">
      <c r="A158" s="15">
        <v>2027380470</v>
      </c>
      <c r="B158" s="15" t="s">
        <v>687</v>
      </c>
      <c r="C158" s="15" t="s">
        <v>688</v>
      </c>
      <c r="D158" s="15" t="str">
        <f>CONCATENATE(C158," ",B158)</f>
        <v>ALDWIN AUSTIN</v>
      </c>
      <c r="E158" s="15" t="s">
        <v>66</v>
      </c>
      <c r="F158" s="15" t="s">
        <v>363</v>
      </c>
      <c r="G158" s="15" t="s">
        <v>364</v>
      </c>
      <c r="H158" s="15" t="s">
        <v>364</v>
      </c>
      <c r="I158" s="21">
        <v>21435997</v>
      </c>
      <c r="J158" s="15" t="s">
        <v>442</v>
      </c>
      <c r="K158" s="15" t="s">
        <v>443</v>
      </c>
      <c r="L158" s="15" t="str">
        <f>CONCATENATE(K158," ",J158)</f>
        <v>Christopher Brousseau</v>
      </c>
      <c r="M158" s="15" t="s">
        <v>57</v>
      </c>
      <c r="N158" s="16">
        <v>45723</v>
      </c>
      <c r="O158" s="16">
        <v>46088</v>
      </c>
      <c r="P158" s="24">
        <f>DATEDIF(N158,O158,"M")</f>
        <v>12</v>
      </c>
      <c r="Q158" s="24" t="s">
        <v>157</v>
      </c>
      <c r="R158" s="24" t="s">
        <v>1391</v>
      </c>
      <c r="S158" s="17">
        <v>60.3</v>
      </c>
      <c r="T158" s="25">
        <v>0.375</v>
      </c>
      <c r="U158" s="15" t="s">
        <v>60</v>
      </c>
      <c r="V158" s="15" t="s">
        <v>135</v>
      </c>
      <c r="W158" s="17">
        <v>22.61</v>
      </c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</row>
    <row r="159" spans="1:55" x14ac:dyDescent="0.25">
      <c r="A159" s="15">
        <v>2028803828</v>
      </c>
      <c r="B159" s="15" t="s">
        <v>718</v>
      </c>
      <c r="C159" s="15" t="s">
        <v>719</v>
      </c>
      <c r="D159" s="15" t="str">
        <f>CONCATENATE(C159," ",B159)</f>
        <v>ISAIAH JONES</v>
      </c>
      <c r="E159" s="15" t="s">
        <v>66</v>
      </c>
      <c r="F159" s="15" t="s">
        <v>383</v>
      </c>
      <c r="G159" s="15" t="s">
        <v>384</v>
      </c>
      <c r="H159" s="15" t="s">
        <v>384</v>
      </c>
      <c r="I159" s="21">
        <v>17437820</v>
      </c>
      <c r="J159" s="15" t="s">
        <v>720</v>
      </c>
      <c r="K159" s="15" t="s">
        <v>252</v>
      </c>
      <c r="L159" s="15" t="str">
        <f>CONCATENATE(K159," ",J159)</f>
        <v>COLLEEN FINNIGAN</v>
      </c>
      <c r="M159" s="15" t="s">
        <v>57</v>
      </c>
      <c r="N159" s="16">
        <v>45809</v>
      </c>
      <c r="O159" s="16">
        <v>46082</v>
      </c>
      <c r="P159" s="24">
        <f>DATEDIF(N159,O159,"M")</f>
        <v>9</v>
      </c>
      <c r="Q159" s="24" t="s">
        <v>157</v>
      </c>
      <c r="R159" s="24" t="s">
        <v>1391</v>
      </c>
      <c r="S159" s="17">
        <v>66.510000000000005</v>
      </c>
      <c r="T159" s="18">
        <v>0.7</v>
      </c>
      <c r="U159" s="15" t="s">
        <v>60</v>
      </c>
      <c r="V159" s="15" t="s">
        <v>135</v>
      </c>
      <c r="W159" s="17">
        <v>46.56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</row>
    <row r="160" spans="1:55" x14ac:dyDescent="0.25">
      <c r="A160" s="15">
        <v>2028803827</v>
      </c>
      <c r="B160" s="15" t="s">
        <v>718</v>
      </c>
      <c r="C160" s="15" t="s">
        <v>719</v>
      </c>
      <c r="D160" s="15" t="str">
        <f>CONCATENATE(C160," ",B160)</f>
        <v>ISAIAH JONES</v>
      </c>
      <c r="E160" s="15" t="s">
        <v>66</v>
      </c>
      <c r="F160" s="15" t="s">
        <v>363</v>
      </c>
      <c r="G160" s="15" t="s">
        <v>364</v>
      </c>
      <c r="H160" s="15" t="s">
        <v>364</v>
      </c>
      <c r="I160" s="21">
        <v>17437820</v>
      </c>
      <c r="J160" s="15" t="s">
        <v>720</v>
      </c>
      <c r="K160" s="15" t="s">
        <v>252</v>
      </c>
      <c r="L160" s="15" t="str">
        <f>CONCATENATE(K160," ",J160)</f>
        <v>COLLEEN FINNIGAN</v>
      </c>
      <c r="M160" s="15" t="s">
        <v>57</v>
      </c>
      <c r="N160" s="16">
        <v>45809</v>
      </c>
      <c r="O160" s="16">
        <v>46082</v>
      </c>
      <c r="P160" s="24">
        <f>DATEDIF(N160,O160,"M")</f>
        <v>9</v>
      </c>
      <c r="Q160" s="24" t="s">
        <v>157</v>
      </c>
      <c r="R160" s="24" t="s">
        <v>1391</v>
      </c>
      <c r="S160" s="17">
        <v>51.86</v>
      </c>
      <c r="T160" s="25">
        <v>0.375</v>
      </c>
      <c r="U160" s="15" t="s">
        <v>60</v>
      </c>
      <c r="V160" s="15" t="s">
        <v>135</v>
      </c>
      <c r="W160" s="17">
        <v>19.45</v>
      </c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</row>
    <row r="161" spans="1:55" x14ac:dyDescent="0.25">
      <c r="A161" s="6">
        <v>2033107247</v>
      </c>
      <c r="B161" s="6" t="s">
        <v>959</v>
      </c>
      <c r="C161" s="6" t="s">
        <v>226</v>
      </c>
      <c r="D161" s="6" t="str">
        <f>CONCATENATE(C161," ",B161)</f>
        <v>JOAN DELABAR</v>
      </c>
      <c r="E161" s="6" t="s">
        <v>90</v>
      </c>
      <c r="F161" s="6" t="s">
        <v>383</v>
      </c>
      <c r="G161" s="6" t="s">
        <v>384</v>
      </c>
      <c r="H161" s="6" t="s">
        <v>384</v>
      </c>
      <c r="I161" s="20" t="s">
        <v>1355</v>
      </c>
      <c r="J161" s="6" t="s">
        <v>827</v>
      </c>
      <c r="K161" s="6" t="s">
        <v>828</v>
      </c>
      <c r="L161" s="6" t="str">
        <f>CONCATENATE(K161," ",J161)</f>
        <v>Colleen Jerger</v>
      </c>
      <c r="M161" s="6" t="s">
        <v>57</v>
      </c>
      <c r="N161" s="5">
        <v>46035</v>
      </c>
      <c r="O161" s="5">
        <v>46094</v>
      </c>
      <c r="P161" s="23">
        <f>DATEDIF(N161,O161,"M")</f>
        <v>2</v>
      </c>
      <c r="Q161" s="23" t="s">
        <v>157</v>
      </c>
      <c r="R161" s="23" t="s">
        <v>1390</v>
      </c>
      <c r="S161" s="7">
        <v>196.06</v>
      </c>
      <c r="T161" s="13">
        <v>0.7</v>
      </c>
      <c r="U161" s="6" t="s">
        <v>60</v>
      </c>
      <c r="V161" s="6" t="s">
        <v>135</v>
      </c>
      <c r="W161" s="7">
        <v>137.24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</row>
    <row r="162" spans="1:55" x14ac:dyDescent="0.25">
      <c r="A162" s="6">
        <v>2032233394</v>
      </c>
      <c r="B162" s="6" t="s">
        <v>833</v>
      </c>
      <c r="C162" s="6" t="s">
        <v>70</v>
      </c>
      <c r="D162" s="6" t="str">
        <f>CONCATENATE(C162," ",B162)</f>
        <v>CHARLES RIDGE</v>
      </c>
      <c r="E162" s="6" t="s">
        <v>96</v>
      </c>
      <c r="F162" s="6" t="s">
        <v>383</v>
      </c>
      <c r="G162" s="6" t="s">
        <v>384</v>
      </c>
      <c r="H162" s="6" t="s">
        <v>384</v>
      </c>
      <c r="I162" s="20" t="s">
        <v>1355</v>
      </c>
      <c r="J162" s="6" t="s">
        <v>827</v>
      </c>
      <c r="K162" s="6" t="s">
        <v>828</v>
      </c>
      <c r="L162" s="6" t="str">
        <f>CONCATENATE(K162," ",J162)</f>
        <v>Colleen Jerger</v>
      </c>
      <c r="M162" s="6" t="s">
        <v>57</v>
      </c>
      <c r="N162" s="5">
        <v>46023</v>
      </c>
      <c r="O162" s="5">
        <v>46082</v>
      </c>
      <c r="P162" s="23">
        <f>DATEDIF(N162,O162,"M")</f>
        <v>2</v>
      </c>
      <c r="Q162" s="23" t="s">
        <v>157</v>
      </c>
      <c r="R162" s="23" t="s">
        <v>1390</v>
      </c>
      <c r="S162" s="7">
        <v>21.08</v>
      </c>
      <c r="T162" s="13">
        <v>0.7</v>
      </c>
      <c r="U162" s="6" t="s">
        <v>60</v>
      </c>
      <c r="V162" s="6" t="s">
        <v>135</v>
      </c>
      <c r="W162" s="7">
        <v>14.76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</row>
    <row r="163" spans="1:55" x14ac:dyDescent="0.25">
      <c r="A163" s="6">
        <v>2032167859</v>
      </c>
      <c r="B163" s="6" t="s">
        <v>424</v>
      </c>
      <c r="C163" s="6" t="s">
        <v>349</v>
      </c>
      <c r="D163" s="6" t="str">
        <f>CONCATENATE(C163," ",B163)</f>
        <v>SHAWN WRIGHT</v>
      </c>
      <c r="E163" s="6" t="s">
        <v>397</v>
      </c>
      <c r="F163" s="6" t="s">
        <v>383</v>
      </c>
      <c r="G163" s="6" t="s">
        <v>384</v>
      </c>
      <c r="H163" s="6" t="s">
        <v>384</v>
      </c>
      <c r="I163" s="20">
        <v>3333476</v>
      </c>
      <c r="J163" s="6" t="s">
        <v>827</v>
      </c>
      <c r="K163" s="6" t="s">
        <v>828</v>
      </c>
      <c r="L163" s="6" t="str">
        <f>CONCATENATE(K163," ",J163)</f>
        <v>Colleen Jerger</v>
      </c>
      <c r="M163" s="6" t="s">
        <v>57</v>
      </c>
      <c r="N163" s="5">
        <v>45992</v>
      </c>
      <c r="O163" s="5">
        <v>46082</v>
      </c>
      <c r="P163" s="23">
        <f>DATEDIF(N163,O163,"M")</f>
        <v>3</v>
      </c>
      <c r="Q163" s="23" t="s">
        <v>157</v>
      </c>
      <c r="R163" s="23" t="s">
        <v>1390</v>
      </c>
      <c r="S163" s="7">
        <v>59.08</v>
      </c>
      <c r="T163" s="13">
        <v>0.7</v>
      </c>
      <c r="U163" s="6" t="s">
        <v>60</v>
      </c>
      <c r="V163" s="6" t="s">
        <v>135</v>
      </c>
      <c r="W163" s="7">
        <v>41.36</v>
      </c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</row>
    <row r="164" spans="1:55" x14ac:dyDescent="0.25">
      <c r="A164" s="6">
        <v>2032226957</v>
      </c>
      <c r="B164" s="6" t="s">
        <v>588</v>
      </c>
      <c r="C164" s="6" t="s">
        <v>377</v>
      </c>
      <c r="D164" s="6" t="str">
        <f>CONCATENATE(C164," ",B164)</f>
        <v>JOSE DURAN</v>
      </c>
      <c r="E164" s="6" t="s">
        <v>66</v>
      </c>
      <c r="F164" s="6" t="s">
        <v>350</v>
      </c>
      <c r="G164" s="6" t="s">
        <v>354</v>
      </c>
      <c r="H164" s="6" t="s">
        <v>354</v>
      </c>
      <c r="I164" s="20" t="s">
        <v>1356</v>
      </c>
      <c r="J164" s="6" t="s">
        <v>319</v>
      </c>
      <c r="K164" s="6" t="s">
        <v>320</v>
      </c>
      <c r="L164" s="6" t="str">
        <f>CONCATENATE(K164," ",J164)</f>
        <v>Dale Walenga</v>
      </c>
      <c r="M164" s="6" t="s">
        <v>57</v>
      </c>
      <c r="N164" s="5">
        <v>45992</v>
      </c>
      <c r="O164" s="5">
        <v>46082</v>
      </c>
      <c r="P164" s="23">
        <f>DATEDIF(N164,O164,"M")</f>
        <v>3</v>
      </c>
      <c r="Q164" s="23" t="s">
        <v>157</v>
      </c>
      <c r="R164" s="23" t="s">
        <v>1390</v>
      </c>
      <c r="S164" s="7">
        <v>-15</v>
      </c>
      <c r="T164" s="13">
        <v>0.38</v>
      </c>
      <c r="U164" s="6" t="s">
        <v>60</v>
      </c>
      <c r="V164" s="6" t="s">
        <v>135</v>
      </c>
      <c r="W164" s="7">
        <v>-5.7</v>
      </c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</row>
    <row r="165" spans="1:55" s="6" customFormat="1" x14ac:dyDescent="0.25">
      <c r="A165" s="6">
        <v>2032607590</v>
      </c>
      <c r="B165" s="6" t="s">
        <v>876</v>
      </c>
      <c r="C165" s="6" t="s">
        <v>877</v>
      </c>
      <c r="D165" s="6" t="str">
        <f>CONCATENATE(C165," ",B165)</f>
        <v>DALE WALENGA</v>
      </c>
      <c r="E165" s="6" t="s">
        <v>66</v>
      </c>
      <c r="F165" s="6" t="s">
        <v>383</v>
      </c>
      <c r="G165" s="6" t="s">
        <v>385</v>
      </c>
      <c r="H165" s="6" t="s">
        <v>385</v>
      </c>
      <c r="I165" s="20" t="s">
        <v>1356</v>
      </c>
      <c r="J165" s="6" t="s">
        <v>319</v>
      </c>
      <c r="K165" s="6" t="s">
        <v>320</v>
      </c>
      <c r="L165" s="6" t="str">
        <f>CONCATENATE(K165," ",J165)</f>
        <v>Dale Walenga</v>
      </c>
      <c r="M165" s="6" t="s">
        <v>57</v>
      </c>
      <c r="N165" s="5">
        <v>46002</v>
      </c>
      <c r="O165" s="5">
        <v>46092</v>
      </c>
      <c r="P165" s="23">
        <f>DATEDIF(N165,O165,"M")</f>
        <v>3</v>
      </c>
      <c r="Q165" s="23" t="s">
        <v>157</v>
      </c>
      <c r="R165" s="23" t="s">
        <v>1390</v>
      </c>
      <c r="S165" s="7">
        <v>44.88</v>
      </c>
      <c r="T165" s="13">
        <v>0.9</v>
      </c>
      <c r="U165" s="6" t="s">
        <v>60</v>
      </c>
      <c r="V165" s="6" t="s">
        <v>135</v>
      </c>
      <c r="W165" s="7">
        <v>40.39</v>
      </c>
    </row>
    <row r="166" spans="1:55" s="6" customFormat="1" x14ac:dyDescent="0.25">
      <c r="A166" s="6">
        <v>2031379409</v>
      </c>
      <c r="B166" s="6" t="s">
        <v>317</v>
      </c>
      <c r="C166" s="6" t="s">
        <v>318</v>
      </c>
      <c r="D166" s="6" t="str">
        <f>CONCATENATE(C166," ",B166)</f>
        <v>SHIRLEY NELSON</v>
      </c>
      <c r="E166" s="6" t="s">
        <v>66</v>
      </c>
      <c r="F166" s="6" t="s">
        <v>152</v>
      </c>
      <c r="G166" s="6" t="s">
        <v>238</v>
      </c>
      <c r="H166" s="6" t="s">
        <v>238</v>
      </c>
      <c r="I166" s="20" t="s">
        <v>1356</v>
      </c>
      <c r="J166" s="6" t="s">
        <v>319</v>
      </c>
      <c r="K166" s="6" t="s">
        <v>320</v>
      </c>
      <c r="L166" s="6" t="str">
        <f>CONCATENATE(K166," ",J166)</f>
        <v>Dale Walenga</v>
      </c>
      <c r="M166" s="6" t="s">
        <v>57</v>
      </c>
      <c r="N166" s="5">
        <v>45962</v>
      </c>
      <c r="O166" s="5">
        <v>46082</v>
      </c>
      <c r="P166" s="23">
        <f>DATEDIF(N166,O166,"M")</f>
        <v>4</v>
      </c>
      <c r="Q166" s="23" t="s">
        <v>157</v>
      </c>
      <c r="R166" s="23" t="s">
        <v>1390</v>
      </c>
      <c r="S166" s="7">
        <v>35.270000000000003</v>
      </c>
      <c r="T166" s="13">
        <v>0.51</v>
      </c>
      <c r="U166" s="6" t="s">
        <v>60</v>
      </c>
      <c r="V166" s="6" t="s">
        <v>135</v>
      </c>
      <c r="W166" s="7">
        <v>17.989999999999998</v>
      </c>
    </row>
    <row r="167" spans="1:55" s="6" customFormat="1" x14ac:dyDescent="0.25">
      <c r="A167" s="6">
        <v>2031379410</v>
      </c>
      <c r="B167" s="6" t="s">
        <v>317</v>
      </c>
      <c r="C167" s="6" t="s">
        <v>318</v>
      </c>
      <c r="D167" s="6" t="str">
        <f>CONCATENATE(C167," ",B167)</f>
        <v>SHIRLEY NELSON</v>
      </c>
      <c r="E167" s="6" t="s">
        <v>66</v>
      </c>
      <c r="F167" s="6" t="s">
        <v>152</v>
      </c>
      <c r="G167" s="6" t="s">
        <v>241</v>
      </c>
      <c r="H167" s="6" t="s">
        <v>238</v>
      </c>
      <c r="I167" s="20" t="s">
        <v>1356</v>
      </c>
      <c r="J167" s="6" t="s">
        <v>319</v>
      </c>
      <c r="K167" s="6" t="s">
        <v>320</v>
      </c>
      <c r="L167" s="6" t="str">
        <f>CONCATENATE(K167," ",J167)</f>
        <v>Dale Walenga</v>
      </c>
      <c r="M167" s="6" t="s">
        <v>57</v>
      </c>
      <c r="N167" s="5">
        <v>45962</v>
      </c>
      <c r="O167" s="5">
        <v>46082</v>
      </c>
      <c r="P167" s="23">
        <f>DATEDIF(N167,O167,"M")</f>
        <v>4</v>
      </c>
      <c r="Q167" s="23" t="s">
        <v>157</v>
      </c>
      <c r="R167" s="23" t="s">
        <v>1390</v>
      </c>
      <c r="S167" s="7">
        <v>5.95</v>
      </c>
      <c r="T167" s="13">
        <v>0.51</v>
      </c>
      <c r="U167" s="6" t="s">
        <v>60</v>
      </c>
      <c r="V167" s="6" t="s">
        <v>135</v>
      </c>
      <c r="W167" s="7">
        <v>3.03</v>
      </c>
    </row>
    <row r="168" spans="1:55" s="6" customFormat="1" x14ac:dyDescent="0.25">
      <c r="A168" s="6">
        <v>2031379411</v>
      </c>
      <c r="B168" s="6" t="s">
        <v>317</v>
      </c>
      <c r="C168" s="6" t="s">
        <v>318</v>
      </c>
      <c r="D168" s="6" t="str">
        <f>CONCATENATE(C168," ",B168)</f>
        <v>SHIRLEY NELSON</v>
      </c>
      <c r="E168" s="6" t="s">
        <v>66</v>
      </c>
      <c r="F168" s="6" t="s">
        <v>383</v>
      </c>
      <c r="G168" s="6" t="s">
        <v>384</v>
      </c>
      <c r="H168" s="6" t="s">
        <v>384</v>
      </c>
      <c r="I168" s="20" t="s">
        <v>1356</v>
      </c>
      <c r="J168" s="6" t="s">
        <v>319</v>
      </c>
      <c r="K168" s="6" t="s">
        <v>320</v>
      </c>
      <c r="L168" s="6" t="str">
        <f>CONCATENATE(K168," ",J168)</f>
        <v>Dale Walenga</v>
      </c>
      <c r="M168" s="6" t="s">
        <v>57</v>
      </c>
      <c r="N168" s="5">
        <v>45962</v>
      </c>
      <c r="O168" s="5">
        <v>46082</v>
      </c>
      <c r="P168" s="23">
        <f>DATEDIF(N168,O168,"M")</f>
        <v>4</v>
      </c>
      <c r="Q168" s="23" t="s">
        <v>157</v>
      </c>
      <c r="R168" s="23" t="s">
        <v>1390</v>
      </c>
      <c r="S168" s="7">
        <v>11.5</v>
      </c>
      <c r="T168" s="13">
        <v>0.7</v>
      </c>
      <c r="U168" s="6" t="s">
        <v>60</v>
      </c>
      <c r="V168" s="6" t="s">
        <v>135</v>
      </c>
      <c r="W168" s="7">
        <v>8.0500000000000007</v>
      </c>
    </row>
    <row r="169" spans="1:55" s="6" customFormat="1" x14ac:dyDescent="0.25">
      <c r="A169" s="6">
        <v>2030945124</v>
      </c>
      <c r="B169" s="6" t="s">
        <v>580</v>
      </c>
      <c r="C169" s="6" t="s">
        <v>581</v>
      </c>
      <c r="D169" s="6" t="str">
        <f>CONCATENATE(C169," ",B169)</f>
        <v>RENAE WILLIAMS</v>
      </c>
      <c r="E169" s="6" t="s">
        <v>66</v>
      </c>
      <c r="F169" s="6" t="s">
        <v>72</v>
      </c>
      <c r="G169" s="6" t="s">
        <v>73</v>
      </c>
      <c r="H169" s="6" t="s">
        <v>1329</v>
      </c>
      <c r="I169" s="20" t="s">
        <v>1356</v>
      </c>
      <c r="J169" s="6" t="s">
        <v>319</v>
      </c>
      <c r="K169" s="6" t="s">
        <v>320</v>
      </c>
      <c r="L169" s="6" t="str">
        <f>CONCATENATE(K169," ",J169)</f>
        <v>Dale Walenga</v>
      </c>
      <c r="M169" s="6" t="s">
        <v>57</v>
      </c>
      <c r="N169" s="5">
        <v>45909</v>
      </c>
      <c r="O169" s="5">
        <v>46090</v>
      </c>
      <c r="P169" s="23">
        <f>DATEDIF(N169,O169,"M")</f>
        <v>6</v>
      </c>
      <c r="Q169" s="23" t="s">
        <v>157</v>
      </c>
      <c r="R169" s="23" t="s">
        <v>1390</v>
      </c>
      <c r="S169" s="7">
        <v>47.13</v>
      </c>
      <c r="T169" s="13">
        <v>0.75</v>
      </c>
      <c r="U169" s="6" t="s">
        <v>60</v>
      </c>
      <c r="V169" s="6" t="s">
        <v>135</v>
      </c>
      <c r="W169" s="7">
        <v>35.35</v>
      </c>
    </row>
    <row r="170" spans="1:55" s="6" customFormat="1" x14ac:dyDescent="0.25">
      <c r="A170" s="6">
        <v>2030945123</v>
      </c>
      <c r="B170" s="6" t="s">
        <v>580</v>
      </c>
      <c r="C170" s="6" t="s">
        <v>581</v>
      </c>
      <c r="D170" s="6" t="str">
        <f>CONCATENATE(C170," ",B170)</f>
        <v>RENAE WILLIAMS</v>
      </c>
      <c r="E170" s="6" t="s">
        <v>66</v>
      </c>
      <c r="F170" s="6" t="s">
        <v>383</v>
      </c>
      <c r="G170" s="6" t="s">
        <v>843</v>
      </c>
      <c r="H170" s="6" t="s">
        <v>843</v>
      </c>
      <c r="I170" s="20" t="s">
        <v>1356</v>
      </c>
      <c r="J170" s="6" t="s">
        <v>319</v>
      </c>
      <c r="K170" s="6" t="s">
        <v>320</v>
      </c>
      <c r="L170" s="6" t="str">
        <f>CONCATENATE(K170," ",J170)</f>
        <v>Dale Walenga</v>
      </c>
      <c r="M170" s="6" t="s">
        <v>57</v>
      </c>
      <c r="N170" s="5">
        <v>45909</v>
      </c>
      <c r="O170" s="5">
        <v>46090</v>
      </c>
      <c r="P170" s="23">
        <f>DATEDIF(N170,O170,"M")</f>
        <v>6</v>
      </c>
      <c r="Q170" s="23" t="s">
        <v>157</v>
      </c>
      <c r="R170" s="23" t="s">
        <v>1390</v>
      </c>
      <c r="S170" s="7">
        <v>25.08</v>
      </c>
      <c r="T170" s="13">
        <v>0.42</v>
      </c>
      <c r="U170" s="6" t="s">
        <v>60</v>
      </c>
      <c r="V170" s="6" t="s">
        <v>135</v>
      </c>
      <c r="W170" s="7">
        <v>10.53</v>
      </c>
    </row>
    <row r="171" spans="1:55" s="6" customFormat="1" x14ac:dyDescent="0.25">
      <c r="A171" s="6">
        <v>2030945122</v>
      </c>
      <c r="B171" s="6" t="s">
        <v>580</v>
      </c>
      <c r="C171" s="6" t="s">
        <v>581</v>
      </c>
      <c r="D171" s="6" t="str">
        <f>CONCATENATE(C171," ",B171)</f>
        <v>RENAE WILLIAMS</v>
      </c>
      <c r="E171" s="6" t="s">
        <v>66</v>
      </c>
      <c r="F171" s="6" t="s">
        <v>378</v>
      </c>
      <c r="G171" s="6" t="s">
        <v>379</v>
      </c>
      <c r="H171" s="6" t="s">
        <v>379</v>
      </c>
      <c r="I171" s="20" t="s">
        <v>1356</v>
      </c>
      <c r="J171" s="6" t="s">
        <v>319</v>
      </c>
      <c r="K171" s="6" t="s">
        <v>320</v>
      </c>
      <c r="L171" s="6" t="str">
        <f>CONCATENATE(K171," ",J171)</f>
        <v>Dale Walenga</v>
      </c>
      <c r="M171" s="6" t="s">
        <v>57</v>
      </c>
      <c r="N171" s="5">
        <v>45909</v>
      </c>
      <c r="O171" s="5">
        <v>46090</v>
      </c>
      <c r="P171" s="23">
        <f>DATEDIF(N171,O171,"M")</f>
        <v>6</v>
      </c>
      <c r="Q171" s="23" t="s">
        <v>157</v>
      </c>
      <c r="R171" s="23" t="s">
        <v>1390</v>
      </c>
      <c r="S171" s="7">
        <v>19.48</v>
      </c>
      <c r="T171" s="13">
        <v>0.38</v>
      </c>
      <c r="U171" s="6" t="s">
        <v>60</v>
      </c>
      <c r="V171" s="6" t="s">
        <v>135</v>
      </c>
      <c r="W171" s="7">
        <v>7.4</v>
      </c>
    </row>
    <row r="172" spans="1:55" s="6" customFormat="1" x14ac:dyDescent="0.25">
      <c r="A172" s="6">
        <v>2030945125</v>
      </c>
      <c r="B172" s="6" t="s">
        <v>580</v>
      </c>
      <c r="C172" s="6" t="s">
        <v>581</v>
      </c>
      <c r="D172" s="6" t="str">
        <f>CONCATENATE(C172," ",B172)</f>
        <v>RENAE WILLIAMS</v>
      </c>
      <c r="E172" s="6" t="s">
        <v>66</v>
      </c>
      <c r="F172" s="6" t="s">
        <v>350</v>
      </c>
      <c r="G172" s="6" t="s">
        <v>582</v>
      </c>
      <c r="H172" s="6" t="s">
        <v>379</v>
      </c>
      <c r="I172" s="20" t="s">
        <v>1356</v>
      </c>
      <c r="J172" s="6" t="s">
        <v>319</v>
      </c>
      <c r="K172" s="6" t="s">
        <v>320</v>
      </c>
      <c r="L172" s="6" t="str">
        <f>CONCATENATE(K172," ",J172)</f>
        <v>Dale Walenga</v>
      </c>
      <c r="M172" s="6" t="s">
        <v>57</v>
      </c>
      <c r="N172" s="5">
        <v>45909</v>
      </c>
      <c r="O172" s="5">
        <v>46090</v>
      </c>
      <c r="P172" s="23">
        <f>DATEDIF(N172,O172,"M")</f>
        <v>6</v>
      </c>
      <c r="Q172" s="23" t="s">
        <v>157</v>
      </c>
      <c r="R172" s="23" t="s">
        <v>1390</v>
      </c>
      <c r="S172" s="7">
        <v>15</v>
      </c>
      <c r="T172" s="13">
        <v>0.38</v>
      </c>
      <c r="U172" s="6" t="s">
        <v>60</v>
      </c>
      <c r="V172" s="6" t="s">
        <v>135</v>
      </c>
      <c r="W172" s="7">
        <v>5.7</v>
      </c>
    </row>
    <row r="173" spans="1:55" s="6" customFormat="1" x14ac:dyDescent="0.25">
      <c r="A173" s="6">
        <v>2028166815</v>
      </c>
      <c r="B173" s="6" t="s">
        <v>1168</v>
      </c>
      <c r="C173" s="6" t="s">
        <v>926</v>
      </c>
      <c r="D173" s="6" t="str">
        <f>CONCATENATE(C173," ",B173)</f>
        <v>ALAN BAIN</v>
      </c>
      <c r="E173" s="6" t="s">
        <v>66</v>
      </c>
      <c r="F173" s="6" t="s">
        <v>1132</v>
      </c>
      <c r="G173" s="6" t="s">
        <v>1167</v>
      </c>
      <c r="H173" s="6" t="s">
        <v>1150</v>
      </c>
      <c r="I173" s="20" t="s">
        <v>1356</v>
      </c>
      <c r="J173" s="6" t="s">
        <v>319</v>
      </c>
      <c r="K173" s="6" t="s">
        <v>320</v>
      </c>
      <c r="L173" s="6" t="str">
        <f>CONCATENATE(K173," ",J173)</f>
        <v>Dale Walenga</v>
      </c>
      <c r="M173" s="6" t="s">
        <v>57</v>
      </c>
      <c r="N173" s="5">
        <v>45778</v>
      </c>
      <c r="O173" s="5">
        <v>46082</v>
      </c>
      <c r="P173" s="23">
        <f>DATEDIF(N173,O173,"M")</f>
        <v>10</v>
      </c>
      <c r="Q173" s="23" t="s">
        <v>157</v>
      </c>
      <c r="R173" s="23" t="s">
        <v>1391</v>
      </c>
      <c r="S173" s="7">
        <v>106.67</v>
      </c>
      <c r="T173" s="13">
        <v>0.28000000000000003</v>
      </c>
      <c r="U173" s="6" t="s">
        <v>60</v>
      </c>
      <c r="V173" s="6" t="s">
        <v>135</v>
      </c>
      <c r="W173" s="7">
        <v>29.87</v>
      </c>
    </row>
    <row r="174" spans="1:55" s="6" customFormat="1" x14ac:dyDescent="0.25">
      <c r="A174" s="6">
        <v>2028361729</v>
      </c>
      <c r="B174" s="6" t="s">
        <v>1169</v>
      </c>
      <c r="C174" s="6" t="s">
        <v>741</v>
      </c>
      <c r="D174" s="6" t="str">
        <f>CONCATENATE(C174," ",B174)</f>
        <v>GARY MICHELSEN</v>
      </c>
      <c r="E174" s="6" t="s">
        <v>66</v>
      </c>
      <c r="F174" s="6" t="s">
        <v>1132</v>
      </c>
      <c r="G174" s="6" t="s">
        <v>1167</v>
      </c>
      <c r="H174" s="6" t="s">
        <v>1150</v>
      </c>
      <c r="I174" s="20" t="s">
        <v>1356</v>
      </c>
      <c r="J174" s="6" t="s">
        <v>319</v>
      </c>
      <c r="K174" s="6" t="s">
        <v>320</v>
      </c>
      <c r="L174" s="6" t="str">
        <f>CONCATENATE(K174," ",J174)</f>
        <v>Dale Walenga</v>
      </c>
      <c r="M174" s="6" t="s">
        <v>57</v>
      </c>
      <c r="N174" s="5">
        <v>45778</v>
      </c>
      <c r="O174" s="5">
        <v>46082</v>
      </c>
      <c r="P174" s="23">
        <f>DATEDIF(N174,O174,"M")</f>
        <v>10</v>
      </c>
      <c r="Q174" s="23" t="s">
        <v>157</v>
      </c>
      <c r="R174" s="23" t="s">
        <v>1391</v>
      </c>
      <c r="S174" s="7">
        <v>112.21</v>
      </c>
      <c r="T174" s="13">
        <v>0.28000000000000003</v>
      </c>
      <c r="U174" s="6" t="s">
        <v>60</v>
      </c>
      <c r="V174" s="6" t="s">
        <v>135</v>
      </c>
      <c r="W174" s="7">
        <v>31.42</v>
      </c>
    </row>
    <row r="175" spans="1:55" s="6" customFormat="1" x14ac:dyDescent="0.25">
      <c r="A175" s="6">
        <v>2028422101</v>
      </c>
      <c r="B175" s="6" t="s">
        <v>1169</v>
      </c>
      <c r="C175" s="6" t="s">
        <v>389</v>
      </c>
      <c r="D175" s="6" t="str">
        <f>CONCATENATE(C175," ",B175)</f>
        <v>SUSAN MICHELSEN</v>
      </c>
      <c r="E175" s="6" t="s">
        <v>66</v>
      </c>
      <c r="F175" s="6" t="s">
        <v>1132</v>
      </c>
      <c r="G175" s="6" t="s">
        <v>1167</v>
      </c>
      <c r="H175" s="6" t="s">
        <v>1150</v>
      </c>
      <c r="I175" s="20" t="s">
        <v>1356</v>
      </c>
      <c r="J175" s="6" t="s">
        <v>319</v>
      </c>
      <c r="K175" s="6" t="s">
        <v>320</v>
      </c>
      <c r="L175" s="6" t="str">
        <f>CONCATENATE(K175," ",J175)</f>
        <v>Dale Walenga</v>
      </c>
      <c r="M175" s="6" t="s">
        <v>57</v>
      </c>
      <c r="N175" s="5">
        <v>45778</v>
      </c>
      <c r="O175" s="5">
        <v>46082</v>
      </c>
      <c r="P175" s="23">
        <f>DATEDIF(N175,O175,"M")</f>
        <v>10</v>
      </c>
      <c r="Q175" s="23" t="s">
        <v>157</v>
      </c>
      <c r="R175" s="23" t="s">
        <v>1391</v>
      </c>
      <c r="S175" s="7">
        <v>143.93</v>
      </c>
      <c r="T175" s="13">
        <v>0.28000000000000003</v>
      </c>
      <c r="U175" s="6" t="s">
        <v>60</v>
      </c>
      <c r="V175" s="6" t="s">
        <v>135</v>
      </c>
      <c r="W175" s="7">
        <v>40.299999999999997</v>
      </c>
    </row>
    <row r="176" spans="1:55" s="6" customFormat="1" x14ac:dyDescent="0.25">
      <c r="A176" s="6">
        <v>2028000460</v>
      </c>
      <c r="B176" s="6" t="s">
        <v>503</v>
      </c>
      <c r="C176" s="6" t="s">
        <v>529</v>
      </c>
      <c r="D176" s="6" t="str">
        <f>CONCATENATE(C176," ",B176)</f>
        <v>STEPHEN REYNOLDS</v>
      </c>
      <c r="E176" s="6" t="s">
        <v>66</v>
      </c>
      <c r="F176" s="6" t="s">
        <v>1132</v>
      </c>
      <c r="G176" s="6" t="s">
        <v>1167</v>
      </c>
      <c r="H176" s="6" t="s">
        <v>1343</v>
      </c>
      <c r="I176" s="20" t="s">
        <v>1356</v>
      </c>
      <c r="J176" s="6" t="s">
        <v>319</v>
      </c>
      <c r="K176" s="6" t="s">
        <v>320</v>
      </c>
      <c r="L176" s="6" t="str">
        <f>CONCATENATE(K176," ",J176)</f>
        <v>Dale Walenga</v>
      </c>
      <c r="M176" s="6" t="s">
        <v>57</v>
      </c>
      <c r="N176" s="5">
        <v>45748</v>
      </c>
      <c r="O176" s="5">
        <v>46082</v>
      </c>
      <c r="P176" s="23">
        <f>DATEDIF(N176,O176,"M")</f>
        <v>11</v>
      </c>
      <c r="Q176" s="23" t="s">
        <v>157</v>
      </c>
      <c r="R176" s="23" t="s">
        <v>1391</v>
      </c>
      <c r="S176" s="7">
        <v>114.69</v>
      </c>
      <c r="T176" s="13">
        <v>0.28000000000000003</v>
      </c>
      <c r="U176" s="6" t="s">
        <v>60</v>
      </c>
      <c r="V176" s="6" t="s">
        <v>135</v>
      </c>
      <c r="W176" s="7">
        <v>32.11</v>
      </c>
    </row>
    <row r="177" spans="1:55" s="6" customFormat="1" x14ac:dyDescent="0.25">
      <c r="A177" s="15">
        <v>2030820657</v>
      </c>
      <c r="B177" s="15" t="s">
        <v>312</v>
      </c>
      <c r="C177" s="15" t="s">
        <v>240</v>
      </c>
      <c r="D177" s="15" t="str">
        <f>CONCATENATE(C177," ",B177)</f>
        <v>JOHN MCADOO</v>
      </c>
      <c r="E177" s="15" t="s">
        <v>52</v>
      </c>
      <c r="F177" s="15" t="s">
        <v>152</v>
      </c>
      <c r="G177" s="15" t="s">
        <v>153</v>
      </c>
      <c r="H177" s="15" t="s">
        <v>153</v>
      </c>
      <c r="I177" s="21" t="s">
        <v>1357</v>
      </c>
      <c r="J177" s="15" t="s">
        <v>215</v>
      </c>
      <c r="K177" s="15" t="s">
        <v>216</v>
      </c>
      <c r="L177" s="15" t="str">
        <f>CONCATENATE(K177," ",J177)</f>
        <v>DEBORAH INSKIPT</v>
      </c>
      <c r="M177" s="15" t="s">
        <v>57</v>
      </c>
      <c r="N177" s="16">
        <v>45931</v>
      </c>
      <c r="O177" s="16">
        <v>46082</v>
      </c>
      <c r="P177" s="24">
        <f>DATEDIF(N177,O177,"M")</f>
        <v>5</v>
      </c>
      <c r="Q177" s="24" t="s">
        <v>157</v>
      </c>
      <c r="R177" s="24" t="s">
        <v>1391</v>
      </c>
      <c r="S177" s="17">
        <v>33.590000000000003</v>
      </c>
      <c r="T177" s="18">
        <v>0.47</v>
      </c>
      <c r="U177" s="15" t="s">
        <v>60</v>
      </c>
      <c r="V177" s="15" t="s">
        <v>135</v>
      </c>
      <c r="W177" s="17">
        <v>15.79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</row>
    <row r="178" spans="1:55" s="6" customFormat="1" x14ac:dyDescent="0.25">
      <c r="A178" s="15">
        <v>2028915803</v>
      </c>
      <c r="B178" s="15" t="s">
        <v>299</v>
      </c>
      <c r="C178" s="15" t="s">
        <v>300</v>
      </c>
      <c r="D178" s="15" t="str">
        <f>CONCATENATE(C178," ",B178)</f>
        <v>CIPA PATRICIA</v>
      </c>
      <c r="E178" s="15" t="s">
        <v>52</v>
      </c>
      <c r="F178" s="15" t="s">
        <v>152</v>
      </c>
      <c r="G178" s="15" t="s">
        <v>153</v>
      </c>
      <c r="H178" s="15" t="s">
        <v>153</v>
      </c>
      <c r="I178" s="21" t="s">
        <v>1357</v>
      </c>
      <c r="J178" s="15" t="s">
        <v>215</v>
      </c>
      <c r="K178" s="15" t="s">
        <v>216</v>
      </c>
      <c r="L178" s="15" t="str">
        <f>CONCATENATE(K178," ",J178)</f>
        <v>DEBORAH INSKIPT</v>
      </c>
      <c r="M178" s="15" t="s">
        <v>57</v>
      </c>
      <c r="N178" s="16">
        <v>45839</v>
      </c>
      <c r="O178" s="16">
        <v>46082</v>
      </c>
      <c r="P178" s="24">
        <f>DATEDIF(N178,O178,"M")</f>
        <v>8</v>
      </c>
      <c r="Q178" s="24" t="s">
        <v>157</v>
      </c>
      <c r="R178" s="24" t="s">
        <v>1391</v>
      </c>
      <c r="S178" s="17">
        <v>77.010000000000005</v>
      </c>
      <c r="T178" s="18">
        <v>0.47</v>
      </c>
      <c r="U178" s="15" t="s">
        <v>60</v>
      </c>
      <c r="V178" s="15" t="s">
        <v>135</v>
      </c>
      <c r="W178" s="17">
        <v>36.19</v>
      </c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</row>
    <row r="179" spans="1:55" s="6" customFormat="1" x14ac:dyDescent="0.25">
      <c r="A179" s="15">
        <v>2029284253</v>
      </c>
      <c r="B179" s="15" t="s">
        <v>305</v>
      </c>
      <c r="C179" s="15" t="s">
        <v>306</v>
      </c>
      <c r="D179" s="15" t="str">
        <f>CONCATENATE(C179," ",B179)</f>
        <v>LYNNE HARPER</v>
      </c>
      <c r="E179" s="15" t="s">
        <v>52</v>
      </c>
      <c r="F179" s="15" t="s">
        <v>152</v>
      </c>
      <c r="G179" s="15" t="s">
        <v>153</v>
      </c>
      <c r="H179" s="15" t="s">
        <v>153</v>
      </c>
      <c r="I179" s="21" t="s">
        <v>1357</v>
      </c>
      <c r="J179" s="15" t="s">
        <v>215</v>
      </c>
      <c r="K179" s="15" t="s">
        <v>216</v>
      </c>
      <c r="L179" s="15" t="str">
        <f>CONCATENATE(K179," ",J179)</f>
        <v>DEBORAH INSKIPT</v>
      </c>
      <c r="M179" s="15" t="s">
        <v>57</v>
      </c>
      <c r="N179" s="16">
        <v>45813</v>
      </c>
      <c r="O179" s="16">
        <v>46086</v>
      </c>
      <c r="P179" s="24">
        <f>DATEDIF(N179,O179,"M")</f>
        <v>9</v>
      </c>
      <c r="Q179" s="24" t="s">
        <v>157</v>
      </c>
      <c r="R179" s="24" t="s">
        <v>1391</v>
      </c>
      <c r="S179" s="17">
        <v>75.88</v>
      </c>
      <c r="T179" s="18">
        <v>0.47</v>
      </c>
      <c r="U179" s="15" t="s">
        <v>60</v>
      </c>
      <c r="V179" s="15" t="s">
        <v>135</v>
      </c>
      <c r="W179" s="17">
        <v>35.659999999999997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</row>
    <row r="180" spans="1:55" s="6" customFormat="1" x14ac:dyDescent="0.25">
      <c r="A180" s="15">
        <v>2027202668</v>
      </c>
      <c r="B180" s="15" t="s">
        <v>280</v>
      </c>
      <c r="C180" s="15" t="s">
        <v>281</v>
      </c>
      <c r="D180" s="15" t="str">
        <f>CONCATENATE(C180," ",B180)</f>
        <v>ELIZABETH REESE</v>
      </c>
      <c r="E180" s="15" t="s">
        <v>52</v>
      </c>
      <c r="F180" s="15" t="s">
        <v>152</v>
      </c>
      <c r="G180" s="15" t="s">
        <v>153</v>
      </c>
      <c r="H180" s="15" t="s">
        <v>153</v>
      </c>
      <c r="I180" s="21" t="s">
        <v>1357</v>
      </c>
      <c r="J180" s="15" t="s">
        <v>215</v>
      </c>
      <c r="K180" s="15" t="s">
        <v>216</v>
      </c>
      <c r="L180" s="15" t="str">
        <f>CONCATENATE(K180," ",J180)</f>
        <v>DEBORAH INSKIPT</v>
      </c>
      <c r="M180" s="15" t="s">
        <v>57</v>
      </c>
      <c r="N180" s="16">
        <v>45778</v>
      </c>
      <c r="O180" s="16">
        <v>46082</v>
      </c>
      <c r="P180" s="24">
        <f>DATEDIF(N180,O180,"M")</f>
        <v>10</v>
      </c>
      <c r="Q180" s="24" t="s">
        <v>157</v>
      </c>
      <c r="R180" s="24" t="s">
        <v>1391</v>
      </c>
      <c r="S180" s="17">
        <v>56.88</v>
      </c>
      <c r="T180" s="18">
        <v>0.47</v>
      </c>
      <c r="U180" s="15" t="s">
        <v>60</v>
      </c>
      <c r="V180" s="15" t="s">
        <v>135</v>
      </c>
      <c r="W180" s="17">
        <v>26.73</v>
      </c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</row>
    <row r="181" spans="1:55" x14ac:dyDescent="0.25">
      <c r="A181" s="15">
        <v>2027050882</v>
      </c>
      <c r="B181" s="15" t="s">
        <v>277</v>
      </c>
      <c r="C181" s="15" t="s">
        <v>278</v>
      </c>
      <c r="D181" s="15" t="str">
        <f>CONCATENATE(C181," ",B181)</f>
        <v>BONITA SKIDMORE</v>
      </c>
      <c r="E181" s="15" t="s">
        <v>52</v>
      </c>
      <c r="F181" s="15" t="s">
        <v>152</v>
      </c>
      <c r="G181" s="15" t="s">
        <v>153</v>
      </c>
      <c r="H181" s="15" t="s">
        <v>153</v>
      </c>
      <c r="I181" s="21" t="s">
        <v>1357</v>
      </c>
      <c r="J181" s="15" t="s">
        <v>215</v>
      </c>
      <c r="K181" s="15" t="s">
        <v>216</v>
      </c>
      <c r="L181" s="15" t="str">
        <f>CONCATENATE(K181," ",J181)</f>
        <v>DEBORAH INSKIPT</v>
      </c>
      <c r="M181" s="15" t="s">
        <v>57</v>
      </c>
      <c r="N181" s="16">
        <v>45748</v>
      </c>
      <c r="O181" s="16">
        <v>46082</v>
      </c>
      <c r="P181" s="24">
        <f>DATEDIF(N181,O181,"M")</f>
        <v>11</v>
      </c>
      <c r="Q181" s="24" t="s">
        <v>157</v>
      </c>
      <c r="R181" s="24" t="s">
        <v>1391</v>
      </c>
      <c r="S181" s="17">
        <v>87.59</v>
      </c>
      <c r="T181" s="18">
        <v>0.47</v>
      </c>
      <c r="U181" s="15" t="s">
        <v>60</v>
      </c>
      <c r="V181" s="15" t="s">
        <v>135</v>
      </c>
      <c r="W181" s="17">
        <v>41.17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</row>
    <row r="182" spans="1:55" x14ac:dyDescent="0.25">
      <c r="A182" s="15">
        <v>2028038680</v>
      </c>
      <c r="B182" s="15" t="s">
        <v>297</v>
      </c>
      <c r="C182" s="15" t="s">
        <v>298</v>
      </c>
      <c r="D182" s="15" t="str">
        <f>CONCATENATE(C182," ",B182)</f>
        <v>JAMES SNIVELY</v>
      </c>
      <c r="E182" s="15" t="s">
        <v>52</v>
      </c>
      <c r="F182" s="15" t="s">
        <v>152</v>
      </c>
      <c r="G182" s="15" t="s">
        <v>153</v>
      </c>
      <c r="H182" s="15" t="s">
        <v>153</v>
      </c>
      <c r="I182" s="21" t="s">
        <v>1357</v>
      </c>
      <c r="J182" s="15" t="s">
        <v>215</v>
      </c>
      <c r="K182" s="15" t="s">
        <v>216</v>
      </c>
      <c r="L182" s="15" t="str">
        <f>CONCATENATE(K182," ",J182)</f>
        <v>DEBORAH INSKIPT</v>
      </c>
      <c r="M182" s="15" t="s">
        <v>57</v>
      </c>
      <c r="N182" s="16">
        <v>45748</v>
      </c>
      <c r="O182" s="16">
        <v>46082</v>
      </c>
      <c r="P182" s="24">
        <f>DATEDIF(N182,O182,"M")</f>
        <v>11</v>
      </c>
      <c r="Q182" s="24" t="s">
        <v>157</v>
      </c>
      <c r="R182" s="24" t="s">
        <v>1391</v>
      </c>
      <c r="S182" s="17">
        <v>69.31</v>
      </c>
      <c r="T182" s="18">
        <v>0.47</v>
      </c>
      <c r="U182" s="15" t="s">
        <v>60</v>
      </c>
      <c r="V182" s="15" t="s">
        <v>135</v>
      </c>
      <c r="W182" s="17">
        <v>32.58</v>
      </c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</row>
    <row r="183" spans="1:55" x14ac:dyDescent="0.25">
      <c r="A183" s="15">
        <v>2028067361</v>
      </c>
      <c r="B183" s="15" t="s">
        <v>82</v>
      </c>
      <c r="C183" s="15" t="s">
        <v>224</v>
      </c>
      <c r="D183" s="15" t="str">
        <f>CONCATENATE(C183," ",B183)</f>
        <v>DEBRA DAVIS</v>
      </c>
      <c r="E183" s="15" t="s">
        <v>52</v>
      </c>
      <c r="F183" s="15" t="s">
        <v>152</v>
      </c>
      <c r="G183" s="15" t="s">
        <v>153</v>
      </c>
      <c r="H183" s="15" t="s">
        <v>153</v>
      </c>
      <c r="I183" s="21" t="s">
        <v>1357</v>
      </c>
      <c r="J183" s="15" t="s">
        <v>215</v>
      </c>
      <c r="K183" s="15" t="s">
        <v>216</v>
      </c>
      <c r="L183" s="15" t="str">
        <f>CONCATENATE(K183," ",J183)</f>
        <v>DEBORAH INSKIPT</v>
      </c>
      <c r="M183" s="15" t="s">
        <v>57</v>
      </c>
      <c r="N183" s="16">
        <v>45748</v>
      </c>
      <c r="O183" s="16">
        <v>46082</v>
      </c>
      <c r="P183" s="24">
        <f>DATEDIF(N183,O183,"M")</f>
        <v>11</v>
      </c>
      <c r="Q183" s="24" t="s">
        <v>157</v>
      </c>
      <c r="R183" s="24" t="s">
        <v>1391</v>
      </c>
      <c r="S183" s="17">
        <v>87.59</v>
      </c>
      <c r="T183" s="18">
        <v>0.47</v>
      </c>
      <c r="U183" s="15" t="s">
        <v>60</v>
      </c>
      <c r="V183" s="15" t="s">
        <v>135</v>
      </c>
      <c r="W183" s="17">
        <v>41.17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</row>
    <row r="184" spans="1:55" x14ac:dyDescent="0.25">
      <c r="A184" s="15">
        <v>2027175182</v>
      </c>
      <c r="B184" s="15" t="s">
        <v>279</v>
      </c>
      <c r="C184" s="15" t="s">
        <v>176</v>
      </c>
      <c r="D184" s="15" t="str">
        <f>CONCATENATE(C184," ",B184)</f>
        <v>KIMBERLY LAUFF</v>
      </c>
      <c r="E184" s="15" t="s">
        <v>52</v>
      </c>
      <c r="F184" s="15" t="s">
        <v>152</v>
      </c>
      <c r="G184" s="15" t="s">
        <v>153</v>
      </c>
      <c r="H184" s="15" t="s">
        <v>153</v>
      </c>
      <c r="I184" s="21" t="s">
        <v>1357</v>
      </c>
      <c r="J184" s="15" t="s">
        <v>215</v>
      </c>
      <c r="K184" s="15" t="s">
        <v>216</v>
      </c>
      <c r="L184" s="15" t="str">
        <f>CONCATENATE(K184," ",J184)</f>
        <v>DEBORAH INSKIPT</v>
      </c>
      <c r="M184" s="15" t="s">
        <v>57</v>
      </c>
      <c r="N184" s="16">
        <v>45717</v>
      </c>
      <c r="O184" s="16">
        <v>46082</v>
      </c>
      <c r="P184" s="24">
        <f>DATEDIF(N184,O184,"M")</f>
        <v>12</v>
      </c>
      <c r="Q184" s="24" t="s">
        <v>157</v>
      </c>
      <c r="R184" s="24" t="s">
        <v>1391</v>
      </c>
      <c r="S184" s="17">
        <v>43.59</v>
      </c>
      <c r="T184" s="18">
        <v>0.47</v>
      </c>
      <c r="U184" s="15" t="s">
        <v>60</v>
      </c>
      <c r="V184" s="15" t="s">
        <v>135</v>
      </c>
      <c r="W184" s="17">
        <v>20.49</v>
      </c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</row>
    <row r="185" spans="1:55" x14ac:dyDescent="0.25">
      <c r="A185" s="15">
        <v>2021019279</v>
      </c>
      <c r="B185" s="15" t="s">
        <v>1137</v>
      </c>
      <c r="C185" s="15" t="s">
        <v>1138</v>
      </c>
      <c r="D185" s="15" t="str">
        <f>CONCATENATE(C185," ",B185)</f>
        <v>PAUL STAMATAKIS</v>
      </c>
      <c r="E185" s="15" t="s">
        <v>52</v>
      </c>
      <c r="F185" s="15" t="s">
        <v>1132</v>
      </c>
      <c r="G185" s="15" t="s">
        <v>1133</v>
      </c>
      <c r="H185" s="15" t="s">
        <v>1343</v>
      </c>
      <c r="I185" s="21">
        <v>17528908</v>
      </c>
      <c r="J185" s="15" t="s">
        <v>215</v>
      </c>
      <c r="K185" s="15" t="s">
        <v>216</v>
      </c>
      <c r="L185" s="15" t="str">
        <f>CONCATENATE(K185," ",J185)</f>
        <v>DEBORAH INSKIPT</v>
      </c>
      <c r="M185" s="15" t="s">
        <v>57</v>
      </c>
      <c r="N185" s="16">
        <v>45323</v>
      </c>
      <c r="O185" s="16">
        <v>45717</v>
      </c>
      <c r="P185" s="24">
        <f>DATEDIF(N185,O185,"M")</f>
        <v>13</v>
      </c>
      <c r="Q185" s="24" t="s">
        <v>157</v>
      </c>
      <c r="R185" s="24" t="s">
        <v>1391</v>
      </c>
      <c r="S185" s="17">
        <v>-115.59</v>
      </c>
      <c r="T185" s="18">
        <v>0.26</v>
      </c>
      <c r="U185" s="15" t="s">
        <v>157</v>
      </c>
      <c r="V185" s="15" t="s">
        <v>135</v>
      </c>
      <c r="W185" s="17">
        <v>-30.05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</row>
    <row r="186" spans="1:55" x14ac:dyDescent="0.25">
      <c r="A186" s="15">
        <v>2026147450</v>
      </c>
      <c r="B186" s="15" t="s">
        <v>268</v>
      </c>
      <c r="C186" s="15" t="s">
        <v>269</v>
      </c>
      <c r="D186" s="15" t="str">
        <f>CONCATENATE(C186," ",B186)</f>
        <v>EDITH FENTON</v>
      </c>
      <c r="E186" s="15" t="s">
        <v>52</v>
      </c>
      <c r="F186" s="15" t="s">
        <v>152</v>
      </c>
      <c r="G186" s="15" t="s">
        <v>153</v>
      </c>
      <c r="H186" s="15" t="s">
        <v>153</v>
      </c>
      <c r="I186" s="21">
        <v>17528908</v>
      </c>
      <c r="J186" s="15" t="s">
        <v>215</v>
      </c>
      <c r="K186" s="15" t="s">
        <v>216</v>
      </c>
      <c r="L186" s="15" t="str">
        <f>CONCATENATE(K186," ",J186)</f>
        <v>DEBORAH INSKIPT</v>
      </c>
      <c r="M186" s="15" t="s">
        <v>57</v>
      </c>
      <c r="N186" s="16">
        <v>45658</v>
      </c>
      <c r="O186" s="16">
        <v>46082</v>
      </c>
      <c r="P186" s="24">
        <f>DATEDIF(N186,O186,"M")</f>
        <v>14</v>
      </c>
      <c r="Q186" s="24" t="s">
        <v>157</v>
      </c>
      <c r="R186" s="24" t="s">
        <v>1391</v>
      </c>
      <c r="S186" s="17">
        <v>33.590000000000003</v>
      </c>
      <c r="T186" s="25">
        <v>5.2499999999999998E-2</v>
      </c>
      <c r="U186" s="15" t="s">
        <v>157</v>
      </c>
      <c r="V186" s="15" t="s">
        <v>135</v>
      </c>
      <c r="W186" s="17">
        <v>1.76</v>
      </c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</row>
    <row r="187" spans="1:55" x14ac:dyDescent="0.25">
      <c r="A187" s="15">
        <v>2020851074</v>
      </c>
      <c r="B187" s="15" t="s">
        <v>1136</v>
      </c>
      <c r="C187" s="15" t="s">
        <v>741</v>
      </c>
      <c r="D187" s="15" t="str">
        <f>CONCATENATE(C187," ",B187)</f>
        <v>GARY LISIVICK</v>
      </c>
      <c r="E187" s="15" t="s">
        <v>52</v>
      </c>
      <c r="F187" s="15" t="s">
        <v>1132</v>
      </c>
      <c r="G187" s="15" t="s">
        <v>1133</v>
      </c>
      <c r="H187" s="15" t="s">
        <v>1343</v>
      </c>
      <c r="I187" s="21">
        <v>17528908</v>
      </c>
      <c r="J187" s="15" t="s">
        <v>215</v>
      </c>
      <c r="K187" s="15" t="s">
        <v>216</v>
      </c>
      <c r="L187" s="15" t="str">
        <f>CONCATENATE(K187," ",J187)</f>
        <v>DEBORAH INSKIPT</v>
      </c>
      <c r="M187" s="15" t="s">
        <v>57</v>
      </c>
      <c r="N187" s="16">
        <v>45292</v>
      </c>
      <c r="O187" s="16">
        <v>45717</v>
      </c>
      <c r="P187" s="24">
        <f>DATEDIF(N187,O187,"M")</f>
        <v>14</v>
      </c>
      <c r="Q187" s="24" t="s">
        <v>157</v>
      </c>
      <c r="R187" s="24" t="s">
        <v>1391</v>
      </c>
      <c r="S187" s="17">
        <v>-124.29</v>
      </c>
      <c r="T187" s="18">
        <v>0.26</v>
      </c>
      <c r="U187" s="15" t="s">
        <v>157</v>
      </c>
      <c r="V187" s="15" t="s">
        <v>135</v>
      </c>
      <c r="W187" s="17">
        <v>-32.32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</row>
    <row r="188" spans="1:55" x14ac:dyDescent="0.25">
      <c r="A188" s="15">
        <v>2026146921</v>
      </c>
      <c r="B188" s="15" t="s">
        <v>671</v>
      </c>
      <c r="C188" s="15" t="s">
        <v>672</v>
      </c>
      <c r="D188" s="15" t="str">
        <f>CONCATENATE(C188," ",B188)</f>
        <v>VINCE MACCARELLI</v>
      </c>
      <c r="E188" s="15" t="s">
        <v>52</v>
      </c>
      <c r="F188" s="15" t="s">
        <v>363</v>
      </c>
      <c r="G188" s="15" t="s">
        <v>364</v>
      </c>
      <c r="H188" s="15" t="s">
        <v>364</v>
      </c>
      <c r="I188" s="21">
        <v>17528908</v>
      </c>
      <c r="J188" s="15" t="s">
        <v>215</v>
      </c>
      <c r="K188" s="15" t="s">
        <v>216</v>
      </c>
      <c r="L188" s="15" t="str">
        <f>CONCATENATE(K188," ",J188)</f>
        <v>DEBORAH INSKIPT</v>
      </c>
      <c r="M188" s="15" t="s">
        <v>57</v>
      </c>
      <c r="N188" s="16">
        <v>45639</v>
      </c>
      <c r="O188" s="16">
        <v>46094</v>
      </c>
      <c r="P188" s="24">
        <f>DATEDIF(N188,O188,"M")</f>
        <v>15</v>
      </c>
      <c r="Q188" s="24" t="s">
        <v>157</v>
      </c>
      <c r="R188" s="24" t="s">
        <v>1391</v>
      </c>
      <c r="S188" s="17">
        <v>39.979999999999997</v>
      </c>
      <c r="T188" s="18">
        <v>0.06</v>
      </c>
      <c r="U188" s="15" t="s">
        <v>157</v>
      </c>
      <c r="V188" s="15" t="s">
        <v>135</v>
      </c>
      <c r="W188" s="17">
        <v>2.4</v>
      </c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</row>
    <row r="189" spans="1:55" x14ac:dyDescent="0.25">
      <c r="A189" s="15">
        <v>2024984249</v>
      </c>
      <c r="B189" s="15" t="s">
        <v>255</v>
      </c>
      <c r="C189" s="15" t="s">
        <v>188</v>
      </c>
      <c r="D189" s="15" t="str">
        <f>CONCATENATE(C189," ",B189)</f>
        <v>MICHAEL MASSUCCI</v>
      </c>
      <c r="E189" s="15" t="s">
        <v>52</v>
      </c>
      <c r="F189" s="15" t="s">
        <v>152</v>
      </c>
      <c r="G189" s="15" t="s">
        <v>153</v>
      </c>
      <c r="H189" s="15" t="s">
        <v>153</v>
      </c>
      <c r="I189" s="21">
        <v>17528908</v>
      </c>
      <c r="J189" s="15" t="s">
        <v>215</v>
      </c>
      <c r="K189" s="15" t="s">
        <v>216</v>
      </c>
      <c r="L189" s="15" t="str">
        <f>CONCATENATE(K189," ",J189)</f>
        <v>DEBORAH INSKIPT</v>
      </c>
      <c r="M189" s="15" t="s">
        <v>57</v>
      </c>
      <c r="N189" s="16">
        <v>45597</v>
      </c>
      <c r="O189" s="16">
        <v>46082</v>
      </c>
      <c r="P189" s="24">
        <f>DATEDIF(N189,O189,"M")</f>
        <v>16</v>
      </c>
      <c r="Q189" s="24" t="s">
        <v>157</v>
      </c>
      <c r="R189" s="24" t="s">
        <v>1391</v>
      </c>
      <c r="S189" s="17">
        <v>78.83</v>
      </c>
      <c r="T189" s="25">
        <v>5.2499999999999998E-2</v>
      </c>
      <c r="U189" s="15" t="s">
        <v>157</v>
      </c>
      <c r="V189" s="15" t="s">
        <v>135</v>
      </c>
      <c r="W189" s="17">
        <v>4.1399999999999997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</row>
    <row r="190" spans="1:55" x14ac:dyDescent="0.25">
      <c r="A190" s="15">
        <v>2024779716</v>
      </c>
      <c r="B190" s="15" t="s">
        <v>648</v>
      </c>
      <c r="C190" s="15" t="s">
        <v>649</v>
      </c>
      <c r="D190" s="15" t="str">
        <f>CONCATENATE(C190," ",B190)</f>
        <v>LUCY SHEN</v>
      </c>
      <c r="E190" s="15" t="s">
        <v>52</v>
      </c>
      <c r="F190" s="15" t="s">
        <v>363</v>
      </c>
      <c r="G190" s="15" t="s">
        <v>364</v>
      </c>
      <c r="H190" s="15" t="s">
        <v>364</v>
      </c>
      <c r="I190" s="21">
        <v>17528908</v>
      </c>
      <c r="J190" s="15" t="s">
        <v>215</v>
      </c>
      <c r="K190" s="15" t="s">
        <v>216</v>
      </c>
      <c r="L190" s="15" t="str">
        <f>CONCATENATE(K190," ",J190)</f>
        <v>DEBORAH INSKIPT</v>
      </c>
      <c r="M190" s="15" t="s">
        <v>57</v>
      </c>
      <c r="N190" s="16">
        <v>45545</v>
      </c>
      <c r="O190" s="16">
        <v>46091</v>
      </c>
      <c r="P190" s="24">
        <f>DATEDIF(N190,O190,"M")</f>
        <v>18</v>
      </c>
      <c r="Q190" s="24" t="s">
        <v>157</v>
      </c>
      <c r="R190" s="24" t="s">
        <v>1391</v>
      </c>
      <c r="S190" s="17">
        <v>49.98</v>
      </c>
      <c r="T190" s="18">
        <v>0.06</v>
      </c>
      <c r="U190" s="15" t="s">
        <v>157</v>
      </c>
      <c r="V190" s="15" t="s">
        <v>135</v>
      </c>
      <c r="W190" s="17">
        <v>3</v>
      </c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</row>
    <row r="191" spans="1:55" x14ac:dyDescent="0.25">
      <c r="A191" s="15">
        <v>2023644771</v>
      </c>
      <c r="B191" s="15" t="s">
        <v>249</v>
      </c>
      <c r="C191" s="15" t="s">
        <v>250</v>
      </c>
      <c r="D191" s="15" t="str">
        <f>CONCATENATE(C191," ",B191)</f>
        <v>DAVID HOLETS</v>
      </c>
      <c r="E191" s="15" t="s">
        <v>52</v>
      </c>
      <c r="F191" s="15" t="s">
        <v>152</v>
      </c>
      <c r="G191" s="15" t="s">
        <v>153</v>
      </c>
      <c r="H191" s="15" t="s">
        <v>153</v>
      </c>
      <c r="I191" s="21">
        <v>17528908</v>
      </c>
      <c r="J191" s="15" t="s">
        <v>215</v>
      </c>
      <c r="K191" s="15" t="s">
        <v>216</v>
      </c>
      <c r="L191" s="15" t="str">
        <f>CONCATENATE(K191," ",J191)</f>
        <v>DEBORAH INSKIPT</v>
      </c>
      <c r="M191" s="15" t="s">
        <v>57</v>
      </c>
      <c r="N191" s="16">
        <v>45474</v>
      </c>
      <c r="O191" s="16">
        <v>46082</v>
      </c>
      <c r="P191" s="24">
        <f>DATEDIF(N191,O191,"M")</f>
        <v>20</v>
      </c>
      <c r="Q191" s="24" t="s">
        <v>157</v>
      </c>
      <c r="R191" s="24" t="s">
        <v>1391</v>
      </c>
      <c r="S191" s="17">
        <v>57.22</v>
      </c>
      <c r="T191" s="25">
        <v>5.2499999999999998E-2</v>
      </c>
      <c r="U191" s="15" t="s">
        <v>157</v>
      </c>
      <c r="V191" s="15" t="s">
        <v>135</v>
      </c>
      <c r="W191" s="17">
        <v>3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</row>
    <row r="192" spans="1:55" x14ac:dyDescent="0.25">
      <c r="A192" s="15">
        <v>2023679652</v>
      </c>
      <c r="B192" s="15" t="s">
        <v>251</v>
      </c>
      <c r="C192" s="15" t="s">
        <v>252</v>
      </c>
      <c r="D192" s="15" t="str">
        <f>CONCATENATE(C192," ",B192)</f>
        <v>COLLEEN MCKEE</v>
      </c>
      <c r="E192" s="15" t="s">
        <v>52</v>
      </c>
      <c r="F192" s="15" t="s">
        <v>152</v>
      </c>
      <c r="G192" s="15" t="s">
        <v>153</v>
      </c>
      <c r="H192" s="15" t="s">
        <v>153</v>
      </c>
      <c r="I192" s="21">
        <v>17528908</v>
      </c>
      <c r="J192" s="15" t="s">
        <v>215</v>
      </c>
      <c r="K192" s="15" t="s">
        <v>216</v>
      </c>
      <c r="L192" s="15" t="str">
        <f>CONCATENATE(K192," ",J192)</f>
        <v>DEBORAH INSKIPT</v>
      </c>
      <c r="M192" s="15" t="s">
        <v>57</v>
      </c>
      <c r="N192" s="16">
        <v>45474</v>
      </c>
      <c r="O192" s="16">
        <v>46082</v>
      </c>
      <c r="P192" s="24">
        <f>DATEDIF(N192,O192,"M")</f>
        <v>20</v>
      </c>
      <c r="Q192" s="24" t="s">
        <v>157</v>
      </c>
      <c r="R192" s="24" t="s">
        <v>1391</v>
      </c>
      <c r="S192" s="17">
        <v>47.32</v>
      </c>
      <c r="T192" s="25">
        <v>5.2499999999999998E-2</v>
      </c>
      <c r="U192" s="15" t="s">
        <v>157</v>
      </c>
      <c r="V192" s="15" t="s">
        <v>135</v>
      </c>
      <c r="W192" s="17">
        <v>2.48</v>
      </c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</row>
    <row r="193" spans="1:55" x14ac:dyDescent="0.25">
      <c r="A193" s="15">
        <v>2023280128</v>
      </c>
      <c r="B193" s="15" t="s">
        <v>247</v>
      </c>
      <c r="C193" s="15" t="s">
        <v>248</v>
      </c>
      <c r="D193" s="15" t="str">
        <f>CONCATENATE(C193," ",B193)</f>
        <v>TRINA ALFORD</v>
      </c>
      <c r="E193" s="15" t="s">
        <v>52</v>
      </c>
      <c r="F193" s="15" t="s">
        <v>152</v>
      </c>
      <c r="G193" s="15" t="s">
        <v>153</v>
      </c>
      <c r="H193" s="15" t="s">
        <v>153</v>
      </c>
      <c r="I193" s="21">
        <v>17528908</v>
      </c>
      <c r="J193" s="15" t="s">
        <v>215</v>
      </c>
      <c r="K193" s="15" t="s">
        <v>216</v>
      </c>
      <c r="L193" s="15" t="str">
        <f>CONCATENATE(K193," ",J193)</f>
        <v>DEBORAH INSKIPT</v>
      </c>
      <c r="M193" s="15" t="s">
        <v>57</v>
      </c>
      <c r="N193" s="16">
        <v>45444</v>
      </c>
      <c r="O193" s="16">
        <v>46082</v>
      </c>
      <c r="P193" s="24">
        <f>DATEDIF(N193,O193,"M")</f>
        <v>21</v>
      </c>
      <c r="Q193" s="24" t="s">
        <v>157</v>
      </c>
      <c r="R193" s="24" t="s">
        <v>1391</v>
      </c>
      <c r="S193" s="17">
        <v>33.590000000000003</v>
      </c>
      <c r="T193" s="25">
        <v>5.2499999999999998E-2</v>
      </c>
      <c r="U193" s="15" t="s">
        <v>157</v>
      </c>
      <c r="V193" s="15" t="s">
        <v>135</v>
      </c>
      <c r="W193" s="17">
        <v>1.76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</row>
    <row r="194" spans="1:55" x14ac:dyDescent="0.25">
      <c r="A194" s="15">
        <v>2022253036</v>
      </c>
      <c r="B194" s="15" t="s">
        <v>227</v>
      </c>
      <c r="C194" s="15" t="s">
        <v>228</v>
      </c>
      <c r="D194" s="15" t="str">
        <f>CONCATENATE(C194," ",B194)</f>
        <v>CHERYL KENST</v>
      </c>
      <c r="E194" s="15" t="s">
        <v>52</v>
      </c>
      <c r="F194" s="15" t="s">
        <v>152</v>
      </c>
      <c r="G194" s="15" t="s">
        <v>153</v>
      </c>
      <c r="H194" s="15" t="s">
        <v>153</v>
      </c>
      <c r="I194" s="21">
        <v>17528908</v>
      </c>
      <c r="J194" s="15" t="s">
        <v>215</v>
      </c>
      <c r="K194" s="15" t="s">
        <v>216</v>
      </c>
      <c r="L194" s="15" t="str">
        <f>CONCATENATE(K194," ",J194)</f>
        <v>DEBORAH INSKIPT</v>
      </c>
      <c r="M194" s="15" t="s">
        <v>57</v>
      </c>
      <c r="N194" s="16">
        <v>45383</v>
      </c>
      <c r="O194" s="16">
        <v>46082</v>
      </c>
      <c r="P194" s="24">
        <f>DATEDIF(N194,O194,"M")</f>
        <v>23</v>
      </c>
      <c r="Q194" s="24" t="s">
        <v>157</v>
      </c>
      <c r="R194" s="24" t="s">
        <v>1391</v>
      </c>
      <c r="S194" s="17">
        <v>43.59</v>
      </c>
      <c r="T194" s="25">
        <v>5.2499999999999998E-2</v>
      </c>
      <c r="U194" s="15" t="s">
        <v>157</v>
      </c>
      <c r="V194" s="15" t="s">
        <v>135</v>
      </c>
      <c r="W194" s="17">
        <v>2.29</v>
      </c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</row>
    <row r="195" spans="1:55" x14ac:dyDescent="0.25">
      <c r="A195" s="15">
        <v>2022532902</v>
      </c>
      <c r="B195" s="15" t="s">
        <v>229</v>
      </c>
      <c r="C195" s="15" t="s">
        <v>203</v>
      </c>
      <c r="D195" s="15" t="str">
        <f>CONCATENATE(C195," ",B195)</f>
        <v>EDWARD CHISMAR</v>
      </c>
      <c r="E195" s="15" t="s">
        <v>52</v>
      </c>
      <c r="F195" s="15" t="s">
        <v>152</v>
      </c>
      <c r="G195" s="15" t="s">
        <v>153</v>
      </c>
      <c r="H195" s="15" t="s">
        <v>153</v>
      </c>
      <c r="I195" s="21">
        <v>17528908</v>
      </c>
      <c r="J195" s="15" t="s">
        <v>215</v>
      </c>
      <c r="K195" s="15" t="s">
        <v>216</v>
      </c>
      <c r="L195" s="15" t="str">
        <f>CONCATENATE(K195," ",J195)</f>
        <v>DEBORAH INSKIPT</v>
      </c>
      <c r="M195" s="15" t="s">
        <v>57</v>
      </c>
      <c r="N195" s="16">
        <v>45384</v>
      </c>
      <c r="O195" s="16">
        <v>46083</v>
      </c>
      <c r="P195" s="24">
        <f>DATEDIF(N195,O195,"M")</f>
        <v>23</v>
      </c>
      <c r="Q195" s="24" t="s">
        <v>157</v>
      </c>
      <c r="R195" s="24" t="s">
        <v>1391</v>
      </c>
      <c r="S195" s="17">
        <v>50.6</v>
      </c>
      <c r="T195" s="25">
        <v>5.2499999999999998E-2</v>
      </c>
      <c r="U195" s="15" t="s">
        <v>157</v>
      </c>
      <c r="V195" s="15" t="s">
        <v>135</v>
      </c>
      <c r="W195" s="17">
        <v>2.66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</row>
    <row r="196" spans="1:55" x14ac:dyDescent="0.25">
      <c r="A196" s="15">
        <v>2022548915</v>
      </c>
      <c r="B196" s="15" t="s">
        <v>219</v>
      </c>
      <c r="C196" s="15" t="s">
        <v>230</v>
      </c>
      <c r="D196" s="15" t="str">
        <f>CONCATENATE(C196," ",B196)</f>
        <v>MICHELE FOSTER</v>
      </c>
      <c r="E196" s="15" t="s">
        <v>52</v>
      </c>
      <c r="F196" s="15" t="s">
        <v>152</v>
      </c>
      <c r="G196" s="15" t="s">
        <v>153</v>
      </c>
      <c r="H196" s="15" t="s">
        <v>153</v>
      </c>
      <c r="I196" s="21">
        <v>17528908</v>
      </c>
      <c r="J196" s="15" t="s">
        <v>215</v>
      </c>
      <c r="K196" s="15" t="s">
        <v>216</v>
      </c>
      <c r="L196" s="15" t="str">
        <f>CONCATENATE(K196," ",J196)</f>
        <v>DEBORAH INSKIPT</v>
      </c>
      <c r="M196" s="15" t="s">
        <v>57</v>
      </c>
      <c r="N196" s="16">
        <v>45385</v>
      </c>
      <c r="O196" s="16">
        <v>46084</v>
      </c>
      <c r="P196" s="24">
        <f>DATEDIF(N196,O196,"M")</f>
        <v>23</v>
      </c>
      <c r="Q196" s="24" t="s">
        <v>157</v>
      </c>
      <c r="R196" s="24" t="s">
        <v>1391</v>
      </c>
      <c r="S196" s="17">
        <v>56.88</v>
      </c>
      <c r="T196" s="25">
        <v>5.2499999999999998E-2</v>
      </c>
      <c r="U196" s="15" t="s">
        <v>157</v>
      </c>
      <c r="V196" s="15" t="s">
        <v>135</v>
      </c>
      <c r="W196" s="17">
        <v>2.99</v>
      </c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</row>
    <row r="197" spans="1:55" x14ac:dyDescent="0.25">
      <c r="A197" s="15">
        <v>2022583396</v>
      </c>
      <c r="B197" s="15" t="s">
        <v>231</v>
      </c>
      <c r="C197" s="15" t="s">
        <v>232</v>
      </c>
      <c r="D197" s="15" t="str">
        <f>CONCATENATE(C197," ",B197)</f>
        <v>JOYCE COSTANZO</v>
      </c>
      <c r="E197" s="15" t="s">
        <v>52</v>
      </c>
      <c r="F197" s="15" t="s">
        <v>152</v>
      </c>
      <c r="G197" s="15" t="s">
        <v>153</v>
      </c>
      <c r="H197" s="15" t="s">
        <v>153</v>
      </c>
      <c r="I197" s="21">
        <v>17528908</v>
      </c>
      <c r="J197" s="15" t="s">
        <v>215</v>
      </c>
      <c r="K197" s="15" t="s">
        <v>216</v>
      </c>
      <c r="L197" s="15" t="str">
        <f>CONCATENATE(K197," ",J197)</f>
        <v>DEBORAH INSKIPT</v>
      </c>
      <c r="M197" s="15" t="s">
        <v>57</v>
      </c>
      <c r="N197" s="16">
        <v>45387</v>
      </c>
      <c r="O197" s="16">
        <v>46086</v>
      </c>
      <c r="P197" s="24">
        <f>DATEDIF(N197,O197,"M")</f>
        <v>23</v>
      </c>
      <c r="Q197" s="24" t="s">
        <v>157</v>
      </c>
      <c r="R197" s="24" t="s">
        <v>1391</v>
      </c>
      <c r="S197" s="17">
        <v>43.59</v>
      </c>
      <c r="T197" s="25">
        <v>5.2499999999999998E-2</v>
      </c>
      <c r="U197" s="15" t="s">
        <v>157</v>
      </c>
      <c r="V197" s="15" t="s">
        <v>135</v>
      </c>
      <c r="W197" s="17">
        <v>2.29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</row>
    <row r="198" spans="1:55" x14ac:dyDescent="0.25">
      <c r="A198" s="15">
        <v>2021588618</v>
      </c>
      <c r="B198" s="15" t="s">
        <v>225</v>
      </c>
      <c r="C198" s="15" t="s">
        <v>226</v>
      </c>
      <c r="D198" s="15" t="str">
        <f>CONCATENATE(C198," ",B198)</f>
        <v>JOAN KAUPINIS</v>
      </c>
      <c r="E198" s="15" t="s">
        <v>52</v>
      </c>
      <c r="F198" s="15" t="s">
        <v>152</v>
      </c>
      <c r="G198" s="15" t="s">
        <v>153</v>
      </c>
      <c r="H198" s="15" t="s">
        <v>153</v>
      </c>
      <c r="I198" s="21">
        <v>17528908</v>
      </c>
      <c r="J198" s="15" t="s">
        <v>215</v>
      </c>
      <c r="K198" s="15" t="s">
        <v>216</v>
      </c>
      <c r="L198" s="15" t="str">
        <f>CONCATENATE(K198," ",J198)</f>
        <v>DEBORAH INSKIPT</v>
      </c>
      <c r="M198" s="15" t="s">
        <v>57</v>
      </c>
      <c r="N198" s="16">
        <v>45323</v>
      </c>
      <c r="O198" s="16">
        <v>46082</v>
      </c>
      <c r="P198" s="24">
        <f>DATEDIF(N198,O198,"M")</f>
        <v>25</v>
      </c>
      <c r="Q198" s="24" t="s">
        <v>157</v>
      </c>
      <c r="R198" s="24" t="s">
        <v>1391</v>
      </c>
      <c r="S198" s="17">
        <v>45.54</v>
      </c>
      <c r="T198" s="25">
        <v>5.2499999999999998E-2</v>
      </c>
      <c r="U198" s="15" t="s">
        <v>157</v>
      </c>
      <c r="V198" s="15" t="s">
        <v>135</v>
      </c>
      <c r="W198" s="17">
        <v>2.39</v>
      </c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</row>
    <row r="199" spans="1:55" x14ac:dyDescent="0.25">
      <c r="A199" s="15">
        <v>2020966338</v>
      </c>
      <c r="B199" s="15" t="s">
        <v>214</v>
      </c>
      <c r="C199" s="15" t="s">
        <v>188</v>
      </c>
      <c r="D199" s="15" t="str">
        <f>CONCATENATE(C199," ",B199)</f>
        <v>MICHAEL YOCHUM</v>
      </c>
      <c r="E199" s="15" t="s">
        <v>52</v>
      </c>
      <c r="F199" s="15" t="s">
        <v>152</v>
      </c>
      <c r="G199" s="15" t="s">
        <v>153</v>
      </c>
      <c r="H199" s="15" t="s">
        <v>153</v>
      </c>
      <c r="I199" s="21">
        <v>17528908</v>
      </c>
      <c r="J199" s="15" t="s">
        <v>215</v>
      </c>
      <c r="K199" s="15" t="s">
        <v>216</v>
      </c>
      <c r="L199" s="15" t="str">
        <f>CONCATENATE(K199," ",J199)</f>
        <v>DEBORAH INSKIPT</v>
      </c>
      <c r="M199" s="15" t="s">
        <v>57</v>
      </c>
      <c r="N199" s="16">
        <v>45292</v>
      </c>
      <c r="O199" s="16">
        <v>46082</v>
      </c>
      <c r="P199" s="24">
        <f>DATEDIF(N199,O199,"M")</f>
        <v>26</v>
      </c>
      <c r="Q199" s="24" t="s">
        <v>157</v>
      </c>
      <c r="R199" s="24" t="s">
        <v>1391</v>
      </c>
      <c r="S199" s="17">
        <v>48.22</v>
      </c>
      <c r="T199" s="25">
        <v>5.2499999999999998E-2</v>
      </c>
      <c r="U199" s="15" t="s">
        <v>157</v>
      </c>
      <c r="V199" s="15" t="s">
        <v>135</v>
      </c>
      <c r="W199" s="17">
        <v>2.5299999999999998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</row>
    <row r="200" spans="1:55" x14ac:dyDescent="0.25">
      <c r="A200" s="15">
        <v>2020851074</v>
      </c>
      <c r="B200" s="15" t="s">
        <v>1136</v>
      </c>
      <c r="C200" s="15" t="s">
        <v>741</v>
      </c>
      <c r="D200" s="15" t="str">
        <f>CONCATENATE(C200," ",B200)</f>
        <v>GARY LISIVICK</v>
      </c>
      <c r="E200" s="15" t="s">
        <v>52</v>
      </c>
      <c r="F200" s="15" t="s">
        <v>1132</v>
      </c>
      <c r="G200" s="15" t="s">
        <v>1133</v>
      </c>
      <c r="H200" s="15" t="s">
        <v>1343</v>
      </c>
      <c r="I200" s="21">
        <v>17528908</v>
      </c>
      <c r="J200" s="15" t="s">
        <v>215</v>
      </c>
      <c r="K200" s="15" t="s">
        <v>216</v>
      </c>
      <c r="L200" s="15" t="str">
        <f>CONCATENATE(K200," ",J200)</f>
        <v>DEBORAH INSKIPT</v>
      </c>
      <c r="M200" s="15" t="s">
        <v>57</v>
      </c>
      <c r="N200" s="16">
        <v>45292</v>
      </c>
      <c r="O200" s="16">
        <v>46082</v>
      </c>
      <c r="P200" s="24">
        <f>DATEDIF(N200,O200,"M")</f>
        <v>26</v>
      </c>
      <c r="Q200" s="24" t="s">
        <v>157</v>
      </c>
      <c r="R200" s="24" t="s">
        <v>1391</v>
      </c>
      <c r="S200" s="17">
        <v>124.29</v>
      </c>
      <c r="T200" s="18">
        <v>0.26</v>
      </c>
      <c r="U200" s="15" t="s">
        <v>157</v>
      </c>
      <c r="V200" s="15" t="s">
        <v>135</v>
      </c>
      <c r="W200" s="17">
        <v>32.32</v>
      </c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</row>
    <row r="201" spans="1:55" x14ac:dyDescent="0.25">
      <c r="A201" s="15">
        <v>2032021962</v>
      </c>
      <c r="B201" s="15" t="s">
        <v>1093</v>
      </c>
      <c r="C201" s="15" t="s">
        <v>70</v>
      </c>
      <c r="D201" s="15" t="str">
        <f>CONCATENATE(C201," ",B201)</f>
        <v>CHARLES MININGER</v>
      </c>
      <c r="E201" s="15" t="s">
        <v>52</v>
      </c>
      <c r="F201" s="15" t="s">
        <v>383</v>
      </c>
      <c r="G201" s="15" t="s">
        <v>400</v>
      </c>
      <c r="H201" s="15" t="s">
        <v>1172</v>
      </c>
      <c r="I201" s="21">
        <v>21605264</v>
      </c>
      <c r="J201" s="15" t="s">
        <v>1094</v>
      </c>
      <c r="K201" s="15" t="s">
        <v>1095</v>
      </c>
      <c r="L201" s="15" t="str">
        <f>CONCATENATE(K201," ",J201)</f>
        <v>Erica Solivan</v>
      </c>
      <c r="M201" s="15" t="s">
        <v>57</v>
      </c>
      <c r="N201" s="16">
        <v>45968</v>
      </c>
      <c r="O201" s="16">
        <v>46088</v>
      </c>
      <c r="P201" s="24">
        <f>DATEDIF(N201,O201,"M")</f>
        <v>4</v>
      </c>
      <c r="Q201" s="24" t="s">
        <v>157</v>
      </c>
      <c r="R201" s="24" t="s">
        <v>1391</v>
      </c>
      <c r="S201" s="17">
        <v>25.73</v>
      </c>
      <c r="T201" s="18">
        <v>0.7</v>
      </c>
      <c r="U201" s="15" t="s">
        <v>60</v>
      </c>
      <c r="V201" s="15" t="s">
        <v>135</v>
      </c>
      <c r="W201" s="17">
        <v>18.010000000000002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</row>
    <row r="202" spans="1:55" x14ac:dyDescent="0.25">
      <c r="A202" s="15">
        <v>2032021961</v>
      </c>
      <c r="B202" s="15" t="s">
        <v>1093</v>
      </c>
      <c r="C202" s="15" t="s">
        <v>70</v>
      </c>
      <c r="D202" s="15" t="str">
        <f>CONCATENATE(C202," ",B202)</f>
        <v>CHARLES MININGER</v>
      </c>
      <c r="E202" s="15" t="s">
        <v>52</v>
      </c>
      <c r="F202" s="15" t="s">
        <v>363</v>
      </c>
      <c r="G202" s="15" t="s">
        <v>364</v>
      </c>
      <c r="H202" s="15" t="s">
        <v>364</v>
      </c>
      <c r="I202" s="21">
        <v>21605264</v>
      </c>
      <c r="J202" s="15" t="s">
        <v>1094</v>
      </c>
      <c r="K202" s="15" t="s">
        <v>1095</v>
      </c>
      <c r="L202" s="15" t="str">
        <f>CONCATENATE(K202," ",J202)</f>
        <v>Erica Solivan</v>
      </c>
      <c r="M202" s="15" t="s">
        <v>57</v>
      </c>
      <c r="N202" s="16">
        <v>45968</v>
      </c>
      <c r="O202" s="16">
        <v>46088</v>
      </c>
      <c r="P202" s="24">
        <f>DATEDIF(N202,O202,"M")</f>
        <v>4</v>
      </c>
      <c r="Q202" s="24" t="s">
        <v>157</v>
      </c>
      <c r="R202" s="24" t="s">
        <v>1391</v>
      </c>
      <c r="S202" s="17">
        <v>15.88</v>
      </c>
      <c r="T202" s="25">
        <v>0.375</v>
      </c>
      <c r="U202" s="15" t="s">
        <v>60</v>
      </c>
      <c r="V202" s="15" t="s">
        <v>135</v>
      </c>
      <c r="W202" s="17">
        <v>5.96</v>
      </c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</row>
    <row r="203" spans="1:55" x14ac:dyDescent="0.25">
      <c r="A203" s="6">
        <v>2027605652</v>
      </c>
      <c r="B203" s="6" t="s">
        <v>290</v>
      </c>
      <c r="C203" s="6" t="s">
        <v>291</v>
      </c>
      <c r="D203" s="6" t="str">
        <f>CONCATENATE(C203," ",B203)</f>
        <v>EMMA VALE</v>
      </c>
      <c r="E203" s="6" t="s">
        <v>66</v>
      </c>
      <c r="F203" s="6" t="s">
        <v>152</v>
      </c>
      <c r="G203" s="6" t="s">
        <v>153</v>
      </c>
      <c r="H203" s="6" t="s">
        <v>153</v>
      </c>
      <c r="I203" s="20">
        <v>17301495</v>
      </c>
      <c r="J203" s="6" t="s">
        <v>292</v>
      </c>
      <c r="K203" s="6" t="s">
        <v>293</v>
      </c>
      <c r="L203" s="6" t="str">
        <f>CONCATENATE(K203," ",J203)</f>
        <v>ESTHER HERRERA-LARSEN</v>
      </c>
      <c r="M203" s="6" t="s">
        <v>57</v>
      </c>
      <c r="N203" s="5">
        <v>45722</v>
      </c>
      <c r="O203" s="5">
        <v>46087</v>
      </c>
      <c r="P203" s="23">
        <f>DATEDIF(N203,O203,"M")</f>
        <v>12</v>
      </c>
      <c r="Q203" s="23" t="s">
        <v>157</v>
      </c>
      <c r="R203" s="23" t="s">
        <v>1391</v>
      </c>
      <c r="S203" s="7">
        <v>83.39</v>
      </c>
      <c r="T203" s="13">
        <v>0.47</v>
      </c>
      <c r="U203" s="6" t="s">
        <v>60</v>
      </c>
      <c r="V203" s="6" t="s">
        <v>135</v>
      </c>
      <c r="W203" s="7">
        <v>39.19</v>
      </c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</row>
    <row r="204" spans="1:55" x14ac:dyDescent="0.25">
      <c r="A204" s="6">
        <v>2027767677</v>
      </c>
      <c r="B204" s="6" t="s">
        <v>698</v>
      </c>
      <c r="C204" s="6" t="s">
        <v>668</v>
      </c>
      <c r="D204" s="6" t="str">
        <f>CONCATENATE(C204," ",B204)</f>
        <v>BLAKE LARSEN</v>
      </c>
      <c r="E204" s="6" t="s">
        <v>333</v>
      </c>
      <c r="F204" s="6" t="s">
        <v>383</v>
      </c>
      <c r="G204" s="6" t="s">
        <v>384</v>
      </c>
      <c r="H204" s="6" t="s">
        <v>384</v>
      </c>
      <c r="I204" s="20">
        <v>17301495</v>
      </c>
      <c r="J204" s="6" t="s">
        <v>292</v>
      </c>
      <c r="K204" s="6" t="s">
        <v>293</v>
      </c>
      <c r="L204" s="6" t="str">
        <f>CONCATENATE(K204," ",J204)</f>
        <v>ESTHER HERRERA-LARSEN</v>
      </c>
      <c r="M204" s="6" t="s">
        <v>57</v>
      </c>
      <c r="N204" s="5">
        <v>45729</v>
      </c>
      <c r="O204" s="5">
        <v>46094</v>
      </c>
      <c r="P204" s="23">
        <f>DATEDIF(N204,O204,"M")</f>
        <v>12</v>
      </c>
      <c r="Q204" s="23" t="s">
        <v>157</v>
      </c>
      <c r="R204" s="23" t="s">
        <v>1391</v>
      </c>
      <c r="S204" s="7">
        <v>56.55</v>
      </c>
      <c r="T204" s="13">
        <v>0.7</v>
      </c>
      <c r="U204" s="6" t="s">
        <v>60</v>
      </c>
      <c r="V204" s="6" t="s">
        <v>135</v>
      </c>
      <c r="W204" s="7">
        <v>39.58</v>
      </c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</row>
    <row r="205" spans="1:55" x14ac:dyDescent="0.25">
      <c r="A205" s="6">
        <v>2027767676</v>
      </c>
      <c r="B205" s="6" t="s">
        <v>698</v>
      </c>
      <c r="C205" s="6" t="s">
        <v>668</v>
      </c>
      <c r="D205" s="6" t="str">
        <f>CONCATENATE(C205," ",B205)</f>
        <v>BLAKE LARSEN</v>
      </c>
      <c r="E205" s="6" t="s">
        <v>333</v>
      </c>
      <c r="F205" s="6" t="s">
        <v>363</v>
      </c>
      <c r="G205" s="6" t="s">
        <v>364</v>
      </c>
      <c r="H205" s="6" t="s">
        <v>364</v>
      </c>
      <c r="I205" s="20">
        <v>17301495</v>
      </c>
      <c r="J205" s="6" t="s">
        <v>292</v>
      </c>
      <c r="K205" s="6" t="s">
        <v>293</v>
      </c>
      <c r="L205" s="6" t="str">
        <f>CONCATENATE(K205," ",J205)</f>
        <v>ESTHER HERRERA-LARSEN</v>
      </c>
      <c r="M205" s="6" t="s">
        <v>57</v>
      </c>
      <c r="N205" s="5">
        <v>45729</v>
      </c>
      <c r="O205" s="5">
        <v>46094</v>
      </c>
      <c r="P205" s="23">
        <f>DATEDIF(N205,O205,"M")</f>
        <v>12</v>
      </c>
      <c r="Q205" s="23" t="s">
        <v>157</v>
      </c>
      <c r="R205" s="23" t="s">
        <v>1391</v>
      </c>
      <c r="S205" s="7">
        <v>66.650000000000006</v>
      </c>
      <c r="T205" s="14">
        <v>0.375</v>
      </c>
      <c r="U205" s="6" t="s">
        <v>60</v>
      </c>
      <c r="V205" s="6" t="s">
        <v>135</v>
      </c>
      <c r="W205" s="7">
        <v>24.99</v>
      </c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</row>
    <row r="206" spans="1:55" x14ac:dyDescent="0.25">
      <c r="A206" s="6">
        <v>2027492023</v>
      </c>
      <c r="B206" s="6" t="s">
        <v>282</v>
      </c>
      <c r="C206" s="6" t="s">
        <v>283</v>
      </c>
      <c r="D206" s="6" t="str">
        <f>CONCATENATE(C206," ",B206)</f>
        <v>WILLIE WELLS</v>
      </c>
      <c r="E206" s="6" t="s">
        <v>66</v>
      </c>
      <c r="F206" s="6" t="s">
        <v>152</v>
      </c>
      <c r="G206" s="6" t="s">
        <v>238</v>
      </c>
      <c r="H206" s="6" t="s">
        <v>238</v>
      </c>
      <c r="I206" s="20">
        <v>8814784</v>
      </c>
      <c r="J206" s="6" t="s">
        <v>284</v>
      </c>
      <c r="K206" s="6" t="s">
        <v>285</v>
      </c>
      <c r="L206" s="6" t="str">
        <f>CONCATENATE(K206," ",J206)</f>
        <v>FRANK LISKOVEC</v>
      </c>
      <c r="M206" s="6" t="s">
        <v>57</v>
      </c>
      <c r="N206" s="5">
        <v>45717</v>
      </c>
      <c r="O206" s="5">
        <v>46082</v>
      </c>
      <c r="P206" s="23">
        <f>DATEDIF(N206,O206,"M")</f>
        <v>12</v>
      </c>
      <c r="Q206" s="23" t="s">
        <v>157</v>
      </c>
      <c r="R206" s="23" t="s">
        <v>1391</v>
      </c>
      <c r="S206" s="7">
        <v>52.26</v>
      </c>
      <c r="T206" s="13">
        <v>0.51</v>
      </c>
      <c r="U206" s="6" t="s">
        <v>60</v>
      </c>
      <c r="V206" s="6" t="s">
        <v>135</v>
      </c>
      <c r="W206" s="7">
        <v>26.65</v>
      </c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</row>
    <row r="207" spans="1:55" x14ac:dyDescent="0.25">
      <c r="A207" s="6">
        <v>2027492024</v>
      </c>
      <c r="B207" s="6" t="s">
        <v>282</v>
      </c>
      <c r="C207" s="6" t="s">
        <v>283</v>
      </c>
      <c r="D207" s="6" t="str">
        <f>CONCATENATE(C207," ",B207)</f>
        <v>WILLIE WELLS</v>
      </c>
      <c r="E207" s="6" t="s">
        <v>66</v>
      </c>
      <c r="F207" s="6" t="s">
        <v>152</v>
      </c>
      <c r="G207" s="6" t="s">
        <v>241</v>
      </c>
      <c r="H207" s="6" t="s">
        <v>238</v>
      </c>
      <c r="I207" s="20">
        <v>8814784</v>
      </c>
      <c r="J207" s="6" t="s">
        <v>284</v>
      </c>
      <c r="K207" s="6" t="s">
        <v>285</v>
      </c>
      <c r="L207" s="6" t="str">
        <f>CONCATENATE(K207," ",J207)</f>
        <v>FRANK LISKOVEC</v>
      </c>
      <c r="M207" s="6" t="s">
        <v>57</v>
      </c>
      <c r="N207" s="5">
        <v>45717</v>
      </c>
      <c r="O207" s="5">
        <v>46082</v>
      </c>
      <c r="P207" s="23">
        <f>DATEDIF(N207,O207,"M")</f>
        <v>12</v>
      </c>
      <c r="Q207" s="23" t="s">
        <v>157</v>
      </c>
      <c r="R207" s="23" t="s">
        <v>1391</v>
      </c>
      <c r="S207" s="7">
        <v>14.95</v>
      </c>
      <c r="T207" s="13">
        <v>0.51</v>
      </c>
      <c r="U207" s="6" t="s">
        <v>60</v>
      </c>
      <c r="V207" s="6" t="s">
        <v>135</v>
      </c>
      <c r="W207" s="7">
        <v>7.62</v>
      </c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</row>
    <row r="208" spans="1:55" s="6" customFormat="1" x14ac:dyDescent="0.25">
      <c r="A208" s="6">
        <v>2027606915</v>
      </c>
      <c r="B208" s="6" t="s">
        <v>284</v>
      </c>
      <c r="C208" s="6" t="s">
        <v>285</v>
      </c>
      <c r="D208" s="6" t="str">
        <f>CONCATENATE(C208," ",B208)</f>
        <v>FRANK LISKOVEC</v>
      </c>
      <c r="E208" s="6" t="s">
        <v>66</v>
      </c>
      <c r="F208" s="6" t="s">
        <v>383</v>
      </c>
      <c r="G208" s="6" t="s">
        <v>384</v>
      </c>
      <c r="H208" s="6" t="s">
        <v>384</v>
      </c>
      <c r="I208" s="20">
        <v>8814784</v>
      </c>
      <c r="J208" s="6" t="s">
        <v>284</v>
      </c>
      <c r="K208" s="6" t="s">
        <v>285</v>
      </c>
      <c r="L208" s="6" t="str">
        <f>CONCATENATE(K208," ",J208)</f>
        <v>FRANK LISKOVEC</v>
      </c>
      <c r="M208" s="6" t="s">
        <v>57</v>
      </c>
      <c r="N208" s="5">
        <v>45722</v>
      </c>
      <c r="O208" s="5">
        <v>46087</v>
      </c>
      <c r="P208" s="23">
        <f>DATEDIF(N208,O208,"M")</f>
        <v>12</v>
      </c>
      <c r="Q208" s="23" t="s">
        <v>157</v>
      </c>
      <c r="R208" s="23" t="s">
        <v>1391</v>
      </c>
      <c r="S208" s="7">
        <v>11.5</v>
      </c>
      <c r="T208" s="13">
        <v>0.7</v>
      </c>
      <c r="U208" s="6" t="s">
        <v>60</v>
      </c>
      <c r="V208" s="6" t="s">
        <v>135</v>
      </c>
      <c r="W208" s="7">
        <v>8.0500000000000007</v>
      </c>
    </row>
    <row r="209" spans="1:55" s="6" customFormat="1" x14ac:dyDescent="0.25">
      <c r="A209" s="15">
        <v>2032057066</v>
      </c>
      <c r="B209" s="15" t="s">
        <v>796</v>
      </c>
      <c r="C209" s="15" t="s">
        <v>797</v>
      </c>
      <c r="D209" s="15" t="str">
        <f>CONCATENATE(C209," ",B209)</f>
        <v>REGAN FINLAY</v>
      </c>
      <c r="E209" s="15" t="s">
        <v>116</v>
      </c>
      <c r="F209" s="15" t="s">
        <v>383</v>
      </c>
      <c r="G209" s="15" t="s">
        <v>384</v>
      </c>
      <c r="H209" s="15" t="s">
        <v>384</v>
      </c>
      <c r="I209" s="21">
        <v>9213293</v>
      </c>
      <c r="J209" s="15" t="s">
        <v>740</v>
      </c>
      <c r="K209" s="15" t="s">
        <v>741</v>
      </c>
      <c r="L209" s="15" t="str">
        <f>CONCATENATE(K209," ",J209)</f>
        <v>GARY PORTUGAL</v>
      </c>
      <c r="M209" s="15" t="s">
        <v>57</v>
      </c>
      <c r="N209" s="16">
        <v>45969</v>
      </c>
      <c r="O209" s="16">
        <v>46089</v>
      </c>
      <c r="P209" s="24">
        <f>DATEDIF(N209,O209,"M")</f>
        <v>4</v>
      </c>
      <c r="Q209" s="24" t="s">
        <v>157</v>
      </c>
      <c r="R209" s="24" t="s">
        <v>1391</v>
      </c>
      <c r="S209" s="17">
        <v>17.899999999999999</v>
      </c>
      <c r="T209" s="18">
        <v>0.7</v>
      </c>
      <c r="U209" s="15" t="s">
        <v>60</v>
      </c>
      <c r="V209" s="15" t="s">
        <v>135</v>
      </c>
      <c r="W209" s="17">
        <v>12.53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</row>
    <row r="210" spans="1:55" s="6" customFormat="1" x14ac:dyDescent="0.25">
      <c r="A210" s="15">
        <v>2029331330</v>
      </c>
      <c r="B210" s="15" t="s">
        <v>1259</v>
      </c>
      <c r="C210" s="15" t="s">
        <v>1260</v>
      </c>
      <c r="D210" s="15" t="str">
        <f>CONCATENATE(C210," ",B210)</f>
        <v>LENA PITTS</v>
      </c>
      <c r="E210" s="15" t="s">
        <v>66</v>
      </c>
      <c r="F210" s="15" t="s">
        <v>383</v>
      </c>
      <c r="G210" s="15" t="s">
        <v>384</v>
      </c>
      <c r="H210" s="15" t="s">
        <v>384</v>
      </c>
      <c r="I210" s="21">
        <v>9213293</v>
      </c>
      <c r="J210" s="15" t="s">
        <v>740</v>
      </c>
      <c r="K210" s="15" t="s">
        <v>741</v>
      </c>
      <c r="L210" s="15" t="str">
        <f>CONCATENATE(K210," ",J210)</f>
        <v>GARY PORTUGAL</v>
      </c>
      <c r="M210" s="15" t="s">
        <v>57</v>
      </c>
      <c r="N210" s="16">
        <v>45815</v>
      </c>
      <c r="O210" s="16">
        <v>46088</v>
      </c>
      <c r="P210" s="24">
        <f>DATEDIF(N210,O210,"M")</f>
        <v>9</v>
      </c>
      <c r="Q210" s="24" t="s">
        <v>157</v>
      </c>
      <c r="R210" s="24" t="s">
        <v>1391</v>
      </c>
      <c r="S210" s="17">
        <v>100.21</v>
      </c>
      <c r="T210" s="18">
        <v>0.7</v>
      </c>
      <c r="U210" s="15" t="s">
        <v>60</v>
      </c>
      <c r="V210" s="15" t="s">
        <v>135</v>
      </c>
      <c r="W210" s="17">
        <v>70.150000000000006</v>
      </c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</row>
    <row r="211" spans="1:55" s="6" customFormat="1" x14ac:dyDescent="0.25">
      <c r="A211" s="15">
        <v>2029378241</v>
      </c>
      <c r="B211" s="15" t="s">
        <v>739</v>
      </c>
      <c r="C211" s="15" t="s">
        <v>614</v>
      </c>
      <c r="D211" s="15" t="str">
        <f>CONCATENATE(C211," ",B211)</f>
        <v>ABRAHAM VINITSKI</v>
      </c>
      <c r="E211" s="15" t="s">
        <v>193</v>
      </c>
      <c r="F211" s="15" t="s">
        <v>383</v>
      </c>
      <c r="G211" s="15" t="s">
        <v>384</v>
      </c>
      <c r="H211" s="15" t="s">
        <v>384</v>
      </c>
      <c r="I211" s="21">
        <v>9213293</v>
      </c>
      <c r="J211" s="15" t="s">
        <v>740</v>
      </c>
      <c r="K211" s="15" t="s">
        <v>741</v>
      </c>
      <c r="L211" s="15" t="str">
        <f>CONCATENATE(K211," ",J211)</f>
        <v>GARY PORTUGAL</v>
      </c>
      <c r="M211" s="15" t="s">
        <v>57</v>
      </c>
      <c r="N211" s="16">
        <v>45818</v>
      </c>
      <c r="O211" s="16">
        <v>46091</v>
      </c>
      <c r="P211" s="24">
        <f>DATEDIF(N211,O211,"M")</f>
        <v>9</v>
      </c>
      <c r="Q211" s="24" t="s">
        <v>157</v>
      </c>
      <c r="R211" s="24" t="s">
        <v>1391</v>
      </c>
      <c r="S211" s="17">
        <v>42.15</v>
      </c>
      <c r="T211" s="18">
        <v>0.7</v>
      </c>
      <c r="U211" s="15" t="s">
        <v>60</v>
      </c>
      <c r="V211" s="15" t="s">
        <v>135</v>
      </c>
      <c r="W211" s="17">
        <v>29.5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</row>
    <row r="212" spans="1:55" s="6" customFormat="1" x14ac:dyDescent="0.25">
      <c r="A212" s="15">
        <v>2029378240</v>
      </c>
      <c r="B212" s="15" t="s">
        <v>739</v>
      </c>
      <c r="C212" s="15" t="s">
        <v>614</v>
      </c>
      <c r="D212" s="15" t="str">
        <f>CONCATENATE(C212," ",B212)</f>
        <v>ABRAHAM VINITSKI</v>
      </c>
      <c r="E212" s="15" t="s">
        <v>193</v>
      </c>
      <c r="F212" s="15" t="s">
        <v>363</v>
      </c>
      <c r="G212" s="15" t="s">
        <v>364</v>
      </c>
      <c r="H212" s="15" t="s">
        <v>364</v>
      </c>
      <c r="I212" s="21">
        <v>9213293</v>
      </c>
      <c r="J212" s="15" t="s">
        <v>740</v>
      </c>
      <c r="K212" s="15" t="s">
        <v>741</v>
      </c>
      <c r="L212" s="15" t="str">
        <f>CONCATENATE(K212," ",J212)</f>
        <v>GARY PORTUGAL</v>
      </c>
      <c r="M212" s="15" t="s">
        <v>57</v>
      </c>
      <c r="N212" s="16">
        <v>45818</v>
      </c>
      <c r="O212" s="16">
        <v>46091</v>
      </c>
      <c r="P212" s="24">
        <f>DATEDIF(N212,O212,"M")</f>
        <v>9</v>
      </c>
      <c r="Q212" s="24" t="s">
        <v>157</v>
      </c>
      <c r="R212" s="24" t="s">
        <v>1391</v>
      </c>
      <c r="S212" s="17">
        <v>115.5</v>
      </c>
      <c r="T212" s="25">
        <v>0.375</v>
      </c>
      <c r="U212" s="15" t="s">
        <v>60</v>
      </c>
      <c r="V212" s="15" t="s">
        <v>135</v>
      </c>
      <c r="W212" s="17">
        <v>43.31</v>
      </c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</row>
    <row r="213" spans="1:55" s="6" customFormat="1" x14ac:dyDescent="0.25">
      <c r="A213" s="15">
        <v>2029405218</v>
      </c>
      <c r="B213" s="15" t="s">
        <v>739</v>
      </c>
      <c r="C213" s="15" t="s">
        <v>742</v>
      </c>
      <c r="D213" s="15" t="str">
        <f>CONCATENATE(C213," ",B213)</f>
        <v>MADISON VINITSKI</v>
      </c>
      <c r="E213" s="15" t="s">
        <v>193</v>
      </c>
      <c r="F213" s="15" t="s">
        <v>363</v>
      </c>
      <c r="G213" s="15" t="s">
        <v>364</v>
      </c>
      <c r="H213" s="15" t="s">
        <v>364</v>
      </c>
      <c r="I213" s="21">
        <v>9213293</v>
      </c>
      <c r="J213" s="15" t="s">
        <v>740</v>
      </c>
      <c r="K213" s="15" t="s">
        <v>741</v>
      </c>
      <c r="L213" s="15" t="str">
        <f>CONCATENATE(K213," ",J213)</f>
        <v>GARY PORTUGAL</v>
      </c>
      <c r="M213" s="15" t="s">
        <v>57</v>
      </c>
      <c r="N213" s="16">
        <v>45820</v>
      </c>
      <c r="O213" s="16">
        <v>46093</v>
      </c>
      <c r="P213" s="24">
        <f>DATEDIF(N213,O213,"M")</f>
        <v>9</v>
      </c>
      <c r="Q213" s="24" t="s">
        <v>157</v>
      </c>
      <c r="R213" s="24" t="s">
        <v>1391</v>
      </c>
      <c r="S213" s="17">
        <v>38.4</v>
      </c>
      <c r="T213" s="25">
        <v>0.375</v>
      </c>
      <c r="U213" s="15" t="s">
        <v>60</v>
      </c>
      <c r="V213" s="15" t="s">
        <v>135</v>
      </c>
      <c r="W213" s="17">
        <v>14.4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</row>
    <row r="214" spans="1:55" x14ac:dyDescent="0.25">
      <c r="A214" s="6">
        <v>2027604739</v>
      </c>
      <c r="B214" s="6" t="s">
        <v>286</v>
      </c>
      <c r="C214" s="6" t="s">
        <v>287</v>
      </c>
      <c r="D214" s="6" t="str">
        <f>CONCATENATE(C214," ",B214)</f>
        <v>EVELYN BENDER</v>
      </c>
      <c r="E214" s="6" t="s">
        <v>288</v>
      </c>
      <c r="F214" s="6" t="s">
        <v>152</v>
      </c>
      <c r="G214" s="6" t="s">
        <v>153</v>
      </c>
      <c r="H214" s="6" t="s">
        <v>153</v>
      </c>
      <c r="I214" s="20">
        <v>17094718</v>
      </c>
      <c r="J214" s="6" t="s">
        <v>289</v>
      </c>
      <c r="K214" s="6" t="s">
        <v>81</v>
      </c>
      <c r="L214" s="6" t="str">
        <f>CONCATENATE(K214," ",J214)</f>
        <v>GREGORY HANSFORD</v>
      </c>
      <c r="M214" s="6" t="s">
        <v>57</v>
      </c>
      <c r="N214" s="5">
        <v>45723</v>
      </c>
      <c r="O214" s="5">
        <v>46088</v>
      </c>
      <c r="P214" s="23">
        <f>DATEDIF(N214,O214,"M")</f>
        <v>12</v>
      </c>
      <c r="Q214" s="23" t="s">
        <v>157</v>
      </c>
      <c r="R214" s="23" t="s">
        <v>1391</v>
      </c>
      <c r="S214" s="7">
        <v>51.04</v>
      </c>
      <c r="T214" s="13">
        <v>0.47</v>
      </c>
      <c r="U214" s="6" t="s">
        <v>60</v>
      </c>
      <c r="V214" s="6" t="s">
        <v>135</v>
      </c>
      <c r="W214" s="7">
        <v>23.99</v>
      </c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</row>
    <row r="215" spans="1:55" x14ac:dyDescent="0.25">
      <c r="A215" s="6">
        <v>2027391406</v>
      </c>
      <c r="B215" s="6" t="s">
        <v>1162</v>
      </c>
      <c r="C215" s="6" t="s">
        <v>1163</v>
      </c>
      <c r="D215" s="6" t="str">
        <f>CONCATENATE(C215," ",B215)</f>
        <v>JUDITH BOVA</v>
      </c>
      <c r="E215" s="6" t="s">
        <v>66</v>
      </c>
      <c r="F215" s="6" t="s">
        <v>1132</v>
      </c>
      <c r="G215" s="6" t="s">
        <v>1146</v>
      </c>
      <c r="H215" s="6" t="s">
        <v>1343</v>
      </c>
      <c r="I215" s="20">
        <v>17094718</v>
      </c>
      <c r="J215" s="6" t="s">
        <v>289</v>
      </c>
      <c r="K215" s="6" t="s">
        <v>81</v>
      </c>
      <c r="L215" s="6" t="str">
        <f>CONCATENATE(K215," ",J215)</f>
        <v>GREGORY HANSFORD</v>
      </c>
      <c r="M215" s="6" t="s">
        <v>57</v>
      </c>
      <c r="N215" s="5">
        <v>45717</v>
      </c>
      <c r="O215" s="5">
        <v>46082</v>
      </c>
      <c r="P215" s="23">
        <f>DATEDIF(N215,O215,"M")</f>
        <v>12</v>
      </c>
      <c r="Q215" s="23" t="s">
        <v>157</v>
      </c>
      <c r="R215" s="23" t="s">
        <v>1391</v>
      </c>
      <c r="S215" s="7">
        <v>130.76</v>
      </c>
      <c r="T215" s="13">
        <v>0.26</v>
      </c>
      <c r="U215" s="6" t="s">
        <v>60</v>
      </c>
      <c r="V215" s="6" t="s">
        <v>135</v>
      </c>
      <c r="W215" s="7">
        <v>34</v>
      </c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</row>
    <row r="216" spans="1:55" x14ac:dyDescent="0.25">
      <c r="A216" s="15">
        <v>2032701048</v>
      </c>
      <c r="B216" s="15" t="s">
        <v>909</v>
      </c>
      <c r="C216" s="15" t="s">
        <v>370</v>
      </c>
      <c r="D216" s="15" t="str">
        <f>CONCATENATE(C216," ",B216)</f>
        <v>JORDAN GROSS</v>
      </c>
      <c r="E216" s="15" t="s">
        <v>780</v>
      </c>
      <c r="F216" s="15" t="s">
        <v>383</v>
      </c>
      <c r="G216" s="15" t="s">
        <v>400</v>
      </c>
      <c r="H216" s="15" t="s">
        <v>1172</v>
      </c>
      <c r="I216" s="21">
        <v>8307933</v>
      </c>
      <c r="J216" s="15" t="s">
        <v>80</v>
      </c>
      <c r="K216" s="15" t="s">
        <v>81</v>
      </c>
      <c r="L216" s="15" t="str">
        <f>CONCATENATE(K216," ",J216)</f>
        <v>GREGORY TEIPEL</v>
      </c>
      <c r="M216" s="15" t="s">
        <v>57</v>
      </c>
      <c r="N216" s="16">
        <v>46028</v>
      </c>
      <c r="O216" s="16">
        <v>46087</v>
      </c>
      <c r="P216" s="24">
        <f>DATEDIF(N216,O216,"M")</f>
        <v>2</v>
      </c>
      <c r="Q216" s="24" t="s">
        <v>157</v>
      </c>
      <c r="R216" s="24" t="s">
        <v>1391</v>
      </c>
      <c r="S216" s="17">
        <v>71.27</v>
      </c>
      <c r="T216" s="18">
        <v>0.7</v>
      </c>
      <c r="U216" s="15" t="s">
        <v>60</v>
      </c>
      <c r="V216" s="15" t="s">
        <v>135</v>
      </c>
      <c r="W216" s="17">
        <v>49.89</v>
      </c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</row>
    <row r="217" spans="1:55" x14ac:dyDescent="0.25">
      <c r="A217" s="15">
        <v>2032809810</v>
      </c>
      <c r="B217" s="15" t="s">
        <v>918</v>
      </c>
      <c r="C217" s="15" t="s">
        <v>111</v>
      </c>
      <c r="D217" s="15" t="str">
        <f>CONCATENATE(C217," ",B217)</f>
        <v>CHRIS SRSTKA</v>
      </c>
      <c r="E217" s="15" t="s">
        <v>780</v>
      </c>
      <c r="F217" s="15" t="s">
        <v>383</v>
      </c>
      <c r="G217" s="15" t="s">
        <v>400</v>
      </c>
      <c r="H217" s="15" t="s">
        <v>1172</v>
      </c>
      <c r="I217" s="21">
        <v>8307933</v>
      </c>
      <c r="J217" s="15" t="s">
        <v>80</v>
      </c>
      <c r="K217" s="15" t="s">
        <v>81</v>
      </c>
      <c r="L217" s="15" t="str">
        <f>CONCATENATE(K217," ",J217)</f>
        <v>GREGORY TEIPEL</v>
      </c>
      <c r="M217" s="15" t="s">
        <v>57</v>
      </c>
      <c r="N217" s="16">
        <v>46028</v>
      </c>
      <c r="O217" s="16">
        <v>46087</v>
      </c>
      <c r="P217" s="24">
        <f>DATEDIF(N217,O217,"M")</f>
        <v>2</v>
      </c>
      <c r="Q217" s="24" t="s">
        <v>157</v>
      </c>
      <c r="R217" s="24" t="s">
        <v>1391</v>
      </c>
      <c r="S217" s="17">
        <v>21.44</v>
      </c>
      <c r="T217" s="18">
        <v>0.7</v>
      </c>
      <c r="U217" s="15" t="s">
        <v>60</v>
      </c>
      <c r="V217" s="15" t="s">
        <v>135</v>
      </c>
      <c r="W217" s="17">
        <v>15.01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</row>
    <row r="218" spans="1:55" x14ac:dyDescent="0.25">
      <c r="A218" s="15">
        <v>2032808282</v>
      </c>
      <c r="B218" s="15" t="s">
        <v>917</v>
      </c>
      <c r="C218" s="15" t="s">
        <v>808</v>
      </c>
      <c r="D218" s="15" t="str">
        <f>CONCATENATE(C218," ",B218)</f>
        <v>CHRISTY PICHETTE</v>
      </c>
      <c r="E218" s="15" t="s">
        <v>87</v>
      </c>
      <c r="F218" s="15" t="s">
        <v>383</v>
      </c>
      <c r="G218" s="15" t="s">
        <v>384</v>
      </c>
      <c r="H218" s="15" t="s">
        <v>1336</v>
      </c>
      <c r="I218" s="21">
        <v>8307933</v>
      </c>
      <c r="J218" s="15" t="s">
        <v>80</v>
      </c>
      <c r="K218" s="15" t="s">
        <v>81</v>
      </c>
      <c r="L218" s="15" t="str">
        <f>CONCATENATE(K218," ",J218)</f>
        <v>GREGORY TEIPEL</v>
      </c>
      <c r="M218" s="15" t="s">
        <v>57</v>
      </c>
      <c r="N218" s="16">
        <v>46028</v>
      </c>
      <c r="O218" s="16">
        <v>46087</v>
      </c>
      <c r="P218" s="24">
        <f>DATEDIF(N218,O218,"M")</f>
        <v>2</v>
      </c>
      <c r="Q218" s="24" t="s">
        <v>157</v>
      </c>
      <c r="R218" s="24" t="s">
        <v>1391</v>
      </c>
      <c r="S218" s="17">
        <v>78.400000000000006</v>
      </c>
      <c r="T218" s="18">
        <v>0.7</v>
      </c>
      <c r="U218" s="15" t="s">
        <v>60</v>
      </c>
      <c r="V218" s="15" t="s">
        <v>135</v>
      </c>
      <c r="W218" s="17">
        <v>54.88</v>
      </c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</row>
    <row r="219" spans="1:55" s="6" customFormat="1" x14ac:dyDescent="0.25">
      <c r="A219" s="15">
        <v>2033071418</v>
      </c>
      <c r="B219" s="15" t="s">
        <v>914</v>
      </c>
      <c r="C219" s="15" t="s">
        <v>139</v>
      </c>
      <c r="D219" s="15" t="str">
        <f>CONCATENATE(C219," ",B219)</f>
        <v>PATRICK DOANE</v>
      </c>
      <c r="E219" s="15" t="s">
        <v>96</v>
      </c>
      <c r="F219" s="15" t="s">
        <v>383</v>
      </c>
      <c r="G219" s="15" t="s">
        <v>384</v>
      </c>
      <c r="H219" s="15" t="s">
        <v>1336</v>
      </c>
      <c r="I219" s="21">
        <v>8307933</v>
      </c>
      <c r="J219" s="15" t="s">
        <v>80</v>
      </c>
      <c r="K219" s="15" t="s">
        <v>81</v>
      </c>
      <c r="L219" s="15" t="str">
        <f>CONCATENATE(K219," ",J219)</f>
        <v>GREGORY TEIPEL</v>
      </c>
      <c r="M219" s="15" t="s">
        <v>57</v>
      </c>
      <c r="N219" s="16">
        <v>46034</v>
      </c>
      <c r="O219" s="16">
        <v>46093</v>
      </c>
      <c r="P219" s="24">
        <f>DATEDIF(N219,O219,"M")</f>
        <v>2</v>
      </c>
      <c r="Q219" s="24" t="s">
        <v>157</v>
      </c>
      <c r="R219" s="24" t="s">
        <v>1391</v>
      </c>
      <c r="S219" s="17">
        <v>32.979999999999997</v>
      </c>
      <c r="T219" s="18">
        <v>0.7</v>
      </c>
      <c r="U219" s="15" t="s">
        <v>60</v>
      </c>
      <c r="V219" s="15" t="s">
        <v>135</v>
      </c>
      <c r="W219" s="17">
        <v>23.09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</row>
    <row r="220" spans="1:55" s="6" customFormat="1" x14ac:dyDescent="0.25">
      <c r="A220" s="15">
        <v>2033071419</v>
      </c>
      <c r="B220" s="15" t="s">
        <v>914</v>
      </c>
      <c r="C220" s="15" t="s">
        <v>139</v>
      </c>
      <c r="D220" s="15" t="str">
        <f>CONCATENATE(C220," ",B220)</f>
        <v>PATRICK DOANE</v>
      </c>
      <c r="E220" s="15" t="s">
        <v>96</v>
      </c>
      <c r="F220" s="15" t="s">
        <v>72</v>
      </c>
      <c r="G220" s="15" t="s">
        <v>79</v>
      </c>
      <c r="H220" s="15" t="s">
        <v>1329</v>
      </c>
      <c r="I220" s="21">
        <v>8307933</v>
      </c>
      <c r="J220" s="15" t="s">
        <v>80</v>
      </c>
      <c r="K220" s="15" t="s">
        <v>81</v>
      </c>
      <c r="L220" s="15" t="str">
        <f>CONCATENATE(K220," ",J220)</f>
        <v>GREGORY TEIPEL</v>
      </c>
      <c r="M220" s="15" t="s">
        <v>57</v>
      </c>
      <c r="N220" s="16">
        <v>46034</v>
      </c>
      <c r="O220" s="16">
        <v>46093</v>
      </c>
      <c r="P220" s="24">
        <f>DATEDIF(N220,O220,"M")</f>
        <v>2</v>
      </c>
      <c r="Q220" s="24" t="s">
        <v>157</v>
      </c>
      <c r="R220" s="24" t="s">
        <v>1391</v>
      </c>
      <c r="S220" s="17">
        <v>302.35000000000002</v>
      </c>
      <c r="T220" s="18">
        <v>0.75</v>
      </c>
      <c r="U220" s="15" t="s">
        <v>60</v>
      </c>
      <c r="V220" s="15" t="s">
        <v>135</v>
      </c>
      <c r="W220" s="17">
        <v>226.76</v>
      </c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</row>
    <row r="221" spans="1:55" x14ac:dyDescent="0.25">
      <c r="A221" s="15">
        <v>2032772450</v>
      </c>
      <c r="B221" s="15" t="s">
        <v>916</v>
      </c>
      <c r="C221" s="15" t="s">
        <v>120</v>
      </c>
      <c r="D221" s="15" t="str">
        <f>CONCATENATE(C221," ",B221)</f>
        <v>CHRISTOPHER KING</v>
      </c>
      <c r="E221" s="15" t="s">
        <v>87</v>
      </c>
      <c r="F221" s="15" t="s">
        <v>72</v>
      </c>
      <c r="G221" s="15" t="s">
        <v>73</v>
      </c>
      <c r="H221" s="15" t="s">
        <v>1329</v>
      </c>
      <c r="I221" s="21">
        <v>8307933</v>
      </c>
      <c r="J221" s="15" t="s">
        <v>80</v>
      </c>
      <c r="K221" s="15" t="s">
        <v>81</v>
      </c>
      <c r="L221" s="15" t="str">
        <f>CONCATENATE(K221," ",J221)</f>
        <v>GREGORY TEIPEL</v>
      </c>
      <c r="M221" s="15" t="s">
        <v>57</v>
      </c>
      <c r="N221" s="16">
        <v>46028</v>
      </c>
      <c r="O221" s="16">
        <v>46087</v>
      </c>
      <c r="P221" s="24">
        <f>DATEDIF(N221,O221,"M")</f>
        <v>2</v>
      </c>
      <c r="Q221" s="24" t="s">
        <v>157</v>
      </c>
      <c r="R221" s="24" t="s">
        <v>1391</v>
      </c>
      <c r="S221" s="17">
        <v>162.88</v>
      </c>
      <c r="T221" s="18">
        <v>0.75</v>
      </c>
      <c r="U221" s="15" t="s">
        <v>60</v>
      </c>
      <c r="V221" s="15" t="s">
        <v>135</v>
      </c>
      <c r="W221" s="17">
        <v>122.16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</row>
    <row r="222" spans="1:55" x14ac:dyDescent="0.25">
      <c r="A222" s="15">
        <v>2032016199</v>
      </c>
      <c r="B222" s="15" t="s">
        <v>402</v>
      </c>
      <c r="C222" s="15" t="s">
        <v>1068</v>
      </c>
      <c r="D222" s="15" t="str">
        <f>CONCATENATE(C222," ",B222)</f>
        <v>KATHERINA MILLER</v>
      </c>
      <c r="E222" s="15" t="s">
        <v>87</v>
      </c>
      <c r="F222" s="15" t="s">
        <v>72</v>
      </c>
      <c r="G222" s="15" t="s">
        <v>79</v>
      </c>
      <c r="H222" s="15" t="s">
        <v>1329</v>
      </c>
      <c r="I222" s="21">
        <v>8307933</v>
      </c>
      <c r="J222" s="15" t="s">
        <v>80</v>
      </c>
      <c r="K222" s="15" t="s">
        <v>81</v>
      </c>
      <c r="L222" s="15" t="str">
        <f>CONCATENATE(K222," ",J222)</f>
        <v>GREGORY TEIPEL</v>
      </c>
      <c r="M222" s="15" t="s">
        <v>57</v>
      </c>
      <c r="N222" s="16">
        <v>46028</v>
      </c>
      <c r="O222" s="16">
        <v>46087</v>
      </c>
      <c r="P222" s="24">
        <f>DATEDIF(N222,O222,"M")</f>
        <v>2</v>
      </c>
      <c r="Q222" s="24" t="s">
        <v>157</v>
      </c>
      <c r="R222" s="24" t="s">
        <v>1391</v>
      </c>
      <c r="S222" s="17">
        <v>148.44999999999999</v>
      </c>
      <c r="T222" s="18">
        <v>0.75</v>
      </c>
      <c r="U222" s="15" t="s">
        <v>60</v>
      </c>
      <c r="V222" s="15" t="s">
        <v>135</v>
      </c>
      <c r="W222" s="17">
        <v>111.34</v>
      </c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</row>
    <row r="223" spans="1:55" x14ac:dyDescent="0.25">
      <c r="A223" s="15">
        <v>2032673930</v>
      </c>
      <c r="B223" s="15" t="s">
        <v>903</v>
      </c>
      <c r="C223" s="15" t="s">
        <v>904</v>
      </c>
      <c r="D223" s="15" t="str">
        <f>CONCATENATE(C223," ",B223)</f>
        <v>JANE HALLER</v>
      </c>
      <c r="E223" s="15" t="s">
        <v>66</v>
      </c>
      <c r="F223" s="15" t="s">
        <v>72</v>
      </c>
      <c r="G223" s="15" t="s">
        <v>79</v>
      </c>
      <c r="H223" s="15" t="s">
        <v>1329</v>
      </c>
      <c r="I223" s="21">
        <v>8307933</v>
      </c>
      <c r="J223" s="15" t="s">
        <v>80</v>
      </c>
      <c r="K223" s="15" t="s">
        <v>81</v>
      </c>
      <c r="L223" s="15" t="str">
        <f>CONCATENATE(K223," ",J223)</f>
        <v>GREGORY TEIPEL</v>
      </c>
      <c r="M223" s="15" t="s">
        <v>57</v>
      </c>
      <c r="N223" s="16">
        <v>46028</v>
      </c>
      <c r="O223" s="16">
        <v>46087</v>
      </c>
      <c r="P223" s="24">
        <f>DATEDIF(N223,O223,"M")</f>
        <v>2</v>
      </c>
      <c r="Q223" s="24" t="s">
        <v>157</v>
      </c>
      <c r="R223" s="24" t="s">
        <v>1391</v>
      </c>
      <c r="S223" s="17">
        <v>110</v>
      </c>
      <c r="T223" s="18">
        <v>0.75</v>
      </c>
      <c r="U223" s="15" t="s">
        <v>60</v>
      </c>
      <c r="V223" s="15" t="s">
        <v>135</v>
      </c>
      <c r="W223" s="17">
        <v>82.5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</row>
    <row r="224" spans="1:55" x14ac:dyDescent="0.25">
      <c r="A224" s="15">
        <v>2032127345</v>
      </c>
      <c r="B224" s="15" t="s">
        <v>820</v>
      </c>
      <c r="C224" s="15" t="s">
        <v>581</v>
      </c>
      <c r="D224" s="15" t="str">
        <f>CONCATENATE(C224," ",B224)</f>
        <v>RENAE SWANSON</v>
      </c>
      <c r="E224" s="15" t="s">
        <v>84</v>
      </c>
      <c r="F224" s="15" t="s">
        <v>72</v>
      </c>
      <c r="G224" s="15" t="s">
        <v>73</v>
      </c>
      <c r="H224" s="15" t="s">
        <v>1329</v>
      </c>
      <c r="I224" s="21">
        <v>8307933</v>
      </c>
      <c r="J224" s="15" t="s">
        <v>80</v>
      </c>
      <c r="K224" s="15" t="s">
        <v>81</v>
      </c>
      <c r="L224" s="15" t="str">
        <f>CONCATENATE(K224," ",J224)</f>
        <v>GREGORY TEIPEL</v>
      </c>
      <c r="M224" s="15" t="s">
        <v>57</v>
      </c>
      <c r="N224" s="16">
        <v>46028</v>
      </c>
      <c r="O224" s="16">
        <v>46087</v>
      </c>
      <c r="P224" s="24">
        <f>DATEDIF(N224,O224,"M")</f>
        <v>2</v>
      </c>
      <c r="Q224" s="24" t="s">
        <v>157</v>
      </c>
      <c r="R224" s="24" t="s">
        <v>1391</v>
      </c>
      <c r="S224" s="17">
        <v>101.38</v>
      </c>
      <c r="T224" s="18">
        <v>0.75</v>
      </c>
      <c r="U224" s="15" t="s">
        <v>60</v>
      </c>
      <c r="V224" s="15" t="s">
        <v>135</v>
      </c>
      <c r="W224" s="17">
        <v>76.040000000000006</v>
      </c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</row>
    <row r="225" spans="1:55" x14ac:dyDescent="0.25">
      <c r="A225" s="15">
        <v>2032691818</v>
      </c>
      <c r="B225" s="15" t="s">
        <v>908</v>
      </c>
      <c r="C225" s="15" t="s">
        <v>592</v>
      </c>
      <c r="D225" s="15" t="str">
        <f>CONCATENATE(C225," ",B225)</f>
        <v>MONICA CLAYCAMP</v>
      </c>
      <c r="E225" s="15" t="s">
        <v>96</v>
      </c>
      <c r="F225" s="15" t="s">
        <v>72</v>
      </c>
      <c r="G225" s="15" t="s">
        <v>79</v>
      </c>
      <c r="H225" s="15" t="s">
        <v>1329</v>
      </c>
      <c r="I225" s="21">
        <v>8307933</v>
      </c>
      <c r="J225" s="15" t="s">
        <v>80</v>
      </c>
      <c r="K225" s="15" t="s">
        <v>81</v>
      </c>
      <c r="L225" s="15" t="str">
        <f>CONCATENATE(K225," ",J225)</f>
        <v>GREGORY TEIPEL</v>
      </c>
      <c r="M225" s="15" t="s">
        <v>57</v>
      </c>
      <c r="N225" s="16">
        <v>46028</v>
      </c>
      <c r="O225" s="16">
        <v>46087</v>
      </c>
      <c r="P225" s="24">
        <f>DATEDIF(N225,O225,"M")</f>
        <v>2</v>
      </c>
      <c r="Q225" s="24" t="s">
        <v>157</v>
      </c>
      <c r="R225" s="24" t="s">
        <v>1391</v>
      </c>
      <c r="S225" s="17">
        <v>98.81</v>
      </c>
      <c r="T225" s="18">
        <v>0.75</v>
      </c>
      <c r="U225" s="15" t="s">
        <v>60</v>
      </c>
      <c r="V225" s="15" t="s">
        <v>135</v>
      </c>
      <c r="W225" s="17">
        <v>74.11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</row>
    <row r="226" spans="1:55" x14ac:dyDescent="0.25">
      <c r="A226" s="15">
        <v>2031978324</v>
      </c>
      <c r="B226" s="15" t="s">
        <v>1065</v>
      </c>
      <c r="C226" s="15" t="s">
        <v>1066</v>
      </c>
      <c r="D226" s="15" t="str">
        <f>CONCATENATE(C226," ",B226)</f>
        <v>VICKI BAUM</v>
      </c>
      <c r="E226" s="15" t="s">
        <v>886</v>
      </c>
      <c r="F226" s="15" t="s">
        <v>72</v>
      </c>
      <c r="G226" s="15" t="s">
        <v>73</v>
      </c>
      <c r="H226" s="15" t="s">
        <v>1329</v>
      </c>
      <c r="I226" s="21">
        <v>8307933</v>
      </c>
      <c r="J226" s="15" t="s">
        <v>80</v>
      </c>
      <c r="K226" s="15" t="s">
        <v>81</v>
      </c>
      <c r="L226" s="15" t="str">
        <f>CONCATENATE(K226," ",J226)</f>
        <v>GREGORY TEIPEL</v>
      </c>
      <c r="M226" s="15" t="s">
        <v>57</v>
      </c>
      <c r="N226" s="16">
        <v>46028</v>
      </c>
      <c r="O226" s="16">
        <v>46087</v>
      </c>
      <c r="P226" s="24">
        <f>DATEDIF(N226,O226,"M")</f>
        <v>2</v>
      </c>
      <c r="Q226" s="24" t="s">
        <v>157</v>
      </c>
      <c r="R226" s="24" t="s">
        <v>1391</v>
      </c>
      <c r="S226" s="17">
        <v>85.87</v>
      </c>
      <c r="T226" s="18">
        <v>0.75</v>
      </c>
      <c r="U226" s="15" t="s">
        <v>60</v>
      </c>
      <c r="V226" s="15" t="s">
        <v>135</v>
      </c>
      <c r="W226" s="17">
        <v>64.400000000000006</v>
      </c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</row>
    <row r="227" spans="1:55" x14ac:dyDescent="0.25">
      <c r="A227" s="15">
        <v>2032808283</v>
      </c>
      <c r="B227" s="15" t="s">
        <v>917</v>
      </c>
      <c r="C227" s="15" t="s">
        <v>808</v>
      </c>
      <c r="D227" s="15" t="str">
        <f>CONCATENATE(C227," ",B227)</f>
        <v>CHRISTY PICHETTE</v>
      </c>
      <c r="E227" s="15" t="s">
        <v>87</v>
      </c>
      <c r="F227" s="15" t="s">
        <v>72</v>
      </c>
      <c r="G227" s="15" t="s">
        <v>79</v>
      </c>
      <c r="H227" s="15" t="s">
        <v>1329</v>
      </c>
      <c r="I227" s="21">
        <v>8307933</v>
      </c>
      <c r="J227" s="15" t="s">
        <v>80</v>
      </c>
      <c r="K227" s="15" t="s">
        <v>81</v>
      </c>
      <c r="L227" s="15" t="str">
        <f>CONCATENATE(K227," ",J227)</f>
        <v>GREGORY TEIPEL</v>
      </c>
      <c r="M227" s="15" t="s">
        <v>57</v>
      </c>
      <c r="N227" s="16">
        <v>46028</v>
      </c>
      <c r="O227" s="16">
        <v>46087</v>
      </c>
      <c r="P227" s="24">
        <f>DATEDIF(N227,O227,"M")</f>
        <v>2</v>
      </c>
      <c r="Q227" s="24" t="s">
        <v>157</v>
      </c>
      <c r="R227" s="24" t="s">
        <v>1391</v>
      </c>
      <c r="S227" s="17">
        <v>84.55</v>
      </c>
      <c r="T227" s="18">
        <v>0.75</v>
      </c>
      <c r="U227" s="15" t="s">
        <v>60</v>
      </c>
      <c r="V227" s="15" t="s">
        <v>135</v>
      </c>
      <c r="W227" s="17">
        <v>63.41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</row>
    <row r="228" spans="1:55" x14ac:dyDescent="0.25">
      <c r="A228" s="15">
        <v>2032623370</v>
      </c>
      <c r="B228" s="15" t="s">
        <v>889</v>
      </c>
      <c r="C228" s="15" t="s">
        <v>762</v>
      </c>
      <c r="D228" s="15" t="str">
        <f>CONCATENATE(C228," ",B228)</f>
        <v>KEVIN MASSENGILL</v>
      </c>
      <c r="E228" s="15" t="s">
        <v>353</v>
      </c>
      <c r="F228" s="15" t="s">
        <v>72</v>
      </c>
      <c r="G228" s="15" t="s">
        <v>73</v>
      </c>
      <c r="H228" s="15" t="s">
        <v>1329</v>
      </c>
      <c r="I228" s="21">
        <v>8307933</v>
      </c>
      <c r="J228" s="15" t="s">
        <v>80</v>
      </c>
      <c r="K228" s="15" t="s">
        <v>81</v>
      </c>
      <c r="L228" s="15" t="str">
        <f>CONCATENATE(K228," ",J228)</f>
        <v>GREGORY TEIPEL</v>
      </c>
      <c r="M228" s="15" t="s">
        <v>57</v>
      </c>
      <c r="N228" s="16">
        <v>46028</v>
      </c>
      <c r="O228" s="16">
        <v>46087</v>
      </c>
      <c r="P228" s="24">
        <f>DATEDIF(N228,O228,"M")</f>
        <v>2</v>
      </c>
      <c r="Q228" s="24" t="s">
        <v>157</v>
      </c>
      <c r="R228" s="24" t="s">
        <v>1391</v>
      </c>
      <c r="S228" s="17">
        <v>71.53</v>
      </c>
      <c r="T228" s="18">
        <v>0.75</v>
      </c>
      <c r="U228" s="15" t="s">
        <v>60</v>
      </c>
      <c r="V228" s="15" t="s">
        <v>135</v>
      </c>
      <c r="W228" s="17">
        <v>53.65</v>
      </c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</row>
    <row r="229" spans="1:55" x14ac:dyDescent="0.25">
      <c r="A229" s="15">
        <v>2032025082</v>
      </c>
      <c r="B229" s="15" t="s">
        <v>789</v>
      </c>
      <c r="C229" s="15" t="s">
        <v>602</v>
      </c>
      <c r="D229" s="15" t="str">
        <f>CONCATENATE(C229," ",B229)</f>
        <v>REBECCA COLTON</v>
      </c>
      <c r="E229" s="15" t="s">
        <v>87</v>
      </c>
      <c r="F229" s="15" t="s">
        <v>72</v>
      </c>
      <c r="G229" s="15" t="s">
        <v>73</v>
      </c>
      <c r="H229" s="15" t="s">
        <v>1329</v>
      </c>
      <c r="I229" s="21">
        <v>8307933</v>
      </c>
      <c r="J229" s="15" t="s">
        <v>80</v>
      </c>
      <c r="K229" s="15" t="s">
        <v>81</v>
      </c>
      <c r="L229" s="15" t="str">
        <f>CONCATENATE(K229," ",J229)</f>
        <v>GREGORY TEIPEL</v>
      </c>
      <c r="M229" s="15" t="s">
        <v>57</v>
      </c>
      <c r="N229" s="16">
        <v>46028</v>
      </c>
      <c r="O229" s="16">
        <v>46087</v>
      </c>
      <c r="P229" s="24">
        <f>DATEDIF(N229,O229,"M")</f>
        <v>2</v>
      </c>
      <c r="Q229" s="24" t="s">
        <v>157</v>
      </c>
      <c r="R229" s="24" t="s">
        <v>1391</v>
      </c>
      <c r="S229" s="17">
        <v>65</v>
      </c>
      <c r="T229" s="18">
        <v>0.75</v>
      </c>
      <c r="U229" s="15" t="s">
        <v>60</v>
      </c>
      <c r="V229" s="15" t="s">
        <v>135</v>
      </c>
      <c r="W229" s="17">
        <v>48.75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</row>
    <row r="230" spans="1:55" x14ac:dyDescent="0.25">
      <c r="A230" s="15">
        <v>2032937977</v>
      </c>
      <c r="B230" s="15" t="s">
        <v>928</v>
      </c>
      <c r="C230" s="15" t="s">
        <v>263</v>
      </c>
      <c r="D230" s="15" t="str">
        <f>CONCATENATE(C230," ",B230)</f>
        <v>MARK WARNER</v>
      </c>
      <c r="E230" s="15" t="s">
        <v>353</v>
      </c>
      <c r="F230" s="15" t="s">
        <v>72</v>
      </c>
      <c r="G230" s="15" t="s">
        <v>73</v>
      </c>
      <c r="H230" s="15" t="s">
        <v>1329</v>
      </c>
      <c r="I230" s="21">
        <v>8307933</v>
      </c>
      <c r="J230" s="15" t="s">
        <v>80</v>
      </c>
      <c r="K230" s="15" t="s">
        <v>81</v>
      </c>
      <c r="L230" s="15" t="str">
        <f>CONCATENATE(K230," ",J230)</f>
        <v>GREGORY TEIPEL</v>
      </c>
      <c r="M230" s="15" t="s">
        <v>57</v>
      </c>
      <c r="N230" s="16">
        <v>46027</v>
      </c>
      <c r="O230" s="16">
        <v>46086</v>
      </c>
      <c r="P230" s="24">
        <f>DATEDIF(N230,O230,"M")</f>
        <v>2</v>
      </c>
      <c r="Q230" s="24" t="s">
        <v>157</v>
      </c>
      <c r="R230" s="24" t="s">
        <v>1391</v>
      </c>
      <c r="S230" s="17">
        <v>59.64</v>
      </c>
      <c r="T230" s="18">
        <v>0.75</v>
      </c>
      <c r="U230" s="15" t="s">
        <v>60</v>
      </c>
      <c r="V230" s="15" t="s">
        <v>135</v>
      </c>
      <c r="W230" s="17">
        <v>44.73</v>
      </c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</row>
    <row r="231" spans="1:55" x14ac:dyDescent="0.25">
      <c r="A231" s="15">
        <v>2032133138</v>
      </c>
      <c r="B231" s="15" t="s">
        <v>824</v>
      </c>
      <c r="C231" s="15" t="s">
        <v>240</v>
      </c>
      <c r="D231" s="15" t="str">
        <f>CONCATENATE(C231," ",B231)</f>
        <v>JOHN GREGORIO</v>
      </c>
      <c r="E231" s="15" t="s">
        <v>66</v>
      </c>
      <c r="F231" s="15" t="s">
        <v>72</v>
      </c>
      <c r="G231" s="15" t="s">
        <v>73</v>
      </c>
      <c r="H231" s="15" t="s">
        <v>1329</v>
      </c>
      <c r="I231" s="21">
        <v>8307933</v>
      </c>
      <c r="J231" s="15" t="s">
        <v>80</v>
      </c>
      <c r="K231" s="15" t="s">
        <v>81</v>
      </c>
      <c r="L231" s="15" t="str">
        <f>CONCATENATE(K231," ",J231)</f>
        <v>GREGORY TEIPEL</v>
      </c>
      <c r="M231" s="15" t="s">
        <v>57</v>
      </c>
      <c r="N231" s="16">
        <v>46028</v>
      </c>
      <c r="O231" s="16">
        <v>46087</v>
      </c>
      <c r="P231" s="24">
        <f>DATEDIF(N231,O231,"M")</f>
        <v>2</v>
      </c>
      <c r="Q231" s="24" t="s">
        <v>157</v>
      </c>
      <c r="R231" s="24" t="s">
        <v>1391</v>
      </c>
      <c r="S231" s="17">
        <v>57.97</v>
      </c>
      <c r="T231" s="18">
        <v>0.75</v>
      </c>
      <c r="U231" s="15" t="s">
        <v>60</v>
      </c>
      <c r="V231" s="15" t="s">
        <v>135</v>
      </c>
      <c r="W231" s="17">
        <v>43.48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</row>
    <row r="232" spans="1:55" x14ac:dyDescent="0.25">
      <c r="A232" s="15">
        <v>2032617280</v>
      </c>
      <c r="B232" s="15" t="s">
        <v>884</v>
      </c>
      <c r="C232" s="15" t="s">
        <v>885</v>
      </c>
      <c r="D232" s="15" t="str">
        <f>CONCATENATE(C232," ",B232)</f>
        <v>STACEY ROMICK</v>
      </c>
      <c r="E232" s="15" t="s">
        <v>886</v>
      </c>
      <c r="F232" s="15" t="s">
        <v>72</v>
      </c>
      <c r="G232" s="15" t="s">
        <v>73</v>
      </c>
      <c r="H232" s="15" t="s">
        <v>1329</v>
      </c>
      <c r="I232" s="21">
        <v>8307933</v>
      </c>
      <c r="J232" s="15" t="s">
        <v>80</v>
      </c>
      <c r="K232" s="15" t="s">
        <v>81</v>
      </c>
      <c r="L232" s="15" t="str">
        <f>CONCATENATE(K232," ",J232)</f>
        <v>GREGORY TEIPEL</v>
      </c>
      <c r="M232" s="15" t="s">
        <v>57</v>
      </c>
      <c r="N232" s="16">
        <v>46028</v>
      </c>
      <c r="O232" s="16">
        <v>46087</v>
      </c>
      <c r="P232" s="24">
        <f>DATEDIF(N232,O232,"M")</f>
        <v>2</v>
      </c>
      <c r="Q232" s="24" t="s">
        <v>157</v>
      </c>
      <c r="R232" s="24" t="s">
        <v>1391</v>
      </c>
      <c r="S232" s="17">
        <v>55.36</v>
      </c>
      <c r="T232" s="18">
        <v>0.75</v>
      </c>
      <c r="U232" s="15" t="s">
        <v>60</v>
      </c>
      <c r="V232" s="15" t="s">
        <v>135</v>
      </c>
      <c r="W232" s="17">
        <v>41.52</v>
      </c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</row>
    <row r="233" spans="1:55" x14ac:dyDescent="0.25">
      <c r="A233" s="15">
        <v>2032484277</v>
      </c>
      <c r="B233" s="15" t="s">
        <v>844</v>
      </c>
      <c r="C233" s="15" t="s">
        <v>845</v>
      </c>
      <c r="D233" s="15" t="str">
        <f>CONCATENATE(C233," ",B233)</f>
        <v>JOCELYNE GBAZOU</v>
      </c>
      <c r="E233" s="15" t="s">
        <v>66</v>
      </c>
      <c r="F233" s="15" t="s">
        <v>72</v>
      </c>
      <c r="G233" s="15" t="s">
        <v>79</v>
      </c>
      <c r="H233" s="15" t="s">
        <v>1329</v>
      </c>
      <c r="I233" s="21">
        <v>8307933</v>
      </c>
      <c r="J233" s="15" t="s">
        <v>80</v>
      </c>
      <c r="K233" s="15" t="s">
        <v>81</v>
      </c>
      <c r="L233" s="15" t="str">
        <f>CONCATENATE(K233," ",J233)</f>
        <v>GREGORY TEIPEL</v>
      </c>
      <c r="M233" s="15" t="s">
        <v>57</v>
      </c>
      <c r="N233" s="16">
        <v>46028</v>
      </c>
      <c r="O233" s="16">
        <v>46087</v>
      </c>
      <c r="P233" s="24">
        <f>DATEDIF(N233,O233,"M")</f>
        <v>2</v>
      </c>
      <c r="Q233" s="24" t="s">
        <v>157</v>
      </c>
      <c r="R233" s="24" t="s">
        <v>1391</v>
      </c>
      <c r="S233" s="17">
        <v>31.2</v>
      </c>
      <c r="T233" s="18">
        <v>0.75</v>
      </c>
      <c r="U233" s="15" t="s">
        <v>60</v>
      </c>
      <c r="V233" s="15" t="s">
        <v>135</v>
      </c>
      <c r="W233" s="17">
        <v>23.4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</row>
    <row r="234" spans="1:55" x14ac:dyDescent="0.25">
      <c r="A234" s="15">
        <v>2032249188</v>
      </c>
      <c r="B234" s="15" t="s">
        <v>837</v>
      </c>
      <c r="C234" s="15" t="s">
        <v>838</v>
      </c>
      <c r="D234" s="15" t="str">
        <f>CONCATENATE(C234," ",B234)</f>
        <v>MOLLEIGH SIEBENALER</v>
      </c>
      <c r="E234" s="15" t="s">
        <v>84</v>
      </c>
      <c r="F234" s="15" t="s">
        <v>72</v>
      </c>
      <c r="G234" s="15" t="s">
        <v>79</v>
      </c>
      <c r="H234" s="15" t="s">
        <v>1329</v>
      </c>
      <c r="I234" s="21">
        <v>8307933</v>
      </c>
      <c r="J234" s="15" t="s">
        <v>80</v>
      </c>
      <c r="K234" s="15" t="s">
        <v>81</v>
      </c>
      <c r="L234" s="15" t="str">
        <f>CONCATENATE(K234," ",J234)</f>
        <v>GREGORY TEIPEL</v>
      </c>
      <c r="M234" s="15" t="s">
        <v>57</v>
      </c>
      <c r="N234" s="16">
        <v>46028</v>
      </c>
      <c r="O234" s="16">
        <v>46087</v>
      </c>
      <c r="P234" s="24">
        <f>DATEDIF(N234,O234,"M")</f>
        <v>2</v>
      </c>
      <c r="Q234" s="24" t="s">
        <v>157</v>
      </c>
      <c r="R234" s="24" t="s">
        <v>1391</v>
      </c>
      <c r="S234" s="17">
        <v>26.73</v>
      </c>
      <c r="T234" s="18">
        <v>0.75</v>
      </c>
      <c r="U234" s="15" t="s">
        <v>60</v>
      </c>
      <c r="V234" s="15" t="s">
        <v>135</v>
      </c>
      <c r="W234" s="17">
        <v>20.05</v>
      </c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</row>
    <row r="235" spans="1:55" x14ac:dyDescent="0.25">
      <c r="A235" s="15">
        <v>2032703009</v>
      </c>
      <c r="B235" s="15" t="s">
        <v>911</v>
      </c>
      <c r="C235" s="15" t="s">
        <v>912</v>
      </c>
      <c r="D235" s="15" t="str">
        <f>CONCATENATE(C235," ",B235)</f>
        <v>ELIJAH CUPPLES</v>
      </c>
      <c r="E235" s="15" t="s">
        <v>353</v>
      </c>
      <c r="F235" s="15" t="s">
        <v>72</v>
      </c>
      <c r="G235" s="15" t="s">
        <v>79</v>
      </c>
      <c r="H235" s="15" t="s">
        <v>1329</v>
      </c>
      <c r="I235" s="21">
        <v>8307933</v>
      </c>
      <c r="J235" s="15" t="s">
        <v>80</v>
      </c>
      <c r="K235" s="15" t="s">
        <v>81</v>
      </c>
      <c r="L235" s="15" t="str">
        <f>CONCATENATE(K235," ",J235)</f>
        <v>GREGORY TEIPEL</v>
      </c>
      <c r="M235" s="15" t="s">
        <v>57</v>
      </c>
      <c r="N235" s="16">
        <v>46028</v>
      </c>
      <c r="O235" s="16">
        <v>46087</v>
      </c>
      <c r="P235" s="24">
        <f>DATEDIF(N235,O235,"M")</f>
        <v>2</v>
      </c>
      <c r="Q235" s="24" t="s">
        <v>157</v>
      </c>
      <c r="R235" s="24" t="s">
        <v>1391</v>
      </c>
      <c r="S235" s="17">
        <v>15.42</v>
      </c>
      <c r="T235" s="18">
        <v>0.75</v>
      </c>
      <c r="U235" s="15" t="s">
        <v>60</v>
      </c>
      <c r="V235" s="15" t="s">
        <v>135</v>
      </c>
      <c r="W235" s="17">
        <v>11.56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</row>
    <row r="236" spans="1:55" x14ac:dyDescent="0.25">
      <c r="A236" s="15">
        <v>2032674172</v>
      </c>
      <c r="B236" s="15" t="s">
        <v>903</v>
      </c>
      <c r="C236" s="15" t="s">
        <v>298</v>
      </c>
      <c r="D236" s="15" t="str">
        <f>CONCATENATE(C236," ",B236)</f>
        <v>JAMES HALLER</v>
      </c>
      <c r="E236" s="15" t="s">
        <v>66</v>
      </c>
      <c r="F236" s="15" t="s">
        <v>72</v>
      </c>
      <c r="G236" s="15" t="s">
        <v>73</v>
      </c>
      <c r="H236" s="15" t="s">
        <v>1329</v>
      </c>
      <c r="I236" s="21">
        <v>8307933</v>
      </c>
      <c r="J236" s="15" t="s">
        <v>80</v>
      </c>
      <c r="K236" s="15" t="s">
        <v>81</v>
      </c>
      <c r="L236" s="15" t="str">
        <f>CONCATENATE(K236," ",J236)</f>
        <v>GREGORY TEIPEL</v>
      </c>
      <c r="M236" s="15" t="s">
        <v>57</v>
      </c>
      <c r="N236" s="16">
        <v>46028</v>
      </c>
      <c r="O236" s="16">
        <v>46087</v>
      </c>
      <c r="P236" s="24">
        <f>DATEDIF(N236,O236,"M")</f>
        <v>2</v>
      </c>
      <c r="Q236" s="24" t="s">
        <v>157</v>
      </c>
      <c r="R236" s="24" t="s">
        <v>1391</v>
      </c>
      <c r="S236" s="17">
        <v>13.15</v>
      </c>
      <c r="T236" s="18">
        <v>0.75</v>
      </c>
      <c r="U236" s="15" t="s">
        <v>60</v>
      </c>
      <c r="V236" s="15" t="s">
        <v>135</v>
      </c>
      <c r="W236" s="17">
        <v>9.86</v>
      </c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</row>
    <row r="237" spans="1:55" x14ac:dyDescent="0.25">
      <c r="A237" s="15">
        <v>2032674295</v>
      </c>
      <c r="B237" s="15" t="s">
        <v>903</v>
      </c>
      <c r="C237" s="15" t="s">
        <v>883</v>
      </c>
      <c r="D237" s="15" t="str">
        <f>CONCATENATE(C237," ",B237)</f>
        <v>DANIEL HALLER</v>
      </c>
      <c r="E237" s="15" t="s">
        <v>66</v>
      </c>
      <c r="F237" s="15" t="s">
        <v>72</v>
      </c>
      <c r="G237" s="15" t="s">
        <v>73</v>
      </c>
      <c r="H237" s="15" t="s">
        <v>1329</v>
      </c>
      <c r="I237" s="21">
        <v>8307933</v>
      </c>
      <c r="J237" s="15" t="s">
        <v>80</v>
      </c>
      <c r="K237" s="15" t="s">
        <v>81</v>
      </c>
      <c r="L237" s="15" t="str">
        <f>CONCATENATE(K237," ",J237)</f>
        <v>GREGORY TEIPEL</v>
      </c>
      <c r="M237" s="15" t="s">
        <v>57</v>
      </c>
      <c r="N237" s="16">
        <v>46028</v>
      </c>
      <c r="O237" s="16">
        <v>46087</v>
      </c>
      <c r="P237" s="24">
        <f>DATEDIF(N237,O237,"M")</f>
        <v>2</v>
      </c>
      <c r="Q237" s="24" t="s">
        <v>157</v>
      </c>
      <c r="R237" s="24" t="s">
        <v>1391</v>
      </c>
      <c r="S237" s="17">
        <v>13.15</v>
      </c>
      <c r="T237" s="18">
        <v>0.75</v>
      </c>
      <c r="U237" s="15" t="s">
        <v>60</v>
      </c>
      <c r="V237" s="15" t="s">
        <v>135</v>
      </c>
      <c r="W237" s="17">
        <v>9.86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</row>
    <row r="238" spans="1:55" x14ac:dyDescent="0.25">
      <c r="A238" s="15">
        <v>2032871806</v>
      </c>
      <c r="B238" s="15" t="s">
        <v>923</v>
      </c>
      <c r="C238" s="15" t="s">
        <v>924</v>
      </c>
      <c r="D238" s="15" t="str">
        <f>CONCATENATE(C238," ",B238)</f>
        <v>SEBASTIAN PEREZ</v>
      </c>
      <c r="E238" s="15" t="s">
        <v>170</v>
      </c>
      <c r="F238" s="15" t="s">
        <v>72</v>
      </c>
      <c r="G238" s="15" t="s">
        <v>455</v>
      </c>
      <c r="H238" s="15" t="s">
        <v>1330</v>
      </c>
      <c r="I238" s="21">
        <v>8307933</v>
      </c>
      <c r="J238" s="15" t="s">
        <v>80</v>
      </c>
      <c r="K238" s="15" t="s">
        <v>81</v>
      </c>
      <c r="L238" s="15" t="str">
        <f>CONCATENATE(K238," ",J238)</f>
        <v>GREGORY TEIPEL</v>
      </c>
      <c r="M238" s="15" t="s">
        <v>57</v>
      </c>
      <c r="N238" s="16">
        <v>46028</v>
      </c>
      <c r="O238" s="16">
        <v>46087</v>
      </c>
      <c r="P238" s="24">
        <f>DATEDIF(N238,O238,"M")</f>
        <v>2</v>
      </c>
      <c r="Q238" s="24" t="s">
        <v>157</v>
      </c>
      <c r="R238" s="24" t="s">
        <v>1391</v>
      </c>
      <c r="S238" s="17">
        <v>115.56</v>
      </c>
      <c r="T238" s="18">
        <v>0.65</v>
      </c>
      <c r="U238" s="15" t="s">
        <v>60</v>
      </c>
      <c r="V238" s="15" t="s">
        <v>135</v>
      </c>
      <c r="W238" s="17">
        <v>75.11</v>
      </c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</row>
    <row r="239" spans="1:55" x14ac:dyDescent="0.25">
      <c r="A239" s="15">
        <v>2032701050</v>
      </c>
      <c r="B239" s="15" t="s">
        <v>909</v>
      </c>
      <c r="C239" s="15" t="s">
        <v>370</v>
      </c>
      <c r="D239" s="15" t="str">
        <f>CONCATENATE(C239," ",B239)</f>
        <v>JORDAN GROSS</v>
      </c>
      <c r="E239" s="15" t="s">
        <v>780</v>
      </c>
      <c r="F239" s="15" t="s">
        <v>72</v>
      </c>
      <c r="G239" s="15" t="s">
        <v>93</v>
      </c>
      <c r="H239" s="15" t="s">
        <v>1332</v>
      </c>
      <c r="I239" s="21">
        <v>8307933</v>
      </c>
      <c r="J239" s="15" t="s">
        <v>80</v>
      </c>
      <c r="K239" s="15" t="s">
        <v>81</v>
      </c>
      <c r="L239" s="15" t="str">
        <f>CONCATENATE(K239," ",J239)</f>
        <v>GREGORY TEIPEL</v>
      </c>
      <c r="M239" s="15" t="s">
        <v>57</v>
      </c>
      <c r="N239" s="16">
        <v>46028</v>
      </c>
      <c r="O239" s="16">
        <v>46087</v>
      </c>
      <c r="P239" s="24">
        <f>DATEDIF(N239,O239,"M")</f>
        <v>2</v>
      </c>
      <c r="Q239" s="24" t="s">
        <v>157</v>
      </c>
      <c r="R239" s="24" t="s">
        <v>1391</v>
      </c>
      <c r="S239" s="17">
        <v>30.02</v>
      </c>
      <c r="T239" s="18">
        <v>0.9</v>
      </c>
      <c r="U239" s="15" t="s">
        <v>60</v>
      </c>
      <c r="V239" s="15" t="s">
        <v>135</v>
      </c>
      <c r="W239" s="17">
        <v>27.02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</row>
    <row r="240" spans="1:55" x14ac:dyDescent="0.25">
      <c r="A240" s="15">
        <v>2032809809</v>
      </c>
      <c r="B240" s="15" t="s">
        <v>918</v>
      </c>
      <c r="C240" s="15" t="s">
        <v>111</v>
      </c>
      <c r="D240" s="15" t="str">
        <f>CONCATENATE(C240," ",B240)</f>
        <v>CHRIS SRSTKA</v>
      </c>
      <c r="E240" s="15" t="s">
        <v>780</v>
      </c>
      <c r="F240" s="15" t="s">
        <v>378</v>
      </c>
      <c r="G240" s="15" t="s">
        <v>382</v>
      </c>
      <c r="H240" s="15" t="s">
        <v>1340</v>
      </c>
      <c r="I240" s="21">
        <v>8307933</v>
      </c>
      <c r="J240" s="15" t="s">
        <v>80</v>
      </c>
      <c r="K240" s="15" t="s">
        <v>81</v>
      </c>
      <c r="L240" s="15" t="str">
        <f>CONCATENATE(K240," ",J240)</f>
        <v>GREGORY TEIPEL</v>
      </c>
      <c r="M240" s="15" t="s">
        <v>57</v>
      </c>
      <c r="N240" s="16">
        <v>46028</v>
      </c>
      <c r="O240" s="16">
        <v>46087</v>
      </c>
      <c r="P240" s="24">
        <f>DATEDIF(N240,O240,"M")</f>
        <v>2</v>
      </c>
      <c r="Q240" s="24" t="s">
        <v>157</v>
      </c>
      <c r="R240" s="24" t="s">
        <v>1391</v>
      </c>
      <c r="S240" s="17">
        <v>143.18</v>
      </c>
      <c r="T240" s="18">
        <v>0.19</v>
      </c>
      <c r="U240" s="15" t="s">
        <v>60</v>
      </c>
      <c r="V240" s="15" t="s">
        <v>135</v>
      </c>
      <c r="W240" s="17">
        <v>27.2</v>
      </c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</row>
    <row r="241" spans="1:55" x14ac:dyDescent="0.25">
      <c r="A241" s="15">
        <v>2032016198</v>
      </c>
      <c r="B241" s="15" t="s">
        <v>402</v>
      </c>
      <c r="C241" s="15" t="s">
        <v>1068</v>
      </c>
      <c r="D241" s="15" t="str">
        <f>CONCATENATE(C241," ",B241)</f>
        <v>KATHERINA MILLER</v>
      </c>
      <c r="E241" s="15" t="s">
        <v>87</v>
      </c>
      <c r="F241" s="15" t="s">
        <v>383</v>
      </c>
      <c r="G241" s="15" t="s">
        <v>384</v>
      </c>
      <c r="H241" s="15" t="s">
        <v>384</v>
      </c>
      <c r="I241" s="21">
        <v>8307933</v>
      </c>
      <c r="J241" s="15" t="s">
        <v>80</v>
      </c>
      <c r="K241" s="15" t="s">
        <v>81</v>
      </c>
      <c r="L241" s="15" t="str">
        <f>CONCATENATE(K241," ",J241)</f>
        <v>GREGORY TEIPEL</v>
      </c>
      <c r="M241" s="15" t="s">
        <v>57</v>
      </c>
      <c r="N241" s="16">
        <v>46028</v>
      </c>
      <c r="O241" s="16">
        <v>46087</v>
      </c>
      <c r="P241" s="24">
        <f>DATEDIF(N241,O241,"M")</f>
        <v>2</v>
      </c>
      <c r="Q241" s="24" t="s">
        <v>157</v>
      </c>
      <c r="R241" s="24" t="s">
        <v>1391</v>
      </c>
      <c r="S241" s="17">
        <v>147.88</v>
      </c>
      <c r="T241" s="18">
        <v>0.7</v>
      </c>
      <c r="U241" s="15" t="s">
        <v>60</v>
      </c>
      <c r="V241" s="15" t="s">
        <v>135</v>
      </c>
      <c r="W241" s="17">
        <v>103.52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</row>
    <row r="242" spans="1:55" x14ac:dyDescent="0.25">
      <c r="A242" s="15">
        <v>2031978323</v>
      </c>
      <c r="B242" s="15" t="s">
        <v>1065</v>
      </c>
      <c r="C242" s="15" t="s">
        <v>1066</v>
      </c>
      <c r="D242" s="15" t="str">
        <f>CONCATENATE(C242," ",B242)</f>
        <v>VICKI BAUM</v>
      </c>
      <c r="E242" s="15" t="s">
        <v>886</v>
      </c>
      <c r="F242" s="15" t="s">
        <v>383</v>
      </c>
      <c r="G242" s="15" t="s">
        <v>384</v>
      </c>
      <c r="H242" s="15" t="s">
        <v>384</v>
      </c>
      <c r="I242" s="21">
        <v>8307933</v>
      </c>
      <c r="J242" s="15" t="s">
        <v>80</v>
      </c>
      <c r="K242" s="15" t="s">
        <v>81</v>
      </c>
      <c r="L242" s="15" t="str">
        <f>CONCATENATE(K242," ",J242)</f>
        <v>GREGORY TEIPEL</v>
      </c>
      <c r="M242" s="15" t="s">
        <v>57</v>
      </c>
      <c r="N242" s="16">
        <v>46028</v>
      </c>
      <c r="O242" s="16">
        <v>46087</v>
      </c>
      <c r="P242" s="24">
        <f>DATEDIF(N242,O242,"M")</f>
        <v>2</v>
      </c>
      <c r="Q242" s="24" t="s">
        <v>157</v>
      </c>
      <c r="R242" s="24" t="s">
        <v>1391</v>
      </c>
      <c r="S242" s="17">
        <v>130.74</v>
      </c>
      <c r="T242" s="18">
        <v>0.7</v>
      </c>
      <c r="U242" s="15" t="s">
        <v>60</v>
      </c>
      <c r="V242" s="15" t="s">
        <v>135</v>
      </c>
      <c r="W242" s="17">
        <v>91.52</v>
      </c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</row>
    <row r="243" spans="1:55" x14ac:dyDescent="0.25">
      <c r="A243" s="15">
        <v>2032025081</v>
      </c>
      <c r="B243" s="15" t="s">
        <v>789</v>
      </c>
      <c r="C243" s="15" t="s">
        <v>602</v>
      </c>
      <c r="D243" s="15" t="str">
        <f>CONCATENATE(C243," ",B243)</f>
        <v>REBECCA COLTON</v>
      </c>
      <c r="E243" s="15" t="s">
        <v>87</v>
      </c>
      <c r="F243" s="15" t="s">
        <v>383</v>
      </c>
      <c r="G243" s="15" t="s">
        <v>384</v>
      </c>
      <c r="H243" s="15" t="s">
        <v>384</v>
      </c>
      <c r="I243" s="21">
        <v>8307933</v>
      </c>
      <c r="J243" s="15" t="s">
        <v>80</v>
      </c>
      <c r="K243" s="15" t="s">
        <v>81</v>
      </c>
      <c r="L243" s="15" t="str">
        <f>CONCATENATE(K243," ",J243)</f>
        <v>GREGORY TEIPEL</v>
      </c>
      <c r="M243" s="15" t="s">
        <v>57</v>
      </c>
      <c r="N243" s="16">
        <v>46028</v>
      </c>
      <c r="O243" s="16">
        <v>46087</v>
      </c>
      <c r="P243" s="24">
        <f>DATEDIF(N243,O243,"M")</f>
        <v>2</v>
      </c>
      <c r="Q243" s="24" t="s">
        <v>157</v>
      </c>
      <c r="R243" s="24" t="s">
        <v>1391</v>
      </c>
      <c r="S243" s="17">
        <v>107.46</v>
      </c>
      <c r="T243" s="18">
        <v>0.7</v>
      </c>
      <c r="U243" s="15" t="s">
        <v>60</v>
      </c>
      <c r="V243" s="15" t="s">
        <v>135</v>
      </c>
      <c r="W243" s="17">
        <v>75.22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</row>
    <row r="244" spans="1:55" x14ac:dyDescent="0.25">
      <c r="A244" s="15">
        <v>2032519261</v>
      </c>
      <c r="B244" s="15" t="s">
        <v>852</v>
      </c>
      <c r="C244" s="15" t="s">
        <v>853</v>
      </c>
      <c r="D244" s="15" t="str">
        <f>CONCATENATE(C244," ",B244)</f>
        <v>JODI CARR</v>
      </c>
      <c r="E244" s="15" t="s">
        <v>90</v>
      </c>
      <c r="F244" s="15" t="s">
        <v>383</v>
      </c>
      <c r="G244" s="15" t="s">
        <v>384</v>
      </c>
      <c r="H244" s="15" t="s">
        <v>384</v>
      </c>
      <c r="I244" s="21">
        <v>8307933</v>
      </c>
      <c r="J244" s="15" t="s">
        <v>80</v>
      </c>
      <c r="K244" s="15" t="s">
        <v>81</v>
      </c>
      <c r="L244" s="15" t="str">
        <f>CONCATENATE(K244," ",J244)</f>
        <v>GREGORY TEIPEL</v>
      </c>
      <c r="M244" s="15" t="s">
        <v>57</v>
      </c>
      <c r="N244" s="16">
        <v>46028</v>
      </c>
      <c r="O244" s="16">
        <v>46087</v>
      </c>
      <c r="P244" s="24">
        <f>DATEDIF(N244,O244,"M")</f>
        <v>2</v>
      </c>
      <c r="Q244" s="24" t="s">
        <v>157</v>
      </c>
      <c r="R244" s="24" t="s">
        <v>1391</v>
      </c>
      <c r="S244" s="17">
        <v>106.79</v>
      </c>
      <c r="T244" s="18">
        <v>0.7</v>
      </c>
      <c r="U244" s="15" t="s">
        <v>60</v>
      </c>
      <c r="V244" s="15" t="s">
        <v>135</v>
      </c>
      <c r="W244" s="17">
        <v>74.75</v>
      </c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</row>
    <row r="245" spans="1:55" x14ac:dyDescent="0.25">
      <c r="A245" s="15">
        <v>2032617279</v>
      </c>
      <c r="B245" s="15" t="s">
        <v>884</v>
      </c>
      <c r="C245" s="15" t="s">
        <v>885</v>
      </c>
      <c r="D245" s="15" t="str">
        <f>CONCATENATE(C245," ",B245)</f>
        <v>STACEY ROMICK</v>
      </c>
      <c r="E245" s="15" t="s">
        <v>886</v>
      </c>
      <c r="F245" s="15" t="s">
        <v>383</v>
      </c>
      <c r="G245" s="15" t="s">
        <v>384</v>
      </c>
      <c r="H245" s="15" t="s">
        <v>384</v>
      </c>
      <c r="I245" s="21">
        <v>8307933</v>
      </c>
      <c r="J245" s="15" t="s">
        <v>80</v>
      </c>
      <c r="K245" s="15" t="s">
        <v>81</v>
      </c>
      <c r="L245" s="15" t="str">
        <f>CONCATENATE(K245," ",J245)</f>
        <v>GREGORY TEIPEL</v>
      </c>
      <c r="M245" s="15" t="s">
        <v>57</v>
      </c>
      <c r="N245" s="16">
        <v>46028</v>
      </c>
      <c r="O245" s="16">
        <v>46087</v>
      </c>
      <c r="P245" s="24">
        <f>DATEDIF(N245,O245,"M")</f>
        <v>2</v>
      </c>
      <c r="Q245" s="24" t="s">
        <v>157</v>
      </c>
      <c r="R245" s="24" t="s">
        <v>1391</v>
      </c>
      <c r="S245" s="17">
        <v>100</v>
      </c>
      <c r="T245" s="18">
        <v>0.7</v>
      </c>
      <c r="U245" s="15" t="s">
        <v>60</v>
      </c>
      <c r="V245" s="15" t="s">
        <v>135</v>
      </c>
      <c r="W245" s="17">
        <v>70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</row>
    <row r="246" spans="1:55" x14ac:dyDescent="0.25">
      <c r="A246" s="15">
        <v>2032673929</v>
      </c>
      <c r="B246" s="15" t="s">
        <v>903</v>
      </c>
      <c r="C246" s="15" t="s">
        <v>904</v>
      </c>
      <c r="D246" s="15" t="str">
        <f>CONCATENATE(C246," ",B246)</f>
        <v>JANE HALLER</v>
      </c>
      <c r="E246" s="15" t="s">
        <v>66</v>
      </c>
      <c r="F246" s="15" t="s">
        <v>383</v>
      </c>
      <c r="G246" s="15" t="s">
        <v>384</v>
      </c>
      <c r="H246" s="15" t="s">
        <v>384</v>
      </c>
      <c r="I246" s="21">
        <v>8307933</v>
      </c>
      <c r="J246" s="15" t="s">
        <v>80</v>
      </c>
      <c r="K246" s="15" t="s">
        <v>81</v>
      </c>
      <c r="L246" s="15" t="str">
        <f>CONCATENATE(K246," ",J246)</f>
        <v>GREGORY TEIPEL</v>
      </c>
      <c r="M246" s="15" t="s">
        <v>57</v>
      </c>
      <c r="N246" s="16">
        <v>46028</v>
      </c>
      <c r="O246" s="16">
        <v>46087</v>
      </c>
      <c r="P246" s="24">
        <f>DATEDIF(N246,O246,"M")</f>
        <v>2</v>
      </c>
      <c r="Q246" s="24" t="s">
        <v>157</v>
      </c>
      <c r="R246" s="24" t="s">
        <v>1391</v>
      </c>
      <c r="S246" s="17">
        <v>96</v>
      </c>
      <c r="T246" s="18">
        <v>0.7</v>
      </c>
      <c r="U246" s="15" t="s">
        <v>60</v>
      </c>
      <c r="V246" s="15" t="s">
        <v>135</v>
      </c>
      <c r="W246" s="17">
        <v>67.2</v>
      </c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</row>
    <row r="247" spans="1:55" x14ac:dyDescent="0.25">
      <c r="A247" s="15">
        <v>2032133137</v>
      </c>
      <c r="B247" s="15" t="s">
        <v>824</v>
      </c>
      <c r="C247" s="15" t="s">
        <v>240</v>
      </c>
      <c r="D247" s="15" t="str">
        <f>CONCATENATE(C247," ",B247)</f>
        <v>JOHN GREGORIO</v>
      </c>
      <c r="E247" s="15" t="s">
        <v>66</v>
      </c>
      <c r="F247" s="15" t="s">
        <v>383</v>
      </c>
      <c r="G247" s="15" t="s">
        <v>384</v>
      </c>
      <c r="H247" s="15" t="s">
        <v>384</v>
      </c>
      <c r="I247" s="21">
        <v>8307933</v>
      </c>
      <c r="J247" s="15" t="s">
        <v>80</v>
      </c>
      <c r="K247" s="15" t="s">
        <v>81</v>
      </c>
      <c r="L247" s="15" t="str">
        <f>CONCATENATE(K247," ",J247)</f>
        <v>GREGORY TEIPEL</v>
      </c>
      <c r="M247" s="15" t="s">
        <v>57</v>
      </c>
      <c r="N247" s="16">
        <v>46028</v>
      </c>
      <c r="O247" s="16">
        <v>46087</v>
      </c>
      <c r="P247" s="24">
        <f>DATEDIF(N247,O247,"M")</f>
        <v>2</v>
      </c>
      <c r="Q247" s="24" t="s">
        <v>157</v>
      </c>
      <c r="R247" s="24" t="s">
        <v>1391</v>
      </c>
      <c r="S247" s="17">
        <v>88.96</v>
      </c>
      <c r="T247" s="18">
        <v>0.7</v>
      </c>
      <c r="U247" s="15" t="s">
        <v>60</v>
      </c>
      <c r="V247" s="15" t="s">
        <v>135</v>
      </c>
      <c r="W247" s="17">
        <v>62.27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</row>
    <row r="248" spans="1:55" x14ac:dyDescent="0.25">
      <c r="A248" s="15">
        <v>2032772449</v>
      </c>
      <c r="B248" s="15" t="s">
        <v>916</v>
      </c>
      <c r="C248" s="15" t="s">
        <v>120</v>
      </c>
      <c r="D248" s="15" t="str">
        <f>CONCATENATE(C248," ",B248)</f>
        <v>CHRISTOPHER KING</v>
      </c>
      <c r="E248" s="15" t="s">
        <v>87</v>
      </c>
      <c r="F248" s="15" t="s">
        <v>383</v>
      </c>
      <c r="G248" s="15" t="s">
        <v>384</v>
      </c>
      <c r="H248" s="15" t="s">
        <v>384</v>
      </c>
      <c r="I248" s="21">
        <v>8307933</v>
      </c>
      <c r="J248" s="15" t="s">
        <v>80</v>
      </c>
      <c r="K248" s="15" t="s">
        <v>81</v>
      </c>
      <c r="L248" s="15" t="str">
        <f>CONCATENATE(K248," ",J248)</f>
        <v>GREGORY TEIPEL</v>
      </c>
      <c r="M248" s="15" t="s">
        <v>57</v>
      </c>
      <c r="N248" s="16">
        <v>46028</v>
      </c>
      <c r="O248" s="16">
        <v>46087</v>
      </c>
      <c r="P248" s="24">
        <f>DATEDIF(N248,O248,"M")</f>
        <v>2</v>
      </c>
      <c r="Q248" s="24" t="s">
        <v>157</v>
      </c>
      <c r="R248" s="24" t="s">
        <v>1391</v>
      </c>
      <c r="S248" s="17">
        <v>71.88</v>
      </c>
      <c r="T248" s="18">
        <v>0.7</v>
      </c>
      <c r="U248" s="15" t="s">
        <v>60</v>
      </c>
      <c r="V248" s="15" t="s">
        <v>135</v>
      </c>
      <c r="W248" s="17">
        <v>50.32</v>
      </c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</row>
    <row r="249" spans="1:55" x14ac:dyDescent="0.25">
      <c r="A249" s="15">
        <v>2032691817</v>
      </c>
      <c r="B249" s="15" t="s">
        <v>908</v>
      </c>
      <c r="C249" s="15" t="s">
        <v>592</v>
      </c>
      <c r="D249" s="15" t="str">
        <f>CONCATENATE(C249," ",B249)</f>
        <v>MONICA CLAYCAMP</v>
      </c>
      <c r="E249" s="15" t="s">
        <v>96</v>
      </c>
      <c r="F249" s="15" t="s">
        <v>383</v>
      </c>
      <c r="G249" s="15" t="s">
        <v>384</v>
      </c>
      <c r="H249" s="15" t="s">
        <v>384</v>
      </c>
      <c r="I249" s="21">
        <v>8307933</v>
      </c>
      <c r="J249" s="15" t="s">
        <v>80</v>
      </c>
      <c r="K249" s="15" t="s">
        <v>81</v>
      </c>
      <c r="L249" s="15" t="str">
        <f>CONCATENATE(K249," ",J249)</f>
        <v>GREGORY TEIPEL</v>
      </c>
      <c r="M249" s="15" t="s">
        <v>57</v>
      </c>
      <c r="N249" s="16">
        <v>46028</v>
      </c>
      <c r="O249" s="16">
        <v>46087</v>
      </c>
      <c r="P249" s="24">
        <f>DATEDIF(N249,O249,"M")</f>
        <v>2</v>
      </c>
      <c r="Q249" s="24" t="s">
        <v>157</v>
      </c>
      <c r="R249" s="24" t="s">
        <v>1391</v>
      </c>
      <c r="S249" s="17">
        <v>65.959999999999994</v>
      </c>
      <c r="T249" s="18">
        <v>0.7</v>
      </c>
      <c r="U249" s="15" t="s">
        <v>60</v>
      </c>
      <c r="V249" s="15" t="s">
        <v>135</v>
      </c>
      <c r="W249" s="17">
        <v>46.17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</row>
    <row r="250" spans="1:55" x14ac:dyDescent="0.25">
      <c r="A250" s="15">
        <v>2032623369</v>
      </c>
      <c r="B250" s="15" t="s">
        <v>889</v>
      </c>
      <c r="C250" s="15" t="s">
        <v>762</v>
      </c>
      <c r="D250" s="15" t="str">
        <f>CONCATENATE(C250," ",B250)</f>
        <v>KEVIN MASSENGILL</v>
      </c>
      <c r="E250" s="15" t="s">
        <v>353</v>
      </c>
      <c r="F250" s="15" t="s">
        <v>383</v>
      </c>
      <c r="G250" s="15" t="s">
        <v>384</v>
      </c>
      <c r="H250" s="15" t="s">
        <v>384</v>
      </c>
      <c r="I250" s="21">
        <v>8307933</v>
      </c>
      <c r="J250" s="15" t="s">
        <v>80</v>
      </c>
      <c r="K250" s="15" t="s">
        <v>81</v>
      </c>
      <c r="L250" s="15" t="str">
        <f>CONCATENATE(K250," ",J250)</f>
        <v>GREGORY TEIPEL</v>
      </c>
      <c r="M250" s="15" t="s">
        <v>57</v>
      </c>
      <c r="N250" s="16">
        <v>46028</v>
      </c>
      <c r="O250" s="16">
        <v>46087</v>
      </c>
      <c r="P250" s="24">
        <f>DATEDIF(N250,O250,"M")</f>
        <v>2</v>
      </c>
      <c r="Q250" s="24" t="s">
        <v>157</v>
      </c>
      <c r="R250" s="24" t="s">
        <v>1391</v>
      </c>
      <c r="S250" s="17">
        <v>61.82</v>
      </c>
      <c r="T250" s="18">
        <v>0.7</v>
      </c>
      <c r="U250" s="15" t="s">
        <v>60</v>
      </c>
      <c r="V250" s="15" t="s">
        <v>135</v>
      </c>
      <c r="W250" s="17">
        <v>43.27</v>
      </c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</row>
    <row r="251" spans="1:55" x14ac:dyDescent="0.25">
      <c r="A251" s="15">
        <v>2032484276</v>
      </c>
      <c r="B251" s="15" t="s">
        <v>844</v>
      </c>
      <c r="C251" s="15" t="s">
        <v>845</v>
      </c>
      <c r="D251" s="15" t="str">
        <f>CONCATENATE(C251," ",B251)</f>
        <v>JOCELYNE GBAZOU</v>
      </c>
      <c r="E251" s="15" t="s">
        <v>66</v>
      </c>
      <c r="F251" s="15" t="s">
        <v>383</v>
      </c>
      <c r="G251" s="15" t="s">
        <v>384</v>
      </c>
      <c r="H251" s="15" t="s">
        <v>384</v>
      </c>
      <c r="I251" s="21">
        <v>8307933</v>
      </c>
      <c r="J251" s="15" t="s">
        <v>80</v>
      </c>
      <c r="K251" s="15" t="s">
        <v>81</v>
      </c>
      <c r="L251" s="15" t="str">
        <f>CONCATENATE(K251," ",J251)</f>
        <v>GREGORY TEIPEL</v>
      </c>
      <c r="M251" s="15" t="s">
        <v>57</v>
      </c>
      <c r="N251" s="16">
        <v>46028</v>
      </c>
      <c r="O251" s="16">
        <v>46087</v>
      </c>
      <c r="P251" s="24">
        <f>DATEDIF(N251,O251,"M")</f>
        <v>2</v>
      </c>
      <c r="Q251" s="24" t="s">
        <v>157</v>
      </c>
      <c r="R251" s="24" t="s">
        <v>1391</v>
      </c>
      <c r="S251" s="17">
        <v>58.24</v>
      </c>
      <c r="T251" s="18">
        <v>0.7</v>
      </c>
      <c r="U251" s="15" t="s">
        <v>60</v>
      </c>
      <c r="V251" s="15" t="s">
        <v>135</v>
      </c>
      <c r="W251" s="17">
        <v>40.770000000000003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</row>
    <row r="252" spans="1:55" x14ac:dyDescent="0.25">
      <c r="A252" s="15">
        <v>2032703008</v>
      </c>
      <c r="B252" s="15" t="s">
        <v>911</v>
      </c>
      <c r="C252" s="15" t="s">
        <v>912</v>
      </c>
      <c r="D252" s="15" t="str">
        <f>CONCATENATE(C252," ",B252)</f>
        <v>ELIJAH CUPPLES</v>
      </c>
      <c r="E252" s="15" t="s">
        <v>353</v>
      </c>
      <c r="F252" s="15" t="s">
        <v>383</v>
      </c>
      <c r="G252" s="15" t="s">
        <v>384</v>
      </c>
      <c r="H252" s="15" t="s">
        <v>384</v>
      </c>
      <c r="I252" s="21">
        <v>8307933</v>
      </c>
      <c r="J252" s="15" t="s">
        <v>80</v>
      </c>
      <c r="K252" s="15" t="s">
        <v>81</v>
      </c>
      <c r="L252" s="15" t="str">
        <f>CONCATENATE(K252," ",J252)</f>
        <v>GREGORY TEIPEL</v>
      </c>
      <c r="M252" s="15" t="s">
        <v>57</v>
      </c>
      <c r="N252" s="16">
        <v>46028</v>
      </c>
      <c r="O252" s="16">
        <v>46087</v>
      </c>
      <c r="P252" s="24">
        <f>DATEDIF(N252,O252,"M")</f>
        <v>2</v>
      </c>
      <c r="Q252" s="24" t="s">
        <v>157</v>
      </c>
      <c r="R252" s="24" t="s">
        <v>1391</v>
      </c>
      <c r="S252" s="17">
        <v>51.38</v>
      </c>
      <c r="T252" s="18">
        <v>0.7</v>
      </c>
      <c r="U252" s="15" t="s">
        <v>60</v>
      </c>
      <c r="V252" s="15" t="s">
        <v>135</v>
      </c>
      <c r="W252" s="17">
        <v>35.97</v>
      </c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</row>
    <row r="253" spans="1:55" x14ac:dyDescent="0.25">
      <c r="A253" s="15">
        <v>2032674171</v>
      </c>
      <c r="B253" s="15" t="s">
        <v>903</v>
      </c>
      <c r="C253" s="15" t="s">
        <v>298</v>
      </c>
      <c r="D253" s="15" t="str">
        <f>CONCATENATE(C253," ",B253)</f>
        <v>JAMES HALLER</v>
      </c>
      <c r="E253" s="15" t="s">
        <v>66</v>
      </c>
      <c r="F253" s="15" t="s">
        <v>383</v>
      </c>
      <c r="G253" s="15" t="s">
        <v>384</v>
      </c>
      <c r="H253" s="15" t="s">
        <v>384</v>
      </c>
      <c r="I253" s="21">
        <v>8307933</v>
      </c>
      <c r="J253" s="15" t="s">
        <v>80</v>
      </c>
      <c r="K253" s="15" t="s">
        <v>81</v>
      </c>
      <c r="L253" s="15" t="str">
        <f>CONCATENATE(K253," ",J253)</f>
        <v>GREGORY TEIPEL</v>
      </c>
      <c r="M253" s="15" t="s">
        <v>57</v>
      </c>
      <c r="N253" s="16">
        <v>46028</v>
      </c>
      <c r="O253" s="16">
        <v>46087</v>
      </c>
      <c r="P253" s="24">
        <f>DATEDIF(N253,O253,"M")</f>
        <v>2</v>
      </c>
      <c r="Q253" s="24" t="s">
        <v>157</v>
      </c>
      <c r="R253" s="24" t="s">
        <v>1391</v>
      </c>
      <c r="S253" s="17">
        <v>49.8</v>
      </c>
      <c r="T253" s="18">
        <v>0.7</v>
      </c>
      <c r="U253" s="15" t="s">
        <v>60</v>
      </c>
      <c r="V253" s="15" t="s">
        <v>135</v>
      </c>
      <c r="W253" s="17">
        <v>34.86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</row>
    <row r="254" spans="1:55" x14ac:dyDescent="0.25">
      <c r="A254" s="15">
        <v>2032674294</v>
      </c>
      <c r="B254" s="15" t="s">
        <v>903</v>
      </c>
      <c r="C254" s="15" t="s">
        <v>883</v>
      </c>
      <c r="D254" s="15" t="str">
        <f>CONCATENATE(C254," ",B254)</f>
        <v>DANIEL HALLER</v>
      </c>
      <c r="E254" s="15" t="s">
        <v>66</v>
      </c>
      <c r="F254" s="15" t="s">
        <v>383</v>
      </c>
      <c r="G254" s="15" t="s">
        <v>384</v>
      </c>
      <c r="H254" s="15" t="s">
        <v>384</v>
      </c>
      <c r="I254" s="21">
        <v>8307933</v>
      </c>
      <c r="J254" s="15" t="s">
        <v>80</v>
      </c>
      <c r="K254" s="15" t="s">
        <v>81</v>
      </c>
      <c r="L254" s="15" t="str">
        <f>CONCATENATE(K254," ",J254)</f>
        <v>GREGORY TEIPEL</v>
      </c>
      <c r="M254" s="15" t="s">
        <v>57</v>
      </c>
      <c r="N254" s="16">
        <v>46028</v>
      </c>
      <c r="O254" s="16">
        <v>46087</v>
      </c>
      <c r="P254" s="24">
        <f>DATEDIF(N254,O254,"M")</f>
        <v>2</v>
      </c>
      <c r="Q254" s="24" t="s">
        <v>157</v>
      </c>
      <c r="R254" s="24" t="s">
        <v>1391</v>
      </c>
      <c r="S254" s="17">
        <v>49.8</v>
      </c>
      <c r="T254" s="18">
        <v>0.7</v>
      </c>
      <c r="U254" s="15" t="s">
        <v>60</v>
      </c>
      <c r="V254" s="15" t="s">
        <v>135</v>
      </c>
      <c r="W254" s="17">
        <v>34.86</v>
      </c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</row>
    <row r="255" spans="1:55" x14ac:dyDescent="0.25">
      <c r="A255" s="15">
        <v>2032127344</v>
      </c>
      <c r="B255" s="15" t="s">
        <v>820</v>
      </c>
      <c r="C255" s="15" t="s">
        <v>581</v>
      </c>
      <c r="D255" s="15" t="str">
        <f>CONCATENATE(C255," ",B255)</f>
        <v>RENAE SWANSON</v>
      </c>
      <c r="E255" s="15" t="s">
        <v>84</v>
      </c>
      <c r="F255" s="15" t="s">
        <v>383</v>
      </c>
      <c r="G255" s="15" t="s">
        <v>384</v>
      </c>
      <c r="H255" s="15" t="s">
        <v>384</v>
      </c>
      <c r="I255" s="21">
        <v>8307933</v>
      </c>
      <c r="J255" s="15" t="s">
        <v>80</v>
      </c>
      <c r="K255" s="15" t="s">
        <v>81</v>
      </c>
      <c r="L255" s="15" t="str">
        <f>CONCATENATE(K255," ",J255)</f>
        <v>GREGORY TEIPEL</v>
      </c>
      <c r="M255" s="15" t="s">
        <v>57</v>
      </c>
      <c r="N255" s="16">
        <v>46028</v>
      </c>
      <c r="O255" s="16">
        <v>46087</v>
      </c>
      <c r="P255" s="24">
        <f>DATEDIF(N255,O255,"M")</f>
        <v>2</v>
      </c>
      <c r="Q255" s="24" t="s">
        <v>157</v>
      </c>
      <c r="R255" s="24" t="s">
        <v>1391</v>
      </c>
      <c r="S255" s="17">
        <v>34</v>
      </c>
      <c r="T255" s="18">
        <v>0.7</v>
      </c>
      <c r="U255" s="15" t="s">
        <v>60</v>
      </c>
      <c r="V255" s="15" t="s">
        <v>135</v>
      </c>
      <c r="W255" s="17">
        <v>23.8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</row>
    <row r="256" spans="1:55" x14ac:dyDescent="0.25">
      <c r="A256" s="15">
        <v>2032871805</v>
      </c>
      <c r="B256" s="15" t="s">
        <v>923</v>
      </c>
      <c r="C256" s="15" t="s">
        <v>924</v>
      </c>
      <c r="D256" s="15" t="str">
        <f>CONCATENATE(C256," ",B256)</f>
        <v>SEBASTIAN PEREZ</v>
      </c>
      <c r="E256" s="15" t="s">
        <v>170</v>
      </c>
      <c r="F256" s="15" t="s">
        <v>383</v>
      </c>
      <c r="G256" s="15" t="s">
        <v>384</v>
      </c>
      <c r="H256" s="15" t="s">
        <v>384</v>
      </c>
      <c r="I256" s="21">
        <v>8307933</v>
      </c>
      <c r="J256" s="15" t="s">
        <v>80</v>
      </c>
      <c r="K256" s="15" t="s">
        <v>81</v>
      </c>
      <c r="L256" s="15" t="str">
        <f>CONCATENATE(K256," ",J256)</f>
        <v>GREGORY TEIPEL</v>
      </c>
      <c r="M256" s="15" t="s">
        <v>57</v>
      </c>
      <c r="N256" s="16">
        <v>46028</v>
      </c>
      <c r="O256" s="16">
        <v>46087</v>
      </c>
      <c r="P256" s="24">
        <f>DATEDIF(N256,O256,"M")</f>
        <v>2</v>
      </c>
      <c r="Q256" s="24" t="s">
        <v>157</v>
      </c>
      <c r="R256" s="24" t="s">
        <v>1391</v>
      </c>
      <c r="S256" s="17">
        <v>33.979999999999997</v>
      </c>
      <c r="T256" s="18">
        <v>0.7</v>
      </c>
      <c r="U256" s="15" t="s">
        <v>60</v>
      </c>
      <c r="V256" s="15" t="s">
        <v>135</v>
      </c>
      <c r="W256" s="17">
        <v>23.79</v>
      </c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</row>
    <row r="257" spans="1:55" x14ac:dyDescent="0.25">
      <c r="A257" s="15">
        <v>2032937978</v>
      </c>
      <c r="B257" s="15" t="s">
        <v>928</v>
      </c>
      <c r="C257" s="15" t="s">
        <v>263</v>
      </c>
      <c r="D257" s="15" t="str">
        <f>CONCATENATE(C257," ",B257)</f>
        <v>MARK WARNER</v>
      </c>
      <c r="E257" s="15" t="s">
        <v>353</v>
      </c>
      <c r="F257" s="15" t="s">
        <v>383</v>
      </c>
      <c r="G257" s="15" t="s">
        <v>384</v>
      </c>
      <c r="H257" s="15" t="s">
        <v>384</v>
      </c>
      <c r="I257" s="21">
        <v>8307933</v>
      </c>
      <c r="J257" s="15" t="s">
        <v>80</v>
      </c>
      <c r="K257" s="15" t="s">
        <v>81</v>
      </c>
      <c r="L257" s="15" t="str">
        <f>CONCATENATE(K257," ",J257)</f>
        <v>GREGORY TEIPEL</v>
      </c>
      <c r="M257" s="15" t="s">
        <v>57</v>
      </c>
      <c r="N257" s="16">
        <v>46027</v>
      </c>
      <c r="O257" s="16">
        <v>46086</v>
      </c>
      <c r="P257" s="24">
        <f>DATEDIF(N257,O257,"M")</f>
        <v>2</v>
      </c>
      <c r="Q257" s="24" t="s">
        <v>157</v>
      </c>
      <c r="R257" s="24" t="s">
        <v>1391</v>
      </c>
      <c r="S257" s="17">
        <v>30.68</v>
      </c>
      <c r="T257" s="18">
        <v>0.7</v>
      </c>
      <c r="U257" s="15" t="s">
        <v>60</v>
      </c>
      <c r="V257" s="15" t="s">
        <v>135</v>
      </c>
      <c r="W257" s="17">
        <v>21.48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</row>
    <row r="258" spans="1:55" x14ac:dyDescent="0.25">
      <c r="A258" s="15">
        <v>2032249187</v>
      </c>
      <c r="B258" s="15" t="s">
        <v>837</v>
      </c>
      <c r="C258" s="15" t="s">
        <v>838</v>
      </c>
      <c r="D258" s="15" t="str">
        <f>CONCATENATE(C258," ",B258)</f>
        <v>MOLLEIGH SIEBENALER</v>
      </c>
      <c r="E258" s="15" t="s">
        <v>84</v>
      </c>
      <c r="F258" s="15" t="s">
        <v>383</v>
      </c>
      <c r="G258" s="15" t="s">
        <v>384</v>
      </c>
      <c r="H258" s="15" t="s">
        <v>384</v>
      </c>
      <c r="I258" s="21">
        <v>8307933</v>
      </c>
      <c r="J258" s="15" t="s">
        <v>80</v>
      </c>
      <c r="K258" s="15" t="s">
        <v>81</v>
      </c>
      <c r="L258" s="15" t="str">
        <f>CONCATENATE(K258," ",J258)</f>
        <v>GREGORY TEIPEL</v>
      </c>
      <c r="M258" s="15" t="s">
        <v>57</v>
      </c>
      <c r="N258" s="16">
        <v>46028</v>
      </c>
      <c r="O258" s="16">
        <v>46087</v>
      </c>
      <c r="P258" s="24">
        <f>DATEDIF(N258,O258,"M")</f>
        <v>2</v>
      </c>
      <c r="Q258" s="24" t="s">
        <v>157</v>
      </c>
      <c r="R258" s="24" t="s">
        <v>1391</v>
      </c>
      <c r="S258" s="17">
        <v>22</v>
      </c>
      <c r="T258" s="18">
        <v>0.7</v>
      </c>
      <c r="U258" s="15" t="s">
        <v>60</v>
      </c>
      <c r="V258" s="15" t="s">
        <v>135</v>
      </c>
      <c r="W258" s="17">
        <v>15.4</v>
      </c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</row>
    <row r="259" spans="1:55" x14ac:dyDescent="0.25">
      <c r="A259" s="15">
        <v>2032016200</v>
      </c>
      <c r="B259" s="15" t="s">
        <v>402</v>
      </c>
      <c r="C259" s="15" t="s">
        <v>1068</v>
      </c>
      <c r="D259" s="15" t="str">
        <f>CONCATENATE(C259," ",B259)</f>
        <v>KATHERINA MILLER</v>
      </c>
      <c r="E259" s="15" t="s">
        <v>87</v>
      </c>
      <c r="F259" s="15" t="s">
        <v>363</v>
      </c>
      <c r="G259" s="15" t="s">
        <v>364</v>
      </c>
      <c r="H259" s="15" t="s">
        <v>364</v>
      </c>
      <c r="I259" s="21">
        <v>8307933</v>
      </c>
      <c r="J259" s="15" t="s">
        <v>80</v>
      </c>
      <c r="K259" s="15" t="s">
        <v>81</v>
      </c>
      <c r="L259" s="15" t="str">
        <f>CONCATENATE(K259," ",J259)</f>
        <v>GREGORY TEIPEL</v>
      </c>
      <c r="M259" s="15" t="s">
        <v>57</v>
      </c>
      <c r="N259" s="16">
        <v>46028</v>
      </c>
      <c r="O259" s="16">
        <v>46087</v>
      </c>
      <c r="P259" s="24">
        <f>DATEDIF(N259,O259,"M")</f>
        <v>2</v>
      </c>
      <c r="Q259" s="24" t="s">
        <v>157</v>
      </c>
      <c r="R259" s="24" t="s">
        <v>1391</v>
      </c>
      <c r="S259" s="17">
        <v>133.01</v>
      </c>
      <c r="T259" s="25">
        <v>0.375</v>
      </c>
      <c r="U259" s="15" t="s">
        <v>60</v>
      </c>
      <c r="V259" s="15" t="s">
        <v>135</v>
      </c>
      <c r="W259" s="17">
        <v>49.88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</row>
    <row r="260" spans="1:55" x14ac:dyDescent="0.25">
      <c r="A260" s="15">
        <v>2032623371</v>
      </c>
      <c r="B260" s="15" t="s">
        <v>889</v>
      </c>
      <c r="C260" s="15" t="s">
        <v>762</v>
      </c>
      <c r="D260" s="15" t="str">
        <f>CONCATENATE(C260," ",B260)</f>
        <v>KEVIN MASSENGILL</v>
      </c>
      <c r="E260" s="15" t="s">
        <v>353</v>
      </c>
      <c r="F260" s="15" t="s">
        <v>383</v>
      </c>
      <c r="G260" s="15" t="s">
        <v>385</v>
      </c>
      <c r="H260" s="15" t="s">
        <v>385</v>
      </c>
      <c r="I260" s="21">
        <v>8307933</v>
      </c>
      <c r="J260" s="15" t="s">
        <v>80</v>
      </c>
      <c r="K260" s="15" t="s">
        <v>81</v>
      </c>
      <c r="L260" s="15" t="str">
        <f>CONCATENATE(K260," ",J260)</f>
        <v>GREGORY TEIPEL</v>
      </c>
      <c r="M260" s="15" t="s">
        <v>57</v>
      </c>
      <c r="N260" s="16">
        <v>46028</v>
      </c>
      <c r="O260" s="16">
        <v>46087</v>
      </c>
      <c r="P260" s="24">
        <f>DATEDIF(N260,O260,"M")</f>
        <v>2</v>
      </c>
      <c r="Q260" s="24" t="s">
        <v>157</v>
      </c>
      <c r="R260" s="24" t="s">
        <v>1391</v>
      </c>
      <c r="S260" s="17">
        <v>280.5</v>
      </c>
      <c r="T260" s="18">
        <v>0.9</v>
      </c>
      <c r="U260" s="15" t="s">
        <v>60</v>
      </c>
      <c r="V260" s="15" t="s">
        <v>135</v>
      </c>
      <c r="W260" s="17">
        <v>252.45</v>
      </c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</row>
    <row r="261" spans="1:55" x14ac:dyDescent="0.25">
      <c r="A261" s="15">
        <v>2032701049</v>
      </c>
      <c r="B261" s="15" t="s">
        <v>909</v>
      </c>
      <c r="C261" s="15" t="s">
        <v>370</v>
      </c>
      <c r="D261" s="15" t="str">
        <f>CONCATENATE(C261," ",B261)</f>
        <v>JORDAN GROSS</v>
      </c>
      <c r="E261" s="15" t="s">
        <v>780</v>
      </c>
      <c r="F261" s="15" t="s">
        <v>383</v>
      </c>
      <c r="G261" s="15" t="s">
        <v>385</v>
      </c>
      <c r="H261" s="15" t="s">
        <v>385</v>
      </c>
      <c r="I261" s="21">
        <v>8307933</v>
      </c>
      <c r="J261" s="15" t="s">
        <v>80</v>
      </c>
      <c r="K261" s="15" t="s">
        <v>81</v>
      </c>
      <c r="L261" s="15" t="str">
        <f>CONCATENATE(K261," ",J261)</f>
        <v>GREGORY TEIPEL</v>
      </c>
      <c r="M261" s="15" t="s">
        <v>57</v>
      </c>
      <c r="N261" s="16">
        <v>46028</v>
      </c>
      <c r="O261" s="16">
        <v>46087</v>
      </c>
      <c r="P261" s="24">
        <f>DATEDIF(N261,O261,"M")</f>
        <v>2</v>
      </c>
      <c r="Q261" s="24" t="s">
        <v>157</v>
      </c>
      <c r="R261" s="24" t="s">
        <v>1391</v>
      </c>
      <c r="S261" s="17">
        <v>36.31</v>
      </c>
      <c r="T261" s="18">
        <v>0.9</v>
      </c>
      <c r="U261" s="15" t="s">
        <v>60</v>
      </c>
      <c r="V261" s="15" t="s">
        <v>135</v>
      </c>
      <c r="W261" s="17">
        <v>32.68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</row>
    <row r="262" spans="1:55" x14ac:dyDescent="0.25">
      <c r="A262" s="15">
        <v>2032808284</v>
      </c>
      <c r="B262" s="15" t="s">
        <v>917</v>
      </c>
      <c r="C262" s="15" t="s">
        <v>808</v>
      </c>
      <c r="D262" s="15" t="str">
        <f>CONCATENATE(C262," ",B262)</f>
        <v>CHRISTY PICHETTE</v>
      </c>
      <c r="E262" s="15" t="s">
        <v>87</v>
      </c>
      <c r="F262" s="15" t="s">
        <v>383</v>
      </c>
      <c r="G262" s="15" t="s">
        <v>385</v>
      </c>
      <c r="H262" s="15" t="s">
        <v>385</v>
      </c>
      <c r="I262" s="21">
        <v>8307933</v>
      </c>
      <c r="J262" s="15" t="s">
        <v>80</v>
      </c>
      <c r="K262" s="15" t="s">
        <v>81</v>
      </c>
      <c r="L262" s="15" t="str">
        <f>CONCATENATE(K262," ",J262)</f>
        <v>GREGORY TEIPEL</v>
      </c>
      <c r="M262" s="15" t="s">
        <v>57</v>
      </c>
      <c r="N262" s="16">
        <v>46028</v>
      </c>
      <c r="O262" s="16">
        <v>46087</v>
      </c>
      <c r="P262" s="24">
        <f>DATEDIF(N262,O262,"M")</f>
        <v>2</v>
      </c>
      <c r="Q262" s="24" t="s">
        <v>157</v>
      </c>
      <c r="R262" s="24" t="s">
        <v>1391</v>
      </c>
      <c r="S262" s="17">
        <v>32.79</v>
      </c>
      <c r="T262" s="18">
        <v>0.9</v>
      </c>
      <c r="U262" s="15" t="s">
        <v>60</v>
      </c>
      <c r="V262" s="15" t="s">
        <v>135</v>
      </c>
      <c r="W262" s="17">
        <v>29.51</v>
      </c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</row>
    <row r="263" spans="1:55" x14ac:dyDescent="0.25">
      <c r="A263" s="15">
        <v>2032703010</v>
      </c>
      <c r="B263" s="15" t="s">
        <v>911</v>
      </c>
      <c r="C263" s="15" t="s">
        <v>912</v>
      </c>
      <c r="D263" s="15" t="str">
        <f>CONCATENATE(C263," ",B263)</f>
        <v>ELIJAH CUPPLES</v>
      </c>
      <c r="E263" s="15" t="s">
        <v>353</v>
      </c>
      <c r="F263" s="15" t="s">
        <v>383</v>
      </c>
      <c r="G263" s="15" t="s">
        <v>385</v>
      </c>
      <c r="H263" s="15" t="s">
        <v>385</v>
      </c>
      <c r="I263" s="21">
        <v>8307933</v>
      </c>
      <c r="J263" s="15" t="s">
        <v>80</v>
      </c>
      <c r="K263" s="15" t="s">
        <v>81</v>
      </c>
      <c r="L263" s="15" t="str">
        <f>CONCATENATE(K263," ",J263)</f>
        <v>GREGORY TEIPEL</v>
      </c>
      <c r="M263" s="15" t="s">
        <v>57</v>
      </c>
      <c r="N263" s="16">
        <v>46028</v>
      </c>
      <c r="O263" s="16">
        <v>46087</v>
      </c>
      <c r="P263" s="24">
        <f>DATEDIF(N263,O263,"M")</f>
        <v>2</v>
      </c>
      <c r="Q263" s="24" t="s">
        <v>157</v>
      </c>
      <c r="R263" s="24" t="s">
        <v>1391</v>
      </c>
      <c r="S263" s="17">
        <v>29.25</v>
      </c>
      <c r="T263" s="18">
        <v>0.9</v>
      </c>
      <c r="U263" s="15" t="s">
        <v>60</v>
      </c>
      <c r="V263" s="15" t="s">
        <v>135</v>
      </c>
      <c r="W263" s="17">
        <v>26.32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</row>
    <row r="264" spans="1:55" x14ac:dyDescent="0.25">
      <c r="A264" s="15">
        <v>2032082996</v>
      </c>
      <c r="B264" s="15" t="s">
        <v>311</v>
      </c>
      <c r="C264" s="15" t="s">
        <v>811</v>
      </c>
      <c r="D264" s="15" t="str">
        <f>CONCATENATE(C264," ",B264)</f>
        <v>PATSY THOMAS</v>
      </c>
      <c r="E264" s="15" t="s">
        <v>66</v>
      </c>
      <c r="F264" s="15" t="s">
        <v>383</v>
      </c>
      <c r="G264" s="15" t="s">
        <v>384</v>
      </c>
      <c r="H264" s="15" t="s">
        <v>384</v>
      </c>
      <c r="I264" s="21">
        <v>8307933</v>
      </c>
      <c r="J264" s="15" t="s">
        <v>80</v>
      </c>
      <c r="K264" s="15" t="s">
        <v>81</v>
      </c>
      <c r="L264" s="15" t="str">
        <f>CONCATENATE(K264," ",J264)</f>
        <v>GREGORY TEIPEL</v>
      </c>
      <c r="M264" s="15" t="s">
        <v>57</v>
      </c>
      <c r="N264" s="16">
        <v>45997</v>
      </c>
      <c r="O264" s="16">
        <v>46087</v>
      </c>
      <c r="P264" s="24">
        <f>DATEDIF(N264,O264,"M")</f>
        <v>3</v>
      </c>
      <c r="Q264" s="24" t="s">
        <v>157</v>
      </c>
      <c r="R264" s="24" t="s">
        <v>1391</v>
      </c>
      <c r="S264" s="17">
        <v>61.08</v>
      </c>
      <c r="T264" s="18">
        <v>0.7</v>
      </c>
      <c r="U264" s="15" t="s">
        <v>60</v>
      </c>
      <c r="V264" s="15" t="s">
        <v>135</v>
      </c>
      <c r="W264" s="17">
        <v>42.76</v>
      </c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</row>
    <row r="265" spans="1:55" x14ac:dyDescent="0.25">
      <c r="A265" s="15">
        <v>2031970926</v>
      </c>
      <c r="B265" s="15" t="s">
        <v>1302</v>
      </c>
      <c r="C265" s="15" t="s">
        <v>281</v>
      </c>
      <c r="D265" s="15" t="str">
        <f>CONCATENATE(C265," ",B265)</f>
        <v>ELIZABETH CULVERHOUSE</v>
      </c>
      <c r="E265" s="15" t="s">
        <v>112</v>
      </c>
      <c r="F265" s="15" t="s">
        <v>383</v>
      </c>
      <c r="G265" s="15" t="s">
        <v>384</v>
      </c>
      <c r="H265" s="15" t="s">
        <v>384</v>
      </c>
      <c r="I265" s="21">
        <v>8307933</v>
      </c>
      <c r="J265" s="15" t="s">
        <v>80</v>
      </c>
      <c r="K265" s="15" t="s">
        <v>81</v>
      </c>
      <c r="L265" s="15" t="str">
        <f>CONCATENATE(K265," ",J265)</f>
        <v>GREGORY TEIPEL</v>
      </c>
      <c r="M265" s="15" t="s">
        <v>57</v>
      </c>
      <c r="N265" s="16">
        <v>45997</v>
      </c>
      <c r="O265" s="16">
        <v>46087</v>
      </c>
      <c r="P265" s="24">
        <f>DATEDIF(N265,O265,"M")</f>
        <v>3</v>
      </c>
      <c r="Q265" s="24" t="s">
        <v>157</v>
      </c>
      <c r="R265" s="24" t="s">
        <v>1391</v>
      </c>
      <c r="S265" s="17">
        <v>51.19</v>
      </c>
      <c r="T265" s="18">
        <v>0.7</v>
      </c>
      <c r="U265" s="15" t="s">
        <v>60</v>
      </c>
      <c r="V265" s="15" t="s">
        <v>135</v>
      </c>
      <c r="W265" s="17">
        <v>35.83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</row>
    <row r="266" spans="1:55" x14ac:dyDescent="0.25">
      <c r="A266" s="15">
        <v>2032233871</v>
      </c>
      <c r="B266" s="15" t="s">
        <v>834</v>
      </c>
      <c r="C266" s="15" t="s">
        <v>486</v>
      </c>
      <c r="D266" s="15" t="str">
        <f>CONCATENATE(C266," ",B266)</f>
        <v>ASHLEY PAGE</v>
      </c>
      <c r="E266" s="15" t="s">
        <v>333</v>
      </c>
      <c r="F266" s="15" t="s">
        <v>383</v>
      </c>
      <c r="G266" s="15" t="s">
        <v>384</v>
      </c>
      <c r="H266" s="15" t="s">
        <v>384</v>
      </c>
      <c r="I266" s="21">
        <v>8307933</v>
      </c>
      <c r="J266" s="15" t="s">
        <v>80</v>
      </c>
      <c r="K266" s="15" t="s">
        <v>81</v>
      </c>
      <c r="L266" s="15" t="str">
        <f>CONCATENATE(K266," ",J266)</f>
        <v>GREGORY TEIPEL</v>
      </c>
      <c r="M266" s="15" t="s">
        <v>57</v>
      </c>
      <c r="N266" s="16">
        <v>45997</v>
      </c>
      <c r="O266" s="16">
        <v>46087</v>
      </c>
      <c r="P266" s="24">
        <f>DATEDIF(N266,O266,"M")</f>
        <v>3</v>
      </c>
      <c r="Q266" s="24" t="s">
        <v>157</v>
      </c>
      <c r="R266" s="24" t="s">
        <v>1391</v>
      </c>
      <c r="S266" s="17">
        <v>45.75</v>
      </c>
      <c r="T266" s="18">
        <v>0.7</v>
      </c>
      <c r="U266" s="15" t="s">
        <v>60</v>
      </c>
      <c r="V266" s="15" t="s">
        <v>135</v>
      </c>
      <c r="W266" s="17">
        <v>32.020000000000003</v>
      </c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</row>
    <row r="267" spans="1:55" x14ac:dyDescent="0.25">
      <c r="A267" s="15">
        <v>2031995944</v>
      </c>
      <c r="B267" s="15" t="s">
        <v>1304</v>
      </c>
      <c r="C267" s="15" t="s">
        <v>232</v>
      </c>
      <c r="D267" s="15" t="str">
        <f>CONCATENATE(C267," ",B267)</f>
        <v>JOYCE TRASK</v>
      </c>
      <c r="E267" s="15" t="s">
        <v>78</v>
      </c>
      <c r="F267" s="15" t="s">
        <v>383</v>
      </c>
      <c r="G267" s="15" t="s">
        <v>385</v>
      </c>
      <c r="H267" s="15" t="s">
        <v>385</v>
      </c>
      <c r="I267" s="21">
        <v>8307933</v>
      </c>
      <c r="J267" s="15" t="s">
        <v>80</v>
      </c>
      <c r="K267" s="15" t="s">
        <v>81</v>
      </c>
      <c r="L267" s="15" t="str">
        <f>CONCATENATE(K267," ",J267)</f>
        <v>GREGORY TEIPEL</v>
      </c>
      <c r="M267" s="15" t="s">
        <v>57</v>
      </c>
      <c r="N267" s="16">
        <v>45997</v>
      </c>
      <c r="O267" s="16">
        <v>46087</v>
      </c>
      <c r="P267" s="24">
        <f>DATEDIF(N267,O267,"M")</f>
        <v>3</v>
      </c>
      <c r="Q267" s="24" t="s">
        <v>157</v>
      </c>
      <c r="R267" s="24" t="s">
        <v>1391</v>
      </c>
      <c r="S267" s="17">
        <v>168.88</v>
      </c>
      <c r="T267" s="18">
        <v>0.9</v>
      </c>
      <c r="U267" s="15" t="s">
        <v>60</v>
      </c>
      <c r="V267" s="15" t="s">
        <v>135</v>
      </c>
      <c r="W267" s="17">
        <v>151.99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</row>
    <row r="268" spans="1:55" x14ac:dyDescent="0.25">
      <c r="A268" s="15">
        <v>2032129357</v>
      </c>
      <c r="B268" s="15" t="s">
        <v>821</v>
      </c>
      <c r="C268" s="15" t="s">
        <v>822</v>
      </c>
      <c r="D268" s="15" t="str">
        <f>CONCATENATE(C268," ",B268)</f>
        <v>ANITA GINNEVER</v>
      </c>
      <c r="E268" s="15" t="s">
        <v>78</v>
      </c>
      <c r="F268" s="15" t="s">
        <v>383</v>
      </c>
      <c r="G268" s="15" t="s">
        <v>385</v>
      </c>
      <c r="H268" s="15" t="s">
        <v>385</v>
      </c>
      <c r="I268" s="21">
        <v>8307933</v>
      </c>
      <c r="J268" s="15" t="s">
        <v>80</v>
      </c>
      <c r="K268" s="15" t="s">
        <v>81</v>
      </c>
      <c r="L268" s="15" t="str">
        <f>CONCATENATE(K268," ",J268)</f>
        <v>GREGORY TEIPEL</v>
      </c>
      <c r="M268" s="15" t="s">
        <v>57</v>
      </c>
      <c r="N268" s="16">
        <v>45997</v>
      </c>
      <c r="O268" s="16">
        <v>46087</v>
      </c>
      <c r="P268" s="24">
        <f>DATEDIF(N268,O268,"M")</f>
        <v>3</v>
      </c>
      <c r="Q268" s="24" t="s">
        <v>157</v>
      </c>
      <c r="R268" s="24" t="s">
        <v>1391</v>
      </c>
      <c r="S268" s="17">
        <v>146.88</v>
      </c>
      <c r="T268" s="18">
        <v>0.9</v>
      </c>
      <c r="U268" s="15" t="s">
        <v>60</v>
      </c>
      <c r="V268" s="15" t="s">
        <v>135</v>
      </c>
      <c r="W268" s="17">
        <v>132.19</v>
      </c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</row>
    <row r="269" spans="1:55" x14ac:dyDescent="0.25">
      <c r="A269" s="15">
        <v>2031970927</v>
      </c>
      <c r="B269" s="15" t="s">
        <v>1302</v>
      </c>
      <c r="C269" s="15" t="s">
        <v>281</v>
      </c>
      <c r="D269" s="15" t="str">
        <f>CONCATENATE(C269," ",B269)</f>
        <v>ELIZABETH CULVERHOUSE</v>
      </c>
      <c r="E269" s="15" t="s">
        <v>112</v>
      </c>
      <c r="F269" s="15" t="s">
        <v>383</v>
      </c>
      <c r="G269" s="15" t="s">
        <v>385</v>
      </c>
      <c r="H269" s="15" t="s">
        <v>385</v>
      </c>
      <c r="I269" s="21">
        <v>8307933</v>
      </c>
      <c r="J269" s="15" t="s">
        <v>80</v>
      </c>
      <c r="K269" s="15" t="s">
        <v>81</v>
      </c>
      <c r="L269" s="15" t="str">
        <f>CONCATENATE(K269," ",J269)</f>
        <v>GREGORY TEIPEL</v>
      </c>
      <c r="M269" s="15" t="s">
        <v>57</v>
      </c>
      <c r="N269" s="16">
        <v>45997</v>
      </c>
      <c r="O269" s="16">
        <v>46087</v>
      </c>
      <c r="P269" s="24">
        <f>DATEDIF(N269,O269,"M")</f>
        <v>3</v>
      </c>
      <c r="Q269" s="24" t="s">
        <v>157</v>
      </c>
      <c r="R269" s="24" t="s">
        <v>1391</v>
      </c>
      <c r="S269" s="17">
        <v>98.38</v>
      </c>
      <c r="T269" s="18">
        <v>0.9</v>
      </c>
      <c r="U269" s="15" t="s">
        <v>60</v>
      </c>
      <c r="V269" s="15" t="s">
        <v>135</v>
      </c>
      <c r="W269" s="17">
        <v>88.54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</row>
    <row r="270" spans="1:55" x14ac:dyDescent="0.25">
      <c r="A270" s="15">
        <v>2032201597</v>
      </c>
      <c r="B270" s="15" t="s">
        <v>328</v>
      </c>
      <c r="C270" s="15" t="s">
        <v>830</v>
      </c>
      <c r="D270" s="15" t="str">
        <f>CONCATENATE(C270," ",B270)</f>
        <v>TOSHNA MARTIN</v>
      </c>
      <c r="E270" s="15" t="s">
        <v>112</v>
      </c>
      <c r="F270" s="15" t="s">
        <v>383</v>
      </c>
      <c r="G270" s="15" t="s">
        <v>385</v>
      </c>
      <c r="H270" s="15" t="s">
        <v>385</v>
      </c>
      <c r="I270" s="21">
        <v>8307933</v>
      </c>
      <c r="J270" s="15" t="s">
        <v>80</v>
      </c>
      <c r="K270" s="15" t="s">
        <v>81</v>
      </c>
      <c r="L270" s="15" t="str">
        <f>CONCATENATE(K270," ",J270)</f>
        <v>GREGORY TEIPEL</v>
      </c>
      <c r="M270" s="15" t="s">
        <v>57</v>
      </c>
      <c r="N270" s="16">
        <v>46001</v>
      </c>
      <c r="O270" s="16">
        <v>46091</v>
      </c>
      <c r="P270" s="24">
        <f>DATEDIF(N270,O270,"M")</f>
        <v>3</v>
      </c>
      <c r="Q270" s="24" t="s">
        <v>157</v>
      </c>
      <c r="R270" s="24" t="s">
        <v>1391</v>
      </c>
      <c r="S270" s="17">
        <v>85.42</v>
      </c>
      <c r="T270" s="18">
        <v>0.9</v>
      </c>
      <c r="U270" s="15" t="s">
        <v>60</v>
      </c>
      <c r="V270" s="15" t="s">
        <v>135</v>
      </c>
      <c r="W270" s="17">
        <v>76.88</v>
      </c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</row>
    <row r="271" spans="1:55" x14ac:dyDescent="0.25">
      <c r="A271" s="15">
        <v>2031825054</v>
      </c>
      <c r="B271" s="15" t="s">
        <v>1064</v>
      </c>
      <c r="C271" s="15" t="s">
        <v>551</v>
      </c>
      <c r="D271" s="15" t="str">
        <f>CONCATENATE(C271," ",B271)</f>
        <v>ANGELA HARRIS</v>
      </c>
      <c r="E271" s="15" t="s">
        <v>87</v>
      </c>
      <c r="F271" s="15" t="s">
        <v>72</v>
      </c>
      <c r="G271" s="15" t="s">
        <v>79</v>
      </c>
      <c r="H271" s="15" t="s">
        <v>1329</v>
      </c>
      <c r="I271" s="21">
        <v>8307933</v>
      </c>
      <c r="J271" s="15" t="s">
        <v>80</v>
      </c>
      <c r="K271" s="15" t="s">
        <v>81</v>
      </c>
      <c r="L271" s="15" t="str">
        <f>CONCATENATE(K271," ",J271)</f>
        <v>GREGORY TEIPEL</v>
      </c>
      <c r="M271" s="15" t="s">
        <v>57</v>
      </c>
      <c r="N271" s="16">
        <v>45967</v>
      </c>
      <c r="O271" s="16">
        <v>46087</v>
      </c>
      <c r="P271" s="24">
        <f>DATEDIF(N271,O271,"M")</f>
        <v>4</v>
      </c>
      <c r="Q271" s="24" t="s">
        <v>157</v>
      </c>
      <c r="R271" s="24" t="s">
        <v>1391</v>
      </c>
      <c r="S271" s="17">
        <v>108.2</v>
      </c>
      <c r="T271" s="18">
        <v>0.75</v>
      </c>
      <c r="U271" s="15" t="s">
        <v>60</v>
      </c>
      <c r="V271" s="15" t="s">
        <v>135</v>
      </c>
      <c r="W271" s="17">
        <v>81.150000000000006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</row>
    <row r="272" spans="1:55" x14ac:dyDescent="0.25">
      <c r="A272" s="15">
        <v>2031620271</v>
      </c>
      <c r="B272" s="15" t="s">
        <v>1060</v>
      </c>
      <c r="C272" s="15" t="s">
        <v>1061</v>
      </c>
      <c r="D272" s="15" t="str">
        <f>CONCATENATE(C272," ",B272)</f>
        <v>NIKO PICKENS</v>
      </c>
      <c r="E272" s="15" t="s">
        <v>90</v>
      </c>
      <c r="F272" s="15" t="s">
        <v>72</v>
      </c>
      <c r="G272" s="15" t="s">
        <v>73</v>
      </c>
      <c r="H272" s="15" t="s">
        <v>1329</v>
      </c>
      <c r="I272" s="21">
        <v>8307933</v>
      </c>
      <c r="J272" s="15" t="s">
        <v>80</v>
      </c>
      <c r="K272" s="15" t="s">
        <v>81</v>
      </c>
      <c r="L272" s="15" t="str">
        <f>CONCATENATE(K272," ",J272)</f>
        <v>GREGORY TEIPEL</v>
      </c>
      <c r="M272" s="15" t="s">
        <v>57</v>
      </c>
      <c r="N272" s="16">
        <v>45971</v>
      </c>
      <c r="O272" s="16">
        <v>46091</v>
      </c>
      <c r="P272" s="24">
        <f>DATEDIF(N272,O272,"M")</f>
        <v>4</v>
      </c>
      <c r="Q272" s="24" t="s">
        <v>157</v>
      </c>
      <c r="R272" s="24" t="s">
        <v>1391</v>
      </c>
      <c r="S272" s="17">
        <v>60.28</v>
      </c>
      <c r="T272" s="18">
        <v>0.75</v>
      </c>
      <c r="U272" s="15" t="s">
        <v>60</v>
      </c>
      <c r="V272" s="15" t="s">
        <v>135</v>
      </c>
      <c r="W272" s="17">
        <v>45.21</v>
      </c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</row>
    <row r="273" spans="1:55" x14ac:dyDescent="0.25">
      <c r="A273" s="15">
        <v>2031418071</v>
      </c>
      <c r="B273" s="15" t="s">
        <v>1058</v>
      </c>
      <c r="C273" s="15" t="s">
        <v>75</v>
      </c>
      <c r="D273" s="15" t="str">
        <f>CONCATENATE(C273," ",B273)</f>
        <v>MATTHEW ARPS</v>
      </c>
      <c r="E273" s="15" t="s">
        <v>780</v>
      </c>
      <c r="F273" s="15" t="s">
        <v>72</v>
      </c>
      <c r="G273" s="15" t="s">
        <v>93</v>
      </c>
      <c r="H273" s="15" t="s">
        <v>1332</v>
      </c>
      <c r="I273" s="21">
        <v>8307933</v>
      </c>
      <c r="J273" s="15" t="s">
        <v>80</v>
      </c>
      <c r="K273" s="15" t="s">
        <v>81</v>
      </c>
      <c r="L273" s="15" t="str">
        <f>CONCATENATE(K273," ",J273)</f>
        <v>GREGORY TEIPEL</v>
      </c>
      <c r="M273" s="15" t="s">
        <v>57</v>
      </c>
      <c r="N273" s="16">
        <v>45971</v>
      </c>
      <c r="O273" s="16">
        <v>46091</v>
      </c>
      <c r="P273" s="24">
        <f>DATEDIF(N273,O273,"M")</f>
        <v>4</v>
      </c>
      <c r="Q273" s="24" t="s">
        <v>157</v>
      </c>
      <c r="R273" s="24" t="s">
        <v>1391</v>
      </c>
      <c r="S273" s="17">
        <v>178.58</v>
      </c>
      <c r="T273" s="18">
        <v>0.9</v>
      </c>
      <c r="U273" s="15" t="s">
        <v>60</v>
      </c>
      <c r="V273" s="15" t="s">
        <v>135</v>
      </c>
      <c r="W273" s="17">
        <v>160.72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</row>
    <row r="274" spans="1:55" x14ac:dyDescent="0.25">
      <c r="A274" s="15">
        <v>2031959148</v>
      </c>
      <c r="B274" s="15" t="s">
        <v>1053</v>
      </c>
      <c r="C274" s="15" t="s">
        <v>1129</v>
      </c>
      <c r="D274" s="15" t="str">
        <f>CONCATENATE(C274," ",B274)</f>
        <v>RONNA MORRIS</v>
      </c>
      <c r="E274" s="15" t="s">
        <v>66</v>
      </c>
      <c r="F274" s="15" t="s">
        <v>1123</v>
      </c>
      <c r="G274" s="15" t="s">
        <v>1128</v>
      </c>
      <c r="H274" s="15" t="s">
        <v>1342</v>
      </c>
      <c r="I274" s="21">
        <v>8307933</v>
      </c>
      <c r="J274" s="15" t="s">
        <v>80</v>
      </c>
      <c r="K274" s="15" t="s">
        <v>81</v>
      </c>
      <c r="L274" s="15" t="str">
        <f>CONCATENATE(K274," ",J274)</f>
        <v>GREGORY TEIPEL</v>
      </c>
      <c r="M274" s="15" t="s">
        <v>57</v>
      </c>
      <c r="N274" s="16">
        <v>45966</v>
      </c>
      <c r="O274" s="16">
        <v>46086</v>
      </c>
      <c r="P274" s="24">
        <f>DATEDIF(N274,O274,"M")</f>
        <v>4</v>
      </c>
      <c r="Q274" s="24" t="s">
        <v>157</v>
      </c>
      <c r="R274" s="24" t="s">
        <v>1391</v>
      </c>
      <c r="S274" s="17">
        <v>218.93</v>
      </c>
      <c r="T274" s="18">
        <v>1.3</v>
      </c>
      <c r="U274" s="15" t="s">
        <v>60</v>
      </c>
      <c r="V274" s="15" t="s">
        <v>135</v>
      </c>
      <c r="W274" s="17">
        <v>284.61</v>
      </c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</row>
    <row r="275" spans="1:55" x14ac:dyDescent="0.25">
      <c r="A275" s="15">
        <v>2031848856</v>
      </c>
      <c r="B275" s="15" t="s">
        <v>322</v>
      </c>
      <c r="C275" s="15" t="s">
        <v>323</v>
      </c>
      <c r="D275" s="15" t="str">
        <f>CONCATENATE(C275," ",B275)</f>
        <v>RENEE RITCHEY</v>
      </c>
      <c r="E275" s="15" t="s">
        <v>90</v>
      </c>
      <c r="F275" s="15" t="s">
        <v>152</v>
      </c>
      <c r="G275" s="15" t="s">
        <v>238</v>
      </c>
      <c r="H275" s="15" t="s">
        <v>238</v>
      </c>
      <c r="I275" s="21">
        <v>8307933</v>
      </c>
      <c r="J275" s="15" t="s">
        <v>80</v>
      </c>
      <c r="K275" s="15" t="s">
        <v>81</v>
      </c>
      <c r="L275" s="15" t="str">
        <f>CONCATENATE(K275," ",J275)</f>
        <v>GREGORY TEIPEL</v>
      </c>
      <c r="M275" s="15" t="s">
        <v>57</v>
      </c>
      <c r="N275" s="16">
        <v>45967</v>
      </c>
      <c r="O275" s="16">
        <v>46087</v>
      </c>
      <c r="P275" s="24">
        <f>DATEDIF(N275,O275,"M")</f>
        <v>4</v>
      </c>
      <c r="Q275" s="24" t="s">
        <v>157</v>
      </c>
      <c r="R275" s="24" t="s">
        <v>1391</v>
      </c>
      <c r="S275" s="17">
        <v>132.28</v>
      </c>
      <c r="T275" s="18">
        <v>0.51</v>
      </c>
      <c r="U275" s="15" t="s">
        <v>60</v>
      </c>
      <c r="V275" s="15" t="s">
        <v>135</v>
      </c>
      <c r="W275" s="17">
        <v>67.459999999999994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</row>
    <row r="276" spans="1:55" x14ac:dyDescent="0.25">
      <c r="A276" s="15">
        <v>2031848857</v>
      </c>
      <c r="B276" s="15" t="s">
        <v>322</v>
      </c>
      <c r="C276" s="15" t="s">
        <v>323</v>
      </c>
      <c r="D276" s="15" t="str">
        <f>CONCATENATE(C276," ",B276)</f>
        <v>RENEE RITCHEY</v>
      </c>
      <c r="E276" s="15" t="s">
        <v>90</v>
      </c>
      <c r="F276" s="15" t="s">
        <v>152</v>
      </c>
      <c r="G276" s="15" t="s">
        <v>241</v>
      </c>
      <c r="H276" s="15" t="s">
        <v>238</v>
      </c>
      <c r="I276" s="21">
        <v>8307933</v>
      </c>
      <c r="J276" s="15" t="s">
        <v>80</v>
      </c>
      <c r="K276" s="15" t="s">
        <v>81</v>
      </c>
      <c r="L276" s="15" t="str">
        <f>CONCATENATE(K276," ",J276)</f>
        <v>GREGORY TEIPEL</v>
      </c>
      <c r="M276" s="15" t="s">
        <v>57</v>
      </c>
      <c r="N276" s="16">
        <v>45967</v>
      </c>
      <c r="O276" s="16">
        <v>46087</v>
      </c>
      <c r="P276" s="24">
        <f>DATEDIF(N276,O276,"M")</f>
        <v>4</v>
      </c>
      <c r="Q276" s="24" t="s">
        <v>157</v>
      </c>
      <c r="R276" s="24" t="s">
        <v>1391</v>
      </c>
      <c r="S276" s="17">
        <v>5.95</v>
      </c>
      <c r="T276" s="18">
        <v>0.51</v>
      </c>
      <c r="U276" s="15" t="s">
        <v>60</v>
      </c>
      <c r="V276" s="15" t="s">
        <v>135</v>
      </c>
      <c r="W276" s="17">
        <v>3.03</v>
      </c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</row>
    <row r="277" spans="1:55" x14ac:dyDescent="0.25">
      <c r="A277" s="15">
        <v>2031620270</v>
      </c>
      <c r="B277" s="15" t="s">
        <v>1060</v>
      </c>
      <c r="C277" s="15" t="s">
        <v>1061</v>
      </c>
      <c r="D277" s="15" t="str">
        <f>CONCATENATE(C277," ",B277)</f>
        <v>NIKO PICKENS</v>
      </c>
      <c r="E277" s="15" t="s">
        <v>90</v>
      </c>
      <c r="F277" s="15" t="s">
        <v>383</v>
      </c>
      <c r="G277" s="15" t="s">
        <v>384</v>
      </c>
      <c r="H277" s="15" t="s">
        <v>384</v>
      </c>
      <c r="I277" s="21">
        <v>8307933</v>
      </c>
      <c r="J277" s="15" t="s">
        <v>80</v>
      </c>
      <c r="K277" s="15" t="s">
        <v>81</v>
      </c>
      <c r="L277" s="15" t="str">
        <f>CONCATENATE(K277," ",J277)</f>
        <v>GREGORY TEIPEL</v>
      </c>
      <c r="M277" s="15" t="s">
        <v>57</v>
      </c>
      <c r="N277" s="16">
        <v>45971</v>
      </c>
      <c r="O277" s="16">
        <v>46091</v>
      </c>
      <c r="P277" s="24">
        <f>DATEDIF(N277,O277,"M")</f>
        <v>4</v>
      </c>
      <c r="Q277" s="24" t="s">
        <v>157</v>
      </c>
      <c r="R277" s="24" t="s">
        <v>1391</v>
      </c>
      <c r="S277" s="17">
        <v>89.52</v>
      </c>
      <c r="T277" s="18">
        <v>0.7</v>
      </c>
      <c r="U277" s="15" t="s">
        <v>60</v>
      </c>
      <c r="V277" s="15" t="s">
        <v>135</v>
      </c>
      <c r="W277" s="17">
        <v>62.66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</row>
    <row r="278" spans="1:55" x14ac:dyDescent="0.25">
      <c r="A278" s="15">
        <v>2031825053</v>
      </c>
      <c r="B278" s="15" t="s">
        <v>1064</v>
      </c>
      <c r="C278" s="15" t="s">
        <v>551</v>
      </c>
      <c r="D278" s="15" t="str">
        <f>CONCATENATE(C278," ",B278)</f>
        <v>ANGELA HARRIS</v>
      </c>
      <c r="E278" s="15" t="s">
        <v>87</v>
      </c>
      <c r="F278" s="15" t="s">
        <v>383</v>
      </c>
      <c r="G278" s="15" t="s">
        <v>384</v>
      </c>
      <c r="H278" s="15" t="s">
        <v>384</v>
      </c>
      <c r="I278" s="21">
        <v>8307933</v>
      </c>
      <c r="J278" s="15" t="s">
        <v>80</v>
      </c>
      <c r="K278" s="15" t="s">
        <v>81</v>
      </c>
      <c r="L278" s="15" t="str">
        <f>CONCATENATE(K278," ",J278)</f>
        <v>GREGORY TEIPEL</v>
      </c>
      <c r="M278" s="15" t="s">
        <v>57</v>
      </c>
      <c r="N278" s="16">
        <v>45967</v>
      </c>
      <c r="O278" s="16">
        <v>46087</v>
      </c>
      <c r="P278" s="24">
        <f>DATEDIF(N278,O278,"M")</f>
        <v>4</v>
      </c>
      <c r="Q278" s="24" t="s">
        <v>157</v>
      </c>
      <c r="R278" s="24" t="s">
        <v>1391</v>
      </c>
      <c r="S278" s="17">
        <v>72.790000000000006</v>
      </c>
      <c r="T278" s="18">
        <v>0.7</v>
      </c>
      <c r="U278" s="15" t="s">
        <v>60</v>
      </c>
      <c r="V278" s="15" t="s">
        <v>135</v>
      </c>
      <c r="W278" s="17">
        <v>50.95</v>
      </c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</row>
    <row r="279" spans="1:55" x14ac:dyDescent="0.25">
      <c r="A279" s="15">
        <v>2031848858</v>
      </c>
      <c r="B279" s="15" t="s">
        <v>322</v>
      </c>
      <c r="C279" s="15" t="s">
        <v>323</v>
      </c>
      <c r="D279" s="15" t="str">
        <f>CONCATENATE(C279," ",B279)</f>
        <v>RENEE RITCHEY</v>
      </c>
      <c r="E279" s="15" t="s">
        <v>90</v>
      </c>
      <c r="F279" s="15" t="s">
        <v>383</v>
      </c>
      <c r="G279" s="15" t="s">
        <v>384</v>
      </c>
      <c r="H279" s="15" t="s">
        <v>384</v>
      </c>
      <c r="I279" s="21">
        <v>8307933</v>
      </c>
      <c r="J279" s="15" t="s">
        <v>80</v>
      </c>
      <c r="K279" s="15" t="s">
        <v>81</v>
      </c>
      <c r="L279" s="15" t="str">
        <f>CONCATENATE(K279," ",J279)</f>
        <v>GREGORY TEIPEL</v>
      </c>
      <c r="M279" s="15" t="s">
        <v>57</v>
      </c>
      <c r="N279" s="16">
        <v>45967</v>
      </c>
      <c r="O279" s="16">
        <v>46087</v>
      </c>
      <c r="P279" s="24">
        <f>DATEDIF(N279,O279,"M")</f>
        <v>4</v>
      </c>
      <c r="Q279" s="24" t="s">
        <v>157</v>
      </c>
      <c r="R279" s="24" t="s">
        <v>1391</v>
      </c>
      <c r="S279" s="17">
        <v>13</v>
      </c>
      <c r="T279" s="18">
        <v>0.7</v>
      </c>
      <c r="U279" s="15" t="s">
        <v>60</v>
      </c>
      <c r="V279" s="15" t="s">
        <v>135</v>
      </c>
      <c r="W279" s="17">
        <v>9.1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</row>
    <row r="280" spans="1:55" x14ac:dyDescent="0.25">
      <c r="A280" s="15">
        <v>2031320896</v>
      </c>
      <c r="B280" s="15" t="s">
        <v>1055</v>
      </c>
      <c r="C280" s="15" t="s">
        <v>457</v>
      </c>
      <c r="D280" s="15" t="str">
        <f>CONCATENATE(C280," ",B280)</f>
        <v>MICHELLE SONTERRE</v>
      </c>
      <c r="E280" s="15" t="s">
        <v>84</v>
      </c>
      <c r="F280" s="15" t="s">
        <v>72</v>
      </c>
      <c r="G280" s="15" t="s">
        <v>79</v>
      </c>
      <c r="H280" s="15" t="s">
        <v>1329</v>
      </c>
      <c r="I280" s="21">
        <v>8307933</v>
      </c>
      <c r="J280" s="15" t="s">
        <v>80</v>
      </c>
      <c r="K280" s="15" t="s">
        <v>81</v>
      </c>
      <c r="L280" s="15" t="str">
        <f>CONCATENATE(K280," ",J280)</f>
        <v>GREGORY TEIPEL</v>
      </c>
      <c r="M280" s="15" t="s">
        <v>57</v>
      </c>
      <c r="N280" s="16">
        <v>45936</v>
      </c>
      <c r="O280" s="16">
        <v>46087</v>
      </c>
      <c r="P280" s="24">
        <f>DATEDIF(N280,O280,"M")</f>
        <v>5</v>
      </c>
      <c r="Q280" s="24" t="s">
        <v>157</v>
      </c>
      <c r="R280" s="24" t="s">
        <v>1391</v>
      </c>
      <c r="S280" s="17">
        <v>125.45</v>
      </c>
      <c r="T280" s="18">
        <v>0.75</v>
      </c>
      <c r="U280" s="15" t="s">
        <v>60</v>
      </c>
      <c r="V280" s="15" t="s">
        <v>135</v>
      </c>
      <c r="W280" s="17">
        <v>94.09</v>
      </c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</row>
    <row r="281" spans="1:55" x14ac:dyDescent="0.25">
      <c r="A281" s="15">
        <v>2031270408</v>
      </c>
      <c r="B281" s="15" t="s">
        <v>1052</v>
      </c>
      <c r="C281" s="15" t="s">
        <v>102</v>
      </c>
      <c r="D281" s="15" t="str">
        <f>CONCATENATE(C281," ",B281)</f>
        <v>SHEILA REUTER</v>
      </c>
      <c r="E281" s="15" t="s">
        <v>84</v>
      </c>
      <c r="F281" s="15" t="s">
        <v>72</v>
      </c>
      <c r="G281" s="15" t="s">
        <v>73</v>
      </c>
      <c r="H281" s="15" t="s">
        <v>1329</v>
      </c>
      <c r="I281" s="21">
        <v>8307933</v>
      </c>
      <c r="J281" s="15" t="s">
        <v>80</v>
      </c>
      <c r="K281" s="15" t="s">
        <v>81</v>
      </c>
      <c r="L281" s="15" t="str">
        <f>CONCATENATE(K281," ",J281)</f>
        <v>GREGORY TEIPEL</v>
      </c>
      <c r="M281" s="15" t="s">
        <v>57</v>
      </c>
      <c r="N281" s="16">
        <v>45941</v>
      </c>
      <c r="O281" s="16">
        <v>46092</v>
      </c>
      <c r="P281" s="24">
        <f>DATEDIF(N281,O281,"M")</f>
        <v>5</v>
      </c>
      <c r="Q281" s="24" t="s">
        <v>157</v>
      </c>
      <c r="R281" s="24" t="s">
        <v>1391</v>
      </c>
      <c r="S281" s="17">
        <v>85.15</v>
      </c>
      <c r="T281" s="18">
        <v>0.75</v>
      </c>
      <c r="U281" s="15" t="s">
        <v>60</v>
      </c>
      <c r="V281" s="15" t="s">
        <v>135</v>
      </c>
      <c r="W281" s="17">
        <v>63.86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</row>
    <row r="282" spans="1:55" x14ac:dyDescent="0.25">
      <c r="A282" s="15">
        <v>2031290289</v>
      </c>
      <c r="B282" s="15" t="s">
        <v>1053</v>
      </c>
      <c r="C282" s="15" t="s">
        <v>1054</v>
      </c>
      <c r="D282" s="15" t="str">
        <f>CONCATENATE(C282," ",B282)</f>
        <v>RODGER MORRIS</v>
      </c>
      <c r="E282" s="15" t="s">
        <v>66</v>
      </c>
      <c r="F282" s="15" t="s">
        <v>72</v>
      </c>
      <c r="G282" s="15" t="s">
        <v>93</v>
      </c>
      <c r="H282" s="15" t="s">
        <v>1332</v>
      </c>
      <c r="I282" s="21">
        <v>8307933</v>
      </c>
      <c r="J282" s="15" t="s">
        <v>80</v>
      </c>
      <c r="K282" s="15" t="s">
        <v>81</v>
      </c>
      <c r="L282" s="15" t="str">
        <f>CONCATENATE(K282," ",J282)</f>
        <v>GREGORY TEIPEL</v>
      </c>
      <c r="M282" s="15" t="s">
        <v>57</v>
      </c>
      <c r="N282" s="16">
        <v>45936</v>
      </c>
      <c r="O282" s="16">
        <v>46087</v>
      </c>
      <c r="P282" s="24">
        <f>DATEDIF(N282,O282,"M")</f>
        <v>5</v>
      </c>
      <c r="Q282" s="24" t="s">
        <v>157</v>
      </c>
      <c r="R282" s="24" t="s">
        <v>1391</v>
      </c>
      <c r="S282" s="17">
        <v>260.01</v>
      </c>
      <c r="T282" s="18">
        <v>0.9</v>
      </c>
      <c r="U282" s="15" t="s">
        <v>60</v>
      </c>
      <c r="V282" s="15" t="s">
        <v>135</v>
      </c>
      <c r="W282" s="17">
        <v>234.01</v>
      </c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</row>
    <row r="283" spans="1:55" x14ac:dyDescent="0.25">
      <c r="A283" s="15">
        <v>2030948466</v>
      </c>
      <c r="B283" s="15" t="s">
        <v>1048</v>
      </c>
      <c r="C283" s="15" t="s">
        <v>1049</v>
      </c>
      <c r="D283" s="15" t="str">
        <f>CONCATENATE(C283," ",B283)</f>
        <v>TINA BURKS</v>
      </c>
      <c r="E283" s="15" t="s">
        <v>90</v>
      </c>
      <c r="F283" s="15" t="s">
        <v>72</v>
      </c>
      <c r="G283" s="15" t="s">
        <v>93</v>
      </c>
      <c r="H283" s="15" t="s">
        <v>1332</v>
      </c>
      <c r="I283" s="21">
        <v>8307933</v>
      </c>
      <c r="J283" s="15" t="s">
        <v>80</v>
      </c>
      <c r="K283" s="15" t="s">
        <v>81</v>
      </c>
      <c r="L283" s="15" t="str">
        <f>CONCATENATE(K283," ",J283)</f>
        <v>GREGORY TEIPEL</v>
      </c>
      <c r="M283" s="15" t="s">
        <v>57</v>
      </c>
      <c r="N283" s="16">
        <v>45936</v>
      </c>
      <c r="O283" s="16">
        <v>46087</v>
      </c>
      <c r="P283" s="24">
        <f>DATEDIF(N283,O283,"M")</f>
        <v>5</v>
      </c>
      <c r="Q283" s="24" t="s">
        <v>157</v>
      </c>
      <c r="R283" s="24" t="s">
        <v>1391</v>
      </c>
      <c r="S283" s="17">
        <v>180.92</v>
      </c>
      <c r="T283" s="18">
        <v>0.9</v>
      </c>
      <c r="U283" s="15" t="s">
        <v>60</v>
      </c>
      <c r="V283" s="15" t="s">
        <v>135</v>
      </c>
      <c r="W283" s="17">
        <v>162.83000000000001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</row>
    <row r="284" spans="1:55" x14ac:dyDescent="0.25">
      <c r="A284" s="15">
        <v>2031247582</v>
      </c>
      <c r="B284" s="15" t="s">
        <v>786</v>
      </c>
      <c r="C284" s="15" t="s">
        <v>285</v>
      </c>
      <c r="D284" s="15" t="str">
        <f>CONCATENATE(C284," ",B284)</f>
        <v>FRANK CARIOTI</v>
      </c>
      <c r="E284" s="15" t="s">
        <v>66</v>
      </c>
      <c r="F284" s="15" t="s">
        <v>72</v>
      </c>
      <c r="G284" s="15" t="s">
        <v>93</v>
      </c>
      <c r="H284" s="15" t="s">
        <v>1332</v>
      </c>
      <c r="I284" s="21">
        <v>8307933</v>
      </c>
      <c r="J284" s="15" t="s">
        <v>80</v>
      </c>
      <c r="K284" s="15" t="s">
        <v>81</v>
      </c>
      <c r="L284" s="15" t="str">
        <f>CONCATENATE(K284," ",J284)</f>
        <v>GREGORY TEIPEL</v>
      </c>
      <c r="M284" s="15" t="s">
        <v>57</v>
      </c>
      <c r="N284" s="16">
        <v>45936</v>
      </c>
      <c r="O284" s="16">
        <v>46087</v>
      </c>
      <c r="P284" s="24">
        <f>DATEDIF(N284,O284,"M")</f>
        <v>5</v>
      </c>
      <c r="Q284" s="24" t="s">
        <v>157</v>
      </c>
      <c r="R284" s="24" t="s">
        <v>1391</v>
      </c>
      <c r="S284" s="17">
        <v>135.33000000000001</v>
      </c>
      <c r="T284" s="18">
        <v>0.9</v>
      </c>
      <c r="U284" s="15" t="s">
        <v>60</v>
      </c>
      <c r="V284" s="15" t="s">
        <v>135</v>
      </c>
      <c r="W284" s="17">
        <v>121.8</v>
      </c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</row>
    <row r="285" spans="1:55" x14ac:dyDescent="0.25">
      <c r="A285" s="15">
        <v>2030977481</v>
      </c>
      <c r="B285" s="15" t="s">
        <v>1283</v>
      </c>
      <c r="C285" s="15" t="s">
        <v>731</v>
      </c>
      <c r="D285" s="15" t="str">
        <f>CONCATENATE(C285," ",B285)</f>
        <v>RICARDO ORTIZ</v>
      </c>
      <c r="E285" s="15" t="s">
        <v>886</v>
      </c>
      <c r="F285" s="15" t="s">
        <v>383</v>
      </c>
      <c r="G285" s="15" t="s">
        <v>384</v>
      </c>
      <c r="H285" s="15" t="s">
        <v>384</v>
      </c>
      <c r="I285" s="21">
        <v>8307933</v>
      </c>
      <c r="J285" s="15" t="s">
        <v>80</v>
      </c>
      <c r="K285" s="15" t="s">
        <v>81</v>
      </c>
      <c r="L285" s="15" t="str">
        <f>CONCATENATE(K285," ",J285)</f>
        <v>GREGORY TEIPEL</v>
      </c>
      <c r="M285" s="15" t="s">
        <v>57</v>
      </c>
      <c r="N285" s="16">
        <v>45936</v>
      </c>
      <c r="O285" s="16">
        <v>46087</v>
      </c>
      <c r="P285" s="24">
        <f>DATEDIF(N285,O285,"M")</f>
        <v>5</v>
      </c>
      <c r="Q285" s="24" t="s">
        <v>157</v>
      </c>
      <c r="R285" s="24" t="s">
        <v>1391</v>
      </c>
      <c r="S285" s="17">
        <v>228.99</v>
      </c>
      <c r="T285" s="18">
        <v>0.7</v>
      </c>
      <c r="U285" s="15" t="s">
        <v>60</v>
      </c>
      <c r="V285" s="15" t="s">
        <v>135</v>
      </c>
      <c r="W285" s="17">
        <v>160.29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</row>
    <row r="286" spans="1:55" x14ac:dyDescent="0.25">
      <c r="A286" s="15">
        <v>2031247581</v>
      </c>
      <c r="B286" s="15" t="s">
        <v>786</v>
      </c>
      <c r="C286" s="15" t="s">
        <v>285</v>
      </c>
      <c r="D286" s="15" t="str">
        <f>CONCATENATE(C286," ",B286)</f>
        <v>FRANK CARIOTI</v>
      </c>
      <c r="E286" s="15" t="s">
        <v>66</v>
      </c>
      <c r="F286" s="15" t="s">
        <v>383</v>
      </c>
      <c r="G286" s="15" t="s">
        <v>384</v>
      </c>
      <c r="H286" s="15" t="s">
        <v>384</v>
      </c>
      <c r="I286" s="21">
        <v>8307933</v>
      </c>
      <c r="J286" s="15" t="s">
        <v>80</v>
      </c>
      <c r="K286" s="15" t="s">
        <v>81</v>
      </c>
      <c r="L286" s="15" t="str">
        <f>CONCATENATE(K286," ",J286)</f>
        <v>GREGORY TEIPEL</v>
      </c>
      <c r="M286" s="15" t="s">
        <v>57</v>
      </c>
      <c r="N286" s="16">
        <v>45936</v>
      </c>
      <c r="O286" s="16">
        <v>46087</v>
      </c>
      <c r="P286" s="24">
        <f>DATEDIF(N286,O286,"M")</f>
        <v>5</v>
      </c>
      <c r="Q286" s="24" t="s">
        <v>157</v>
      </c>
      <c r="R286" s="24" t="s">
        <v>1391</v>
      </c>
      <c r="S286" s="17">
        <v>105.02</v>
      </c>
      <c r="T286" s="18">
        <v>0.7</v>
      </c>
      <c r="U286" s="15" t="s">
        <v>60</v>
      </c>
      <c r="V286" s="15" t="s">
        <v>135</v>
      </c>
      <c r="W286" s="17">
        <v>73.510000000000005</v>
      </c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</row>
    <row r="287" spans="1:55" x14ac:dyDescent="0.25">
      <c r="A287" s="15">
        <v>2031320895</v>
      </c>
      <c r="B287" s="15" t="s">
        <v>1055</v>
      </c>
      <c r="C287" s="15" t="s">
        <v>457</v>
      </c>
      <c r="D287" s="15" t="str">
        <f>CONCATENATE(C287," ",B287)</f>
        <v>MICHELLE SONTERRE</v>
      </c>
      <c r="E287" s="15" t="s">
        <v>84</v>
      </c>
      <c r="F287" s="15" t="s">
        <v>383</v>
      </c>
      <c r="G287" s="15" t="s">
        <v>384</v>
      </c>
      <c r="H287" s="15" t="s">
        <v>384</v>
      </c>
      <c r="I287" s="21">
        <v>8307933</v>
      </c>
      <c r="J287" s="15" t="s">
        <v>80</v>
      </c>
      <c r="K287" s="15" t="s">
        <v>81</v>
      </c>
      <c r="L287" s="15" t="str">
        <f>CONCATENATE(K287," ",J287)</f>
        <v>GREGORY TEIPEL</v>
      </c>
      <c r="M287" s="15" t="s">
        <v>57</v>
      </c>
      <c r="N287" s="16">
        <v>45936</v>
      </c>
      <c r="O287" s="16">
        <v>46087</v>
      </c>
      <c r="P287" s="24">
        <f>DATEDIF(N287,O287,"M")</f>
        <v>5</v>
      </c>
      <c r="Q287" s="24" t="s">
        <v>157</v>
      </c>
      <c r="R287" s="24" t="s">
        <v>1391</v>
      </c>
      <c r="S287" s="17">
        <v>11.5</v>
      </c>
      <c r="T287" s="18">
        <v>0.7</v>
      </c>
      <c r="U287" s="15" t="s">
        <v>60</v>
      </c>
      <c r="V287" s="15" t="s">
        <v>135</v>
      </c>
      <c r="W287" s="17">
        <v>8.0500000000000007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</row>
    <row r="288" spans="1:55" x14ac:dyDescent="0.25">
      <c r="A288" s="15">
        <v>2031247583</v>
      </c>
      <c r="B288" s="15" t="s">
        <v>786</v>
      </c>
      <c r="C288" s="15" t="s">
        <v>285</v>
      </c>
      <c r="D288" s="15" t="str">
        <f>CONCATENATE(C288," ",B288)</f>
        <v>FRANK CARIOTI</v>
      </c>
      <c r="E288" s="15" t="s">
        <v>66</v>
      </c>
      <c r="F288" s="15" t="s">
        <v>363</v>
      </c>
      <c r="G288" s="15" t="s">
        <v>364</v>
      </c>
      <c r="H288" s="15" t="s">
        <v>364</v>
      </c>
      <c r="I288" s="21">
        <v>8307933</v>
      </c>
      <c r="J288" s="15" t="s">
        <v>80</v>
      </c>
      <c r="K288" s="15" t="s">
        <v>81</v>
      </c>
      <c r="L288" s="15" t="str">
        <f>CONCATENATE(K288," ",J288)</f>
        <v>GREGORY TEIPEL</v>
      </c>
      <c r="M288" s="15" t="s">
        <v>57</v>
      </c>
      <c r="N288" s="16">
        <v>45936</v>
      </c>
      <c r="O288" s="16">
        <v>46087</v>
      </c>
      <c r="P288" s="24">
        <f>DATEDIF(N288,O288,"M")</f>
        <v>5</v>
      </c>
      <c r="Q288" s="24" t="s">
        <v>157</v>
      </c>
      <c r="R288" s="24" t="s">
        <v>1391</v>
      </c>
      <c r="S288" s="17">
        <v>149.87</v>
      </c>
      <c r="T288" s="25">
        <v>0.375</v>
      </c>
      <c r="U288" s="15" t="s">
        <v>60</v>
      </c>
      <c r="V288" s="15" t="s">
        <v>135</v>
      </c>
      <c r="W288" s="17">
        <v>56.2</v>
      </c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</row>
    <row r="289" spans="1:55" x14ac:dyDescent="0.25">
      <c r="A289" s="15">
        <v>2031290288</v>
      </c>
      <c r="B289" s="15" t="s">
        <v>1053</v>
      </c>
      <c r="C289" s="15" t="s">
        <v>1054</v>
      </c>
      <c r="D289" s="15" t="str">
        <f>CONCATENATE(C289," ",B289)</f>
        <v>RODGER MORRIS</v>
      </c>
      <c r="E289" s="15" t="s">
        <v>66</v>
      </c>
      <c r="F289" s="15" t="s">
        <v>383</v>
      </c>
      <c r="G289" s="15" t="s">
        <v>385</v>
      </c>
      <c r="H289" s="15" t="s">
        <v>385</v>
      </c>
      <c r="I289" s="21">
        <v>8307933</v>
      </c>
      <c r="J289" s="15" t="s">
        <v>80</v>
      </c>
      <c r="K289" s="15" t="s">
        <v>81</v>
      </c>
      <c r="L289" s="15" t="str">
        <f>CONCATENATE(K289," ",J289)</f>
        <v>GREGORY TEIPEL</v>
      </c>
      <c r="M289" s="15" t="s">
        <v>57</v>
      </c>
      <c r="N289" s="16">
        <v>45936</v>
      </c>
      <c r="O289" s="16">
        <v>46087</v>
      </c>
      <c r="P289" s="24">
        <f>DATEDIF(N289,O289,"M")</f>
        <v>5</v>
      </c>
      <c r="Q289" s="24" t="s">
        <v>157</v>
      </c>
      <c r="R289" s="24" t="s">
        <v>1391</v>
      </c>
      <c r="S289" s="17">
        <v>163.25</v>
      </c>
      <c r="T289" s="18">
        <v>0.9</v>
      </c>
      <c r="U289" s="15" t="s">
        <v>60</v>
      </c>
      <c r="V289" s="15" t="s">
        <v>135</v>
      </c>
      <c r="W289" s="17">
        <v>146.91999999999999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</row>
    <row r="290" spans="1:55" x14ac:dyDescent="0.25">
      <c r="A290" s="15">
        <v>2031160015</v>
      </c>
      <c r="B290" s="15" t="s">
        <v>1284</v>
      </c>
      <c r="C290" s="15" t="s">
        <v>1285</v>
      </c>
      <c r="D290" s="15" t="str">
        <f>CONCATENATE(C290," ",B290)</f>
        <v>TONY VILHAUER</v>
      </c>
      <c r="E290" s="15" t="s">
        <v>780</v>
      </c>
      <c r="F290" s="15" t="s">
        <v>383</v>
      </c>
      <c r="G290" s="15" t="s">
        <v>385</v>
      </c>
      <c r="H290" s="15" t="s">
        <v>385</v>
      </c>
      <c r="I290" s="21">
        <v>8307933</v>
      </c>
      <c r="J290" s="15" t="s">
        <v>80</v>
      </c>
      <c r="K290" s="15" t="s">
        <v>81</v>
      </c>
      <c r="L290" s="15" t="str">
        <f>CONCATENATE(K290," ",J290)</f>
        <v>GREGORY TEIPEL</v>
      </c>
      <c r="M290" s="15" t="s">
        <v>57</v>
      </c>
      <c r="N290" s="16">
        <v>45936</v>
      </c>
      <c r="O290" s="16">
        <v>46087</v>
      </c>
      <c r="P290" s="24">
        <f>DATEDIF(N290,O290,"M")</f>
        <v>5</v>
      </c>
      <c r="Q290" s="24" t="s">
        <v>157</v>
      </c>
      <c r="R290" s="24" t="s">
        <v>1391</v>
      </c>
      <c r="S290" s="17">
        <v>95.38</v>
      </c>
      <c r="T290" s="18">
        <v>0.9</v>
      </c>
      <c r="U290" s="15" t="s">
        <v>60</v>
      </c>
      <c r="V290" s="15" t="s">
        <v>135</v>
      </c>
      <c r="W290" s="17">
        <v>85.84</v>
      </c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</row>
    <row r="291" spans="1:55" x14ac:dyDescent="0.25">
      <c r="A291" s="15">
        <v>2030822622</v>
      </c>
      <c r="B291" s="15" t="s">
        <v>1280</v>
      </c>
      <c r="C291" s="15" t="s">
        <v>250</v>
      </c>
      <c r="D291" s="15" t="str">
        <f>CONCATENATE(C291," ",B291)</f>
        <v>DAVID KEMPKER</v>
      </c>
      <c r="E291" s="15" t="s">
        <v>78</v>
      </c>
      <c r="F291" s="15" t="s">
        <v>383</v>
      </c>
      <c r="G291" s="15" t="s">
        <v>385</v>
      </c>
      <c r="H291" s="15" t="s">
        <v>385</v>
      </c>
      <c r="I291" s="21">
        <v>8307933</v>
      </c>
      <c r="J291" s="15" t="s">
        <v>80</v>
      </c>
      <c r="K291" s="15" t="s">
        <v>81</v>
      </c>
      <c r="L291" s="15" t="str">
        <f>CONCATENATE(K291," ",J291)</f>
        <v>GREGORY TEIPEL</v>
      </c>
      <c r="M291" s="15" t="s">
        <v>57</v>
      </c>
      <c r="N291" s="16">
        <v>45936</v>
      </c>
      <c r="O291" s="16">
        <v>46087</v>
      </c>
      <c r="P291" s="24">
        <f>DATEDIF(N291,O291,"M")</f>
        <v>5</v>
      </c>
      <c r="Q291" s="24" t="s">
        <v>157</v>
      </c>
      <c r="R291" s="24" t="s">
        <v>1391</v>
      </c>
      <c r="S291" s="17">
        <v>83.63</v>
      </c>
      <c r="T291" s="18">
        <v>0.9</v>
      </c>
      <c r="U291" s="15" t="s">
        <v>60</v>
      </c>
      <c r="V291" s="15" t="s">
        <v>135</v>
      </c>
      <c r="W291" s="17">
        <v>75.27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</row>
    <row r="292" spans="1:55" x14ac:dyDescent="0.25">
      <c r="A292" s="15">
        <v>2031270409</v>
      </c>
      <c r="B292" s="15" t="s">
        <v>1052</v>
      </c>
      <c r="C292" s="15" t="s">
        <v>102</v>
      </c>
      <c r="D292" s="15" t="str">
        <f>CONCATENATE(C292," ",B292)</f>
        <v>SHEILA REUTER</v>
      </c>
      <c r="E292" s="15" t="s">
        <v>84</v>
      </c>
      <c r="F292" s="15" t="s">
        <v>383</v>
      </c>
      <c r="G292" s="15" t="s">
        <v>385</v>
      </c>
      <c r="H292" s="15" t="s">
        <v>385</v>
      </c>
      <c r="I292" s="21">
        <v>8307933</v>
      </c>
      <c r="J292" s="15" t="s">
        <v>80</v>
      </c>
      <c r="K292" s="15" t="s">
        <v>81</v>
      </c>
      <c r="L292" s="15" t="str">
        <f>CONCATENATE(K292," ",J292)</f>
        <v>GREGORY TEIPEL</v>
      </c>
      <c r="M292" s="15" t="s">
        <v>57</v>
      </c>
      <c r="N292" s="16">
        <v>45941</v>
      </c>
      <c r="O292" s="16">
        <v>46092</v>
      </c>
      <c r="P292" s="24">
        <f>DATEDIF(N292,O292,"M")</f>
        <v>5</v>
      </c>
      <c r="Q292" s="24" t="s">
        <v>157</v>
      </c>
      <c r="R292" s="24" t="s">
        <v>1391</v>
      </c>
      <c r="S292" s="17">
        <v>37.42</v>
      </c>
      <c r="T292" s="18">
        <v>0.9</v>
      </c>
      <c r="U292" s="15" t="s">
        <v>60</v>
      </c>
      <c r="V292" s="15" t="s">
        <v>135</v>
      </c>
      <c r="W292" s="17">
        <v>33.68</v>
      </c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</row>
    <row r="293" spans="1:55" x14ac:dyDescent="0.25">
      <c r="A293" s="15">
        <v>2030948467</v>
      </c>
      <c r="B293" s="15" t="s">
        <v>1048</v>
      </c>
      <c r="C293" s="15" t="s">
        <v>1049</v>
      </c>
      <c r="D293" s="15" t="str">
        <f>CONCATENATE(C293," ",B293)</f>
        <v>TINA BURKS</v>
      </c>
      <c r="E293" s="15" t="s">
        <v>90</v>
      </c>
      <c r="F293" s="15" t="s">
        <v>383</v>
      </c>
      <c r="G293" s="15" t="s">
        <v>385</v>
      </c>
      <c r="H293" s="15" t="s">
        <v>385</v>
      </c>
      <c r="I293" s="21">
        <v>8307933</v>
      </c>
      <c r="J293" s="15" t="s">
        <v>80</v>
      </c>
      <c r="K293" s="15" t="s">
        <v>81</v>
      </c>
      <c r="L293" s="15" t="str">
        <f>CONCATENATE(K293," ",J293)</f>
        <v>GREGORY TEIPEL</v>
      </c>
      <c r="M293" s="15" t="s">
        <v>57</v>
      </c>
      <c r="N293" s="16">
        <v>45936</v>
      </c>
      <c r="O293" s="16">
        <v>46087</v>
      </c>
      <c r="P293" s="24">
        <f>DATEDIF(N293,O293,"M")</f>
        <v>5</v>
      </c>
      <c r="Q293" s="24" t="s">
        <v>157</v>
      </c>
      <c r="R293" s="24" t="s">
        <v>1391</v>
      </c>
      <c r="S293" s="17">
        <v>31.08</v>
      </c>
      <c r="T293" s="18">
        <v>0.9</v>
      </c>
      <c r="U293" s="15" t="s">
        <v>60</v>
      </c>
      <c r="V293" s="15" t="s">
        <v>135</v>
      </c>
      <c r="W293" s="17">
        <v>27.97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</row>
    <row r="294" spans="1:55" x14ac:dyDescent="0.25">
      <c r="A294" s="15">
        <v>2030435038</v>
      </c>
      <c r="B294" s="15" t="s">
        <v>1037</v>
      </c>
      <c r="C294" s="15" t="s">
        <v>1038</v>
      </c>
      <c r="D294" s="15" t="str">
        <f>CONCATENATE(C294," ",B294)</f>
        <v>DAKOTA BROWN</v>
      </c>
      <c r="E294" s="15" t="s">
        <v>780</v>
      </c>
      <c r="F294" s="15" t="s">
        <v>383</v>
      </c>
      <c r="G294" s="15" t="s">
        <v>1172</v>
      </c>
      <c r="H294" s="15" t="s">
        <v>1172</v>
      </c>
      <c r="I294" s="21">
        <v>8307933</v>
      </c>
      <c r="J294" s="15" t="s">
        <v>80</v>
      </c>
      <c r="K294" s="15" t="s">
        <v>81</v>
      </c>
      <c r="L294" s="15" t="str">
        <f>CONCATENATE(K294," ",J294)</f>
        <v>GREGORY TEIPEL</v>
      </c>
      <c r="M294" s="15" t="s">
        <v>57</v>
      </c>
      <c r="N294" s="16">
        <v>45907</v>
      </c>
      <c r="O294" s="16">
        <v>46088</v>
      </c>
      <c r="P294" s="24">
        <f>DATEDIF(N294,O294,"M")</f>
        <v>6</v>
      </c>
      <c r="Q294" s="24" t="s">
        <v>157</v>
      </c>
      <c r="R294" s="24" t="s">
        <v>1391</v>
      </c>
      <c r="S294" s="17">
        <v>21.44</v>
      </c>
      <c r="T294" s="18">
        <v>0.7</v>
      </c>
      <c r="U294" s="15" t="s">
        <v>60</v>
      </c>
      <c r="V294" s="15" t="s">
        <v>135</v>
      </c>
      <c r="W294" s="17">
        <v>15.01</v>
      </c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</row>
    <row r="295" spans="1:55" x14ac:dyDescent="0.25">
      <c r="A295" s="15">
        <v>2030518949</v>
      </c>
      <c r="B295" s="15" t="s">
        <v>778</v>
      </c>
      <c r="C295" s="15" t="s">
        <v>779</v>
      </c>
      <c r="D295" s="15" t="str">
        <f>CONCATENATE(C295," ",B295)</f>
        <v>ALYSSA MIELKE</v>
      </c>
      <c r="E295" s="15" t="s">
        <v>780</v>
      </c>
      <c r="F295" s="15" t="s">
        <v>383</v>
      </c>
      <c r="G295" s="15" t="s">
        <v>1172</v>
      </c>
      <c r="H295" s="15" t="s">
        <v>1172</v>
      </c>
      <c r="I295" s="21">
        <v>8307933</v>
      </c>
      <c r="J295" s="15" t="s">
        <v>80</v>
      </c>
      <c r="K295" s="15" t="s">
        <v>81</v>
      </c>
      <c r="L295" s="15" t="str">
        <f>CONCATENATE(K295," ",J295)</f>
        <v>GREGORY TEIPEL</v>
      </c>
      <c r="M295" s="15" t="s">
        <v>57</v>
      </c>
      <c r="N295" s="16">
        <v>45907</v>
      </c>
      <c r="O295" s="16">
        <v>46088</v>
      </c>
      <c r="P295" s="24">
        <f>DATEDIF(N295,O295,"M")</f>
        <v>6</v>
      </c>
      <c r="Q295" s="24" t="s">
        <v>157</v>
      </c>
      <c r="R295" s="24" t="s">
        <v>1391</v>
      </c>
      <c r="S295" s="17">
        <v>21.44</v>
      </c>
      <c r="T295" s="18">
        <v>0.7</v>
      </c>
      <c r="U295" s="15" t="s">
        <v>60</v>
      </c>
      <c r="V295" s="15" t="s">
        <v>135</v>
      </c>
      <c r="W295" s="17">
        <v>15.01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</row>
    <row r="296" spans="1:55" x14ac:dyDescent="0.25">
      <c r="A296" s="15">
        <v>2030517071</v>
      </c>
      <c r="B296" s="15" t="s">
        <v>776</v>
      </c>
      <c r="C296" s="15" t="s">
        <v>777</v>
      </c>
      <c r="D296" s="15" t="str">
        <f>CONCATENATE(C296," ",B296)</f>
        <v>CORTNEY BLACKWELL</v>
      </c>
      <c r="E296" s="15" t="s">
        <v>112</v>
      </c>
      <c r="F296" s="15" t="s">
        <v>72</v>
      </c>
      <c r="G296" s="15" t="s">
        <v>79</v>
      </c>
      <c r="H296" s="15" t="s">
        <v>1329</v>
      </c>
      <c r="I296" s="21">
        <v>8307933</v>
      </c>
      <c r="J296" s="15" t="s">
        <v>80</v>
      </c>
      <c r="K296" s="15" t="s">
        <v>81</v>
      </c>
      <c r="L296" s="15" t="str">
        <f>CONCATENATE(K296," ",J296)</f>
        <v>GREGORY TEIPEL</v>
      </c>
      <c r="M296" s="15" t="s">
        <v>57</v>
      </c>
      <c r="N296" s="16">
        <v>45907</v>
      </c>
      <c r="O296" s="16">
        <v>46088</v>
      </c>
      <c r="P296" s="24">
        <f>DATEDIF(N296,O296,"M")</f>
        <v>6</v>
      </c>
      <c r="Q296" s="24" t="s">
        <v>157</v>
      </c>
      <c r="R296" s="24" t="s">
        <v>1391</v>
      </c>
      <c r="S296" s="17">
        <v>41.58</v>
      </c>
      <c r="T296" s="18">
        <v>0.75</v>
      </c>
      <c r="U296" s="15" t="s">
        <v>60</v>
      </c>
      <c r="V296" s="15" t="s">
        <v>135</v>
      </c>
      <c r="W296" s="17">
        <v>31.16</v>
      </c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</row>
    <row r="297" spans="1:55" x14ac:dyDescent="0.25">
      <c r="A297" s="15">
        <v>2030317596</v>
      </c>
      <c r="B297" s="15" t="s">
        <v>1027</v>
      </c>
      <c r="C297" s="15" t="s">
        <v>551</v>
      </c>
      <c r="D297" s="15" t="str">
        <f>CONCATENATE(C297," ",B297)</f>
        <v>ANGELA DOWDLE</v>
      </c>
      <c r="E297" s="15" t="s">
        <v>66</v>
      </c>
      <c r="F297" s="15" t="s">
        <v>72</v>
      </c>
      <c r="G297" s="15" t="s">
        <v>73</v>
      </c>
      <c r="H297" s="15" t="s">
        <v>1329</v>
      </c>
      <c r="I297" s="21">
        <v>8307933</v>
      </c>
      <c r="J297" s="15" t="s">
        <v>80</v>
      </c>
      <c r="K297" s="15" t="s">
        <v>81</v>
      </c>
      <c r="L297" s="15" t="str">
        <f>CONCATENATE(K297," ",J297)</f>
        <v>GREGORY TEIPEL</v>
      </c>
      <c r="M297" s="15" t="s">
        <v>57</v>
      </c>
      <c r="N297" s="16">
        <v>45906</v>
      </c>
      <c r="O297" s="16">
        <v>46087</v>
      </c>
      <c r="P297" s="24">
        <f>DATEDIF(N297,O297,"M")</f>
        <v>6</v>
      </c>
      <c r="Q297" s="24" t="s">
        <v>157</v>
      </c>
      <c r="R297" s="24" t="s">
        <v>1391</v>
      </c>
      <c r="S297" s="17">
        <v>69.3</v>
      </c>
      <c r="T297" s="18">
        <v>0.75</v>
      </c>
      <c r="U297" s="15" t="s">
        <v>60</v>
      </c>
      <c r="V297" s="15" t="s">
        <v>135</v>
      </c>
      <c r="W297" s="17">
        <v>51.98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</row>
    <row r="298" spans="1:55" x14ac:dyDescent="0.25">
      <c r="A298" s="15">
        <v>2030477513</v>
      </c>
      <c r="B298" s="15" t="s">
        <v>1042</v>
      </c>
      <c r="C298" s="15" t="s">
        <v>1043</v>
      </c>
      <c r="D298" s="15" t="str">
        <f>CONCATENATE(C298," ",B298)</f>
        <v>JASMINE RICHARDS</v>
      </c>
      <c r="E298" s="15" t="s">
        <v>84</v>
      </c>
      <c r="F298" s="15" t="s">
        <v>72</v>
      </c>
      <c r="G298" s="15" t="s">
        <v>79</v>
      </c>
      <c r="H298" s="15" t="s">
        <v>1329</v>
      </c>
      <c r="I298" s="21">
        <v>8307933</v>
      </c>
      <c r="J298" s="15" t="s">
        <v>80</v>
      </c>
      <c r="K298" s="15" t="s">
        <v>81</v>
      </c>
      <c r="L298" s="15" t="str">
        <f>CONCATENATE(K298," ",J298)</f>
        <v>GREGORY TEIPEL</v>
      </c>
      <c r="M298" s="15" t="s">
        <v>57</v>
      </c>
      <c r="N298" s="16">
        <v>45906</v>
      </c>
      <c r="O298" s="16">
        <v>46087</v>
      </c>
      <c r="P298" s="24">
        <f>DATEDIF(N298,O298,"M")</f>
        <v>6</v>
      </c>
      <c r="Q298" s="24" t="s">
        <v>157</v>
      </c>
      <c r="R298" s="24" t="s">
        <v>1391</v>
      </c>
      <c r="S298" s="17">
        <v>24.48</v>
      </c>
      <c r="T298" s="18">
        <v>0.75</v>
      </c>
      <c r="U298" s="15" t="s">
        <v>60</v>
      </c>
      <c r="V298" s="15" t="s">
        <v>135</v>
      </c>
      <c r="W298" s="17">
        <v>18.36</v>
      </c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</row>
    <row r="299" spans="1:55" x14ac:dyDescent="0.25">
      <c r="A299" s="15">
        <v>2030518950</v>
      </c>
      <c r="B299" s="15" t="s">
        <v>778</v>
      </c>
      <c r="C299" s="15" t="s">
        <v>779</v>
      </c>
      <c r="D299" s="15" t="str">
        <f>CONCATENATE(C299," ",B299)</f>
        <v>ALYSSA MIELKE</v>
      </c>
      <c r="E299" s="15" t="s">
        <v>780</v>
      </c>
      <c r="F299" s="15" t="s">
        <v>72</v>
      </c>
      <c r="G299" s="15" t="s">
        <v>93</v>
      </c>
      <c r="H299" s="15" t="s">
        <v>1332</v>
      </c>
      <c r="I299" s="21">
        <v>8307933</v>
      </c>
      <c r="J299" s="15" t="s">
        <v>80</v>
      </c>
      <c r="K299" s="15" t="s">
        <v>81</v>
      </c>
      <c r="L299" s="15" t="str">
        <f>CONCATENATE(K299," ",J299)</f>
        <v>GREGORY TEIPEL</v>
      </c>
      <c r="M299" s="15" t="s">
        <v>57</v>
      </c>
      <c r="N299" s="16">
        <v>45907</v>
      </c>
      <c r="O299" s="16">
        <v>46088</v>
      </c>
      <c r="P299" s="24">
        <f>DATEDIF(N299,O299,"M")</f>
        <v>6</v>
      </c>
      <c r="Q299" s="24" t="s">
        <v>157</v>
      </c>
      <c r="R299" s="24" t="s">
        <v>1391</v>
      </c>
      <c r="S299" s="17">
        <v>68.25</v>
      </c>
      <c r="T299" s="18">
        <v>0.9</v>
      </c>
      <c r="U299" s="15" t="s">
        <v>60</v>
      </c>
      <c r="V299" s="15" t="s">
        <v>135</v>
      </c>
      <c r="W299" s="17">
        <v>61.4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</row>
    <row r="300" spans="1:55" x14ac:dyDescent="0.25">
      <c r="A300" s="15">
        <v>2030678711</v>
      </c>
      <c r="B300" s="15" t="s">
        <v>1044</v>
      </c>
      <c r="C300" s="15" t="s">
        <v>1045</v>
      </c>
      <c r="D300" s="15" t="str">
        <f>CONCATENATE(C300," ",B300)</f>
        <v>OLHA NOVAKOVSKA</v>
      </c>
      <c r="E300" s="15" t="s">
        <v>66</v>
      </c>
      <c r="F300" s="15" t="s">
        <v>72</v>
      </c>
      <c r="G300" s="15" t="s">
        <v>93</v>
      </c>
      <c r="H300" s="15" t="s">
        <v>1332</v>
      </c>
      <c r="I300" s="21">
        <v>8307933</v>
      </c>
      <c r="J300" s="15" t="s">
        <v>80</v>
      </c>
      <c r="K300" s="15" t="s">
        <v>81</v>
      </c>
      <c r="L300" s="15" t="str">
        <f>CONCATENATE(K300," ",J300)</f>
        <v>GREGORY TEIPEL</v>
      </c>
      <c r="M300" s="15" t="s">
        <v>57</v>
      </c>
      <c r="N300" s="16">
        <v>45906</v>
      </c>
      <c r="O300" s="16">
        <v>46087</v>
      </c>
      <c r="P300" s="24">
        <f>DATEDIF(N300,O300,"M")</f>
        <v>6</v>
      </c>
      <c r="Q300" s="24" t="s">
        <v>157</v>
      </c>
      <c r="R300" s="24" t="s">
        <v>1391</v>
      </c>
      <c r="S300" s="17">
        <v>87.08</v>
      </c>
      <c r="T300" s="18">
        <v>0.9</v>
      </c>
      <c r="U300" s="15" t="s">
        <v>60</v>
      </c>
      <c r="V300" s="15" t="s">
        <v>135</v>
      </c>
      <c r="W300" s="17">
        <v>78.36</v>
      </c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</row>
    <row r="301" spans="1:55" x14ac:dyDescent="0.25">
      <c r="A301" s="15">
        <v>2030336751</v>
      </c>
      <c r="B301" s="15" t="s">
        <v>1029</v>
      </c>
      <c r="C301" s="15" t="s">
        <v>1030</v>
      </c>
      <c r="D301" s="15" t="str">
        <f>CONCATENATE(C301," ",B301)</f>
        <v>LAUREN SLOSS</v>
      </c>
      <c r="E301" s="15" t="s">
        <v>112</v>
      </c>
      <c r="F301" s="15" t="s">
        <v>72</v>
      </c>
      <c r="G301" s="15" t="s">
        <v>93</v>
      </c>
      <c r="H301" s="15" t="s">
        <v>1332</v>
      </c>
      <c r="I301" s="21">
        <v>8307933</v>
      </c>
      <c r="J301" s="15" t="s">
        <v>80</v>
      </c>
      <c r="K301" s="15" t="s">
        <v>81</v>
      </c>
      <c r="L301" s="15" t="str">
        <f>CONCATENATE(K301," ",J301)</f>
        <v>GREGORY TEIPEL</v>
      </c>
      <c r="M301" s="15" t="s">
        <v>57</v>
      </c>
      <c r="N301" s="16">
        <v>45906</v>
      </c>
      <c r="O301" s="16">
        <v>46087</v>
      </c>
      <c r="P301" s="24">
        <f>DATEDIF(N301,O301,"M")</f>
        <v>6</v>
      </c>
      <c r="Q301" s="24" t="s">
        <v>157</v>
      </c>
      <c r="R301" s="24" t="s">
        <v>1391</v>
      </c>
      <c r="S301" s="17">
        <v>216.41</v>
      </c>
      <c r="T301" s="18">
        <v>0.9</v>
      </c>
      <c r="U301" s="15" t="s">
        <v>60</v>
      </c>
      <c r="V301" s="15" t="s">
        <v>135</v>
      </c>
      <c r="W301" s="17">
        <v>194.77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</row>
    <row r="302" spans="1:55" x14ac:dyDescent="0.25">
      <c r="A302" s="15">
        <v>2030435037</v>
      </c>
      <c r="B302" s="15" t="s">
        <v>1037</v>
      </c>
      <c r="C302" s="15" t="s">
        <v>1038</v>
      </c>
      <c r="D302" s="15" t="str">
        <f>CONCATENATE(C302," ",B302)</f>
        <v>DAKOTA BROWN</v>
      </c>
      <c r="E302" s="15" t="s">
        <v>780</v>
      </c>
      <c r="F302" s="15" t="s">
        <v>72</v>
      </c>
      <c r="G302" s="15" t="s">
        <v>93</v>
      </c>
      <c r="H302" s="15" t="s">
        <v>1332</v>
      </c>
      <c r="I302" s="21">
        <v>8307933</v>
      </c>
      <c r="J302" s="15" t="s">
        <v>80</v>
      </c>
      <c r="K302" s="15" t="s">
        <v>81</v>
      </c>
      <c r="L302" s="15" t="str">
        <f>CONCATENATE(K302," ",J302)</f>
        <v>GREGORY TEIPEL</v>
      </c>
      <c r="M302" s="15" t="s">
        <v>57</v>
      </c>
      <c r="N302" s="16">
        <v>45907</v>
      </c>
      <c r="O302" s="16">
        <v>46088</v>
      </c>
      <c r="P302" s="24">
        <f>DATEDIF(N302,O302,"M")</f>
        <v>6</v>
      </c>
      <c r="Q302" s="24" t="s">
        <v>157</v>
      </c>
      <c r="R302" s="24" t="s">
        <v>1391</v>
      </c>
      <c r="S302" s="17">
        <v>87.13</v>
      </c>
      <c r="T302" s="18">
        <v>0.9</v>
      </c>
      <c r="U302" s="15" t="s">
        <v>60</v>
      </c>
      <c r="V302" s="15" t="s">
        <v>135</v>
      </c>
      <c r="W302" s="17">
        <v>78.42</v>
      </c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</row>
    <row r="303" spans="1:55" x14ac:dyDescent="0.25">
      <c r="A303" s="15">
        <v>2030441006</v>
      </c>
      <c r="B303" s="15" t="s">
        <v>1039</v>
      </c>
      <c r="C303" s="15" t="s">
        <v>197</v>
      </c>
      <c r="D303" s="15" t="str">
        <f>CONCATENATE(C303," ",B303)</f>
        <v>LISA JIMENEZ</v>
      </c>
      <c r="E303" s="15" t="s">
        <v>780</v>
      </c>
      <c r="F303" s="15" t="s">
        <v>72</v>
      </c>
      <c r="G303" s="15" t="s">
        <v>93</v>
      </c>
      <c r="H303" s="15" t="s">
        <v>1332</v>
      </c>
      <c r="I303" s="21">
        <v>8307933</v>
      </c>
      <c r="J303" s="15" t="s">
        <v>80</v>
      </c>
      <c r="K303" s="15" t="s">
        <v>81</v>
      </c>
      <c r="L303" s="15" t="str">
        <f>CONCATENATE(K303," ",J303)</f>
        <v>GREGORY TEIPEL</v>
      </c>
      <c r="M303" s="15" t="s">
        <v>57</v>
      </c>
      <c r="N303" s="16">
        <v>45907</v>
      </c>
      <c r="O303" s="16">
        <v>46088</v>
      </c>
      <c r="P303" s="24">
        <f>DATEDIF(N303,O303,"M")</f>
        <v>6</v>
      </c>
      <c r="Q303" s="24" t="s">
        <v>157</v>
      </c>
      <c r="R303" s="24" t="s">
        <v>1391</v>
      </c>
      <c r="S303" s="17">
        <v>101.93</v>
      </c>
      <c r="T303" s="18">
        <v>0.9</v>
      </c>
      <c r="U303" s="15" t="s">
        <v>60</v>
      </c>
      <c r="V303" s="15" t="s">
        <v>135</v>
      </c>
      <c r="W303" s="17">
        <v>91.74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</row>
    <row r="304" spans="1:55" x14ac:dyDescent="0.25">
      <c r="A304" s="15">
        <v>2030443828</v>
      </c>
      <c r="B304" s="15" t="s">
        <v>1040</v>
      </c>
      <c r="C304" s="15" t="s">
        <v>1041</v>
      </c>
      <c r="D304" s="15" t="str">
        <f>CONCATENATE(C304," ",B304)</f>
        <v>TATYANA MUKHIN</v>
      </c>
      <c r="E304" s="15" t="s">
        <v>87</v>
      </c>
      <c r="F304" s="15" t="s">
        <v>72</v>
      </c>
      <c r="G304" s="15" t="s">
        <v>93</v>
      </c>
      <c r="H304" s="15" t="s">
        <v>1332</v>
      </c>
      <c r="I304" s="21">
        <v>8307933</v>
      </c>
      <c r="J304" s="15" t="s">
        <v>80</v>
      </c>
      <c r="K304" s="15" t="s">
        <v>81</v>
      </c>
      <c r="L304" s="15" t="str">
        <f>CONCATENATE(K304," ",J304)</f>
        <v>GREGORY TEIPEL</v>
      </c>
      <c r="M304" s="15" t="s">
        <v>57</v>
      </c>
      <c r="N304" s="16">
        <v>45907</v>
      </c>
      <c r="O304" s="16">
        <v>46088</v>
      </c>
      <c r="P304" s="24">
        <f>DATEDIF(N304,O304,"M")</f>
        <v>6</v>
      </c>
      <c r="Q304" s="24" t="s">
        <v>157</v>
      </c>
      <c r="R304" s="24" t="s">
        <v>1391</v>
      </c>
      <c r="S304" s="17">
        <v>176.63</v>
      </c>
      <c r="T304" s="18">
        <v>0.9</v>
      </c>
      <c r="U304" s="15" t="s">
        <v>60</v>
      </c>
      <c r="V304" s="15" t="s">
        <v>135</v>
      </c>
      <c r="W304" s="17">
        <v>158.97</v>
      </c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</row>
    <row r="305" spans="1:55" x14ac:dyDescent="0.25">
      <c r="A305" s="15">
        <v>2030739941</v>
      </c>
      <c r="B305" s="15" t="s">
        <v>311</v>
      </c>
      <c r="C305" s="15" t="s">
        <v>283</v>
      </c>
      <c r="D305" s="15" t="str">
        <f>CONCATENATE(C305," ",B305)</f>
        <v>WILLIE THOMAS</v>
      </c>
      <c r="E305" s="15" t="s">
        <v>90</v>
      </c>
      <c r="F305" s="15" t="s">
        <v>152</v>
      </c>
      <c r="G305" s="15" t="s">
        <v>241</v>
      </c>
      <c r="H305" s="15" t="s">
        <v>238</v>
      </c>
      <c r="I305" s="21">
        <v>8307933</v>
      </c>
      <c r="J305" s="15" t="s">
        <v>80</v>
      </c>
      <c r="K305" s="15" t="s">
        <v>81</v>
      </c>
      <c r="L305" s="15" t="str">
        <f>CONCATENATE(K305," ",J305)</f>
        <v>GREGORY TEIPEL</v>
      </c>
      <c r="M305" s="15" t="s">
        <v>57</v>
      </c>
      <c r="N305" s="16">
        <v>45906</v>
      </c>
      <c r="O305" s="16">
        <v>46087</v>
      </c>
      <c r="P305" s="24">
        <f>DATEDIF(N305,O305,"M")</f>
        <v>6</v>
      </c>
      <c r="Q305" s="24" t="s">
        <v>157</v>
      </c>
      <c r="R305" s="24" t="s">
        <v>1391</v>
      </c>
      <c r="S305" s="17">
        <v>14.95</v>
      </c>
      <c r="T305" s="18">
        <v>0.51</v>
      </c>
      <c r="U305" s="15" t="s">
        <v>60</v>
      </c>
      <c r="V305" s="15" t="s">
        <v>135</v>
      </c>
      <c r="W305" s="17">
        <v>7.62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</row>
    <row r="306" spans="1:55" x14ac:dyDescent="0.25">
      <c r="A306" s="15">
        <v>2030739940</v>
      </c>
      <c r="B306" s="15" t="s">
        <v>311</v>
      </c>
      <c r="C306" s="15" t="s">
        <v>283</v>
      </c>
      <c r="D306" s="15" t="str">
        <f>CONCATENATE(C306," ",B306)</f>
        <v>WILLIE THOMAS</v>
      </c>
      <c r="E306" s="15" t="s">
        <v>90</v>
      </c>
      <c r="F306" s="15" t="s">
        <v>152</v>
      </c>
      <c r="G306" s="15" t="s">
        <v>238</v>
      </c>
      <c r="H306" s="15" t="s">
        <v>238</v>
      </c>
      <c r="I306" s="21">
        <v>8307933</v>
      </c>
      <c r="J306" s="15" t="s">
        <v>80</v>
      </c>
      <c r="K306" s="15" t="s">
        <v>81</v>
      </c>
      <c r="L306" s="15" t="str">
        <f>CONCATENATE(K306," ",J306)</f>
        <v>GREGORY TEIPEL</v>
      </c>
      <c r="M306" s="15" t="s">
        <v>57</v>
      </c>
      <c r="N306" s="16">
        <v>45906</v>
      </c>
      <c r="O306" s="16">
        <v>46087</v>
      </c>
      <c r="P306" s="24">
        <f>DATEDIF(N306,O306,"M")</f>
        <v>6</v>
      </c>
      <c r="Q306" s="24" t="s">
        <v>157</v>
      </c>
      <c r="R306" s="24" t="s">
        <v>1391</v>
      </c>
      <c r="S306" s="17">
        <v>176.78</v>
      </c>
      <c r="T306" s="18">
        <v>0.51</v>
      </c>
      <c r="U306" s="15" t="s">
        <v>60</v>
      </c>
      <c r="V306" s="15" t="s">
        <v>135</v>
      </c>
      <c r="W306" s="17">
        <v>90.16</v>
      </c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</row>
    <row r="307" spans="1:55" x14ac:dyDescent="0.25">
      <c r="A307" s="15">
        <v>2030517070</v>
      </c>
      <c r="B307" s="15" t="s">
        <v>776</v>
      </c>
      <c r="C307" s="15" t="s">
        <v>777</v>
      </c>
      <c r="D307" s="15" t="str">
        <f>CONCATENATE(C307," ",B307)</f>
        <v>CORTNEY BLACKWELL</v>
      </c>
      <c r="E307" s="15" t="s">
        <v>112</v>
      </c>
      <c r="F307" s="15" t="s">
        <v>383</v>
      </c>
      <c r="G307" s="15" t="s">
        <v>384</v>
      </c>
      <c r="H307" s="15" t="s">
        <v>384</v>
      </c>
      <c r="I307" s="21">
        <v>8307933</v>
      </c>
      <c r="J307" s="15" t="s">
        <v>80</v>
      </c>
      <c r="K307" s="15" t="s">
        <v>81</v>
      </c>
      <c r="L307" s="15" t="str">
        <f>CONCATENATE(K307," ",J307)</f>
        <v>GREGORY TEIPEL</v>
      </c>
      <c r="M307" s="15" t="s">
        <v>57</v>
      </c>
      <c r="N307" s="16">
        <v>45907</v>
      </c>
      <c r="O307" s="16">
        <v>46088</v>
      </c>
      <c r="P307" s="24">
        <f>DATEDIF(N307,O307,"M")</f>
        <v>6</v>
      </c>
      <c r="Q307" s="24" t="s">
        <v>157</v>
      </c>
      <c r="R307" s="24" t="s">
        <v>1391</v>
      </c>
      <c r="S307" s="17">
        <v>20.420000000000002</v>
      </c>
      <c r="T307" s="18">
        <v>0.7</v>
      </c>
      <c r="U307" s="15" t="s">
        <v>60</v>
      </c>
      <c r="V307" s="15" t="s">
        <v>135</v>
      </c>
      <c r="W307" s="17">
        <v>14.27</v>
      </c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</row>
    <row r="308" spans="1:55" x14ac:dyDescent="0.25">
      <c r="A308" s="15">
        <v>2030317595</v>
      </c>
      <c r="B308" s="15" t="s">
        <v>1027</v>
      </c>
      <c r="C308" s="15" t="s">
        <v>551</v>
      </c>
      <c r="D308" s="15" t="str">
        <f>CONCATENATE(C308," ",B308)</f>
        <v>ANGELA DOWDLE</v>
      </c>
      <c r="E308" s="15" t="s">
        <v>66</v>
      </c>
      <c r="F308" s="15" t="s">
        <v>383</v>
      </c>
      <c r="G308" s="15" t="s">
        <v>384</v>
      </c>
      <c r="H308" s="15" t="s">
        <v>384</v>
      </c>
      <c r="I308" s="21">
        <v>8307933</v>
      </c>
      <c r="J308" s="15" t="s">
        <v>80</v>
      </c>
      <c r="K308" s="15" t="s">
        <v>81</v>
      </c>
      <c r="L308" s="15" t="str">
        <f>CONCATENATE(K308," ",J308)</f>
        <v>GREGORY TEIPEL</v>
      </c>
      <c r="M308" s="15" t="s">
        <v>57</v>
      </c>
      <c r="N308" s="16">
        <v>45906</v>
      </c>
      <c r="O308" s="16">
        <v>46087</v>
      </c>
      <c r="P308" s="24">
        <f>DATEDIF(N308,O308,"M")</f>
        <v>6</v>
      </c>
      <c r="Q308" s="24" t="s">
        <v>157</v>
      </c>
      <c r="R308" s="24" t="s">
        <v>1391</v>
      </c>
      <c r="S308" s="17">
        <v>115.38</v>
      </c>
      <c r="T308" s="18">
        <v>0.7</v>
      </c>
      <c r="U308" s="15" t="s">
        <v>60</v>
      </c>
      <c r="V308" s="15" t="s">
        <v>135</v>
      </c>
      <c r="W308" s="17">
        <v>80.77</v>
      </c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</row>
    <row r="309" spans="1:55" x14ac:dyDescent="0.25">
      <c r="A309" s="15">
        <v>2030336752</v>
      </c>
      <c r="B309" s="15" t="s">
        <v>1029</v>
      </c>
      <c r="C309" s="15" t="s">
        <v>1030</v>
      </c>
      <c r="D309" s="15" t="str">
        <f>CONCATENATE(C309," ",B309)</f>
        <v>LAUREN SLOSS</v>
      </c>
      <c r="E309" s="15" t="s">
        <v>112</v>
      </c>
      <c r="F309" s="15" t="s">
        <v>383</v>
      </c>
      <c r="G309" s="15" t="s">
        <v>384</v>
      </c>
      <c r="H309" s="15" t="s">
        <v>384</v>
      </c>
      <c r="I309" s="21">
        <v>8307933</v>
      </c>
      <c r="J309" s="15" t="s">
        <v>80</v>
      </c>
      <c r="K309" s="15" t="s">
        <v>81</v>
      </c>
      <c r="L309" s="15" t="str">
        <f>CONCATENATE(K309," ",J309)</f>
        <v>GREGORY TEIPEL</v>
      </c>
      <c r="M309" s="15" t="s">
        <v>57</v>
      </c>
      <c r="N309" s="16">
        <v>45906</v>
      </c>
      <c r="O309" s="16">
        <v>46087</v>
      </c>
      <c r="P309" s="24">
        <f>DATEDIF(N309,O309,"M")</f>
        <v>6</v>
      </c>
      <c r="Q309" s="24" t="s">
        <v>157</v>
      </c>
      <c r="R309" s="24" t="s">
        <v>1391</v>
      </c>
      <c r="S309" s="17">
        <v>31.88</v>
      </c>
      <c r="T309" s="18">
        <v>0.7</v>
      </c>
      <c r="U309" s="15" t="s">
        <v>60</v>
      </c>
      <c r="V309" s="15" t="s">
        <v>135</v>
      </c>
      <c r="W309" s="17">
        <v>22.32</v>
      </c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</row>
    <row r="310" spans="1:55" x14ac:dyDescent="0.25">
      <c r="A310" s="15">
        <v>2030443827</v>
      </c>
      <c r="B310" s="15" t="s">
        <v>1040</v>
      </c>
      <c r="C310" s="15" t="s">
        <v>1041</v>
      </c>
      <c r="D310" s="15" t="str">
        <f>CONCATENATE(C310," ",B310)</f>
        <v>TATYANA MUKHIN</v>
      </c>
      <c r="E310" s="15" t="s">
        <v>87</v>
      </c>
      <c r="F310" s="15" t="s">
        <v>383</v>
      </c>
      <c r="G310" s="15" t="s">
        <v>384</v>
      </c>
      <c r="H310" s="15" t="s">
        <v>384</v>
      </c>
      <c r="I310" s="21">
        <v>8307933</v>
      </c>
      <c r="J310" s="15" t="s">
        <v>80</v>
      </c>
      <c r="K310" s="15" t="s">
        <v>81</v>
      </c>
      <c r="L310" s="15" t="str">
        <f>CONCATENATE(K310," ",J310)</f>
        <v>GREGORY TEIPEL</v>
      </c>
      <c r="M310" s="15" t="s">
        <v>57</v>
      </c>
      <c r="N310" s="16">
        <v>45907</v>
      </c>
      <c r="O310" s="16">
        <v>46088</v>
      </c>
      <c r="P310" s="24">
        <f>DATEDIF(N310,O310,"M")</f>
        <v>6</v>
      </c>
      <c r="Q310" s="24" t="s">
        <v>157</v>
      </c>
      <c r="R310" s="24" t="s">
        <v>1391</v>
      </c>
      <c r="S310" s="17">
        <v>101.25</v>
      </c>
      <c r="T310" s="18">
        <v>0.7</v>
      </c>
      <c r="U310" s="15" t="s">
        <v>60</v>
      </c>
      <c r="V310" s="15" t="s">
        <v>135</v>
      </c>
      <c r="W310" s="17">
        <v>70.88</v>
      </c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</row>
    <row r="311" spans="1:55" x14ac:dyDescent="0.25">
      <c r="A311" s="15">
        <v>2030477514</v>
      </c>
      <c r="B311" s="15" t="s">
        <v>1042</v>
      </c>
      <c r="C311" s="15" t="s">
        <v>1043</v>
      </c>
      <c r="D311" s="15" t="str">
        <f>CONCATENATE(C311," ",B311)</f>
        <v>JASMINE RICHARDS</v>
      </c>
      <c r="E311" s="15" t="s">
        <v>84</v>
      </c>
      <c r="F311" s="15" t="s">
        <v>383</v>
      </c>
      <c r="G311" s="15" t="s">
        <v>384</v>
      </c>
      <c r="H311" s="15" t="s">
        <v>384</v>
      </c>
      <c r="I311" s="21">
        <v>8307933</v>
      </c>
      <c r="J311" s="15" t="s">
        <v>80</v>
      </c>
      <c r="K311" s="15" t="s">
        <v>81</v>
      </c>
      <c r="L311" s="15" t="str">
        <f>CONCATENATE(K311," ",J311)</f>
        <v>GREGORY TEIPEL</v>
      </c>
      <c r="M311" s="15" t="s">
        <v>57</v>
      </c>
      <c r="N311" s="16">
        <v>45906</v>
      </c>
      <c r="O311" s="16">
        <v>46087</v>
      </c>
      <c r="P311" s="24">
        <f>DATEDIF(N311,O311,"M")</f>
        <v>6</v>
      </c>
      <c r="Q311" s="24" t="s">
        <v>157</v>
      </c>
      <c r="R311" s="24" t="s">
        <v>1391</v>
      </c>
      <c r="S311" s="17">
        <v>19</v>
      </c>
      <c r="T311" s="18">
        <v>0.7</v>
      </c>
      <c r="U311" s="15" t="s">
        <v>60</v>
      </c>
      <c r="V311" s="15" t="s">
        <v>135</v>
      </c>
      <c r="W311" s="17">
        <v>13.3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</row>
    <row r="312" spans="1:55" x14ac:dyDescent="0.25">
      <c r="A312" s="15">
        <v>2030479537</v>
      </c>
      <c r="B312" s="15" t="s">
        <v>1277</v>
      </c>
      <c r="C312" s="15" t="s">
        <v>263</v>
      </c>
      <c r="D312" s="15" t="str">
        <f>CONCATENATE(C312," ",B312)</f>
        <v>MARK ANNON</v>
      </c>
      <c r="E312" s="15" t="s">
        <v>90</v>
      </c>
      <c r="F312" s="15" t="s">
        <v>383</v>
      </c>
      <c r="G312" s="15" t="s">
        <v>384</v>
      </c>
      <c r="H312" s="15" t="s">
        <v>384</v>
      </c>
      <c r="I312" s="21">
        <v>8307933</v>
      </c>
      <c r="J312" s="15" t="s">
        <v>80</v>
      </c>
      <c r="K312" s="15" t="s">
        <v>81</v>
      </c>
      <c r="L312" s="15" t="str">
        <f>CONCATENATE(K312," ",J312)</f>
        <v>GREGORY TEIPEL</v>
      </c>
      <c r="M312" s="15" t="s">
        <v>57</v>
      </c>
      <c r="N312" s="16">
        <v>45906</v>
      </c>
      <c r="O312" s="16">
        <v>46087</v>
      </c>
      <c r="P312" s="24">
        <f>DATEDIF(N312,O312,"M")</f>
        <v>6</v>
      </c>
      <c r="Q312" s="24" t="s">
        <v>157</v>
      </c>
      <c r="R312" s="24" t="s">
        <v>1391</v>
      </c>
      <c r="S312" s="17">
        <v>38.31</v>
      </c>
      <c r="T312" s="18">
        <v>0.7</v>
      </c>
      <c r="U312" s="15" t="s">
        <v>60</v>
      </c>
      <c r="V312" s="15" t="s">
        <v>135</v>
      </c>
      <c r="W312" s="17">
        <v>26.82</v>
      </c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</row>
    <row r="313" spans="1:55" x14ac:dyDescent="0.25">
      <c r="A313" s="15">
        <v>2030999705</v>
      </c>
      <c r="B313" s="15" t="s">
        <v>783</v>
      </c>
      <c r="C313" s="15" t="s">
        <v>784</v>
      </c>
      <c r="D313" s="15" t="str">
        <f>CONCATENATE(C313," ",B313)</f>
        <v>RAJIV ZAVERI</v>
      </c>
      <c r="E313" s="15" t="s">
        <v>112</v>
      </c>
      <c r="F313" s="15" t="s">
        <v>363</v>
      </c>
      <c r="G313" s="15" t="s">
        <v>364</v>
      </c>
      <c r="H313" s="15" t="s">
        <v>364</v>
      </c>
      <c r="I313" s="21">
        <v>8307933</v>
      </c>
      <c r="J313" s="15" t="s">
        <v>80</v>
      </c>
      <c r="K313" s="15" t="s">
        <v>81</v>
      </c>
      <c r="L313" s="15" t="str">
        <f>CONCATENATE(K313," ",J313)</f>
        <v>GREGORY TEIPEL</v>
      </c>
      <c r="M313" s="15" t="s">
        <v>57</v>
      </c>
      <c r="N313" s="16">
        <v>45913</v>
      </c>
      <c r="O313" s="16">
        <v>46094</v>
      </c>
      <c r="P313" s="24">
        <f>DATEDIF(N313,O313,"M")</f>
        <v>6</v>
      </c>
      <c r="Q313" s="24" t="s">
        <v>157</v>
      </c>
      <c r="R313" s="24" t="s">
        <v>1391</v>
      </c>
      <c r="S313" s="17">
        <v>46.27</v>
      </c>
      <c r="T313" s="25">
        <v>0.375</v>
      </c>
      <c r="U313" s="15" t="s">
        <v>60</v>
      </c>
      <c r="V313" s="15" t="s">
        <v>135</v>
      </c>
      <c r="W313" s="17">
        <v>17.350000000000001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</row>
    <row r="314" spans="1:55" x14ac:dyDescent="0.25">
      <c r="A314" s="15">
        <v>2030431211</v>
      </c>
      <c r="B314" s="15" t="s">
        <v>770</v>
      </c>
      <c r="C314" s="15" t="s">
        <v>771</v>
      </c>
      <c r="D314" s="15" t="str">
        <f>CONCATENATE(C314," ",B314)</f>
        <v>MIRTA BARTOLOME</v>
      </c>
      <c r="E314" s="15" t="s">
        <v>66</v>
      </c>
      <c r="F314" s="15" t="s">
        <v>363</v>
      </c>
      <c r="G314" s="15" t="s">
        <v>364</v>
      </c>
      <c r="H314" s="15" t="s">
        <v>364</v>
      </c>
      <c r="I314" s="21">
        <v>8307933</v>
      </c>
      <c r="J314" s="15" t="s">
        <v>80</v>
      </c>
      <c r="K314" s="15" t="s">
        <v>81</v>
      </c>
      <c r="L314" s="15" t="str">
        <f>CONCATENATE(K314," ",J314)</f>
        <v>GREGORY TEIPEL</v>
      </c>
      <c r="M314" s="15" t="s">
        <v>57</v>
      </c>
      <c r="N314" s="16">
        <v>45907</v>
      </c>
      <c r="O314" s="16">
        <v>46088</v>
      </c>
      <c r="P314" s="24">
        <f>DATEDIF(N314,O314,"M")</f>
        <v>6</v>
      </c>
      <c r="Q314" s="24" t="s">
        <v>157</v>
      </c>
      <c r="R314" s="24" t="s">
        <v>1391</v>
      </c>
      <c r="S314" s="17">
        <v>63.37</v>
      </c>
      <c r="T314" s="25">
        <v>0.375</v>
      </c>
      <c r="U314" s="15" t="s">
        <v>60</v>
      </c>
      <c r="V314" s="15" t="s">
        <v>135</v>
      </c>
      <c r="W314" s="17">
        <v>23.74</v>
      </c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</row>
    <row r="315" spans="1:55" x14ac:dyDescent="0.25">
      <c r="A315" s="15">
        <v>2030517072</v>
      </c>
      <c r="B315" s="15" t="s">
        <v>776</v>
      </c>
      <c r="C315" s="15" t="s">
        <v>777</v>
      </c>
      <c r="D315" s="15" t="str">
        <f>CONCATENATE(C315," ",B315)</f>
        <v>CORTNEY BLACKWELL</v>
      </c>
      <c r="E315" s="15" t="s">
        <v>112</v>
      </c>
      <c r="F315" s="15" t="s">
        <v>363</v>
      </c>
      <c r="G315" s="15" t="s">
        <v>364</v>
      </c>
      <c r="H315" s="15" t="s">
        <v>364</v>
      </c>
      <c r="I315" s="21">
        <v>8307933</v>
      </c>
      <c r="J315" s="15" t="s">
        <v>80</v>
      </c>
      <c r="K315" s="15" t="s">
        <v>81</v>
      </c>
      <c r="L315" s="15" t="str">
        <f>CONCATENATE(K315," ",J315)</f>
        <v>GREGORY TEIPEL</v>
      </c>
      <c r="M315" s="15" t="s">
        <v>57</v>
      </c>
      <c r="N315" s="16">
        <v>45907</v>
      </c>
      <c r="O315" s="16">
        <v>46088</v>
      </c>
      <c r="P315" s="24">
        <f>DATEDIF(N315,O315,"M")</f>
        <v>6</v>
      </c>
      <c r="Q315" s="24" t="s">
        <v>157</v>
      </c>
      <c r="R315" s="24" t="s">
        <v>1391</v>
      </c>
      <c r="S315" s="17">
        <v>47.83</v>
      </c>
      <c r="T315" s="25">
        <v>0.375</v>
      </c>
      <c r="U315" s="15" t="s">
        <v>60</v>
      </c>
      <c r="V315" s="15" t="s">
        <v>135</v>
      </c>
      <c r="W315" s="17">
        <v>17.940000000000001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</row>
    <row r="316" spans="1:55" x14ac:dyDescent="0.25">
      <c r="A316" s="15">
        <v>2030518951</v>
      </c>
      <c r="B316" s="15" t="s">
        <v>778</v>
      </c>
      <c r="C316" s="15" t="s">
        <v>779</v>
      </c>
      <c r="D316" s="15" t="str">
        <f>CONCATENATE(C316," ",B316)</f>
        <v>ALYSSA MIELKE</v>
      </c>
      <c r="E316" s="15" t="s">
        <v>780</v>
      </c>
      <c r="F316" s="15" t="s">
        <v>363</v>
      </c>
      <c r="G316" s="15" t="s">
        <v>364</v>
      </c>
      <c r="H316" s="15" t="s">
        <v>364</v>
      </c>
      <c r="I316" s="21">
        <v>8307933</v>
      </c>
      <c r="J316" s="15" t="s">
        <v>80</v>
      </c>
      <c r="K316" s="15" t="s">
        <v>81</v>
      </c>
      <c r="L316" s="15" t="str">
        <f>CONCATENATE(K316," ",J316)</f>
        <v>GREGORY TEIPEL</v>
      </c>
      <c r="M316" s="15" t="s">
        <v>57</v>
      </c>
      <c r="N316" s="16">
        <v>45907</v>
      </c>
      <c r="O316" s="16">
        <v>46088</v>
      </c>
      <c r="P316" s="24">
        <f>DATEDIF(N316,O316,"M")</f>
        <v>6</v>
      </c>
      <c r="Q316" s="24" t="s">
        <v>157</v>
      </c>
      <c r="R316" s="24" t="s">
        <v>1391</v>
      </c>
      <c r="S316" s="17">
        <v>48.69</v>
      </c>
      <c r="T316" s="25">
        <v>0.375</v>
      </c>
      <c r="U316" s="15" t="s">
        <v>60</v>
      </c>
      <c r="V316" s="15" t="s">
        <v>135</v>
      </c>
      <c r="W316" s="17">
        <v>18.260000000000002</v>
      </c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</row>
    <row r="317" spans="1:55" x14ac:dyDescent="0.25">
      <c r="A317" s="15">
        <v>2030517073</v>
      </c>
      <c r="B317" s="15" t="s">
        <v>776</v>
      </c>
      <c r="C317" s="15" t="s">
        <v>777</v>
      </c>
      <c r="D317" s="15" t="str">
        <f>CONCATENATE(C317," ",B317)</f>
        <v>CORTNEY BLACKWELL</v>
      </c>
      <c r="E317" s="15" t="s">
        <v>112</v>
      </c>
      <c r="F317" s="15" t="s">
        <v>383</v>
      </c>
      <c r="G317" s="15" t="s">
        <v>385</v>
      </c>
      <c r="H317" s="15" t="s">
        <v>385</v>
      </c>
      <c r="I317" s="21">
        <v>8307933</v>
      </c>
      <c r="J317" s="15" t="s">
        <v>80</v>
      </c>
      <c r="K317" s="15" t="s">
        <v>81</v>
      </c>
      <c r="L317" s="15" t="str">
        <f>CONCATENATE(K317," ",J317)</f>
        <v>GREGORY TEIPEL</v>
      </c>
      <c r="M317" s="15" t="s">
        <v>57</v>
      </c>
      <c r="N317" s="16">
        <v>45907</v>
      </c>
      <c r="O317" s="16">
        <v>46088</v>
      </c>
      <c r="P317" s="24">
        <f>DATEDIF(N317,O317,"M")</f>
        <v>6</v>
      </c>
      <c r="Q317" s="24" t="s">
        <v>157</v>
      </c>
      <c r="R317" s="24" t="s">
        <v>1391</v>
      </c>
      <c r="S317" s="17">
        <v>25</v>
      </c>
      <c r="T317" s="18">
        <v>0.9</v>
      </c>
      <c r="U317" s="15" t="s">
        <v>60</v>
      </c>
      <c r="V317" s="15" t="s">
        <v>135</v>
      </c>
      <c r="W317" s="17">
        <v>22.5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</row>
    <row r="318" spans="1:55" x14ac:dyDescent="0.25">
      <c r="A318" s="15">
        <v>2030189267</v>
      </c>
      <c r="B318" s="15" t="s">
        <v>760</v>
      </c>
      <c r="C318" s="15" t="s">
        <v>761</v>
      </c>
      <c r="D318" s="15" t="str">
        <f>CONCATENATE(C318," ",B318)</f>
        <v>BEAKE JAYSON</v>
      </c>
      <c r="E318" s="15" t="s">
        <v>193</v>
      </c>
      <c r="F318" s="15" t="s">
        <v>383</v>
      </c>
      <c r="G318" s="15" t="s">
        <v>1172</v>
      </c>
      <c r="H318" s="15" t="s">
        <v>1172</v>
      </c>
      <c r="I318" s="21">
        <v>8307933</v>
      </c>
      <c r="J318" s="15" t="s">
        <v>80</v>
      </c>
      <c r="K318" s="15" t="s">
        <v>81</v>
      </c>
      <c r="L318" s="15" t="str">
        <f>CONCATENATE(K318," ",J318)</f>
        <v>GREGORY TEIPEL</v>
      </c>
      <c r="M318" s="15" t="s">
        <v>57</v>
      </c>
      <c r="N318" s="16">
        <v>45876</v>
      </c>
      <c r="O318" s="16">
        <v>46088</v>
      </c>
      <c r="P318" s="24">
        <f>DATEDIF(N318,O318,"M")</f>
        <v>7</v>
      </c>
      <c r="Q318" s="24" t="s">
        <v>157</v>
      </c>
      <c r="R318" s="24" t="s">
        <v>1391</v>
      </c>
      <c r="S318" s="17">
        <v>25.73</v>
      </c>
      <c r="T318" s="18">
        <v>0.7</v>
      </c>
      <c r="U318" s="15" t="s">
        <v>60</v>
      </c>
      <c r="V318" s="15" t="s">
        <v>135</v>
      </c>
      <c r="W318" s="17">
        <v>18.010000000000002</v>
      </c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</row>
    <row r="319" spans="1:55" x14ac:dyDescent="0.25">
      <c r="A319" s="15">
        <v>2029842749</v>
      </c>
      <c r="B319" s="15" t="s">
        <v>1014</v>
      </c>
      <c r="C319" s="15" t="s">
        <v>1015</v>
      </c>
      <c r="D319" s="15" t="str">
        <f>CONCATENATE(C319," ",B319)</f>
        <v>JARVIS TAMECIA</v>
      </c>
      <c r="E319" s="15" t="s">
        <v>84</v>
      </c>
      <c r="F319" s="15" t="s">
        <v>72</v>
      </c>
      <c r="G319" s="15" t="s">
        <v>79</v>
      </c>
      <c r="H319" s="15" t="s">
        <v>1329</v>
      </c>
      <c r="I319" s="21">
        <v>8307933</v>
      </c>
      <c r="J319" s="15" t="s">
        <v>80</v>
      </c>
      <c r="K319" s="15" t="s">
        <v>81</v>
      </c>
      <c r="L319" s="15" t="str">
        <f>CONCATENATE(K319," ",J319)</f>
        <v>GREGORY TEIPEL</v>
      </c>
      <c r="M319" s="15" t="s">
        <v>57</v>
      </c>
      <c r="N319" s="16">
        <v>45876</v>
      </c>
      <c r="O319" s="16">
        <v>46088</v>
      </c>
      <c r="P319" s="24">
        <f>DATEDIF(N319,O319,"M")</f>
        <v>7</v>
      </c>
      <c r="Q319" s="24" t="s">
        <v>157</v>
      </c>
      <c r="R319" s="24" t="s">
        <v>1391</v>
      </c>
      <c r="S319" s="17">
        <v>191.89</v>
      </c>
      <c r="T319" s="18">
        <v>0.75</v>
      </c>
      <c r="U319" s="15" t="s">
        <v>60</v>
      </c>
      <c r="V319" s="15" t="s">
        <v>135</v>
      </c>
      <c r="W319" s="17">
        <v>143.91999999999999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</row>
    <row r="320" spans="1:55" x14ac:dyDescent="0.25">
      <c r="A320" s="15">
        <v>2029919053</v>
      </c>
      <c r="B320" s="15" t="s">
        <v>1016</v>
      </c>
      <c r="C320" s="15" t="s">
        <v>1017</v>
      </c>
      <c r="D320" s="15" t="str">
        <f>CONCATENATE(C320," ",B320)</f>
        <v>WEBER JOANNE</v>
      </c>
      <c r="E320" s="15" t="s">
        <v>886</v>
      </c>
      <c r="F320" s="15" t="s">
        <v>72</v>
      </c>
      <c r="G320" s="15" t="s">
        <v>79</v>
      </c>
      <c r="H320" s="15" t="s">
        <v>1329</v>
      </c>
      <c r="I320" s="21">
        <v>8307933</v>
      </c>
      <c r="J320" s="15" t="s">
        <v>80</v>
      </c>
      <c r="K320" s="15" t="s">
        <v>81</v>
      </c>
      <c r="L320" s="15" t="str">
        <f>CONCATENATE(K320," ",J320)</f>
        <v>GREGORY TEIPEL</v>
      </c>
      <c r="M320" s="15" t="s">
        <v>57</v>
      </c>
      <c r="N320" s="16">
        <v>45876</v>
      </c>
      <c r="O320" s="16">
        <v>46088</v>
      </c>
      <c r="P320" s="24">
        <f>DATEDIF(N320,O320,"M")</f>
        <v>7</v>
      </c>
      <c r="Q320" s="24" t="s">
        <v>157</v>
      </c>
      <c r="R320" s="24" t="s">
        <v>1391</v>
      </c>
      <c r="S320" s="17">
        <v>219.55</v>
      </c>
      <c r="T320" s="18">
        <v>0.75</v>
      </c>
      <c r="U320" s="15" t="s">
        <v>60</v>
      </c>
      <c r="V320" s="15" t="s">
        <v>135</v>
      </c>
      <c r="W320" s="17">
        <v>164.66</v>
      </c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</row>
    <row r="321" spans="1:55" x14ac:dyDescent="0.25">
      <c r="A321" s="15">
        <v>2029959146</v>
      </c>
      <c r="B321" s="15" t="s">
        <v>1018</v>
      </c>
      <c r="C321" s="15" t="s">
        <v>1019</v>
      </c>
      <c r="D321" s="15" t="str">
        <f>CONCATENATE(C321," ",B321)</f>
        <v>PELEGCOHEN ESTER</v>
      </c>
      <c r="E321" s="15" t="s">
        <v>87</v>
      </c>
      <c r="F321" s="15" t="s">
        <v>72</v>
      </c>
      <c r="G321" s="15" t="s">
        <v>79</v>
      </c>
      <c r="H321" s="15" t="s">
        <v>1329</v>
      </c>
      <c r="I321" s="21">
        <v>8307933</v>
      </c>
      <c r="J321" s="15" t="s">
        <v>80</v>
      </c>
      <c r="K321" s="15" t="s">
        <v>81</v>
      </c>
      <c r="L321" s="15" t="str">
        <f>CONCATENATE(K321," ",J321)</f>
        <v>GREGORY TEIPEL</v>
      </c>
      <c r="M321" s="15" t="s">
        <v>57</v>
      </c>
      <c r="N321" s="16">
        <v>45876</v>
      </c>
      <c r="O321" s="16">
        <v>46088</v>
      </c>
      <c r="P321" s="24">
        <f>DATEDIF(N321,O321,"M")</f>
        <v>7</v>
      </c>
      <c r="Q321" s="24" t="s">
        <v>157</v>
      </c>
      <c r="R321" s="24" t="s">
        <v>1391</v>
      </c>
      <c r="S321" s="17">
        <v>187</v>
      </c>
      <c r="T321" s="18">
        <v>0.75</v>
      </c>
      <c r="U321" s="15" t="s">
        <v>60</v>
      </c>
      <c r="V321" s="15" t="s">
        <v>135</v>
      </c>
      <c r="W321" s="17">
        <v>140.25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</row>
    <row r="322" spans="1:55" x14ac:dyDescent="0.25">
      <c r="A322" s="15">
        <v>2030013622</v>
      </c>
      <c r="B322" s="15" t="s">
        <v>847</v>
      </c>
      <c r="C322" s="15" t="s">
        <v>1021</v>
      </c>
      <c r="D322" s="15" t="str">
        <f>CONCATENATE(C322," ",B322)</f>
        <v>HATELY NOAH</v>
      </c>
      <c r="E322" s="15" t="s">
        <v>87</v>
      </c>
      <c r="F322" s="15" t="s">
        <v>72</v>
      </c>
      <c r="G322" s="15" t="s">
        <v>79</v>
      </c>
      <c r="H322" s="15" t="s">
        <v>1329</v>
      </c>
      <c r="I322" s="21">
        <v>8307933</v>
      </c>
      <c r="J322" s="15" t="s">
        <v>80</v>
      </c>
      <c r="K322" s="15" t="s">
        <v>81</v>
      </c>
      <c r="L322" s="15" t="str">
        <f>CONCATENATE(K322," ",J322)</f>
        <v>GREGORY TEIPEL</v>
      </c>
      <c r="M322" s="15" t="s">
        <v>57</v>
      </c>
      <c r="N322" s="16">
        <v>45876</v>
      </c>
      <c r="O322" s="16">
        <v>46088</v>
      </c>
      <c r="P322" s="24">
        <f>DATEDIF(N322,O322,"M")</f>
        <v>7</v>
      </c>
      <c r="Q322" s="24" t="s">
        <v>157</v>
      </c>
      <c r="R322" s="24" t="s">
        <v>1391</v>
      </c>
      <c r="S322" s="17">
        <v>59.5</v>
      </c>
      <c r="T322" s="18">
        <v>0.75</v>
      </c>
      <c r="U322" s="15" t="s">
        <v>60</v>
      </c>
      <c r="V322" s="15" t="s">
        <v>135</v>
      </c>
      <c r="W322" s="17">
        <v>44.62</v>
      </c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</row>
    <row r="323" spans="1:55" x14ac:dyDescent="0.25">
      <c r="A323" s="15">
        <v>2030047485</v>
      </c>
      <c r="B323" s="15" t="s">
        <v>115</v>
      </c>
      <c r="C323" s="15" t="s">
        <v>1022</v>
      </c>
      <c r="D323" s="15" t="str">
        <f>CONCATENATE(C323," ",B323)</f>
        <v>DOUGLAS WENDY</v>
      </c>
      <c r="E323" s="15" t="s">
        <v>87</v>
      </c>
      <c r="F323" s="15" t="s">
        <v>72</v>
      </c>
      <c r="G323" s="15" t="s">
        <v>79</v>
      </c>
      <c r="H323" s="15" t="s">
        <v>1329</v>
      </c>
      <c r="I323" s="21">
        <v>8307933</v>
      </c>
      <c r="J323" s="15" t="s">
        <v>80</v>
      </c>
      <c r="K323" s="15" t="s">
        <v>81</v>
      </c>
      <c r="L323" s="15" t="str">
        <f>CONCATENATE(K323," ",J323)</f>
        <v>GREGORY TEIPEL</v>
      </c>
      <c r="M323" s="15" t="s">
        <v>57</v>
      </c>
      <c r="N323" s="16">
        <v>45876</v>
      </c>
      <c r="O323" s="16">
        <v>46088</v>
      </c>
      <c r="P323" s="24">
        <f>DATEDIF(N323,O323,"M")</f>
        <v>7</v>
      </c>
      <c r="Q323" s="24" t="s">
        <v>157</v>
      </c>
      <c r="R323" s="24" t="s">
        <v>1391</v>
      </c>
      <c r="S323" s="17">
        <v>152.19999999999999</v>
      </c>
      <c r="T323" s="18">
        <v>0.75</v>
      </c>
      <c r="U323" s="15" t="s">
        <v>60</v>
      </c>
      <c r="V323" s="15" t="s">
        <v>135</v>
      </c>
      <c r="W323" s="17">
        <v>114.15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</row>
    <row r="324" spans="1:55" x14ac:dyDescent="0.25">
      <c r="A324" s="15">
        <v>2030090690</v>
      </c>
      <c r="B324" s="15" t="s">
        <v>741</v>
      </c>
      <c r="C324" s="15" t="s">
        <v>1023</v>
      </c>
      <c r="D324" s="15" t="str">
        <f>CONCATENATE(C324," ",B324)</f>
        <v>SHIPLEY GARY</v>
      </c>
      <c r="E324" s="15" t="s">
        <v>96</v>
      </c>
      <c r="F324" s="15" t="s">
        <v>72</v>
      </c>
      <c r="G324" s="15" t="s">
        <v>79</v>
      </c>
      <c r="H324" s="15" t="s">
        <v>1329</v>
      </c>
      <c r="I324" s="21">
        <v>8307933</v>
      </c>
      <c r="J324" s="15" t="s">
        <v>80</v>
      </c>
      <c r="K324" s="15" t="s">
        <v>81</v>
      </c>
      <c r="L324" s="15" t="str">
        <f>CONCATENATE(K324," ",J324)</f>
        <v>GREGORY TEIPEL</v>
      </c>
      <c r="M324" s="15" t="s">
        <v>57</v>
      </c>
      <c r="N324" s="16">
        <v>45876</v>
      </c>
      <c r="O324" s="16">
        <v>46088</v>
      </c>
      <c r="P324" s="24">
        <f>DATEDIF(N324,O324,"M")</f>
        <v>7</v>
      </c>
      <c r="Q324" s="24" t="s">
        <v>157</v>
      </c>
      <c r="R324" s="24" t="s">
        <v>1391</v>
      </c>
      <c r="S324" s="17">
        <v>52.6</v>
      </c>
      <c r="T324" s="18">
        <v>0.75</v>
      </c>
      <c r="U324" s="15" t="s">
        <v>60</v>
      </c>
      <c r="V324" s="15" t="s">
        <v>135</v>
      </c>
      <c r="W324" s="17">
        <v>39.450000000000003</v>
      </c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</row>
    <row r="325" spans="1:55" x14ac:dyDescent="0.25">
      <c r="A325" s="15">
        <v>2030192141</v>
      </c>
      <c r="B325" s="15" t="s">
        <v>1024</v>
      </c>
      <c r="C325" s="15" t="s">
        <v>1025</v>
      </c>
      <c r="D325" s="15" t="str">
        <f>CONCATENATE(C325," ",B325)</f>
        <v>FLEMING-SIEBENALER BECKY</v>
      </c>
      <c r="E325" s="15" t="s">
        <v>84</v>
      </c>
      <c r="F325" s="15" t="s">
        <v>72</v>
      </c>
      <c r="G325" s="15" t="s">
        <v>73</v>
      </c>
      <c r="H325" s="15" t="s">
        <v>1329</v>
      </c>
      <c r="I325" s="21">
        <v>8307933</v>
      </c>
      <c r="J325" s="15" t="s">
        <v>80</v>
      </c>
      <c r="K325" s="15" t="s">
        <v>81</v>
      </c>
      <c r="L325" s="15" t="str">
        <f>CONCATENATE(K325," ",J325)</f>
        <v>GREGORY TEIPEL</v>
      </c>
      <c r="M325" s="15" t="s">
        <v>57</v>
      </c>
      <c r="N325" s="16">
        <v>45876</v>
      </c>
      <c r="O325" s="16">
        <v>46088</v>
      </c>
      <c r="P325" s="24">
        <f>DATEDIF(N325,O325,"M")</f>
        <v>7</v>
      </c>
      <c r="Q325" s="24" t="s">
        <v>157</v>
      </c>
      <c r="R325" s="24" t="s">
        <v>1391</v>
      </c>
      <c r="S325" s="17">
        <v>76.45</v>
      </c>
      <c r="T325" s="18">
        <v>0.75</v>
      </c>
      <c r="U325" s="15" t="s">
        <v>60</v>
      </c>
      <c r="V325" s="15" t="s">
        <v>135</v>
      </c>
      <c r="W325" s="17">
        <v>57.34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</row>
    <row r="326" spans="1:55" x14ac:dyDescent="0.25">
      <c r="A326" s="15">
        <v>2030189268</v>
      </c>
      <c r="B326" s="15" t="s">
        <v>760</v>
      </c>
      <c r="C326" s="15" t="s">
        <v>761</v>
      </c>
      <c r="D326" s="15" t="str">
        <f>CONCATENATE(C326," ",B326)</f>
        <v>BEAKE JAYSON</v>
      </c>
      <c r="E326" s="15" t="s">
        <v>193</v>
      </c>
      <c r="F326" s="15" t="s">
        <v>72</v>
      </c>
      <c r="G326" s="15" t="s">
        <v>455</v>
      </c>
      <c r="H326" s="15" t="s">
        <v>1330</v>
      </c>
      <c r="I326" s="21">
        <v>8307933</v>
      </c>
      <c r="J326" s="15" t="s">
        <v>80</v>
      </c>
      <c r="K326" s="15" t="s">
        <v>81</v>
      </c>
      <c r="L326" s="15" t="str">
        <f>CONCATENATE(K326," ",J326)</f>
        <v>GREGORY TEIPEL</v>
      </c>
      <c r="M326" s="15" t="s">
        <v>57</v>
      </c>
      <c r="N326" s="16">
        <v>45876</v>
      </c>
      <c r="O326" s="16">
        <v>46088</v>
      </c>
      <c r="P326" s="24">
        <f>DATEDIF(N326,O326,"M")</f>
        <v>7</v>
      </c>
      <c r="Q326" s="24" t="s">
        <v>157</v>
      </c>
      <c r="R326" s="24" t="s">
        <v>1391</v>
      </c>
      <c r="S326" s="17">
        <v>24.4</v>
      </c>
      <c r="T326" s="18">
        <v>0.65</v>
      </c>
      <c r="U326" s="15" t="s">
        <v>60</v>
      </c>
      <c r="V326" s="15" t="s">
        <v>135</v>
      </c>
      <c r="W326" s="17">
        <v>15.86</v>
      </c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</row>
    <row r="327" spans="1:55" x14ac:dyDescent="0.25">
      <c r="A327" s="15">
        <v>2029963806</v>
      </c>
      <c r="B327" s="15" t="s">
        <v>302</v>
      </c>
      <c r="C327" s="15" t="s">
        <v>1020</v>
      </c>
      <c r="D327" s="15" t="str">
        <f>CONCATENATE(C327," ",B327)</f>
        <v>SHAW ERIC</v>
      </c>
      <c r="E327" s="15" t="s">
        <v>780</v>
      </c>
      <c r="F327" s="15" t="s">
        <v>72</v>
      </c>
      <c r="G327" s="15" t="s">
        <v>93</v>
      </c>
      <c r="H327" s="15" t="s">
        <v>1332</v>
      </c>
      <c r="I327" s="21">
        <v>8307933</v>
      </c>
      <c r="J327" s="15" t="s">
        <v>80</v>
      </c>
      <c r="K327" s="15" t="s">
        <v>81</v>
      </c>
      <c r="L327" s="15" t="str">
        <f>CONCATENATE(K327," ",J327)</f>
        <v>GREGORY TEIPEL</v>
      </c>
      <c r="M327" s="15" t="s">
        <v>57</v>
      </c>
      <c r="N327" s="16">
        <v>45876</v>
      </c>
      <c r="O327" s="16">
        <v>46088</v>
      </c>
      <c r="P327" s="24">
        <f>DATEDIF(N327,O327,"M")</f>
        <v>7</v>
      </c>
      <c r="Q327" s="24" t="s">
        <v>157</v>
      </c>
      <c r="R327" s="24" t="s">
        <v>1391</v>
      </c>
      <c r="S327" s="17">
        <v>92.65</v>
      </c>
      <c r="T327" s="18">
        <v>0.9</v>
      </c>
      <c r="U327" s="15" t="s">
        <v>60</v>
      </c>
      <c r="V327" s="15" t="s">
        <v>135</v>
      </c>
      <c r="W327" s="17">
        <v>83.38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</row>
    <row r="328" spans="1:55" x14ac:dyDescent="0.25">
      <c r="A328" s="15">
        <v>2030366107</v>
      </c>
      <c r="B328" s="15" t="s">
        <v>798</v>
      </c>
      <c r="C328" s="15" t="s">
        <v>1034</v>
      </c>
      <c r="D328" s="15" t="str">
        <f>CONCATENATE(C328," ",B328)</f>
        <v>LOVETT DIXON</v>
      </c>
      <c r="E328" s="15" t="s">
        <v>90</v>
      </c>
      <c r="F328" s="15" t="s">
        <v>72</v>
      </c>
      <c r="G328" s="15" t="s">
        <v>93</v>
      </c>
      <c r="H328" s="15" t="s">
        <v>1332</v>
      </c>
      <c r="I328" s="21">
        <v>8307933</v>
      </c>
      <c r="J328" s="15" t="s">
        <v>80</v>
      </c>
      <c r="K328" s="15" t="s">
        <v>81</v>
      </c>
      <c r="L328" s="15" t="str">
        <f>CONCATENATE(K328," ",J328)</f>
        <v>GREGORY TEIPEL</v>
      </c>
      <c r="M328" s="15" t="s">
        <v>57</v>
      </c>
      <c r="N328" s="16">
        <v>45878</v>
      </c>
      <c r="O328" s="16">
        <v>46090</v>
      </c>
      <c r="P328" s="24">
        <f>DATEDIF(N328,O328,"M")</f>
        <v>7</v>
      </c>
      <c r="Q328" s="24" t="s">
        <v>157</v>
      </c>
      <c r="R328" s="24" t="s">
        <v>1391</v>
      </c>
      <c r="S328" s="17">
        <v>59.42</v>
      </c>
      <c r="T328" s="18">
        <v>0.9</v>
      </c>
      <c r="U328" s="15" t="s">
        <v>60</v>
      </c>
      <c r="V328" s="15" t="s">
        <v>135</v>
      </c>
      <c r="W328" s="17">
        <v>53.48</v>
      </c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</row>
    <row r="329" spans="1:55" x14ac:dyDescent="0.25">
      <c r="A329" s="15">
        <v>2029842748</v>
      </c>
      <c r="B329" s="15" t="s">
        <v>1014</v>
      </c>
      <c r="C329" s="15" t="s">
        <v>1015</v>
      </c>
      <c r="D329" s="15" t="str">
        <f>CONCATENATE(C329," ",B329)</f>
        <v>JARVIS TAMECIA</v>
      </c>
      <c r="E329" s="15" t="s">
        <v>84</v>
      </c>
      <c r="F329" s="15" t="s">
        <v>383</v>
      </c>
      <c r="G329" s="15" t="s">
        <v>384</v>
      </c>
      <c r="H329" s="15" t="s">
        <v>384</v>
      </c>
      <c r="I329" s="21">
        <v>8307933</v>
      </c>
      <c r="J329" s="15" t="s">
        <v>80</v>
      </c>
      <c r="K329" s="15" t="s">
        <v>81</v>
      </c>
      <c r="L329" s="15" t="str">
        <f>CONCATENATE(K329," ",J329)</f>
        <v>GREGORY TEIPEL</v>
      </c>
      <c r="M329" s="15" t="s">
        <v>57</v>
      </c>
      <c r="N329" s="16">
        <v>45876</v>
      </c>
      <c r="O329" s="16">
        <v>46088</v>
      </c>
      <c r="P329" s="24">
        <f>DATEDIF(N329,O329,"M")</f>
        <v>7</v>
      </c>
      <c r="Q329" s="24" t="s">
        <v>157</v>
      </c>
      <c r="R329" s="24" t="s">
        <v>1391</v>
      </c>
      <c r="S329" s="17">
        <v>51</v>
      </c>
      <c r="T329" s="18">
        <v>0.7</v>
      </c>
      <c r="U329" s="15" t="s">
        <v>60</v>
      </c>
      <c r="V329" s="15" t="s">
        <v>135</v>
      </c>
      <c r="W329" s="17">
        <v>35.700000000000003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</row>
    <row r="330" spans="1:55" x14ac:dyDescent="0.25">
      <c r="A330" s="15">
        <v>2029919052</v>
      </c>
      <c r="B330" s="15" t="s">
        <v>1016</v>
      </c>
      <c r="C330" s="15" t="s">
        <v>1017</v>
      </c>
      <c r="D330" s="15" t="str">
        <f>CONCATENATE(C330," ",B330)</f>
        <v>WEBER JOANNE</v>
      </c>
      <c r="E330" s="15" t="s">
        <v>886</v>
      </c>
      <c r="F330" s="15" t="s">
        <v>383</v>
      </c>
      <c r="G330" s="15" t="s">
        <v>384</v>
      </c>
      <c r="H330" s="15" t="s">
        <v>384</v>
      </c>
      <c r="I330" s="21">
        <v>8307933</v>
      </c>
      <c r="J330" s="15" t="s">
        <v>80</v>
      </c>
      <c r="K330" s="15" t="s">
        <v>81</v>
      </c>
      <c r="L330" s="15" t="str">
        <f>CONCATENATE(K330," ",J330)</f>
        <v>GREGORY TEIPEL</v>
      </c>
      <c r="M330" s="15" t="s">
        <v>57</v>
      </c>
      <c r="N330" s="16">
        <v>45876</v>
      </c>
      <c r="O330" s="16">
        <v>46088</v>
      </c>
      <c r="P330" s="24">
        <f>DATEDIF(N330,O330,"M")</f>
        <v>7</v>
      </c>
      <c r="Q330" s="24" t="s">
        <v>157</v>
      </c>
      <c r="R330" s="24" t="s">
        <v>1391</v>
      </c>
      <c r="S330" s="17">
        <v>69.37</v>
      </c>
      <c r="T330" s="18">
        <v>0.7</v>
      </c>
      <c r="U330" s="15" t="s">
        <v>60</v>
      </c>
      <c r="V330" s="15" t="s">
        <v>135</v>
      </c>
      <c r="W330" s="17">
        <v>48.56</v>
      </c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</row>
    <row r="331" spans="1:55" x14ac:dyDescent="0.25">
      <c r="A331" s="15">
        <v>2029959147</v>
      </c>
      <c r="B331" s="15" t="s">
        <v>1018</v>
      </c>
      <c r="C331" s="15" t="s">
        <v>1019</v>
      </c>
      <c r="D331" s="15" t="str">
        <f>CONCATENATE(C331," ",B331)</f>
        <v>PELEGCOHEN ESTER</v>
      </c>
      <c r="E331" s="15" t="s">
        <v>87</v>
      </c>
      <c r="F331" s="15" t="s">
        <v>383</v>
      </c>
      <c r="G331" s="15" t="s">
        <v>384</v>
      </c>
      <c r="H331" s="15" t="s">
        <v>384</v>
      </c>
      <c r="I331" s="21">
        <v>8307933</v>
      </c>
      <c r="J331" s="15" t="s">
        <v>80</v>
      </c>
      <c r="K331" s="15" t="s">
        <v>81</v>
      </c>
      <c r="L331" s="15" t="str">
        <f>CONCATENATE(K331," ",J331)</f>
        <v>GREGORY TEIPEL</v>
      </c>
      <c r="M331" s="15" t="s">
        <v>57</v>
      </c>
      <c r="N331" s="16">
        <v>45876</v>
      </c>
      <c r="O331" s="16">
        <v>46088</v>
      </c>
      <c r="P331" s="24">
        <f>DATEDIF(N331,O331,"M")</f>
        <v>7</v>
      </c>
      <c r="Q331" s="24" t="s">
        <v>157</v>
      </c>
      <c r="R331" s="24" t="s">
        <v>1391</v>
      </c>
      <c r="S331" s="17">
        <v>122.32</v>
      </c>
      <c r="T331" s="18">
        <v>0.7</v>
      </c>
      <c r="U331" s="15" t="s">
        <v>60</v>
      </c>
      <c r="V331" s="15" t="s">
        <v>135</v>
      </c>
      <c r="W331" s="17">
        <v>85.62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</row>
    <row r="332" spans="1:55" x14ac:dyDescent="0.25">
      <c r="A332" s="15">
        <v>2030013620</v>
      </c>
      <c r="B332" s="15" t="s">
        <v>847</v>
      </c>
      <c r="C332" s="15" t="s">
        <v>1021</v>
      </c>
      <c r="D332" s="15" t="str">
        <f>CONCATENATE(C332," ",B332)</f>
        <v>HATELY NOAH</v>
      </c>
      <c r="E332" s="15" t="s">
        <v>87</v>
      </c>
      <c r="F332" s="15" t="s">
        <v>383</v>
      </c>
      <c r="G332" s="15" t="s">
        <v>384</v>
      </c>
      <c r="H332" s="15" t="s">
        <v>384</v>
      </c>
      <c r="I332" s="21">
        <v>8307933</v>
      </c>
      <c r="J332" s="15" t="s">
        <v>80</v>
      </c>
      <c r="K332" s="15" t="s">
        <v>81</v>
      </c>
      <c r="L332" s="15" t="str">
        <f>CONCATENATE(K332," ",J332)</f>
        <v>GREGORY TEIPEL</v>
      </c>
      <c r="M332" s="15" t="s">
        <v>57</v>
      </c>
      <c r="N332" s="16">
        <v>45876</v>
      </c>
      <c r="O332" s="16">
        <v>46088</v>
      </c>
      <c r="P332" s="24">
        <f>DATEDIF(N332,O332,"M")</f>
        <v>7</v>
      </c>
      <c r="Q332" s="24" t="s">
        <v>157</v>
      </c>
      <c r="R332" s="24" t="s">
        <v>1391</v>
      </c>
      <c r="S332" s="17">
        <v>64.63</v>
      </c>
      <c r="T332" s="18">
        <v>0.7</v>
      </c>
      <c r="U332" s="15" t="s">
        <v>60</v>
      </c>
      <c r="V332" s="15" t="s">
        <v>135</v>
      </c>
      <c r="W332" s="17">
        <v>45.24</v>
      </c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</row>
    <row r="333" spans="1:55" x14ac:dyDescent="0.25">
      <c r="A333" s="15">
        <v>2030047486</v>
      </c>
      <c r="B333" s="15" t="s">
        <v>115</v>
      </c>
      <c r="C333" s="15" t="s">
        <v>1022</v>
      </c>
      <c r="D333" s="15" t="str">
        <f>CONCATENATE(C333," ",B333)</f>
        <v>DOUGLAS WENDY</v>
      </c>
      <c r="E333" s="15" t="s">
        <v>87</v>
      </c>
      <c r="F333" s="15" t="s">
        <v>383</v>
      </c>
      <c r="G333" s="15" t="s">
        <v>384</v>
      </c>
      <c r="H333" s="15" t="s">
        <v>384</v>
      </c>
      <c r="I333" s="21">
        <v>8307933</v>
      </c>
      <c r="J333" s="15" t="s">
        <v>80</v>
      </c>
      <c r="K333" s="15" t="s">
        <v>81</v>
      </c>
      <c r="L333" s="15" t="str">
        <f>CONCATENATE(K333," ",J333)</f>
        <v>GREGORY TEIPEL</v>
      </c>
      <c r="M333" s="15" t="s">
        <v>57</v>
      </c>
      <c r="N333" s="16">
        <v>45876</v>
      </c>
      <c r="O333" s="16">
        <v>46088</v>
      </c>
      <c r="P333" s="24">
        <f>DATEDIF(N333,O333,"M")</f>
        <v>7</v>
      </c>
      <c r="Q333" s="24" t="s">
        <v>157</v>
      </c>
      <c r="R333" s="24" t="s">
        <v>1391</v>
      </c>
      <c r="S333" s="17">
        <v>94.38</v>
      </c>
      <c r="T333" s="18">
        <v>0.7</v>
      </c>
      <c r="U333" s="15" t="s">
        <v>60</v>
      </c>
      <c r="V333" s="15" t="s">
        <v>135</v>
      </c>
      <c r="W333" s="17">
        <v>66.069999999999993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</row>
    <row r="334" spans="1:55" x14ac:dyDescent="0.25">
      <c r="A334" s="15">
        <v>2030192140</v>
      </c>
      <c r="B334" s="15" t="s">
        <v>1024</v>
      </c>
      <c r="C334" s="15" t="s">
        <v>1025</v>
      </c>
      <c r="D334" s="15" t="str">
        <f>CONCATENATE(C334," ",B334)</f>
        <v>FLEMING-SIEBENALER BECKY</v>
      </c>
      <c r="E334" s="15" t="s">
        <v>84</v>
      </c>
      <c r="F334" s="15" t="s">
        <v>383</v>
      </c>
      <c r="G334" s="15" t="s">
        <v>384</v>
      </c>
      <c r="H334" s="15" t="s">
        <v>384</v>
      </c>
      <c r="I334" s="21">
        <v>8307933</v>
      </c>
      <c r="J334" s="15" t="s">
        <v>80</v>
      </c>
      <c r="K334" s="15" t="s">
        <v>81</v>
      </c>
      <c r="L334" s="15" t="str">
        <f>CONCATENATE(K334," ",J334)</f>
        <v>GREGORY TEIPEL</v>
      </c>
      <c r="M334" s="15" t="s">
        <v>57</v>
      </c>
      <c r="N334" s="16">
        <v>45876</v>
      </c>
      <c r="O334" s="16">
        <v>46088</v>
      </c>
      <c r="P334" s="24">
        <f>DATEDIF(N334,O334,"M")</f>
        <v>7</v>
      </c>
      <c r="Q334" s="24" t="s">
        <v>157</v>
      </c>
      <c r="R334" s="24" t="s">
        <v>1391</v>
      </c>
      <c r="S334" s="17">
        <v>34</v>
      </c>
      <c r="T334" s="18">
        <v>0.7</v>
      </c>
      <c r="U334" s="15" t="s">
        <v>60</v>
      </c>
      <c r="V334" s="15" t="s">
        <v>135</v>
      </c>
      <c r="W334" s="17">
        <v>23.8</v>
      </c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</row>
    <row r="335" spans="1:55" x14ac:dyDescent="0.25">
      <c r="A335" s="15">
        <v>2030193265</v>
      </c>
      <c r="B335" s="15" t="s">
        <v>1269</v>
      </c>
      <c r="C335" s="15" t="s">
        <v>854</v>
      </c>
      <c r="D335" s="15" t="str">
        <f>CONCATENATE(C335," ",B335)</f>
        <v>WASHINGTON MARIE</v>
      </c>
      <c r="E335" s="15" t="s">
        <v>66</v>
      </c>
      <c r="F335" s="15" t="s">
        <v>383</v>
      </c>
      <c r="G335" s="15" t="s">
        <v>384</v>
      </c>
      <c r="H335" s="15" t="s">
        <v>384</v>
      </c>
      <c r="I335" s="21">
        <v>8307933</v>
      </c>
      <c r="J335" s="15" t="s">
        <v>80</v>
      </c>
      <c r="K335" s="15" t="s">
        <v>81</v>
      </c>
      <c r="L335" s="15" t="str">
        <f>CONCATENATE(K335," ",J335)</f>
        <v>GREGORY TEIPEL</v>
      </c>
      <c r="M335" s="15" t="s">
        <v>57</v>
      </c>
      <c r="N335" s="16">
        <v>45875</v>
      </c>
      <c r="O335" s="16">
        <v>46087</v>
      </c>
      <c r="P335" s="24">
        <f>DATEDIF(N335,O335,"M")</f>
        <v>7</v>
      </c>
      <c r="Q335" s="24" t="s">
        <v>157</v>
      </c>
      <c r="R335" s="24" t="s">
        <v>1391</v>
      </c>
      <c r="S335" s="17">
        <v>117.94</v>
      </c>
      <c r="T335" s="18">
        <v>0.7</v>
      </c>
      <c r="U335" s="15" t="s">
        <v>60</v>
      </c>
      <c r="V335" s="15" t="s">
        <v>135</v>
      </c>
      <c r="W335" s="17">
        <v>82.56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</row>
    <row r="336" spans="1:55" x14ac:dyDescent="0.25">
      <c r="A336" s="15">
        <v>2030366106</v>
      </c>
      <c r="B336" s="15" t="s">
        <v>798</v>
      </c>
      <c r="C336" s="15" t="s">
        <v>1034</v>
      </c>
      <c r="D336" s="15" t="str">
        <f>CONCATENATE(C336," ",B336)</f>
        <v>LOVETT DIXON</v>
      </c>
      <c r="E336" s="15" t="s">
        <v>90</v>
      </c>
      <c r="F336" s="15" t="s">
        <v>383</v>
      </c>
      <c r="G336" s="15" t="s">
        <v>384</v>
      </c>
      <c r="H336" s="15" t="s">
        <v>384</v>
      </c>
      <c r="I336" s="21">
        <v>8307933</v>
      </c>
      <c r="J336" s="15" t="s">
        <v>80</v>
      </c>
      <c r="K336" s="15" t="s">
        <v>81</v>
      </c>
      <c r="L336" s="15" t="str">
        <f>CONCATENATE(K336," ",J336)</f>
        <v>GREGORY TEIPEL</v>
      </c>
      <c r="M336" s="15" t="s">
        <v>57</v>
      </c>
      <c r="N336" s="16">
        <v>45878</v>
      </c>
      <c r="O336" s="16">
        <v>46090</v>
      </c>
      <c r="P336" s="24">
        <f>DATEDIF(N336,O336,"M")</f>
        <v>7</v>
      </c>
      <c r="Q336" s="24" t="s">
        <v>157</v>
      </c>
      <c r="R336" s="24" t="s">
        <v>1391</v>
      </c>
      <c r="S336" s="17">
        <v>28.38</v>
      </c>
      <c r="T336" s="18">
        <v>0.7</v>
      </c>
      <c r="U336" s="15" t="s">
        <v>60</v>
      </c>
      <c r="V336" s="15" t="s">
        <v>135</v>
      </c>
      <c r="W336" s="17">
        <v>19.87</v>
      </c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</row>
    <row r="337" spans="1:55" x14ac:dyDescent="0.25">
      <c r="A337" s="15">
        <v>2030189269</v>
      </c>
      <c r="B337" s="15" t="s">
        <v>760</v>
      </c>
      <c r="C337" s="15" t="s">
        <v>761</v>
      </c>
      <c r="D337" s="15" t="str">
        <f>CONCATENATE(C337," ",B337)</f>
        <v>BEAKE JAYSON</v>
      </c>
      <c r="E337" s="15" t="s">
        <v>193</v>
      </c>
      <c r="F337" s="15" t="s">
        <v>363</v>
      </c>
      <c r="G337" s="15" t="s">
        <v>364</v>
      </c>
      <c r="H337" s="15" t="s">
        <v>364</v>
      </c>
      <c r="I337" s="21">
        <v>8307933</v>
      </c>
      <c r="J337" s="15" t="s">
        <v>80</v>
      </c>
      <c r="K337" s="15" t="s">
        <v>81</v>
      </c>
      <c r="L337" s="15" t="str">
        <f>CONCATENATE(K337," ",J337)</f>
        <v>GREGORY TEIPEL</v>
      </c>
      <c r="M337" s="15" t="s">
        <v>57</v>
      </c>
      <c r="N337" s="16">
        <v>45876</v>
      </c>
      <c r="O337" s="16">
        <v>46088</v>
      </c>
      <c r="P337" s="24">
        <f>DATEDIF(N337,O337,"M")</f>
        <v>7</v>
      </c>
      <c r="Q337" s="24" t="s">
        <v>157</v>
      </c>
      <c r="R337" s="24" t="s">
        <v>1391</v>
      </c>
      <c r="S337" s="17">
        <v>47.06</v>
      </c>
      <c r="T337" s="25">
        <v>0.375</v>
      </c>
      <c r="U337" s="15" t="s">
        <v>60</v>
      </c>
      <c r="V337" s="15" t="s">
        <v>135</v>
      </c>
      <c r="W337" s="17">
        <v>17.649999999999999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</row>
    <row r="338" spans="1:55" x14ac:dyDescent="0.25">
      <c r="A338" s="15">
        <v>2030013621</v>
      </c>
      <c r="B338" s="15" t="s">
        <v>847</v>
      </c>
      <c r="C338" s="15" t="s">
        <v>1021</v>
      </c>
      <c r="D338" s="15" t="str">
        <f>CONCATENATE(C338," ",B338)</f>
        <v>HATELY NOAH</v>
      </c>
      <c r="E338" s="15" t="s">
        <v>87</v>
      </c>
      <c r="F338" s="15" t="s">
        <v>383</v>
      </c>
      <c r="G338" s="15" t="s">
        <v>385</v>
      </c>
      <c r="H338" s="15" t="s">
        <v>385</v>
      </c>
      <c r="I338" s="21">
        <v>8307933</v>
      </c>
      <c r="J338" s="15" t="s">
        <v>80</v>
      </c>
      <c r="K338" s="15" t="s">
        <v>81</v>
      </c>
      <c r="L338" s="15" t="str">
        <f>CONCATENATE(K338," ",J338)</f>
        <v>GREGORY TEIPEL</v>
      </c>
      <c r="M338" s="15" t="s">
        <v>57</v>
      </c>
      <c r="N338" s="16">
        <v>45876</v>
      </c>
      <c r="O338" s="16">
        <v>46088</v>
      </c>
      <c r="P338" s="24">
        <f>DATEDIF(N338,O338,"M")</f>
        <v>7</v>
      </c>
      <c r="Q338" s="24" t="s">
        <v>157</v>
      </c>
      <c r="R338" s="24" t="s">
        <v>1391</v>
      </c>
      <c r="S338" s="17">
        <v>47.08</v>
      </c>
      <c r="T338" s="18">
        <v>0.9</v>
      </c>
      <c r="U338" s="15" t="s">
        <v>60</v>
      </c>
      <c r="V338" s="15" t="s">
        <v>135</v>
      </c>
      <c r="W338" s="17">
        <v>42.37</v>
      </c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</row>
    <row r="339" spans="1:55" x14ac:dyDescent="0.25">
      <c r="A339" s="15">
        <v>2030090691</v>
      </c>
      <c r="B339" s="15" t="s">
        <v>741</v>
      </c>
      <c r="C339" s="15" t="s">
        <v>1023</v>
      </c>
      <c r="D339" s="15" t="str">
        <f>CONCATENATE(C339," ",B339)</f>
        <v>SHIPLEY GARY</v>
      </c>
      <c r="E339" s="15" t="s">
        <v>96</v>
      </c>
      <c r="F339" s="15" t="s">
        <v>383</v>
      </c>
      <c r="G339" s="15" t="s">
        <v>385</v>
      </c>
      <c r="H339" s="15" t="s">
        <v>385</v>
      </c>
      <c r="I339" s="21">
        <v>8307933</v>
      </c>
      <c r="J339" s="15" t="s">
        <v>80</v>
      </c>
      <c r="K339" s="15" t="s">
        <v>81</v>
      </c>
      <c r="L339" s="15" t="str">
        <f>CONCATENATE(K339," ",J339)</f>
        <v>GREGORY TEIPEL</v>
      </c>
      <c r="M339" s="15" t="s">
        <v>57</v>
      </c>
      <c r="N339" s="16">
        <v>45876</v>
      </c>
      <c r="O339" s="16">
        <v>46088</v>
      </c>
      <c r="P339" s="24">
        <f>DATEDIF(N339,O339,"M")</f>
        <v>7</v>
      </c>
      <c r="Q339" s="24" t="s">
        <v>157</v>
      </c>
      <c r="R339" s="24" t="s">
        <v>1391</v>
      </c>
      <c r="S339" s="17">
        <v>13.31</v>
      </c>
      <c r="T339" s="18">
        <v>0.9</v>
      </c>
      <c r="U339" s="15" t="s">
        <v>60</v>
      </c>
      <c r="V339" s="15" t="s">
        <v>135</v>
      </c>
      <c r="W339" s="17">
        <v>11.98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</row>
    <row r="340" spans="1:55" x14ac:dyDescent="0.25">
      <c r="A340" s="15">
        <v>2029501025</v>
      </c>
      <c r="B340" s="15" t="s">
        <v>545</v>
      </c>
      <c r="C340" s="15" t="s">
        <v>1011</v>
      </c>
      <c r="D340" s="15" t="str">
        <f>CONCATENATE(C340," ",B340)</f>
        <v>MCPHEETERS MARY</v>
      </c>
      <c r="E340" s="15" t="s">
        <v>78</v>
      </c>
      <c r="F340" s="15" t="s">
        <v>72</v>
      </c>
      <c r="G340" s="15" t="s">
        <v>79</v>
      </c>
      <c r="H340" s="15" t="s">
        <v>1329</v>
      </c>
      <c r="I340" s="21">
        <v>8307933</v>
      </c>
      <c r="J340" s="15" t="s">
        <v>80</v>
      </c>
      <c r="K340" s="15" t="s">
        <v>81</v>
      </c>
      <c r="L340" s="15" t="str">
        <f>CONCATENATE(K340," ",J340)</f>
        <v>GREGORY TEIPEL</v>
      </c>
      <c r="M340" s="15" t="s">
        <v>57</v>
      </c>
      <c r="N340" s="16">
        <v>45845</v>
      </c>
      <c r="O340" s="16">
        <v>46088</v>
      </c>
      <c r="P340" s="24">
        <f>DATEDIF(N340,O340,"M")</f>
        <v>8</v>
      </c>
      <c r="Q340" s="24" t="s">
        <v>157</v>
      </c>
      <c r="R340" s="24" t="s">
        <v>1391</v>
      </c>
      <c r="S340" s="17">
        <v>329.4</v>
      </c>
      <c r="T340" s="18">
        <v>0.75</v>
      </c>
      <c r="U340" s="15" t="s">
        <v>60</v>
      </c>
      <c r="V340" s="15" t="s">
        <v>135</v>
      </c>
      <c r="W340" s="17">
        <v>247.05</v>
      </c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</row>
    <row r="341" spans="1:55" x14ac:dyDescent="0.25">
      <c r="A341" s="15">
        <v>2029609655</v>
      </c>
      <c r="B341" s="15" t="s">
        <v>240</v>
      </c>
      <c r="C341" s="15" t="s">
        <v>305</v>
      </c>
      <c r="D341" s="15" t="str">
        <f>CONCATENATE(C341," ",B341)</f>
        <v>HARPER JOHN</v>
      </c>
      <c r="E341" s="15" t="s">
        <v>90</v>
      </c>
      <c r="F341" s="15" t="s">
        <v>72</v>
      </c>
      <c r="G341" s="15" t="s">
        <v>73</v>
      </c>
      <c r="H341" s="15" t="s">
        <v>1329</v>
      </c>
      <c r="I341" s="21">
        <v>8307933</v>
      </c>
      <c r="J341" s="15" t="s">
        <v>80</v>
      </c>
      <c r="K341" s="15" t="s">
        <v>81</v>
      </c>
      <c r="L341" s="15" t="str">
        <f>CONCATENATE(K341," ",J341)</f>
        <v>GREGORY TEIPEL</v>
      </c>
      <c r="M341" s="15" t="s">
        <v>57</v>
      </c>
      <c r="N341" s="16">
        <v>45845</v>
      </c>
      <c r="O341" s="16">
        <v>46088</v>
      </c>
      <c r="P341" s="24">
        <f>DATEDIF(N341,O341,"M")</f>
        <v>8</v>
      </c>
      <c r="Q341" s="24" t="s">
        <v>157</v>
      </c>
      <c r="R341" s="24" t="s">
        <v>1391</v>
      </c>
      <c r="S341" s="17">
        <v>120.19</v>
      </c>
      <c r="T341" s="18">
        <v>0.75</v>
      </c>
      <c r="U341" s="15" t="s">
        <v>60</v>
      </c>
      <c r="V341" s="15" t="s">
        <v>135</v>
      </c>
      <c r="W341" s="17">
        <v>90.14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</row>
    <row r="342" spans="1:55" x14ac:dyDescent="0.25">
      <c r="A342" s="15">
        <v>2029904976</v>
      </c>
      <c r="B342" s="15" t="s">
        <v>755</v>
      </c>
      <c r="C342" s="15" t="s">
        <v>756</v>
      </c>
      <c r="D342" s="15" t="str">
        <f>CONCATENATE(C342," ",B342)</f>
        <v>BELANI AMIT</v>
      </c>
      <c r="E342" s="15" t="s">
        <v>170</v>
      </c>
      <c r="F342" s="15" t="s">
        <v>383</v>
      </c>
      <c r="G342" s="15" t="s">
        <v>384</v>
      </c>
      <c r="H342" s="15" t="s">
        <v>384</v>
      </c>
      <c r="I342" s="21">
        <v>8307933</v>
      </c>
      <c r="J342" s="15" t="s">
        <v>80</v>
      </c>
      <c r="K342" s="15" t="s">
        <v>81</v>
      </c>
      <c r="L342" s="15" t="str">
        <f>CONCATENATE(K342," ",J342)</f>
        <v>GREGORY TEIPEL</v>
      </c>
      <c r="M342" s="15" t="s">
        <v>57</v>
      </c>
      <c r="N342" s="16">
        <v>45850</v>
      </c>
      <c r="O342" s="16">
        <v>46093</v>
      </c>
      <c r="P342" s="24">
        <f>DATEDIF(N342,O342,"M")</f>
        <v>8</v>
      </c>
      <c r="Q342" s="24" t="s">
        <v>157</v>
      </c>
      <c r="R342" s="24" t="s">
        <v>1391</v>
      </c>
      <c r="S342" s="17">
        <v>10.35</v>
      </c>
      <c r="T342" s="18">
        <v>0.7</v>
      </c>
      <c r="U342" s="15" t="s">
        <v>60</v>
      </c>
      <c r="V342" s="15" t="s">
        <v>135</v>
      </c>
      <c r="W342" s="17">
        <v>7.24</v>
      </c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</row>
    <row r="343" spans="1:55" x14ac:dyDescent="0.25">
      <c r="A343" s="15">
        <v>2029904975</v>
      </c>
      <c r="B343" s="15" t="s">
        <v>755</v>
      </c>
      <c r="C343" s="15" t="s">
        <v>756</v>
      </c>
      <c r="D343" s="15" t="str">
        <f>CONCATENATE(C343," ",B343)</f>
        <v>BELANI AMIT</v>
      </c>
      <c r="E343" s="15" t="s">
        <v>170</v>
      </c>
      <c r="F343" s="15" t="s">
        <v>363</v>
      </c>
      <c r="G343" s="15" t="s">
        <v>364</v>
      </c>
      <c r="H343" s="15" t="s">
        <v>364</v>
      </c>
      <c r="I343" s="21">
        <v>8307933</v>
      </c>
      <c r="J343" s="15" t="s">
        <v>80</v>
      </c>
      <c r="K343" s="15" t="s">
        <v>81</v>
      </c>
      <c r="L343" s="15" t="str">
        <f>CONCATENATE(K343," ",J343)</f>
        <v>GREGORY TEIPEL</v>
      </c>
      <c r="M343" s="15" t="s">
        <v>57</v>
      </c>
      <c r="N343" s="16">
        <v>45850</v>
      </c>
      <c r="O343" s="16">
        <v>46093</v>
      </c>
      <c r="P343" s="24">
        <f>DATEDIF(N343,O343,"M")</f>
        <v>8</v>
      </c>
      <c r="Q343" s="24" t="s">
        <v>157</v>
      </c>
      <c r="R343" s="24" t="s">
        <v>1391</v>
      </c>
      <c r="S343" s="17">
        <v>102.62</v>
      </c>
      <c r="T343" s="25">
        <v>0.375</v>
      </c>
      <c r="U343" s="15" t="s">
        <v>60</v>
      </c>
      <c r="V343" s="15" t="s">
        <v>135</v>
      </c>
      <c r="W343" s="17">
        <v>38.479999999999997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</row>
    <row r="344" spans="1:55" x14ac:dyDescent="0.25">
      <c r="A344" s="15">
        <v>2029609656</v>
      </c>
      <c r="B344" s="15" t="s">
        <v>240</v>
      </c>
      <c r="C344" s="15" t="s">
        <v>305</v>
      </c>
      <c r="D344" s="15" t="str">
        <f>CONCATENATE(C344," ",B344)</f>
        <v>HARPER JOHN</v>
      </c>
      <c r="E344" s="15" t="s">
        <v>90</v>
      </c>
      <c r="F344" s="15" t="s">
        <v>383</v>
      </c>
      <c r="G344" s="15" t="s">
        <v>385</v>
      </c>
      <c r="H344" s="15" t="s">
        <v>385</v>
      </c>
      <c r="I344" s="21">
        <v>8307933</v>
      </c>
      <c r="J344" s="15" t="s">
        <v>80</v>
      </c>
      <c r="K344" s="15" t="s">
        <v>81</v>
      </c>
      <c r="L344" s="15" t="str">
        <f>CONCATENATE(K344," ",J344)</f>
        <v>GREGORY TEIPEL</v>
      </c>
      <c r="M344" s="15" t="s">
        <v>57</v>
      </c>
      <c r="N344" s="16">
        <v>45845</v>
      </c>
      <c r="O344" s="16">
        <v>46088</v>
      </c>
      <c r="P344" s="24">
        <f>DATEDIF(N344,O344,"M")</f>
        <v>8</v>
      </c>
      <c r="Q344" s="24" t="s">
        <v>157</v>
      </c>
      <c r="R344" s="24" t="s">
        <v>1391</v>
      </c>
      <c r="S344" s="17">
        <v>35.85</v>
      </c>
      <c r="T344" s="18">
        <v>0.9</v>
      </c>
      <c r="U344" s="15" t="s">
        <v>60</v>
      </c>
      <c r="V344" s="15" t="s">
        <v>135</v>
      </c>
      <c r="W344" s="17">
        <v>32.26</v>
      </c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</row>
    <row r="345" spans="1:55" x14ac:dyDescent="0.25">
      <c r="A345" s="15">
        <v>2028773699</v>
      </c>
      <c r="B345" s="15" t="s">
        <v>1004</v>
      </c>
      <c r="C345" s="15" t="s">
        <v>180</v>
      </c>
      <c r="D345" s="15" t="str">
        <f>CONCATENATE(C345," ",B345)</f>
        <v>RYAN COVERDELL</v>
      </c>
      <c r="E345" s="15" t="s">
        <v>84</v>
      </c>
      <c r="F345" s="15" t="s">
        <v>72</v>
      </c>
      <c r="G345" s="15" t="s">
        <v>79</v>
      </c>
      <c r="H345" s="15" t="s">
        <v>1329</v>
      </c>
      <c r="I345" s="21">
        <v>8307933</v>
      </c>
      <c r="J345" s="15" t="s">
        <v>80</v>
      </c>
      <c r="K345" s="15" t="s">
        <v>81</v>
      </c>
      <c r="L345" s="15" t="str">
        <f>CONCATENATE(K345," ",J345)</f>
        <v>GREGORY TEIPEL</v>
      </c>
      <c r="M345" s="15" t="s">
        <v>57</v>
      </c>
      <c r="N345" s="16">
        <v>45815</v>
      </c>
      <c r="O345" s="16">
        <v>46088</v>
      </c>
      <c r="P345" s="24">
        <f>DATEDIF(N345,O345,"M")</f>
        <v>9</v>
      </c>
      <c r="Q345" s="24" t="s">
        <v>157</v>
      </c>
      <c r="R345" s="24" t="s">
        <v>1391</v>
      </c>
      <c r="S345" s="17">
        <v>123.55</v>
      </c>
      <c r="T345" s="18">
        <v>0.75</v>
      </c>
      <c r="U345" s="15" t="s">
        <v>60</v>
      </c>
      <c r="V345" s="15" t="s">
        <v>135</v>
      </c>
      <c r="W345" s="17">
        <v>92.66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</row>
    <row r="346" spans="1:55" x14ac:dyDescent="0.25">
      <c r="A346" s="15">
        <v>2028859180</v>
      </c>
      <c r="B346" s="15" t="s">
        <v>1006</v>
      </c>
      <c r="C346" s="15" t="s">
        <v>302</v>
      </c>
      <c r="D346" s="15" t="str">
        <f>CONCATENATE(C346," ",B346)</f>
        <v>ERIC SINATRA</v>
      </c>
      <c r="E346" s="15" t="s">
        <v>780</v>
      </c>
      <c r="F346" s="15" t="s">
        <v>72</v>
      </c>
      <c r="G346" s="15" t="s">
        <v>93</v>
      </c>
      <c r="H346" s="15" t="s">
        <v>1332</v>
      </c>
      <c r="I346" s="21">
        <v>8307933</v>
      </c>
      <c r="J346" s="15" t="s">
        <v>80</v>
      </c>
      <c r="K346" s="15" t="s">
        <v>81</v>
      </c>
      <c r="L346" s="15" t="str">
        <f>CONCATENATE(K346," ",J346)</f>
        <v>GREGORY TEIPEL</v>
      </c>
      <c r="M346" s="15" t="s">
        <v>57</v>
      </c>
      <c r="N346" s="16">
        <v>45815</v>
      </c>
      <c r="O346" s="16">
        <v>46088</v>
      </c>
      <c r="P346" s="24">
        <f>DATEDIF(N346,O346,"M")</f>
        <v>9</v>
      </c>
      <c r="Q346" s="24" t="s">
        <v>157</v>
      </c>
      <c r="R346" s="24" t="s">
        <v>1391</v>
      </c>
      <c r="S346" s="17">
        <v>57.67</v>
      </c>
      <c r="T346" s="18">
        <v>0.9</v>
      </c>
      <c r="U346" s="15" t="s">
        <v>60</v>
      </c>
      <c r="V346" s="15" t="s">
        <v>135</v>
      </c>
      <c r="W346" s="17">
        <v>51.9</v>
      </c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</row>
    <row r="347" spans="1:55" x14ac:dyDescent="0.25">
      <c r="A347" s="15">
        <v>2028982416</v>
      </c>
      <c r="B347" s="15" t="s">
        <v>1256</v>
      </c>
      <c r="C347" s="15" t="s">
        <v>389</v>
      </c>
      <c r="D347" s="15" t="str">
        <f>CONCATENATE(C347," ",B347)</f>
        <v>SUSAN BURGENER</v>
      </c>
      <c r="E347" s="15" t="s">
        <v>66</v>
      </c>
      <c r="F347" s="15" t="s">
        <v>383</v>
      </c>
      <c r="G347" s="15" t="s">
        <v>384</v>
      </c>
      <c r="H347" s="15" t="s">
        <v>384</v>
      </c>
      <c r="I347" s="21">
        <v>8307933</v>
      </c>
      <c r="J347" s="15" t="s">
        <v>80</v>
      </c>
      <c r="K347" s="15" t="s">
        <v>81</v>
      </c>
      <c r="L347" s="15" t="str">
        <f>CONCATENATE(K347," ",J347)</f>
        <v>GREGORY TEIPEL</v>
      </c>
      <c r="M347" s="15" t="s">
        <v>57</v>
      </c>
      <c r="N347" s="16">
        <v>45815</v>
      </c>
      <c r="O347" s="16">
        <v>46088</v>
      </c>
      <c r="P347" s="24">
        <f>DATEDIF(N347,O347,"M")</f>
        <v>9</v>
      </c>
      <c r="Q347" s="24" t="s">
        <v>157</v>
      </c>
      <c r="R347" s="24" t="s">
        <v>1391</v>
      </c>
      <c r="S347" s="17">
        <v>101.38</v>
      </c>
      <c r="T347" s="18">
        <v>0.7</v>
      </c>
      <c r="U347" s="15" t="s">
        <v>60</v>
      </c>
      <c r="V347" s="15" t="s">
        <v>135</v>
      </c>
      <c r="W347" s="17">
        <v>70.97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</row>
    <row r="348" spans="1:55" x14ac:dyDescent="0.25">
      <c r="A348" s="15">
        <v>2028773700</v>
      </c>
      <c r="B348" s="15" t="s">
        <v>1004</v>
      </c>
      <c r="C348" s="15" t="s">
        <v>180</v>
      </c>
      <c r="D348" s="15" t="str">
        <f>CONCATENATE(C348," ",B348)</f>
        <v>RYAN COVERDELL</v>
      </c>
      <c r="E348" s="15" t="s">
        <v>84</v>
      </c>
      <c r="F348" s="15" t="s">
        <v>383</v>
      </c>
      <c r="G348" s="15" t="s">
        <v>385</v>
      </c>
      <c r="H348" s="15" t="s">
        <v>385</v>
      </c>
      <c r="I348" s="21">
        <v>8307933</v>
      </c>
      <c r="J348" s="15" t="s">
        <v>80</v>
      </c>
      <c r="K348" s="15" t="s">
        <v>81</v>
      </c>
      <c r="L348" s="15" t="str">
        <f>CONCATENATE(K348," ",J348)</f>
        <v>GREGORY TEIPEL</v>
      </c>
      <c r="M348" s="15" t="s">
        <v>57</v>
      </c>
      <c r="N348" s="16">
        <v>45815</v>
      </c>
      <c r="O348" s="16">
        <v>46088</v>
      </c>
      <c r="P348" s="24">
        <f>DATEDIF(N348,O348,"M")</f>
        <v>9</v>
      </c>
      <c r="Q348" s="24" t="s">
        <v>157</v>
      </c>
      <c r="R348" s="24" t="s">
        <v>1391</v>
      </c>
      <c r="S348" s="17">
        <v>33.25</v>
      </c>
      <c r="T348" s="18">
        <v>0.9</v>
      </c>
      <c r="U348" s="15" t="s">
        <v>60</v>
      </c>
      <c r="V348" s="15" t="s">
        <v>135</v>
      </c>
      <c r="W348" s="17">
        <v>29.92</v>
      </c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</row>
    <row r="349" spans="1:55" s="15" customFormat="1" x14ac:dyDescent="0.25">
      <c r="A349" s="15">
        <v>2028982417</v>
      </c>
      <c r="B349" s="15" t="s">
        <v>1256</v>
      </c>
      <c r="C349" s="15" t="s">
        <v>389</v>
      </c>
      <c r="D349" s="15" t="str">
        <f>CONCATENATE(C349," ",B349)</f>
        <v>SUSAN BURGENER</v>
      </c>
      <c r="E349" s="15" t="s">
        <v>66</v>
      </c>
      <c r="F349" s="15" t="s">
        <v>383</v>
      </c>
      <c r="G349" s="15" t="s">
        <v>385</v>
      </c>
      <c r="H349" s="15" t="s">
        <v>385</v>
      </c>
      <c r="I349" s="21">
        <v>8307933</v>
      </c>
      <c r="J349" s="15" t="s">
        <v>80</v>
      </c>
      <c r="K349" s="15" t="s">
        <v>81</v>
      </c>
      <c r="L349" s="15" t="str">
        <f>CONCATENATE(K349," ",J349)</f>
        <v>GREGORY TEIPEL</v>
      </c>
      <c r="M349" s="15" t="s">
        <v>57</v>
      </c>
      <c r="N349" s="16">
        <v>45815</v>
      </c>
      <c r="O349" s="16">
        <v>46088</v>
      </c>
      <c r="P349" s="24">
        <f>DATEDIF(N349,O349,"M")</f>
        <v>9</v>
      </c>
      <c r="Q349" s="24" t="s">
        <v>157</v>
      </c>
      <c r="R349" s="24" t="s">
        <v>1391</v>
      </c>
      <c r="S349" s="17">
        <v>146.88</v>
      </c>
      <c r="T349" s="18">
        <v>0.9</v>
      </c>
      <c r="U349" s="15" t="s">
        <v>60</v>
      </c>
      <c r="V349" s="15" t="s">
        <v>135</v>
      </c>
      <c r="W349" s="17">
        <v>132.19</v>
      </c>
    </row>
    <row r="350" spans="1:55" s="15" customFormat="1" x14ac:dyDescent="0.25">
      <c r="A350" s="15">
        <v>2028248980</v>
      </c>
      <c r="B350" s="15" t="s">
        <v>998</v>
      </c>
      <c r="C350" s="15" t="s">
        <v>999</v>
      </c>
      <c r="D350" s="15" t="str">
        <f>CONCATENATE(C350," ",B350)</f>
        <v>STEVEN SUDTELGTE</v>
      </c>
      <c r="E350" s="15" t="s">
        <v>971</v>
      </c>
      <c r="F350" s="15" t="s">
        <v>72</v>
      </c>
      <c r="G350" s="15" t="s">
        <v>79</v>
      </c>
      <c r="H350" s="15" t="s">
        <v>1329</v>
      </c>
      <c r="I350" s="21">
        <v>8307933</v>
      </c>
      <c r="J350" s="15" t="s">
        <v>80</v>
      </c>
      <c r="K350" s="15" t="s">
        <v>81</v>
      </c>
      <c r="L350" s="15" t="str">
        <f>CONCATENATE(K350," ",J350)</f>
        <v>GREGORY TEIPEL</v>
      </c>
      <c r="M350" s="15" t="s">
        <v>57</v>
      </c>
      <c r="N350" s="16">
        <v>45784</v>
      </c>
      <c r="O350" s="16">
        <v>46088</v>
      </c>
      <c r="P350" s="24">
        <f>DATEDIF(N350,O350,"M")</f>
        <v>10</v>
      </c>
      <c r="Q350" s="24" t="s">
        <v>157</v>
      </c>
      <c r="R350" s="24" t="s">
        <v>1391</v>
      </c>
      <c r="S350" s="17">
        <v>316.83</v>
      </c>
      <c r="T350" s="18">
        <v>0.75</v>
      </c>
      <c r="U350" s="15" t="s">
        <v>60</v>
      </c>
      <c r="V350" s="15" t="s">
        <v>135</v>
      </c>
      <c r="W350" s="17">
        <v>237.62</v>
      </c>
    </row>
    <row r="351" spans="1:55" s="15" customFormat="1" x14ac:dyDescent="0.25">
      <c r="A351" s="15">
        <v>2028412598</v>
      </c>
      <c r="B351" s="15" t="s">
        <v>1001</v>
      </c>
      <c r="C351" s="15" t="s">
        <v>492</v>
      </c>
      <c r="D351" s="15" t="str">
        <f>CONCATENATE(C351," ",B351)</f>
        <v>WILLIAM JUNGE</v>
      </c>
      <c r="E351" s="15" t="s">
        <v>66</v>
      </c>
      <c r="F351" s="15" t="s">
        <v>72</v>
      </c>
      <c r="G351" s="15" t="s">
        <v>79</v>
      </c>
      <c r="H351" s="15" t="s">
        <v>1329</v>
      </c>
      <c r="I351" s="21">
        <v>8307933</v>
      </c>
      <c r="J351" s="15" t="s">
        <v>80</v>
      </c>
      <c r="K351" s="15" t="s">
        <v>81</v>
      </c>
      <c r="L351" s="15" t="str">
        <f>CONCATENATE(K351," ",J351)</f>
        <v>GREGORY TEIPEL</v>
      </c>
      <c r="M351" s="15" t="s">
        <v>57</v>
      </c>
      <c r="N351" s="16">
        <v>45784</v>
      </c>
      <c r="O351" s="16">
        <v>46088</v>
      </c>
      <c r="P351" s="24">
        <f>DATEDIF(N351,O351,"M")</f>
        <v>10</v>
      </c>
      <c r="Q351" s="24" t="s">
        <v>157</v>
      </c>
      <c r="R351" s="24" t="s">
        <v>1391</v>
      </c>
      <c r="S351" s="17">
        <v>125.83</v>
      </c>
      <c r="T351" s="18">
        <v>0.75</v>
      </c>
      <c r="U351" s="15" t="s">
        <v>60</v>
      </c>
      <c r="V351" s="15" t="s">
        <v>135</v>
      </c>
      <c r="W351" s="17">
        <v>94.37</v>
      </c>
    </row>
    <row r="352" spans="1:55" s="15" customFormat="1" x14ac:dyDescent="0.25">
      <c r="A352" s="15">
        <v>2028549155</v>
      </c>
      <c r="B352" s="15" t="s">
        <v>995</v>
      </c>
      <c r="C352" s="15" t="s">
        <v>709</v>
      </c>
      <c r="D352" s="15" t="str">
        <f>CONCATENATE(C352," ",B352)</f>
        <v>ALEXIS OBERG</v>
      </c>
      <c r="E352" s="15" t="s">
        <v>84</v>
      </c>
      <c r="F352" s="15" t="s">
        <v>72</v>
      </c>
      <c r="G352" s="15" t="s">
        <v>79</v>
      </c>
      <c r="H352" s="15" t="s">
        <v>1329</v>
      </c>
      <c r="I352" s="21">
        <v>8307933</v>
      </c>
      <c r="J352" s="15" t="s">
        <v>80</v>
      </c>
      <c r="K352" s="15" t="s">
        <v>81</v>
      </c>
      <c r="L352" s="15" t="str">
        <f>CONCATENATE(K352," ",J352)</f>
        <v>GREGORY TEIPEL</v>
      </c>
      <c r="M352" s="15" t="s">
        <v>57</v>
      </c>
      <c r="N352" s="16">
        <v>45784</v>
      </c>
      <c r="O352" s="16">
        <v>46088</v>
      </c>
      <c r="P352" s="24">
        <f>DATEDIF(N352,O352,"M")</f>
        <v>10</v>
      </c>
      <c r="Q352" s="24" t="s">
        <v>157</v>
      </c>
      <c r="R352" s="24" t="s">
        <v>1391</v>
      </c>
      <c r="S352" s="17">
        <v>31.75</v>
      </c>
      <c r="T352" s="18">
        <v>0.75</v>
      </c>
      <c r="U352" s="15" t="s">
        <v>60</v>
      </c>
      <c r="V352" s="15" t="s">
        <v>135</v>
      </c>
      <c r="W352" s="17">
        <v>23.81</v>
      </c>
    </row>
    <row r="353" spans="1:23" s="15" customFormat="1" x14ac:dyDescent="0.25">
      <c r="A353" s="15">
        <v>2028692689</v>
      </c>
      <c r="B353" s="15" t="s">
        <v>1003</v>
      </c>
      <c r="C353" s="15" t="s">
        <v>537</v>
      </c>
      <c r="D353" s="15" t="str">
        <f>CONCATENATE(C353," ",B353)</f>
        <v>BRIAN PIAZZA</v>
      </c>
      <c r="E353" s="15" t="s">
        <v>84</v>
      </c>
      <c r="F353" s="15" t="s">
        <v>72</v>
      </c>
      <c r="G353" s="15" t="s">
        <v>79</v>
      </c>
      <c r="H353" s="15" t="s">
        <v>1329</v>
      </c>
      <c r="I353" s="21">
        <v>8307933</v>
      </c>
      <c r="J353" s="15" t="s">
        <v>80</v>
      </c>
      <c r="K353" s="15" t="s">
        <v>81</v>
      </c>
      <c r="L353" s="15" t="str">
        <f>CONCATENATE(K353," ",J353)</f>
        <v>GREGORY TEIPEL</v>
      </c>
      <c r="M353" s="15" t="s">
        <v>57</v>
      </c>
      <c r="N353" s="16">
        <v>45784</v>
      </c>
      <c r="O353" s="16">
        <v>46088</v>
      </c>
      <c r="P353" s="24">
        <f>DATEDIF(N353,O353,"M")</f>
        <v>10</v>
      </c>
      <c r="Q353" s="24" t="s">
        <v>157</v>
      </c>
      <c r="R353" s="24" t="s">
        <v>1391</v>
      </c>
      <c r="S353" s="17">
        <v>72.38</v>
      </c>
      <c r="T353" s="18">
        <v>0.75</v>
      </c>
      <c r="U353" s="15" t="s">
        <v>60</v>
      </c>
      <c r="V353" s="15" t="s">
        <v>135</v>
      </c>
      <c r="W353" s="17">
        <v>54.28</v>
      </c>
    </row>
    <row r="354" spans="1:23" s="15" customFormat="1" x14ac:dyDescent="0.25">
      <c r="A354" s="15">
        <v>2028722200</v>
      </c>
      <c r="B354" s="15" t="s">
        <v>531</v>
      </c>
      <c r="C354" s="15" t="s">
        <v>1127</v>
      </c>
      <c r="D354" s="15" t="str">
        <f>CONCATENATE(C354," ",B354)</f>
        <v>SUSHILABEN PATEL</v>
      </c>
      <c r="E354" s="15" t="s">
        <v>66</v>
      </c>
      <c r="F354" s="15" t="s">
        <v>1123</v>
      </c>
      <c r="G354" s="15" t="s">
        <v>1128</v>
      </c>
      <c r="H354" s="15" t="s">
        <v>1342</v>
      </c>
      <c r="I354" s="21">
        <v>8307933</v>
      </c>
      <c r="J354" s="15" t="s">
        <v>80</v>
      </c>
      <c r="K354" s="15" t="s">
        <v>81</v>
      </c>
      <c r="L354" s="15" t="str">
        <f>CONCATENATE(K354," ",J354)</f>
        <v>GREGORY TEIPEL</v>
      </c>
      <c r="M354" s="15" t="s">
        <v>57</v>
      </c>
      <c r="N354" s="16">
        <v>45779</v>
      </c>
      <c r="O354" s="16">
        <v>46083</v>
      </c>
      <c r="P354" s="24">
        <f>DATEDIF(N354,O354,"M")</f>
        <v>10</v>
      </c>
      <c r="Q354" s="24" t="s">
        <v>157</v>
      </c>
      <c r="R354" s="24" t="s">
        <v>1391</v>
      </c>
      <c r="S354" s="17">
        <v>93.29</v>
      </c>
      <c r="T354" s="18">
        <v>1.3</v>
      </c>
      <c r="U354" s="15" t="s">
        <v>60</v>
      </c>
      <c r="V354" s="15" t="s">
        <v>135</v>
      </c>
      <c r="W354" s="17">
        <v>121.28</v>
      </c>
    </row>
    <row r="355" spans="1:23" s="15" customFormat="1" x14ac:dyDescent="0.25">
      <c r="A355" s="15">
        <v>2028248979</v>
      </c>
      <c r="B355" s="15" t="s">
        <v>998</v>
      </c>
      <c r="C355" s="15" t="s">
        <v>999</v>
      </c>
      <c r="D355" s="15" t="str">
        <f>CONCATENATE(C355," ",B355)</f>
        <v>STEVEN SUDTELGTE</v>
      </c>
      <c r="E355" s="15" t="s">
        <v>971</v>
      </c>
      <c r="F355" s="15" t="s">
        <v>383</v>
      </c>
      <c r="G355" s="15" t="s">
        <v>384</v>
      </c>
      <c r="H355" s="15" t="s">
        <v>384</v>
      </c>
      <c r="I355" s="21">
        <v>8307933</v>
      </c>
      <c r="J355" s="15" t="s">
        <v>80</v>
      </c>
      <c r="K355" s="15" t="s">
        <v>81</v>
      </c>
      <c r="L355" s="15" t="str">
        <f>CONCATENATE(K355," ",J355)</f>
        <v>GREGORY TEIPEL</v>
      </c>
      <c r="M355" s="15" t="s">
        <v>57</v>
      </c>
      <c r="N355" s="16">
        <v>45784</v>
      </c>
      <c r="O355" s="16">
        <v>46088</v>
      </c>
      <c r="P355" s="24">
        <f>DATEDIF(N355,O355,"M")</f>
        <v>10</v>
      </c>
      <c r="Q355" s="24" t="s">
        <v>157</v>
      </c>
      <c r="R355" s="24" t="s">
        <v>1391</v>
      </c>
      <c r="S355" s="17">
        <v>120.5</v>
      </c>
      <c r="T355" s="18">
        <v>0.7</v>
      </c>
      <c r="U355" s="15" t="s">
        <v>60</v>
      </c>
      <c r="V355" s="15" t="s">
        <v>135</v>
      </c>
      <c r="W355" s="17">
        <v>84.35</v>
      </c>
    </row>
    <row r="356" spans="1:23" s="15" customFormat="1" x14ac:dyDescent="0.25">
      <c r="A356" s="15">
        <v>2028412597</v>
      </c>
      <c r="B356" s="15" t="s">
        <v>1001</v>
      </c>
      <c r="C356" s="15" t="s">
        <v>492</v>
      </c>
      <c r="D356" s="15" t="str">
        <f>CONCATENATE(C356," ",B356)</f>
        <v>WILLIAM JUNGE</v>
      </c>
      <c r="E356" s="15" t="s">
        <v>66</v>
      </c>
      <c r="F356" s="15" t="s">
        <v>383</v>
      </c>
      <c r="G356" s="15" t="s">
        <v>384</v>
      </c>
      <c r="H356" s="15" t="s">
        <v>384</v>
      </c>
      <c r="I356" s="21">
        <v>8307933</v>
      </c>
      <c r="J356" s="15" t="s">
        <v>80</v>
      </c>
      <c r="K356" s="15" t="s">
        <v>81</v>
      </c>
      <c r="L356" s="15" t="str">
        <f>CONCATENATE(K356," ",J356)</f>
        <v>GREGORY TEIPEL</v>
      </c>
      <c r="M356" s="15" t="s">
        <v>57</v>
      </c>
      <c r="N356" s="16">
        <v>45784</v>
      </c>
      <c r="O356" s="16">
        <v>46088</v>
      </c>
      <c r="P356" s="24">
        <f>DATEDIF(N356,O356,"M")</f>
        <v>10</v>
      </c>
      <c r="Q356" s="24" t="s">
        <v>157</v>
      </c>
      <c r="R356" s="24" t="s">
        <v>1391</v>
      </c>
      <c r="S356" s="17">
        <v>80.14</v>
      </c>
      <c r="T356" s="18">
        <v>0.7</v>
      </c>
      <c r="U356" s="15" t="s">
        <v>60</v>
      </c>
      <c r="V356" s="15" t="s">
        <v>135</v>
      </c>
      <c r="W356" s="17">
        <v>56.1</v>
      </c>
    </row>
    <row r="357" spans="1:23" s="15" customFormat="1" x14ac:dyDescent="0.25">
      <c r="A357" s="15">
        <v>2028436941</v>
      </c>
      <c r="B357" s="15" t="s">
        <v>370</v>
      </c>
      <c r="C357" s="15" t="s">
        <v>1248</v>
      </c>
      <c r="D357" s="15" t="str">
        <f>CONCATENATE(C357," ",B357)</f>
        <v>CASEY JORDAN</v>
      </c>
      <c r="E357" s="15" t="s">
        <v>886</v>
      </c>
      <c r="F357" s="15" t="s">
        <v>383</v>
      </c>
      <c r="G357" s="15" t="s">
        <v>384</v>
      </c>
      <c r="H357" s="15" t="s">
        <v>384</v>
      </c>
      <c r="I357" s="21">
        <v>8307933</v>
      </c>
      <c r="J357" s="15" t="s">
        <v>80</v>
      </c>
      <c r="K357" s="15" t="s">
        <v>81</v>
      </c>
      <c r="L357" s="15" t="str">
        <f>CONCATENATE(K357," ",J357)</f>
        <v>GREGORY TEIPEL</v>
      </c>
      <c r="M357" s="15" t="s">
        <v>57</v>
      </c>
      <c r="N357" s="16">
        <v>45784</v>
      </c>
      <c r="O357" s="16">
        <v>46088</v>
      </c>
      <c r="P357" s="24">
        <f>DATEDIF(N357,O357,"M")</f>
        <v>10</v>
      </c>
      <c r="Q357" s="24" t="s">
        <v>157</v>
      </c>
      <c r="R357" s="24" t="s">
        <v>1391</v>
      </c>
      <c r="S357" s="17">
        <v>77.12</v>
      </c>
      <c r="T357" s="18">
        <v>0.7</v>
      </c>
      <c r="U357" s="15" t="s">
        <v>60</v>
      </c>
      <c r="V357" s="15" t="s">
        <v>135</v>
      </c>
      <c r="W357" s="17">
        <v>53.98</v>
      </c>
    </row>
    <row r="358" spans="1:23" s="15" customFormat="1" x14ac:dyDescent="0.25">
      <c r="A358" s="15">
        <v>2028549154</v>
      </c>
      <c r="B358" s="15" t="s">
        <v>995</v>
      </c>
      <c r="C358" s="15" t="s">
        <v>709</v>
      </c>
      <c r="D358" s="15" t="str">
        <f>CONCATENATE(C358," ",B358)</f>
        <v>ALEXIS OBERG</v>
      </c>
      <c r="E358" s="15" t="s">
        <v>84</v>
      </c>
      <c r="F358" s="15" t="s">
        <v>383</v>
      </c>
      <c r="G358" s="15" t="s">
        <v>385</v>
      </c>
      <c r="H358" s="15" t="s">
        <v>385</v>
      </c>
      <c r="I358" s="21">
        <v>8307933</v>
      </c>
      <c r="J358" s="15" t="s">
        <v>80</v>
      </c>
      <c r="K358" s="15" t="s">
        <v>81</v>
      </c>
      <c r="L358" s="15" t="str">
        <f>CONCATENATE(K358," ",J358)</f>
        <v>GREGORY TEIPEL</v>
      </c>
      <c r="M358" s="15" t="s">
        <v>57</v>
      </c>
      <c r="N358" s="16">
        <v>45784</v>
      </c>
      <c r="O358" s="16">
        <v>46088</v>
      </c>
      <c r="P358" s="24">
        <f>DATEDIF(N358,O358,"M")</f>
        <v>10</v>
      </c>
      <c r="Q358" s="24" t="s">
        <v>157</v>
      </c>
      <c r="R358" s="24" t="s">
        <v>1391</v>
      </c>
      <c r="S358" s="17">
        <v>26.25</v>
      </c>
      <c r="T358" s="18">
        <v>0.9</v>
      </c>
      <c r="U358" s="15" t="s">
        <v>60</v>
      </c>
      <c r="V358" s="15" t="s">
        <v>135</v>
      </c>
      <c r="W358" s="17">
        <v>23.62</v>
      </c>
    </row>
    <row r="359" spans="1:23" s="15" customFormat="1" x14ac:dyDescent="0.25">
      <c r="A359" s="15">
        <v>2027642346</v>
      </c>
      <c r="B359" s="15" t="s">
        <v>992</v>
      </c>
      <c r="C359" s="15" t="s">
        <v>370</v>
      </c>
      <c r="D359" s="15" t="str">
        <f>CONCATENATE(C359," ",B359)</f>
        <v>JORDAN PERSON</v>
      </c>
      <c r="E359" s="15" t="s">
        <v>780</v>
      </c>
      <c r="F359" s="15" t="s">
        <v>383</v>
      </c>
      <c r="G359" s="15" t="s">
        <v>1172</v>
      </c>
      <c r="H359" s="15" t="s">
        <v>1172</v>
      </c>
      <c r="I359" s="21">
        <v>8307933</v>
      </c>
      <c r="J359" s="15" t="s">
        <v>80</v>
      </c>
      <c r="K359" s="15" t="s">
        <v>81</v>
      </c>
      <c r="L359" s="15" t="str">
        <f>CONCATENATE(K359," ",J359)</f>
        <v>GREGORY TEIPEL</v>
      </c>
      <c r="M359" s="15" t="s">
        <v>57</v>
      </c>
      <c r="N359" s="16">
        <v>45754</v>
      </c>
      <c r="O359" s="16">
        <v>46088</v>
      </c>
      <c r="P359" s="24">
        <f>DATEDIF(N359,O359,"M")</f>
        <v>11</v>
      </c>
      <c r="Q359" s="24" t="s">
        <v>157</v>
      </c>
      <c r="R359" s="24" t="s">
        <v>1391</v>
      </c>
      <c r="S359" s="17">
        <v>21.44</v>
      </c>
      <c r="T359" s="18">
        <v>0.7</v>
      </c>
      <c r="U359" s="15" t="s">
        <v>60</v>
      </c>
      <c r="V359" s="15" t="s">
        <v>135</v>
      </c>
      <c r="W359" s="17">
        <v>15.01</v>
      </c>
    </row>
    <row r="360" spans="1:23" s="15" customFormat="1" x14ac:dyDescent="0.25">
      <c r="A360" s="15">
        <v>2027361177</v>
      </c>
      <c r="B360" s="15" t="s">
        <v>987</v>
      </c>
      <c r="C360" s="15" t="s">
        <v>988</v>
      </c>
      <c r="D360" s="15" t="str">
        <f>CONCATENATE(C360," ",B360)</f>
        <v>LORI BENSON</v>
      </c>
      <c r="E360" s="15" t="s">
        <v>78</v>
      </c>
      <c r="F360" s="15" t="s">
        <v>72</v>
      </c>
      <c r="G360" s="15" t="s">
        <v>79</v>
      </c>
      <c r="H360" s="15" t="s">
        <v>1329</v>
      </c>
      <c r="I360" s="21">
        <v>8307933</v>
      </c>
      <c r="J360" s="15" t="s">
        <v>80</v>
      </c>
      <c r="K360" s="15" t="s">
        <v>81</v>
      </c>
      <c r="L360" s="15" t="str">
        <f>CONCATENATE(K360," ",J360)</f>
        <v>GREGORY TEIPEL</v>
      </c>
      <c r="M360" s="15" t="s">
        <v>57</v>
      </c>
      <c r="N360" s="16">
        <v>45754</v>
      </c>
      <c r="O360" s="16">
        <v>46088</v>
      </c>
      <c r="P360" s="24">
        <f>DATEDIF(N360,O360,"M")</f>
        <v>11</v>
      </c>
      <c r="Q360" s="24" t="s">
        <v>157</v>
      </c>
      <c r="R360" s="24" t="s">
        <v>1391</v>
      </c>
      <c r="S360" s="17">
        <v>202.87</v>
      </c>
      <c r="T360" s="18">
        <v>0.75</v>
      </c>
      <c r="U360" s="15" t="s">
        <v>60</v>
      </c>
      <c r="V360" s="15" t="s">
        <v>135</v>
      </c>
      <c r="W360" s="17">
        <v>152.15</v>
      </c>
    </row>
    <row r="361" spans="1:23" s="15" customFormat="1" x14ac:dyDescent="0.25">
      <c r="A361" s="15">
        <v>2027859845</v>
      </c>
      <c r="B361" s="15" t="s">
        <v>993</v>
      </c>
      <c r="C361" s="15" t="s">
        <v>590</v>
      </c>
      <c r="D361" s="15" t="str">
        <f>CONCATENATE(C361," ",B361)</f>
        <v>DONALD BARTRAM</v>
      </c>
      <c r="E361" s="15" t="s">
        <v>84</v>
      </c>
      <c r="F361" s="15" t="s">
        <v>72</v>
      </c>
      <c r="G361" s="15" t="s">
        <v>79</v>
      </c>
      <c r="H361" s="15" t="s">
        <v>1329</v>
      </c>
      <c r="I361" s="21">
        <v>8307933</v>
      </c>
      <c r="J361" s="15" t="s">
        <v>80</v>
      </c>
      <c r="K361" s="15" t="s">
        <v>81</v>
      </c>
      <c r="L361" s="15" t="str">
        <f>CONCATENATE(K361," ",J361)</f>
        <v>GREGORY TEIPEL</v>
      </c>
      <c r="M361" s="15" t="s">
        <v>57</v>
      </c>
      <c r="N361" s="16">
        <v>45754</v>
      </c>
      <c r="O361" s="16">
        <v>46088</v>
      </c>
      <c r="P361" s="24">
        <f>DATEDIF(N361,O361,"M")</f>
        <v>11</v>
      </c>
      <c r="Q361" s="24" t="s">
        <v>157</v>
      </c>
      <c r="R361" s="24" t="s">
        <v>1391</v>
      </c>
      <c r="S361" s="17">
        <v>154.30000000000001</v>
      </c>
      <c r="T361" s="18">
        <v>0.75</v>
      </c>
      <c r="U361" s="15" t="s">
        <v>60</v>
      </c>
      <c r="V361" s="15" t="s">
        <v>135</v>
      </c>
      <c r="W361" s="17">
        <v>115.72</v>
      </c>
    </row>
    <row r="362" spans="1:23" s="15" customFormat="1" x14ac:dyDescent="0.25">
      <c r="A362" s="15">
        <v>2027863478</v>
      </c>
      <c r="B362" s="15" t="s">
        <v>993</v>
      </c>
      <c r="C362" s="15" t="s">
        <v>994</v>
      </c>
      <c r="D362" s="15" t="str">
        <f>CONCATENATE(C362," ",B362)</f>
        <v>BRIDGER BARTRAM</v>
      </c>
      <c r="E362" s="15" t="s">
        <v>84</v>
      </c>
      <c r="F362" s="15" t="s">
        <v>72</v>
      </c>
      <c r="G362" s="15" t="s">
        <v>79</v>
      </c>
      <c r="H362" s="15" t="s">
        <v>1329</v>
      </c>
      <c r="I362" s="21">
        <v>8307933</v>
      </c>
      <c r="J362" s="15" t="s">
        <v>80</v>
      </c>
      <c r="K362" s="15" t="s">
        <v>81</v>
      </c>
      <c r="L362" s="15" t="str">
        <f>CONCATENATE(K362," ",J362)</f>
        <v>GREGORY TEIPEL</v>
      </c>
      <c r="M362" s="15" t="s">
        <v>57</v>
      </c>
      <c r="N362" s="16">
        <v>45754</v>
      </c>
      <c r="O362" s="16">
        <v>46088</v>
      </c>
      <c r="P362" s="24">
        <f>DATEDIF(N362,O362,"M")</f>
        <v>11</v>
      </c>
      <c r="Q362" s="24" t="s">
        <v>157</v>
      </c>
      <c r="R362" s="24" t="s">
        <v>1391</v>
      </c>
      <c r="S362" s="17">
        <v>25</v>
      </c>
      <c r="T362" s="18">
        <v>0.75</v>
      </c>
      <c r="U362" s="15" t="s">
        <v>60</v>
      </c>
      <c r="V362" s="15" t="s">
        <v>135</v>
      </c>
      <c r="W362" s="17">
        <v>18.75</v>
      </c>
    </row>
    <row r="363" spans="1:23" s="15" customFormat="1" x14ac:dyDescent="0.25">
      <c r="A363" s="15">
        <v>2027887270</v>
      </c>
      <c r="B363" s="15" t="s">
        <v>995</v>
      </c>
      <c r="C363" s="15" t="s">
        <v>180</v>
      </c>
      <c r="D363" s="15" t="str">
        <f>CONCATENATE(C363," ",B363)</f>
        <v>RYAN OBERG</v>
      </c>
      <c r="E363" s="15" t="s">
        <v>84</v>
      </c>
      <c r="F363" s="15" t="s">
        <v>72</v>
      </c>
      <c r="G363" s="15" t="s">
        <v>79</v>
      </c>
      <c r="H363" s="15" t="s">
        <v>1329</v>
      </c>
      <c r="I363" s="21">
        <v>8307933</v>
      </c>
      <c r="J363" s="15" t="s">
        <v>80</v>
      </c>
      <c r="K363" s="15" t="s">
        <v>81</v>
      </c>
      <c r="L363" s="15" t="str">
        <f>CONCATENATE(K363," ",J363)</f>
        <v>GREGORY TEIPEL</v>
      </c>
      <c r="M363" s="15" t="s">
        <v>57</v>
      </c>
      <c r="N363" s="16">
        <v>45754</v>
      </c>
      <c r="O363" s="16">
        <v>46088</v>
      </c>
      <c r="P363" s="24">
        <f>DATEDIF(N363,O363,"M")</f>
        <v>11</v>
      </c>
      <c r="Q363" s="24" t="s">
        <v>157</v>
      </c>
      <c r="R363" s="24" t="s">
        <v>1391</v>
      </c>
      <c r="S363" s="17">
        <v>88.8</v>
      </c>
      <c r="T363" s="18">
        <v>0.75</v>
      </c>
      <c r="U363" s="15" t="s">
        <v>60</v>
      </c>
      <c r="V363" s="15" t="s">
        <v>135</v>
      </c>
      <c r="W363" s="17">
        <v>66.599999999999994</v>
      </c>
    </row>
    <row r="364" spans="1:23" s="15" customFormat="1" x14ac:dyDescent="0.25">
      <c r="A364" s="15">
        <v>2028108470</v>
      </c>
      <c r="B364" s="15" t="s">
        <v>996</v>
      </c>
      <c r="C364" s="15" t="s">
        <v>997</v>
      </c>
      <c r="D364" s="15" t="str">
        <f>CONCATENATE(C364," ",B364)</f>
        <v>CORY BLAIR</v>
      </c>
      <c r="E364" s="15" t="s">
        <v>66</v>
      </c>
      <c r="F364" s="15" t="s">
        <v>72</v>
      </c>
      <c r="G364" s="15" t="s">
        <v>79</v>
      </c>
      <c r="H364" s="15" t="s">
        <v>1329</v>
      </c>
      <c r="I364" s="21">
        <v>8307933</v>
      </c>
      <c r="J364" s="15" t="s">
        <v>80</v>
      </c>
      <c r="K364" s="15" t="s">
        <v>81</v>
      </c>
      <c r="L364" s="15" t="str">
        <f>CONCATENATE(K364," ",J364)</f>
        <v>GREGORY TEIPEL</v>
      </c>
      <c r="M364" s="15" t="s">
        <v>57</v>
      </c>
      <c r="N364" s="16">
        <v>45754</v>
      </c>
      <c r="O364" s="16">
        <v>46088</v>
      </c>
      <c r="P364" s="24">
        <f>DATEDIF(N364,O364,"M")</f>
        <v>11</v>
      </c>
      <c r="Q364" s="24" t="s">
        <v>157</v>
      </c>
      <c r="R364" s="24" t="s">
        <v>1391</v>
      </c>
      <c r="S364" s="17">
        <v>104.83</v>
      </c>
      <c r="T364" s="18">
        <v>0.75</v>
      </c>
      <c r="U364" s="15" t="s">
        <v>60</v>
      </c>
      <c r="V364" s="15" t="s">
        <v>135</v>
      </c>
      <c r="W364" s="17">
        <v>78.62</v>
      </c>
    </row>
    <row r="365" spans="1:23" s="15" customFormat="1" x14ac:dyDescent="0.25">
      <c r="A365" s="15">
        <v>2027642345</v>
      </c>
      <c r="B365" s="15" t="s">
        <v>992</v>
      </c>
      <c r="C365" s="15" t="s">
        <v>370</v>
      </c>
      <c r="D365" s="15" t="str">
        <f>CONCATENATE(C365," ",B365)</f>
        <v>JORDAN PERSON</v>
      </c>
      <c r="E365" s="15" t="s">
        <v>780</v>
      </c>
      <c r="F365" s="15" t="s">
        <v>72</v>
      </c>
      <c r="G365" s="15" t="s">
        <v>93</v>
      </c>
      <c r="H365" s="15" t="s">
        <v>1332</v>
      </c>
      <c r="I365" s="21">
        <v>8307933</v>
      </c>
      <c r="J365" s="15" t="s">
        <v>80</v>
      </c>
      <c r="K365" s="15" t="s">
        <v>81</v>
      </c>
      <c r="L365" s="15" t="str">
        <f>CONCATENATE(K365," ",J365)</f>
        <v>GREGORY TEIPEL</v>
      </c>
      <c r="M365" s="15" t="s">
        <v>57</v>
      </c>
      <c r="N365" s="16">
        <v>45754</v>
      </c>
      <c r="O365" s="16">
        <v>46088</v>
      </c>
      <c r="P365" s="24">
        <f>DATEDIF(N365,O365,"M")</f>
        <v>11</v>
      </c>
      <c r="Q365" s="24" t="s">
        <v>157</v>
      </c>
      <c r="R365" s="24" t="s">
        <v>1391</v>
      </c>
      <c r="S365" s="17">
        <v>119.92</v>
      </c>
      <c r="T365" s="18">
        <v>0.9</v>
      </c>
      <c r="U365" s="15" t="s">
        <v>60</v>
      </c>
      <c r="V365" s="15" t="s">
        <v>135</v>
      </c>
      <c r="W365" s="17">
        <v>107.93</v>
      </c>
    </row>
    <row r="366" spans="1:23" s="15" customFormat="1" x14ac:dyDescent="0.25">
      <c r="A366" s="15">
        <v>2027887273</v>
      </c>
      <c r="B366" s="15" t="s">
        <v>995</v>
      </c>
      <c r="C366" s="15" t="s">
        <v>180</v>
      </c>
      <c r="D366" s="15" t="str">
        <f>CONCATENATE(C366," ",B366)</f>
        <v>RYAN OBERG</v>
      </c>
      <c r="E366" s="15" t="s">
        <v>84</v>
      </c>
      <c r="F366" s="15" t="s">
        <v>383</v>
      </c>
      <c r="G366" s="15" t="s">
        <v>843</v>
      </c>
      <c r="H366" s="15" t="s">
        <v>843</v>
      </c>
      <c r="I366" s="21">
        <v>8307933</v>
      </c>
      <c r="J366" s="15" t="s">
        <v>80</v>
      </c>
      <c r="K366" s="15" t="s">
        <v>81</v>
      </c>
      <c r="L366" s="15" t="str">
        <f>CONCATENATE(K366," ",J366)</f>
        <v>GREGORY TEIPEL</v>
      </c>
      <c r="M366" s="15" t="s">
        <v>57</v>
      </c>
      <c r="N366" s="16">
        <v>45754</v>
      </c>
      <c r="O366" s="16">
        <v>46088</v>
      </c>
      <c r="P366" s="24">
        <f>DATEDIF(N366,O366,"M")</f>
        <v>11</v>
      </c>
      <c r="Q366" s="24" t="s">
        <v>157</v>
      </c>
      <c r="R366" s="24" t="s">
        <v>1391</v>
      </c>
      <c r="S366" s="17">
        <v>22.53</v>
      </c>
      <c r="T366" s="18">
        <v>0.42</v>
      </c>
      <c r="U366" s="15" t="s">
        <v>60</v>
      </c>
      <c r="V366" s="15" t="s">
        <v>135</v>
      </c>
      <c r="W366" s="17">
        <v>9.4600000000000009</v>
      </c>
    </row>
    <row r="367" spans="1:23" s="15" customFormat="1" x14ac:dyDescent="0.25">
      <c r="A367" s="15">
        <v>2027642347</v>
      </c>
      <c r="B367" s="15" t="s">
        <v>992</v>
      </c>
      <c r="C367" s="15" t="s">
        <v>370</v>
      </c>
      <c r="D367" s="15" t="str">
        <f>CONCATENATE(C367," ",B367)</f>
        <v>JORDAN PERSON</v>
      </c>
      <c r="E367" s="15" t="s">
        <v>780</v>
      </c>
      <c r="F367" s="15" t="s">
        <v>378</v>
      </c>
      <c r="G367" s="15" t="s">
        <v>379</v>
      </c>
      <c r="H367" s="15" t="s">
        <v>379</v>
      </c>
      <c r="I367" s="21">
        <v>8307933</v>
      </c>
      <c r="J367" s="15" t="s">
        <v>80</v>
      </c>
      <c r="K367" s="15" t="s">
        <v>81</v>
      </c>
      <c r="L367" s="15" t="str">
        <f>CONCATENATE(K367," ",J367)</f>
        <v>GREGORY TEIPEL</v>
      </c>
      <c r="M367" s="15" t="s">
        <v>57</v>
      </c>
      <c r="N367" s="16">
        <v>45754</v>
      </c>
      <c r="O367" s="16">
        <v>46088</v>
      </c>
      <c r="P367" s="24">
        <f>DATEDIF(N367,O367,"M")</f>
        <v>11</v>
      </c>
      <c r="Q367" s="24" t="s">
        <v>157</v>
      </c>
      <c r="R367" s="24" t="s">
        <v>1391</v>
      </c>
      <c r="S367" s="17">
        <v>21.53</v>
      </c>
      <c r="T367" s="18">
        <v>0.38</v>
      </c>
      <c r="U367" s="15" t="s">
        <v>60</v>
      </c>
      <c r="V367" s="15" t="s">
        <v>135</v>
      </c>
      <c r="W367" s="17">
        <v>8.18</v>
      </c>
    </row>
    <row r="368" spans="1:23" s="15" customFormat="1" x14ac:dyDescent="0.25">
      <c r="A368" s="15">
        <v>2027859847</v>
      </c>
      <c r="B368" s="15" t="s">
        <v>993</v>
      </c>
      <c r="C368" s="15" t="s">
        <v>590</v>
      </c>
      <c r="D368" s="15" t="str">
        <f>CONCATENATE(C368," ",B368)</f>
        <v>DONALD BARTRAM</v>
      </c>
      <c r="E368" s="15" t="s">
        <v>84</v>
      </c>
      <c r="F368" s="15" t="s">
        <v>383</v>
      </c>
      <c r="G368" s="15" t="s">
        <v>384</v>
      </c>
      <c r="H368" s="15" t="s">
        <v>384</v>
      </c>
      <c r="I368" s="21">
        <v>8307933</v>
      </c>
      <c r="J368" s="15" t="s">
        <v>80</v>
      </c>
      <c r="K368" s="15" t="s">
        <v>81</v>
      </c>
      <c r="L368" s="15" t="str">
        <f>CONCATENATE(K368," ",J368)</f>
        <v>GREGORY TEIPEL</v>
      </c>
      <c r="M368" s="15" t="s">
        <v>57</v>
      </c>
      <c r="N368" s="16">
        <v>45754</v>
      </c>
      <c r="O368" s="16">
        <v>46088</v>
      </c>
      <c r="P368" s="24">
        <f>DATEDIF(N368,O368,"M")</f>
        <v>11</v>
      </c>
      <c r="Q368" s="24" t="s">
        <v>157</v>
      </c>
      <c r="R368" s="24" t="s">
        <v>1391</v>
      </c>
      <c r="S368" s="17">
        <v>51</v>
      </c>
      <c r="T368" s="18">
        <v>0.7</v>
      </c>
      <c r="U368" s="15" t="s">
        <v>60</v>
      </c>
      <c r="V368" s="15" t="s">
        <v>135</v>
      </c>
      <c r="W368" s="17">
        <v>35.700000000000003</v>
      </c>
    </row>
    <row r="369" spans="1:23" s="15" customFormat="1" x14ac:dyDescent="0.25">
      <c r="A369" s="15">
        <v>2027863480</v>
      </c>
      <c r="B369" s="15" t="s">
        <v>993</v>
      </c>
      <c r="C369" s="15" t="s">
        <v>994</v>
      </c>
      <c r="D369" s="15" t="str">
        <f>CONCATENATE(C369," ",B369)</f>
        <v>BRIDGER BARTRAM</v>
      </c>
      <c r="E369" s="15" t="s">
        <v>84</v>
      </c>
      <c r="F369" s="15" t="s">
        <v>383</v>
      </c>
      <c r="G369" s="15" t="s">
        <v>384</v>
      </c>
      <c r="H369" s="15" t="s">
        <v>384</v>
      </c>
      <c r="I369" s="21">
        <v>8307933</v>
      </c>
      <c r="J369" s="15" t="s">
        <v>80</v>
      </c>
      <c r="K369" s="15" t="s">
        <v>81</v>
      </c>
      <c r="L369" s="15" t="str">
        <f>CONCATENATE(K369," ",J369)</f>
        <v>GREGORY TEIPEL</v>
      </c>
      <c r="M369" s="15" t="s">
        <v>57</v>
      </c>
      <c r="N369" s="16">
        <v>45754</v>
      </c>
      <c r="O369" s="16">
        <v>46088</v>
      </c>
      <c r="P369" s="24">
        <f>DATEDIF(N369,O369,"M")</f>
        <v>11</v>
      </c>
      <c r="Q369" s="24" t="s">
        <v>157</v>
      </c>
      <c r="R369" s="24" t="s">
        <v>1391</v>
      </c>
      <c r="S369" s="17">
        <v>34</v>
      </c>
      <c r="T369" s="18">
        <v>0.7</v>
      </c>
      <c r="U369" s="15" t="s">
        <v>60</v>
      </c>
      <c r="V369" s="15" t="s">
        <v>135</v>
      </c>
      <c r="W369" s="17">
        <v>23.8</v>
      </c>
    </row>
    <row r="370" spans="1:23" s="15" customFormat="1" x14ac:dyDescent="0.25">
      <c r="A370" s="15">
        <v>2027887272</v>
      </c>
      <c r="B370" s="15" t="s">
        <v>995</v>
      </c>
      <c r="C370" s="15" t="s">
        <v>180</v>
      </c>
      <c r="D370" s="15" t="str">
        <f>CONCATENATE(C370," ",B370)</f>
        <v>RYAN OBERG</v>
      </c>
      <c r="E370" s="15" t="s">
        <v>84</v>
      </c>
      <c r="F370" s="15" t="s">
        <v>383</v>
      </c>
      <c r="G370" s="15" t="s">
        <v>384</v>
      </c>
      <c r="H370" s="15" t="s">
        <v>384</v>
      </c>
      <c r="I370" s="21">
        <v>8307933</v>
      </c>
      <c r="J370" s="15" t="s">
        <v>80</v>
      </c>
      <c r="K370" s="15" t="s">
        <v>81</v>
      </c>
      <c r="L370" s="15" t="str">
        <f>CONCATENATE(K370," ",J370)</f>
        <v>GREGORY TEIPEL</v>
      </c>
      <c r="M370" s="15" t="s">
        <v>57</v>
      </c>
      <c r="N370" s="16">
        <v>45754</v>
      </c>
      <c r="O370" s="16">
        <v>46088</v>
      </c>
      <c r="P370" s="24">
        <f>DATEDIF(N370,O370,"M")</f>
        <v>11</v>
      </c>
      <c r="Q370" s="24" t="s">
        <v>157</v>
      </c>
      <c r="R370" s="24" t="s">
        <v>1391</v>
      </c>
      <c r="S370" s="17">
        <v>34</v>
      </c>
      <c r="T370" s="18">
        <v>0.7</v>
      </c>
      <c r="U370" s="15" t="s">
        <v>60</v>
      </c>
      <c r="V370" s="15" t="s">
        <v>135</v>
      </c>
      <c r="W370" s="17">
        <v>23.8</v>
      </c>
    </row>
    <row r="371" spans="1:23" s="15" customFormat="1" x14ac:dyDescent="0.25">
      <c r="A371" s="15">
        <v>2028108469</v>
      </c>
      <c r="B371" s="15" t="s">
        <v>996</v>
      </c>
      <c r="C371" s="15" t="s">
        <v>997</v>
      </c>
      <c r="D371" s="15" t="str">
        <f>CONCATENATE(C371," ",B371)</f>
        <v>CORY BLAIR</v>
      </c>
      <c r="E371" s="15" t="s">
        <v>66</v>
      </c>
      <c r="F371" s="15" t="s">
        <v>383</v>
      </c>
      <c r="G371" s="15" t="s">
        <v>384</v>
      </c>
      <c r="H371" s="15" t="s">
        <v>384</v>
      </c>
      <c r="I371" s="21">
        <v>8307933</v>
      </c>
      <c r="J371" s="15" t="s">
        <v>80</v>
      </c>
      <c r="K371" s="15" t="s">
        <v>81</v>
      </c>
      <c r="L371" s="15" t="str">
        <f>CONCATENATE(K371," ",J371)</f>
        <v>GREGORY TEIPEL</v>
      </c>
      <c r="M371" s="15" t="s">
        <v>57</v>
      </c>
      <c r="N371" s="16">
        <v>45754</v>
      </c>
      <c r="O371" s="16">
        <v>46088</v>
      </c>
      <c r="P371" s="24">
        <f>DATEDIF(N371,O371,"M")</f>
        <v>11</v>
      </c>
      <c r="Q371" s="24" t="s">
        <v>157</v>
      </c>
      <c r="R371" s="24" t="s">
        <v>1391</v>
      </c>
      <c r="S371" s="17">
        <v>198.36</v>
      </c>
      <c r="T371" s="18">
        <v>0.7</v>
      </c>
      <c r="U371" s="15" t="s">
        <v>60</v>
      </c>
      <c r="V371" s="15" t="s">
        <v>135</v>
      </c>
      <c r="W371" s="17">
        <v>138.85</v>
      </c>
    </row>
    <row r="372" spans="1:23" s="15" customFormat="1" x14ac:dyDescent="0.25">
      <c r="A372" s="15">
        <v>2027859846</v>
      </c>
      <c r="B372" s="15" t="s">
        <v>993</v>
      </c>
      <c r="C372" s="15" t="s">
        <v>590</v>
      </c>
      <c r="D372" s="15" t="str">
        <f>CONCATENATE(C372," ",B372)</f>
        <v>DONALD BARTRAM</v>
      </c>
      <c r="E372" s="15" t="s">
        <v>84</v>
      </c>
      <c r="F372" s="15" t="s">
        <v>383</v>
      </c>
      <c r="G372" s="15" t="s">
        <v>385</v>
      </c>
      <c r="H372" s="15" t="s">
        <v>385</v>
      </c>
      <c r="I372" s="21">
        <v>8307933</v>
      </c>
      <c r="J372" s="15" t="s">
        <v>80</v>
      </c>
      <c r="K372" s="15" t="s">
        <v>81</v>
      </c>
      <c r="L372" s="15" t="str">
        <f>CONCATENATE(K372," ",J372)</f>
        <v>GREGORY TEIPEL</v>
      </c>
      <c r="M372" s="15" t="s">
        <v>57</v>
      </c>
      <c r="N372" s="16">
        <v>45754</v>
      </c>
      <c r="O372" s="16">
        <v>46088</v>
      </c>
      <c r="P372" s="24">
        <f>DATEDIF(N372,O372,"M")</f>
        <v>11</v>
      </c>
      <c r="Q372" s="24" t="s">
        <v>157</v>
      </c>
      <c r="R372" s="24" t="s">
        <v>1391</v>
      </c>
      <c r="S372" s="17">
        <v>248.92</v>
      </c>
      <c r="T372" s="18">
        <v>0.9</v>
      </c>
      <c r="U372" s="15" t="s">
        <v>60</v>
      </c>
      <c r="V372" s="15" t="s">
        <v>135</v>
      </c>
      <c r="W372" s="17">
        <v>224.03</v>
      </c>
    </row>
    <row r="373" spans="1:23" s="15" customFormat="1" x14ac:dyDescent="0.25">
      <c r="A373" s="15">
        <v>2027863479</v>
      </c>
      <c r="B373" s="15" t="s">
        <v>993</v>
      </c>
      <c r="C373" s="15" t="s">
        <v>994</v>
      </c>
      <c r="D373" s="15" t="str">
        <f>CONCATENATE(C373," ",B373)</f>
        <v>BRIDGER BARTRAM</v>
      </c>
      <c r="E373" s="15" t="s">
        <v>84</v>
      </c>
      <c r="F373" s="15" t="s">
        <v>383</v>
      </c>
      <c r="G373" s="15" t="s">
        <v>385</v>
      </c>
      <c r="H373" s="15" t="s">
        <v>385</v>
      </c>
      <c r="I373" s="21">
        <v>8307933</v>
      </c>
      <c r="J373" s="15" t="s">
        <v>80</v>
      </c>
      <c r="K373" s="15" t="s">
        <v>81</v>
      </c>
      <c r="L373" s="15" t="str">
        <f>CONCATENATE(K373," ",J373)</f>
        <v>GREGORY TEIPEL</v>
      </c>
      <c r="M373" s="15" t="s">
        <v>57</v>
      </c>
      <c r="N373" s="16">
        <v>45754</v>
      </c>
      <c r="O373" s="16">
        <v>46088</v>
      </c>
      <c r="P373" s="24">
        <f>DATEDIF(N373,O373,"M")</f>
        <v>11</v>
      </c>
      <c r="Q373" s="24" t="s">
        <v>157</v>
      </c>
      <c r="R373" s="24" t="s">
        <v>1391</v>
      </c>
      <c r="S373" s="17">
        <v>26.25</v>
      </c>
      <c r="T373" s="18">
        <v>0.9</v>
      </c>
      <c r="U373" s="15" t="s">
        <v>60</v>
      </c>
      <c r="V373" s="15" t="s">
        <v>135</v>
      </c>
      <c r="W373" s="17">
        <v>23.62</v>
      </c>
    </row>
    <row r="374" spans="1:23" s="15" customFormat="1" x14ac:dyDescent="0.25">
      <c r="A374" s="15">
        <v>2027887271</v>
      </c>
      <c r="B374" s="15" t="s">
        <v>995</v>
      </c>
      <c r="C374" s="15" t="s">
        <v>180</v>
      </c>
      <c r="D374" s="15" t="str">
        <f>CONCATENATE(C374," ",B374)</f>
        <v>RYAN OBERG</v>
      </c>
      <c r="E374" s="15" t="s">
        <v>84</v>
      </c>
      <c r="F374" s="15" t="s">
        <v>383</v>
      </c>
      <c r="G374" s="15" t="s">
        <v>385</v>
      </c>
      <c r="H374" s="15" t="s">
        <v>385</v>
      </c>
      <c r="I374" s="21">
        <v>8307933</v>
      </c>
      <c r="J374" s="15" t="s">
        <v>80</v>
      </c>
      <c r="K374" s="15" t="s">
        <v>81</v>
      </c>
      <c r="L374" s="15" t="str">
        <f>CONCATENATE(K374," ",J374)</f>
        <v>GREGORY TEIPEL</v>
      </c>
      <c r="M374" s="15" t="s">
        <v>57</v>
      </c>
      <c r="N374" s="16">
        <v>45754</v>
      </c>
      <c r="O374" s="16">
        <v>46088</v>
      </c>
      <c r="P374" s="24">
        <f>DATEDIF(N374,O374,"M")</f>
        <v>11</v>
      </c>
      <c r="Q374" s="24" t="s">
        <v>157</v>
      </c>
      <c r="R374" s="24" t="s">
        <v>1391</v>
      </c>
      <c r="S374" s="17">
        <v>35.46</v>
      </c>
      <c r="T374" s="18">
        <v>0.9</v>
      </c>
      <c r="U374" s="15" t="s">
        <v>60</v>
      </c>
      <c r="V374" s="15" t="s">
        <v>135</v>
      </c>
      <c r="W374" s="17">
        <v>31.91</v>
      </c>
    </row>
    <row r="375" spans="1:23" s="15" customFormat="1" x14ac:dyDescent="0.25">
      <c r="A375" s="15">
        <v>2026970603</v>
      </c>
      <c r="B375" s="15" t="s">
        <v>555</v>
      </c>
      <c r="C375" s="15" t="s">
        <v>556</v>
      </c>
      <c r="D375" s="15" t="str">
        <f>CONCATENATE(C375," ",B375)</f>
        <v>TRACY LEE</v>
      </c>
      <c r="E375" s="15" t="s">
        <v>90</v>
      </c>
      <c r="F375" s="15" t="s">
        <v>72</v>
      </c>
      <c r="G375" s="15" t="s">
        <v>79</v>
      </c>
      <c r="H375" s="15" t="s">
        <v>1329</v>
      </c>
      <c r="I375" s="21">
        <v>8307933</v>
      </c>
      <c r="J375" s="15" t="s">
        <v>80</v>
      </c>
      <c r="K375" s="15" t="s">
        <v>81</v>
      </c>
      <c r="L375" s="15" t="str">
        <f>CONCATENATE(K375," ",J375)</f>
        <v>GREGORY TEIPEL</v>
      </c>
      <c r="M375" s="15" t="s">
        <v>57</v>
      </c>
      <c r="N375" s="16">
        <v>45723</v>
      </c>
      <c r="O375" s="16">
        <v>46088</v>
      </c>
      <c r="P375" s="24">
        <f>DATEDIF(N375,O375,"M")</f>
        <v>12</v>
      </c>
      <c r="Q375" s="24" t="s">
        <v>157</v>
      </c>
      <c r="R375" s="24" t="s">
        <v>1391</v>
      </c>
      <c r="S375" s="17">
        <v>132.5</v>
      </c>
      <c r="T375" s="18">
        <v>0.75</v>
      </c>
      <c r="U375" s="15" t="s">
        <v>60</v>
      </c>
      <c r="V375" s="15" t="s">
        <v>135</v>
      </c>
      <c r="W375" s="17">
        <v>99.38</v>
      </c>
    </row>
    <row r="376" spans="1:23" s="15" customFormat="1" x14ac:dyDescent="0.25">
      <c r="A376" s="15">
        <v>2027235546</v>
      </c>
      <c r="B376" s="15" t="s">
        <v>911</v>
      </c>
      <c r="C376" s="15" t="s">
        <v>984</v>
      </c>
      <c r="D376" s="15" t="str">
        <f>CONCATENATE(C376," ",B376)</f>
        <v>TROY CUPPLES</v>
      </c>
      <c r="E376" s="15" t="s">
        <v>353</v>
      </c>
      <c r="F376" s="15" t="s">
        <v>72</v>
      </c>
      <c r="G376" s="15" t="s">
        <v>79</v>
      </c>
      <c r="H376" s="15" t="s">
        <v>1329</v>
      </c>
      <c r="I376" s="21">
        <v>8307933</v>
      </c>
      <c r="J376" s="15" t="s">
        <v>80</v>
      </c>
      <c r="K376" s="15" t="s">
        <v>81</v>
      </c>
      <c r="L376" s="15" t="str">
        <f>CONCATENATE(K376," ",J376)</f>
        <v>GREGORY TEIPEL</v>
      </c>
      <c r="M376" s="15" t="s">
        <v>57</v>
      </c>
      <c r="N376" s="16">
        <v>45723</v>
      </c>
      <c r="O376" s="16">
        <v>46088</v>
      </c>
      <c r="P376" s="24">
        <f>DATEDIF(N376,O376,"M")</f>
        <v>12</v>
      </c>
      <c r="Q376" s="24" t="s">
        <v>157</v>
      </c>
      <c r="R376" s="24" t="s">
        <v>1391</v>
      </c>
      <c r="S376" s="17">
        <v>107.07</v>
      </c>
      <c r="T376" s="18">
        <v>0.75</v>
      </c>
      <c r="U376" s="15" t="s">
        <v>60</v>
      </c>
      <c r="V376" s="15" t="s">
        <v>135</v>
      </c>
      <c r="W376" s="17">
        <v>80.3</v>
      </c>
    </row>
    <row r="377" spans="1:23" s="15" customFormat="1" x14ac:dyDescent="0.25">
      <c r="A377" s="15">
        <v>2027298069</v>
      </c>
      <c r="B377" s="15" t="s">
        <v>985</v>
      </c>
      <c r="C377" s="15" t="s">
        <v>986</v>
      </c>
      <c r="D377" s="15" t="str">
        <f>CONCATENATE(C377," ",B377)</f>
        <v>TYSON OWEN</v>
      </c>
      <c r="E377" s="15" t="s">
        <v>112</v>
      </c>
      <c r="F377" s="15" t="s">
        <v>72</v>
      </c>
      <c r="G377" s="15" t="s">
        <v>79</v>
      </c>
      <c r="H377" s="15" t="s">
        <v>1329</v>
      </c>
      <c r="I377" s="21">
        <v>8307933</v>
      </c>
      <c r="J377" s="15" t="s">
        <v>80</v>
      </c>
      <c r="K377" s="15" t="s">
        <v>81</v>
      </c>
      <c r="L377" s="15" t="str">
        <f>CONCATENATE(K377," ",J377)</f>
        <v>GREGORY TEIPEL</v>
      </c>
      <c r="M377" s="15" t="s">
        <v>57</v>
      </c>
      <c r="N377" s="16">
        <v>45723</v>
      </c>
      <c r="O377" s="16">
        <v>46088</v>
      </c>
      <c r="P377" s="24">
        <f>DATEDIF(N377,O377,"M")</f>
        <v>12</v>
      </c>
      <c r="Q377" s="24" t="s">
        <v>157</v>
      </c>
      <c r="R377" s="24" t="s">
        <v>1391</v>
      </c>
      <c r="S377" s="17">
        <v>45.28</v>
      </c>
      <c r="T377" s="18">
        <v>0.75</v>
      </c>
      <c r="U377" s="15" t="s">
        <v>60</v>
      </c>
      <c r="V377" s="15" t="s">
        <v>135</v>
      </c>
      <c r="W377" s="17">
        <v>33.96</v>
      </c>
    </row>
    <row r="378" spans="1:23" s="15" customFormat="1" x14ac:dyDescent="0.25">
      <c r="A378" s="15">
        <v>2027429540</v>
      </c>
      <c r="B378" s="15" t="s">
        <v>989</v>
      </c>
      <c r="C378" s="15" t="s">
        <v>529</v>
      </c>
      <c r="D378" s="15" t="str">
        <f>CONCATENATE(C378," ",B378)</f>
        <v>STEPHEN NARRELL</v>
      </c>
      <c r="E378" s="15" t="s">
        <v>112</v>
      </c>
      <c r="F378" s="15" t="s">
        <v>72</v>
      </c>
      <c r="G378" s="15" t="s">
        <v>79</v>
      </c>
      <c r="H378" s="15" t="s">
        <v>1329</v>
      </c>
      <c r="I378" s="21">
        <v>8307933</v>
      </c>
      <c r="J378" s="15" t="s">
        <v>80</v>
      </c>
      <c r="K378" s="15" t="s">
        <v>81</v>
      </c>
      <c r="L378" s="15" t="str">
        <f>CONCATENATE(K378," ",J378)</f>
        <v>GREGORY TEIPEL</v>
      </c>
      <c r="M378" s="15" t="s">
        <v>57</v>
      </c>
      <c r="N378" s="16">
        <v>45723</v>
      </c>
      <c r="O378" s="16">
        <v>46088</v>
      </c>
      <c r="P378" s="24">
        <f>DATEDIF(N378,O378,"M")</f>
        <v>12</v>
      </c>
      <c r="Q378" s="24" t="s">
        <v>157</v>
      </c>
      <c r="R378" s="24" t="s">
        <v>1391</v>
      </c>
      <c r="S378" s="17">
        <v>161.83000000000001</v>
      </c>
      <c r="T378" s="18">
        <v>0.75</v>
      </c>
      <c r="U378" s="15" t="s">
        <v>60</v>
      </c>
      <c r="V378" s="15" t="s">
        <v>135</v>
      </c>
      <c r="W378" s="17">
        <v>121.37</v>
      </c>
    </row>
    <row r="379" spans="1:23" s="15" customFormat="1" x14ac:dyDescent="0.25">
      <c r="A379" s="15">
        <v>2027482814</v>
      </c>
      <c r="B379" s="15" t="s">
        <v>444</v>
      </c>
      <c r="C379" s="15" t="s">
        <v>298</v>
      </c>
      <c r="D379" s="15" t="str">
        <f>CONCATENATE(C379," ",B379)</f>
        <v>JAMES BENNETT</v>
      </c>
      <c r="E379" s="15" t="s">
        <v>112</v>
      </c>
      <c r="F379" s="15" t="s">
        <v>72</v>
      </c>
      <c r="G379" s="15" t="s">
        <v>79</v>
      </c>
      <c r="H379" s="15" t="s">
        <v>1329</v>
      </c>
      <c r="I379" s="21">
        <v>8307933</v>
      </c>
      <c r="J379" s="15" t="s">
        <v>80</v>
      </c>
      <c r="K379" s="15" t="s">
        <v>81</v>
      </c>
      <c r="L379" s="15" t="str">
        <f>CONCATENATE(K379," ",J379)</f>
        <v>GREGORY TEIPEL</v>
      </c>
      <c r="M379" s="15" t="s">
        <v>57</v>
      </c>
      <c r="N379" s="16">
        <v>45723</v>
      </c>
      <c r="O379" s="16">
        <v>46088</v>
      </c>
      <c r="P379" s="24">
        <f>DATEDIF(N379,O379,"M")</f>
        <v>12</v>
      </c>
      <c r="Q379" s="24" t="s">
        <v>157</v>
      </c>
      <c r="R379" s="24" t="s">
        <v>1391</v>
      </c>
      <c r="S379" s="17">
        <v>28.75</v>
      </c>
      <c r="T379" s="18">
        <v>0.75</v>
      </c>
      <c r="U379" s="15" t="s">
        <v>60</v>
      </c>
      <c r="V379" s="15" t="s">
        <v>135</v>
      </c>
      <c r="W379" s="17">
        <v>21.56</v>
      </c>
    </row>
    <row r="380" spans="1:23" s="15" customFormat="1" x14ac:dyDescent="0.25">
      <c r="A380" s="15">
        <v>2027235545</v>
      </c>
      <c r="B380" s="15" t="s">
        <v>911</v>
      </c>
      <c r="C380" s="15" t="s">
        <v>984</v>
      </c>
      <c r="D380" s="15" t="str">
        <f>CONCATENATE(C380," ",B380)</f>
        <v>TROY CUPPLES</v>
      </c>
      <c r="E380" s="15" t="s">
        <v>353</v>
      </c>
      <c r="F380" s="15" t="s">
        <v>383</v>
      </c>
      <c r="G380" s="15" t="s">
        <v>384</v>
      </c>
      <c r="H380" s="15" t="s">
        <v>384</v>
      </c>
      <c r="I380" s="21">
        <v>8307933</v>
      </c>
      <c r="J380" s="15" t="s">
        <v>80</v>
      </c>
      <c r="K380" s="15" t="s">
        <v>81</v>
      </c>
      <c r="L380" s="15" t="str">
        <f>CONCATENATE(K380," ",J380)</f>
        <v>GREGORY TEIPEL</v>
      </c>
      <c r="M380" s="15" t="s">
        <v>57</v>
      </c>
      <c r="N380" s="16">
        <v>45723</v>
      </c>
      <c r="O380" s="16">
        <v>46088</v>
      </c>
      <c r="P380" s="24">
        <f>DATEDIF(N380,O380,"M")</f>
        <v>12</v>
      </c>
      <c r="Q380" s="24" t="s">
        <v>157</v>
      </c>
      <c r="R380" s="24" t="s">
        <v>1391</v>
      </c>
      <c r="S380" s="17">
        <v>122.53</v>
      </c>
      <c r="T380" s="18">
        <v>0.7</v>
      </c>
      <c r="U380" s="15" t="s">
        <v>60</v>
      </c>
      <c r="V380" s="15" t="s">
        <v>135</v>
      </c>
      <c r="W380" s="17">
        <v>85.77</v>
      </c>
    </row>
    <row r="381" spans="1:23" s="15" customFormat="1" x14ac:dyDescent="0.25">
      <c r="A381" s="15">
        <v>2027298067</v>
      </c>
      <c r="B381" s="15" t="s">
        <v>985</v>
      </c>
      <c r="C381" s="15" t="s">
        <v>986</v>
      </c>
      <c r="D381" s="15" t="str">
        <f>CONCATENATE(C381," ",B381)</f>
        <v>TYSON OWEN</v>
      </c>
      <c r="E381" s="15" t="s">
        <v>112</v>
      </c>
      <c r="F381" s="15" t="s">
        <v>383</v>
      </c>
      <c r="G381" s="15" t="s">
        <v>384</v>
      </c>
      <c r="H381" s="15" t="s">
        <v>384</v>
      </c>
      <c r="I381" s="21">
        <v>8307933</v>
      </c>
      <c r="J381" s="15" t="s">
        <v>80</v>
      </c>
      <c r="K381" s="15" t="s">
        <v>81</v>
      </c>
      <c r="L381" s="15" t="str">
        <f>CONCATENATE(K381," ",J381)</f>
        <v>GREGORY TEIPEL</v>
      </c>
      <c r="M381" s="15" t="s">
        <v>57</v>
      </c>
      <c r="N381" s="16">
        <v>45723</v>
      </c>
      <c r="O381" s="16">
        <v>46088</v>
      </c>
      <c r="P381" s="24">
        <f>DATEDIF(N381,O381,"M")</f>
        <v>12</v>
      </c>
      <c r="Q381" s="24" t="s">
        <v>157</v>
      </c>
      <c r="R381" s="24" t="s">
        <v>1391</v>
      </c>
      <c r="S381" s="17">
        <v>73.56</v>
      </c>
      <c r="T381" s="18">
        <v>0.7</v>
      </c>
      <c r="U381" s="15" t="s">
        <v>60</v>
      </c>
      <c r="V381" s="15" t="s">
        <v>135</v>
      </c>
      <c r="W381" s="17">
        <v>51.49</v>
      </c>
    </row>
    <row r="382" spans="1:23" s="15" customFormat="1" x14ac:dyDescent="0.25">
      <c r="A382" s="15">
        <v>2027429539</v>
      </c>
      <c r="B382" s="15" t="s">
        <v>989</v>
      </c>
      <c r="C382" s="15" t="s">
        <v>529</v>
      </c>
      <c r="D382" s="15" t="str">
        <f>CONCATENATE(C382," ",B382)</f>
        <v>STEPHEN NARRELL</v>
      </c>
      <c r="E382" s="15" t="s">
        <v>112</v>
      </c>
      <c r="F382" s="15" t="s">
        <v>383</v>
      </c>
      <c r="G382" s="15" t="s">
        <v>384</v>
      </c>
      <c r="H382" s="15" t="s">
        <v>384</v>
      </c>
      <c r="I382" s="21">
        <v>8307933</v>
      </c>
      <c r="J382" s="15" t="s">
        <v>80</v>
      </c>
      <c r="K382" s="15" t="s">
        <v>81</v>
      </c>
      <c r="L382" s="15" t="str">
        <f>CONCATENATE(K382," ",J382)</f>
        <v>GREGORY TEIPEL</v>
      </c>
      <c r="M382" s="15" t="s">
        <v>57</v>
      </c>
      <c r="N382" s="16">
        <v>45723</v>
      </c>
      <c r="O382" s="16">
        <v>46088</v>
      </c>
      <c r="P382" s="24">
        <f>DATEDIF(N382,O382,"M")</f>
        <v>12</v>
      </c>
      <c r="Q382" s="24" t="s">
        <v>157</v>
      </c>
      <c r="R382" s="24" t="s">
        <v>1391</v>
      </c>
      <c r="S382" s="17">
        <v>161.30000000000001</v>
      </c>
      <c r="T382" s="18">
        <v>0.7</v>
      </c>
      <c r="U382" s="15" t="s">
        <v>60</v>
      </c>
      <c r="V382" s="15" t="s">
        <v>135</v>
      </c>
      <c r="W382" s="17">
        <v>112.91</v>
      </c>
    </row>
    <row r="383" spans="1:23" s="15" customFormat="1" x14ac:dyDescent="0.25">
      <c r="A383" s="15">
        <v>2027482812</v>
      </c>
      <c r="B383" s="15" t="s">
        <v>444</v>
      </c>
      <c r="C383" s="15" t="s">
        <v>298</v>
      </c>
      <c r="D383" s="15" t="str">
        <f>CONCATENATE(C383," ",B383)</f>
        <v>JAMES BENNETT</v>
      </c>
      <c r="E383" s="15" t="s">
        <v>112</v>
      </c>
      <c r="F383" s="15" t="s">
        <v>383</v>
      </c>
      <c r="G383" s="15" t="s">
        <v>384</v>
      </c>
      <c r="H383" s="15" t="s">
        <v>384</v>
      </c>
      <c r="I383" s="21">
        <v>8307933</v>
      </c>
      <c r="J383" s="15" t="s">
        <v>80</v>
      </c>
      <c r="K383" s="15" t="s">
        <v>81</v>
      </c>
      <c r="L383" s="15" t="str">
        <f>CONCATENATE(K383," ",J383)</f>
        <v>GREGORY TEIPEL</v>
      </c>
      <c r="M383" s="15" t="s">
        <v>57</v>
      </c>
      <c r="N383" s="16">
        <v>45723</v>
      </c>
      <c r="O383" s="16">
        <v>46088</v>
      </c>
      <c r="P383" s="24">
        <f>DATEDIF(N383,O383,"M")</f>
        <v>12</v>
      </c>
      <c r="Q383" s="24" t="s">
        <v>157</v>
      </c>
      <c r="R383" s="24" t="s">
        <v>1391</v>
      </c>
      <c r="S383" s="17">
        <v>28.73</v>
      </c>
      <c r="T383" s="18">
        <v>0.7</v>
      </c>
      <c r="U383" s="15" t="s">
        <v>60</v>
      </c>
      <c r="V383" s="15" t="s">
        <v>135</v>
      </c>
      <c r="W383" s="17">
        <v>20.11</v>
      </c>
    </row>
    <row r="384" spans="1:23" s="15" customFormat="1" x14ac:dyDescent="0.25">
      <c r="A384" s="15">
        <v>2027482811</v>
      </c>
      <c r="B384" s="15" t="s">
        <v>444</v>
      </c>
      <c r="C384" s="15" t="s">
        <v>298</v>
      </c>
      <c r="D384" s="15" t="str">
        <f>CONCATENATE(C384," ",B384)</f>
        <v>JAMES BENNETT</v>
      </c>
      <c r="E384" s="15" t="s">
        <v>112</v>
      </c>
      <c r="F384" s="15" t="s">
        <v>363</v>
      </c>
      <c r="G384" s="15" t="s">
        <v>364</v>
      </c>
      <c r="H384" s="15" t="s">
        <v>364</v>
      </c>
      <c r="I384" s="21">
        <v>8307933</v>
      </c>
      <c r="J384" s="15" t="s">
        <v>80</v>
      </c>
      <c r="K384" s="15" t="s">
        <v>81</v>
      </c>
      <c r="L384" s="15" t="str">
        <f>CONCATENATE(K384," ",J384)</f>
        <v>GREGORY TEIPEL</v>
      </c>
      <c r="M384" s="15" t="s">
        <v>57</v>
      </c>
      <c r="N384" s="16">
        <v>45723</v>
      </c>
      <c r="O384" s="16">
        <v>46088</v>
      </c>
      <c r="P384" s="24">
        <f>DATEDIF(N384,O384,"M")</f>
        <v>12</v>
      </c>
      <c r="Q384" s="24" t="s">
        <v>157</v>
      </c>
      <c r="R384" s="24" t="s">
        <v>1391</v>
      </c>
      <c r="S384" s="17">
        <v>40.1</v>
      </c>
      <c r="T384" s="25">
        <v>0.375</v>
      </c>
      <c r="U384" s="15" t="s">
        <v>60</v>
      </c>
      <c r="V384" s="15" t="s">
        <v>135</v>
      </c>
      <c r="W384" s="17">
        <v>15.04</v>
      </c>
    </row>
    <row r="385" spans="1:23" s="15" customFormat="1" x14ac:dyDescent="0.25">
      <c r="A385" s="15">
        <v>2027545460</v>
      </c>
      <c r="B385" s="15" t="s">
        <v>693</v>
      </c>
      <c r="C385" s="15" t="s">
        <v>694</v>
      </c>
      <c r="D385" s="15" t="str">
        <f>CONCATENATE(C385," ",B385)</f>
        <v>FRANCHESCA GATZ</v>
      </c>
      <c r="E385" s="15" t="s">
        <v>66</v>
      </c>
      <c r="F385" s="15" t="s">
        <v>363</v>
      </c>
      <c r="G385" s="15" t="s">
        <v>364</v>
      </c>
      <c r="H385" s="15" t="s">
        <v>364</v>
      </c>
      <c r="I385" s="21">
        <v>8307933</v>
      </c>
      <c r="J385" s="15" t="s">
        <v>80</v>
      </c>
      <c r="K385" s="15" t="s">
        <v>81</v>
      </c>
      <c r="L385" s="15" t="str">
        <f>CONCATENATE(K385," ",J385)</f>
        <v>GREGORY TEIPEL</v>
      </c>
      <c r="M385" s="15" t="s">
        <v>57</v>
      </c>
      <c r="N385" s="16">
        <v>45723</v>
      </c>
      <c r="O385" s="16">
        <v>46088</v>
      </c>
      <c r="P385" s="24">
        <f>DATEDIF(N385,O385,"M")</f>
        <v>12</v>
      </c>
      <c r="Q385" s="24" t="s">
        <v>157</v>
      </c>
      <c r="R385" s="24" t="s">
        <v>1391</v>
      </c>
      <c r="S385" s="17">
        <v>48.61</v>
      </c>
      <c r="T385" s="25">
        <v>0.375</v>
      </c>
      <c r="U385" s="15" t="s">
        <v>60</v>
      </c>
      <c r="V385" s="15" t="s">
        <v>135</v>
      </c>
      <c r="W385" s="17">
        <v>18.23</v>
      </c>
    </row>
    <row r="386" spans="1:23" s="15" customFormat="1" x14ac:dyDescent="0.25">
      <c r="A386" s="15">
        <v>2026970604</v>
      </c>
      <c r="B386" s="15" t="s">
        <v>555</v>
      </c>
      <c r="C386" s="15" t="s">
        <v>556</v>
      </c>
      <c r="D386" s="15" t="str">
        <f>CONCATENATE(C386," ",B386)</f>
        <v>TRACY LEE</v>
      </c>
      <c r="E386" s="15" t="s">
        <v>90</v>
      </c>
      <c r="F386" s="15" t="s">
        <v>383</v>
      </c>
      <c r="G386" s="15" t="s">
        <v>385</v>
      </c>
      <c r="H386" s="15" t="s">
        <v>385</v>
      </c>
      <c r="I386" s="21">
        <v>8307933</v>
      </c>
      <c r="J386" s="15" t="s">
        <v>80</v>
      </c>
      <c r="K386" s="15" t="s">
        <v>81</v>
      </c>
      <c r="L386" s="15" t="str">
        <f>CONCATENATE(K386," ",J386)</f>
        <v>GREGORY TEIPEL</v>
      </c>
      <c r="M386" s="15" t="s">
        <v>57</v>
      </c>
      <c r="N386" s="16">
        <v>45723</v>
      </c>
      <c r="O386" s="16">
        <v>46088</v>
      </c>
      <c r="P386" s="24">
        <f>DATEDIF(N386,O386,"M")</f>
        <v>12</v>
      </c>
      <c r="Q386" s="24" t="s">
        <v>157</v>
      </c>
      <c r="R386" s="24" t="s">
        <v>1391</v>
      </c>
      <c r="S386" s="17">
        <v>99.25</v>
      </c>
      <c r="T386" s="18">
        <v>0.9</v>
      </c>
      <c r="U386" s="15" t="s">
        <v>60</v>
      </c>
      <c r="V386" s="15" t="s">
        <v>135</v>
      </c>
      <c r="W386" s="17">
        <v>89.32</v>
      </c>
    </row>
    <row r="387" spans="1:23" s="15" customFormat="1" x14ac:dyDescent="0.25">
      <c r="A387" s="15">
        <v>2027298068</v>
      </c>
      <c r="B387" s="15" t="s">
        <v>985</v>
      </c>
      <c r="C387" s="15" t="s">
        <v>986</v>
      </c>
      <c r="D387" s="15" t="str">
        <f>CONCATENATE(C387," ",B387)</f>
        <v>TYSON OWEN</v>
      </c>
      <c r="E387" s="15" t="s">
        <v>112</v>
      </c>
      <c r="F387" s="15" t="s">
        <v>383</v>
      </c>
      <c r="G387" s="15" t="s">
        <v>385</v>
      </c>
      <c r="H387" s="15" t="s">
        <v>385</v>
      </c>
      <c r="I387" s="21">
        <v>8307933</v>
      </c>
      <c r="J387" s="15" t="s">
        <v>80</v>
      </c>
      <c r="K387" s="15" t="s">
        <v>81</v>
      </c>
      <c r="L387" s="15" t="str">
        <f>CONCATENATE(K387," ",J387)</f>
        <v>GREGORY TEIPEL</v>
      </c>
      <c r="M387" s="15" t="s">
        <v>57</v>
      </c>
      <c r="N387" s="16">
        <v>45723</v>
      </c>
      <c r="O387" s="16">
        <v>46088</v>
      </c>
      <c r="P387" s="24">
        <f>DATEDIF(N387,O387,"M")</f>
        <v>12</v>
      </c>
      <c r="Q387" s="24" t="s">
        <v>157</v>
      </c>
      <c r="R387" s="24" t="s">
        <v>1391</v>
      </c>
      <c r="S387" s="17">
        <v>64.92</v>
      </c>
      <c r="T387" s="18">
        <v>0.9</v>
      </c>
      <c r="U387" s="15" t="s">
        <v>60</v>
      </c>
      <c r="V387" s="15" t="s">
        <v>135</v>
      </c>
      <c r="W387" s="17">
        <v>58.43</v>
      </c>
    </row>
    <row r="388" spans="1:23" s="15" customFormat="1" x14ac:dyDescent="0.25">
      <c r="A388" s="15">
        <v>2027482813</v>
      </c>
      <c r="B388" s="15" t="s">
        <v>444</v>
      </c>
      <c r="C388" s="15" t="s">
        <v>298</v>
      </c>
      <c r="D388" s="15" t="str">
        <f>CONCATENATE(C388," ",B388)</f>
        <v>JAMES BENNETT</v>
      </c>
      <c r="E388" s="15" t="s">
        <v>112</v>
      </c>
      <c r="F388" s="15" t="s">
        <v>383</v>
      </c>
      <c r="G388" s="15" t="s">
        <v>385</v>
      </c>
      <c r="H388" s="15" t="s">
        <v>385</v>
      </c>
      <c r="I388" s="21">
        <v>8307933</v>
      </c>
      <c r="J388" s="15" t="s">
        <v>80</v>
      </c>
      <c r="K388" s="15" t="s">
        <v>81</v>
      </c>
      <c r="L388" s="15" t="str">
        <f>CONCATENATE(K388," ",J388)</f>
        <v>GREGORY TEIPEL</v>
      </c>
      <c r="M388" s="15" t="s">
        <v>57</v>
      </c>
      <c r="N388" s="16">
        <v>45723</v>
      </c>
      <c r="O388" s="16">
        <v>46088</v>
      </c>
      <c r="P388" s="24">
        <f>DATEDIF(N388,O388,"M")</f>
        <v>12</v>
      </c>
      <c r="Q388" s="24" t="s">
        <v>157</v>
      </c>
      <c r="R388" s="24" t="s">
        <v>1391</v>
      </c>
      <c r="S388" s="17">
        <v>29.25</v>
      </c>
      <c r="T388" s="18">
        <v>0.9</v>
      </c>
      <c r="U388" s="15" t="s">
        <v>60</v>
      </c>
      <c r="V388" s="15" t="s">
        <v>135</v>
      </c>
      <c r="W388" s="17">
        <v>26.32</v>
      </c>
    </row>
    <row r="389" spans="1:23" s="15" customFormat="1" x14ac:dyDescent="0.25">
      <c r="A389" s="15">
        <v>2027545459</v>
      </c>
      <c r="B389" s="15" t="s">
        <v>693</v>
      </c>
      <c r="C389" s="15" t="s">
        <v>694</v>
      </c>
      <c r="D389" s="15" t="str">
        <f>CONCATENATE(C389," ",B389)</f>
        <v>FRANCHESCA GATZ</v>
      </c>
      <c r="E389" s="15" t="s">
        <v>66</v>
      </c>
      <c r="F389" s="15" t="s">
        <v>383</v>
      </c>
      <c r="G389" s="15" t="s">
        <v>385</v>
      </c>
      <c r="H389" s="15" t="s">
        <v>385</v>
      </c>
      <c r="I389" s="21">
        <v>8307933</v>
      </c>
      <c r="J389" s="15" t="s">
        <v>80</v>
      </c>
      <c r="K389" s="15" t="s">
        <v>81</v>
      </c>
      <c r="L389" s="15" t="str">
        <f>CONCATENATE(K389," ",J389)</f>
        <v>GREGORY TEIPEL</v>
      </c>
      <c r="M389" s="15" t="s">
        <v>57</v>
      </c>
      <c r="N389" s="16">
        <v>45723</v>
      </c>
      <c r="O389" s="16">
        <v>46088</v>
      </c>
      <c r="P389" s="24">
        <f>DATEDIF(N389,O389,"M")</f>
        <v>12</v>
      </c>
      <c r="Q389" s="24" t="s">
        <v>157</v>
      </c>
      <c r="R389" s="24" t="s">
        <v>1391</v>
      </c>
      <c r="S389" s="17">
        <v>25</v>
      </c>
      <c r="T389" s="18">
        <v>0.9</v>
      </c>
      <c r="U389" s="15" t="s">
        <v>60</v>
      </c>
      <c r="V389" s="15" t="s">
        <v>135</v>
      </c>
      <c r="W389" s="17">
        <v>22.5</v>
      </c>
    </row>
    <row r="390" spans="1:23" s="15" customFormat="1" x14ac:dyDescent="0.25">
      <c r="A390" s="15">
        <v>2026698497</v>
      </c>
      <c r="B390" s="15" t="s">
        <v>552</v>
      </c>
      <c r="C390" s="15" t="s">
        <v>553</v>
      </c>
      <c r="D390" s="15" t="str">
        <f>CONCATENATE(C390," ",B390)</f>
        <v>LINDSAY OTT</v>
      </c>
      <c r="E390" s="15" t="s">
        <v>78</v>
      </c>
      <c r="F390" s="15" t="s">
        <v>378</v>
      </c>
      <c r="G390" s="15" t="s">
        <v>380</v>
      </c>
      <c r="H390" s="15" t="s">
        <v>380</v>
      </c>
      <c r="I390" s="21">
        <v>8307933</v>
      </c>
      <c r="J390" s="15" t="s">
        <v>80</v>
      </c>
      <c r="K390" s="15" t="s">
        <v>81</v>
      </c>
      <c r="L390" s="15" t="str">
        <f>CONCATENATE(K390," ",J390)</f>
        <v>GREGORY TEIPEL</v>
      </c>
      <c r="M390" s="15" t="s">
        <v>57</v>
      </c>
      <c r="N390" s="16">
        <v>45695</v>
      </c>
      <c r="O390" s="16">
        <v>46088</v>
      </c>
      <c r="P390" s="24">
        <f>DATEDIF(N390,O390,"M")</f>
        <v>13</v>
      </c>
      <c r="Q390" s="24" t="s">
        <v>157</v>
      </c>
      <c r="R390" s="24" t="s">
        <v>1391</v>
      </c>
      <c r="S390" s="17">
        <v>79.13</v>
      </c>
      <c r="T390" s="18">
        <v>0.1</v>
      </c>
      <c r="U390" s="15" t="s">
        <v>157</v>
      </c>
      <c r="V390" s="15" t="s">
        <v>135</v>
      </c>
      <c r="W390" s="17">
        <v>7.91</v>
      </c>
    </row>
    <row r="391" spans="1:23" s="15" customFormat="1" x14ac:dyDescent="0.25">
      <c r="A391" s="15">
        <v>2026498048</v>
      </c>
      <c r="B391" s="15" t="s">
        <v>538</v>
      </c>
      <c r="C391" s="15" t="s">
        <v>539</v>
      </c>
      <c r="D391" s="15" t="str">
        <f>CONCATENATE(C391," ",B391)</f>
        <v>YVETTE BECERRA</v>
      </c>
      <c r="E391" s="15" t="s">
        <v>90</v>
      </c>
      <c r="F391" s="15" t="s">
        <v>72</v>
      </c>
      <c r="G391" s="15" t="s">
        <v>79</v>
      </c>
      <c r="H391" s="15" t="s">
        <v>1329</v>
      </c>
      <c r="I391" s="21">
        <v>8307933</v>
      </c>
      <c r="J391" s="15" t="s">
        <v>80</v>
      </c>
      <c r="K391" s="15" t="s">
        <v>81</v>
      </c>
      <c r="L391" s="15" t="str">
        <f>CONCATENATE(K391," ",J391)</f>
        <v>GREGORY TEIPEL</v>
      </c>
      <c r="M391" s="15" t="s">
        <v>57</v>
      </c>
      <c r="N391" s="16">
        <v>45695</v>
      </c>
      <c r="O391" s="16">
        <v>46088</v>
      </c>
      <c r="P391" s="24">
        <f>DATEDIF(N391,O391,"M")</f>
        <v>13</v>
      </c>
      <c r="Q391" s="24" t="s">
        <v>157</v>
      </c>
      <c r="R391" s="24" t="s">
        <v>1391</v>
      </c>
      <c r="S391" s="17">
        <v>160.30000000000001</v>
      </c>
      <c r="T391" s="18">
        <v>0.1</v>
      </c>
      <c r="U391" s="15" t="s">
        <v>157</v>
      </c>
      <c r="V391" s="15" t="s">
        <v>135</v>
      </c>
      <c r="W391" s="17">
        <v>16.03</v>
      </c>
    </row>
    <row r="392" spans="1:23" s="15" customFormat="1" x14ac:dyDescent="0.25">
      <c r="A392" s="15">
        <v>2026544306</v>
      </c>
      <c r="B392" s="15" t="s">
        <v>541</v>
      </c>
      <c r="C392" s="15" t="s">
        <v>98</v>
      </c>
      <c r="D392" s="15" t="str">
        <f>CONCATENATE(C392," ",B392)</f>
        <v>LARA VAUGHN</v>
      </c>
      <c r="E392" s="15" t="s">
        <v>78</v>
      </c>
      <c r="F392" s="15" t="s">
        <v>72</v>
      </c>
      <c r="G392" s="15" t="s">
        <v>79</v>
      </c>
      <c r="H392" s="15" t="s">
        <v>1329</v>
      </c>
      <c r="I392" s="21">
        <v>8307933</v>
      </c>
      <c r="J392" s="15" t="s">
        <v>80</v>
      </c>
      <c r="K392" s="15" t="s">
        <v>81</v>
      </c>
      <c r="L392" s="15" t="str">
        <f>CONCATENATE(K392," ",J392)</f>
        <v>GREGORY TEIPEL</v>
      </c>
      <c r="M392" s="15" t="s">
        <v>57</v>
      </c>
      <c r="N392" s="16">
        <v>45695</v>
      </c>
      <c r="O392" s="16">
        <v>46088</v>
      </c>
      <c r="P392" s="24">
        <f>DATEDIF(N392,O392,"M")</f>
        <v>13</v>
      </c>
      <c r="Q392" s="24" t="s">
        <v>157</v>
      </c>
      <c r="R392" s="24" t="s">
        <v>1391</v>
      </c>
      <c r="S392" s="17">
        <v>189.31</v>
      </c>
      <c r="T392" s="18">
        <v>0.1</v>
      </c>
      <c r="U392" s="15" t="s">
        <v>157</v>
      </c>
      <c r="V392" s="15" t="s">
        <v>135</v>
      </c>
      <c r="W392" s="17">
        <v>18.93</v>
      </c>
    </row>
    <row r="393" spans="1:23" s="15" customFormat="1" x14ac:dyDescent="0.25">
      <c r="A393" s="15">
        <v>2026599464</v>
      </c>
      <c r="B393" s="15" t="s">
        <v>542</v>
      </c>
      <c r="C393" s="15" t="s">
        <v>543</v>
      </c>
      <c r="D393" s="15" t="str">
        <f>CONCATENATE(C393," ",B393)</f>
        <v>CARLOS VALENZUELA</v>
      </c>
      <c r="E393" s="15" t="s">
        <v>147</v>
      </c>
      <c r="F393" s="15" t="s">
        <v>72</v>
      </c>
      <c r="G393" s="15" t="s">
        <v>79</v>
      </c>
      <c r="H393" s="15" t="s">
        <v>1329</v>
      </c>
      <c r="I393" s="21">
        <v>8307933</v>
      </c>
      <c r="J393" s="15" t="s">
        <v>80</v>
      </c>
      <c r="K393" s="15" t="s">
        <v>81</v>
      </c>
      <c r="L393" s="15" t="str">
        <f>CONCATENATE(K393," ",J393)</f>
        <v>GREGORY TEIPEL</v>
      </c>
      <c r="M393" s="15" t="s">
        <v>57</v>
      </c>
      <c r="N393" s="16">
        <v>45695</v>
      </c>
      <c r="O393" s="16">
        <v>46088</v>
      </c>
      <c r="P393" s="24">
        <f>DATEDIF(N393,O393,"M")</f>
        <v>13</v>
      </c>
      <c r="Q393" s="24" t="s">
        <v>157</v>
      </c>
      <c r="R393" s="24" t="s">
        <v>1391</v>
      </c>
      <c r="S393" s="17">
        <v>64.23</v>
      </c>
      <c r="T393" s="18">
        <v>0.1</v>
      </c>
      <c r="U393" s="15" t="s">
        <v>157</v>
      </c>
      <c r="V393" s="15" t="s">
        <v>135</v>
      </c>
      <c r="W393" s="17">
        <v>6.42</v>
      </c>
    </row>
    <row r="394" spans="1:23" s="15" customFormat="1" x14ac:dyDescent="0.25">
      <c r="A394" s="15">
        <v>2026617927</v>
      </c>
      <c r="B394" s="15" t="s">
        <v>544</v>
      </c>
      <c r="C394" s="15" t="s">
        <v>545</v>
      </c>
      <c r="D394" s="15" t="str">
        <f>CONCATENATE(C394," ",B394)</f>
        <v>MARY HARRIS-HERNANDEZ</v>
      </c>
      <c r="E394" s="15" t="s">
        <v>90</v>
      </c>
      <c r="F394" s="15" t="s">
        <v>72</v>
      </c>
      <c r="G394" s="15" t="s">
        <v>79</v>
      </c>
      <c r="H394" s="15" t="s">
        <v>1329</v>
      </c>
      <c r="I394" s="21">
        <v>8307933</v>
      </c>
      <c r="J394" s="15" t="s">
        <v>80</v>
      </c>
      <c r="K394" s="15" t="s">
        <v>81</v>
      </c>
      <c r="L394" s="15" t="str">
        <f>CONCATENATE(K394," ",J394)</f>
        <v>GREGORY TEIPEL</v>
      </c>
      <c r="M394" s="15" t="s">
        <v>57</v>
      </c>
      <c r="N394" s="16">
        <v>45695</v>
      </c>
      <c r="O394" s="16">
        <v>46088</v>
      </c>
      <c r="P394" s="24">
        <f>DATEDIF(N394,O394,"M")</f>
        <v>13</v>
      </c>
      <c r="Q394" s="24" t="s">
        <v>157</v>
      </c>
      <c r="R394" s="24" t="s">
        <v>1391</v>
      </c>
      <c r="S394" s="17">
        <v>71.63</v>
      </c>
      <c r="T394" s="18">
        <v>0.1</v>
      </c>
      <c r="U394" s="15" t="s">
        <v>157</v>
      </c>
      <c r="V394" s="15" t="s">
        <v>135</v>
      </c>
      <c r="W394" s="17">
        <v>7.16</v>
      </c>
    </row>
    <row r="395" spans="1:23" s="15" customFormat="1" x14ac:dyDescent="0.25">
      <c r="A395" s="15">
        <v>2026628668</v>
      </c>
      <c r="B395" s="15" t="s">
        <v>546</v>
      </c>
      <c r="C395" s="15" t="s">
        <v>180</v>
      </c>
      <c r="D395" s="15" t="str">
        <f>CONCATENATE(C395," ",B395)</f>
        <v>RYAN HERRICK</v>
      </c>
      <c r="E395" s="15" t="s">
        <v>66</v>
      </c>
      <c r="F395" s="15" t="s">
        <v>72</v>
      </c>
      <c r="G395" s="15" t="s">
        <v>79</v>
      </c>
      <c r="H395" s="15" t="s">
        <v>1329</v>
      </c>
      <c r="I395" s="21">
        <v>8307933</v>
      </c>
      <c r="J395" s="15" t="s">
        <v>80</v>
      </c>
      <c r="K395" s="15" t="s">
        <v>81</v>
      </c>
      <c r="L395" s="15" t="str">
        <f>CONCATENATE(K395," ",J395)</f>
        <v>GREGORY TEIPEL</v>
      </c>
      <c r="M395" s="15" t="s">
        <v>57</v>
      </c>
      <c r="N395" s="16">
        <v>45695</v>
      </c>
      <c r="O395" s="16">
        <v>46088</v>
      </c>
      <c r="P395" s="24">
        <f>DATEDIF(N395,O395,"M")</f>
        <v>13</v>
      </c>
      <c r="Q395" s="24" t="s">
        <v>157</v>
      </c>
      <c r="R395" s="24" t="s">
        <v>1391</v>
      </c>
      <c r="S395" s="17">
        <v>39.4</v>
      </c>
      <c r="T395" s="18">
        <v>0.1</v>
      </c>
      <c r="U395" s="15" t="s">
        <v>157</v>
      </c>
      <c r="V395" s="15" t="s">
        <v>135</v>
      </c>
      <c r="W395" s="17">
        <v>3.94</v>
      </c>
    </row>
    <row r="396" spans="1:23" s="15" customFormat="1" x14ac:dyDescent="0.25">
      <c r="A396" s="15">
        <v>2026637122</v>
      </c>
      <c r="B396" s="15" t="s">
        <v>547</v>
      </c>
      <c r="C396" s="15" t="s">
        <v>302</v>
      </c>
      <c r="D396" s="15" t="str">
        <f>CONCATENATE(C396," ",B396)</f>
        <v>ERIC JOHNSON</v>
      </c>
      <c r="E396" s="15" t="s">
        <v>353</v>
      </c>
      <c r="F396" s="15" t="s">
        <v>72</v>
      </c>
      <c r="G396" s="15" t="s">
        <v>79</v>
      </c>
      <c r="H396" s="15" t="s">
        <v>1329</v>
      </c>
      <c r="I396" s="21">
        <v>8307933</v>
      </c>
      <c r="J396" s="15" t="s">
        <v>80</v>
      </c>
      <c r="K396" s="15" t="s">
        <v>81</v>
      </c>
      <c r="L396" s="15" t="str">
        <f>CONCATENATE(K396," ",J396)</f>
        <v>GREGORY TEIPEL</v>
      </c>
      <c r="M396" s="15" t="s">
        <v>57</v>
      </c>
      <c r="N396" s="16">
        <v>45695</v>
      </c>
      <c r="O396" s="16">
        <v>46088</v>
      </c>
      <c r="P396" s="24">
        <f>DATEDIF(N396,O396,"M")</f>
        <v>13</v>
      </c>
      <c r="Q396" s="24" t="s">
        <v>157</v>
      </c>
      <c r="R396" s="24" t="s">
        <v>1391</v>
      </c>
      <c r="S396" s="17">
        <v>92.48</v>
      </c>
      <c r="T396" s="18">
        <v>0.1</v>
      </c>
      <c r="U396" s="15" t="s">
        <v>157</v>
      </c>
      <c r="V396" s="15" t="s">
        <v>135</v>
      </c>
      <c r="W396" s="17">
        <v>9.25</v>
      </c>
    </row>
    <row r="397" spans="1:23" s="15" customFormat="1" x14ac:dyDescent="0.25">
      <c r="A397" s="15">
        <v>2026655555</v>
      </c>
      <c r="B397" s="15" t="s">
        <v>548</v>
      </c>
      <c r="C397" s="15" t="s">
        <v>298</v>
      </c>
      <c r="D397" s="15" t="str">
        <f>CONCATENATE(C397," ",B397)</f>
        <v>JAMES MARIS</v>
      </c>
      <c r="E397" s="15" t="s">
        <v>66</v>
      </c>
      <c r="F397" s="15" t="s">
        <v>72</v>
      </c>
      <c r="G397" s="15" t="s">
        <v>79</v>
      </c>
      <c r="H397" s="15" t="s">
        <v>1329</v>
      </c>
      <c r="I397" s="21">
        <v>8307933</v>
      </c>
      <c r="J397" s="15" t="s">
        <v>80</v>
      </c>
      <c r="K397" s="15" t="s">
        <v>81</v>
      </c>
      <c r="L397" s="15" t="str">
        <f>CONCATENATE(K397," ",J397)</f>
        <v>GREGORY TEIPEL</v>
      </c>
      <c r="M397" s="15" t="s">
        <v>57</v>
      </c>
      <c r="N397" s="16">
        <v>45695</v>
      </c>
      <c r="O397" s="16">
        <v>46088</v>
      </c>
      <c r="P397" s="24">
        <f>DATEDIF(N397,O397,"M")</f>
        <v>13</v>
      </c>
      <c r="Q397" s="24" t="s">
        <v>157</v>
      </c>
      <c r="R397" s="24" t="s">
        <v>1391</v>
      </c>
      <c r="S397" s="17">
        <v>193.9</v>
      </c>
      <c r="T397" s="18">
        <v>0.1</v>
      </c>
      <c r="U397" s="15" t="s">
        <v>157</v>
      </c>
      <c r="V397" s="15" t="s">
        <v>135</v>
      </c>
      <c r="W397" s="17">
        <v>19.39</v>
      </c>
    </row>
    <row r="398" spans="1:23" s="15" customFormat="1" x14ac:dyDescent="0.25">
      <c r="A398" s="15">
        <v>2026680615</v>
      </c>
      <c r="B398" s="15" t="s">
        <v>547</v>
      </c>
      <c r="C398" s="15" t="s">
        <v>549</v>
      </c>
      <c r="D398" s="15" t="str">
        <f>CONCATENATE(C398," ",B398)</f>
        <v>JERRI JOHNSON</v>
      </c>
      <c r="E398" s="15" t="s">
        <v>333</v>
      </c>
      <c r="F398" s="15" t="s">
        <v>72</v>
      </c>
      <c r="G398" s="15" t="s">
        <v>79</v>
      </c>
      <c r="H398" s="15" t="s">
        <v>1329</v>
      </c>
      <c r="I398" s="21">
        <v>8307933</v>
      </c>
      <c r="J398" s="15" t="s">
        <v>80</v>
      </c>
      <c r="K398" s="15" t="s">
        <v>81</v>
      </c>
      <c r="L398" s="15" t="str">
        <f>CONCATENATE(K398," ",J398)</f>
        <v>GREGORY TEIPEL</v>
      </c>
      <c r="M398" s="15" t="s">
        <v>57</v>
      </c>
      <c r="N398" s="16">
        <v>45695</v>
      </c>
      <c r="O398" s="16">
        <v>46088</v>
      </c>
      <c r="P398" s="24">
        <f>DATEDIF(N398,O398,"M")</f>
        <v>13</v>
      </c>
      <c r="Q398" s="24" t="s">
        <v>157</v>
      </c>
      <c r="R398" s="24" t="s">
        <v>1391</v>
      </c>
      <c r="S398" s="17">
        <v>31.75</v>
      </c>
      <c r="T398" s="18">
        <v>0.1</v>
      </c>
      <c r="U398" s="15" t="s">
        <v>157</v>
      </c>
      <c r="V398" s="15" t="s">
        <v>135</v>
      </c>
      <c r="W398" s="17">
        <v>3.18</v>
      </c>
    </row>
    <row r="399" spans="1:23" s="15" customFormat="1" x14ac:dyDescent="0.25">
      <c r="A399" s="15">
        <v>2026682347</v>
      </c>
      <c r="B399" s="15" t="s">
        <v>550</v>
      </c>
      <c r="C399" s="15" t="s">
        <v>551</v>
      </c>
      <c r="D399" s="15" t="str">
        <f>CONCATENATE(C399," ",B399)</f>
        <v>ANGELA MARKSBERRY</v>
      </c>
      <c r="E399" s="15" t="s">
        <v>66</v>
      </c>
      <c r="F399" s="15" t="s">
        <v>72</v>
      </c>
      <c r="G399" s="15" t="s">
        <v>79</v>
      </c>
      <c r="H399" s="15" t="s">
        <v>1329</v>
      </c>
      <c r="I399" s="21">
        <v>8307933</v>
      </c>
      <c r="J399" s="15" t="s">
        <v>80</v>
      </c>
      <c r="K399" s="15" t="s">
        <v>81</v>
      </c>
      <c r="L399" s="15" t="str">
        <f>CONCATENATE(K399," ",J399)</f>
        <v>GREGORY TEIPEL</v>
      </c>
      <c r="M399" s="15" t="s">
        <v>57</v>
      </c>
      <c r="N399" s="16">
        <v>45695</v>
      </c>
      <c r="O399" s="16">
        <v>46088</v>
      </c>
      <c r="P399" s="24">
        <f>DATEDIF(N399,O399,"M")</f>
        <v>13</v>
      </c>
      <c r="Q399" s="24" t="s">
        <v>157</v>
      </c>
      <c r="R399" s="24" t="s">
        <v>1391</v>
      </c>
      <c r="S399" s="17">
        <v>21.78</v>
      </c>
      <c r="T399" s="18">
        <v>0.1</v>
      </c>
      <c r="U399" s="15" t="s">
        <v>157</v>
      </c>
      <c r="V399" s="15" t="s">
        <v>135</v>
      </c>
      <c r="W399" s="17">
        <v>2.1800000000000002</v>
      </c>
    </row>
    <row r="400" spans="1:23" s="15" customFormat="1" x14ac:dyDescent="0.25">
      <c r="A400" s="15">
        <v>2026698496</v>
      </c>
      <c r="B400" s="15" t="s">
        <v>552</v>
      </c>
      <c r="C400" s="15" t="s">
        <v>553</v>
      </c>
      <c r="D400" s="15" t="str">
        <f>CONCATENATE(C400," ",B400)</f>
        <v>LINDSAY OTT</v>
      </c>
      <c r="E400" s="15" t="s">
        <v>78</v>
      </c>
      <c r="F400" s="15" t="s">
        <v>72</v>
      </c>
      <c r="G400" s="15" t="s">
        <v>79</v>
      </c>
      <c r="H400" s="15" t="s">
        <v>1329</v>
      </c>
      <c r="I400" s="21">
        <v>8307933</v>
      </c>
      <c r="J400" s="15" t="s">
        <v>80</v>
      </c>
      <c r="K400" s="15" t="s">
        <v>81</v>
      </c>
      <c r="L400" s="15" t="str">
        <f>CONCATENATE(K400," ",J400)</f>
        <v>GREGORY TEIPEL</v>
      </c>
      <c r="M400" s="15" t="s">
        <v>57</v>
      </c>
      <c r="N400" s="16">
        <v>45695</v>
      </c>
      <c r="O400" s="16">
        <v>46088</v>
      </c>
      <c r="P400" s="24">
        <f>DATEDIF(N400,O400,"M")</f>
        <v>13</v>
      </c>
      <c r="Q400" s="24" t="s">
        <v>157</v>
      </c>
      <c r="R400" s="24" t="s">
        <v>1391</v>
      </c>
      <c r="S400" s="17">
        <v>37.979999999999997</v>
      </c>
      <c r="T400" s="18">
        <v>0.1</v>
      </c>
      <c r="U400" s="15" t="s">
        <v>157</v>
      </c>
      <c r="V400" s="15" t="s">
        <v>135</v>
      </c>
      <c r="W400" s="17">
        <v>3.8</v>
      </c>
    </row>
    <row r="401" spans="1:23" s="15" customFormat="1" x14ac:dyDescent="0.25">
      <c r="A401" s="15">
        <v>2026832449</v>
      </c>
      <c r="B401" s="15" t="s">
        <v>74</v>
      </c>
      <c r="C401" s="15" t="s">
        <v>172</v>
      </c>
      <c r="D401" s="15" t="str">
        <f>CONCATENATE(C401," ",B401)</f>
        <v>ADAM DAUGHERTY</v>
      </c>
      <c r="E401" s="15" t="s">
        <v>96</v>
      </c>
      <c r="F401" s="15" t="s">
        <v>72</v>
      </c>
      <c r="G401" s="15" t="s">
        <v>79</v>
      </c>
      <c r="H401" s="15" t="s">
        <v>1329</v>
      </c>
      <c r="I401" s="21">
        <v>8307933</v>
      </c>
      <c r="J401" s="15" t="s">
        <v>80</v>
      </c>
      <c r="K401" s="15" t="s">
        <v>81</v>
      </c>
      <c r="L401" s="15" t="str">
        <f>CONCATENATE(K401," ",J401)</f>
        <v>GREGORY TEIPEL</v>
      </c>
      <c r="M401" s="15" t="s">
        <v>57</v>
      </c>
      <c r="N401" s="16">
        <v>45695</v>
      </c>
      <c r="O401" s="16">
        <v>46088</v>
      </c>
      <c r="P401" s="24">
        <f>DATEDIF(N401,O401,"M")</f>
        <v>13</v>
      </c>
      <c r="Q401" s="24" t="s">
        <v>157</v>
      </c>
      <c r="R401" s="24" t="s">
        <v>1391</v>
      </c>
      <c r="S401" s="17">
        <v>33.159999999999997</v>
      </c>
      <c r="T401" s="18">
        <v>0.1</v>
      </c>
      <c r="U401" s="15" t="s">
        <v>157</v>
      </c>
      <c r="V401" s="15" t="s">
        <v>135</v>
      </c>
      <c r="W401" s="17">
        <v>3.32</v>
      </c>
    </row>
    <row r="402" spans="1:23" s="15" customFormat="1" x14ac:dyDescent="0.25">
      <c r="A402" s="15">
        <v>2026521339</v>
      </c>
      <c r="B402" s="15" t="s">
        <v>50</v>
      </c>
      <c r="C402" s="15" t="s">
        <v>540</v>
      </c>
      <c r="D402" s="15" t="str">
        <f>CONCATENATE(C402," ",B402)</f>
        <v>AMANDA LEWIS</v>
      </c>
      <c r="E402" s="15" t="s">
        <v>78</v>
      </c>
      <c r="F402" s="15" t="s">
        <v>72</v>
      </c>
      <c r="G402" s="15" t="s">
        <v>93</v>
      </c>
      <c r="H402" s="15" t="s">
        <v>1332</v>
      </c>
      <c r="I402" s="21">
        <v>8307933</v>
      </c>
      <c r="J402" s="15" t="s">
        <v>80</v>
      </c>
      <c r="K402" s="15" t="s">
        <v>81</v>
      </c>
      <c r="L402" s="15" t="str">
        <f>CONCATENATE(K402," ",J402)</f>
        <v>GREGORY TEIPEL</v>
      </c>
      <c r="M402" s="15" t="s">
        <v>57</v>
      </c>
      <c r="N402" s="16">
        <v>45695</v>
      </c>
      <c r="O402" s="16">
        <v>46088</v>
      </c>
      <c r="P402" s="24">
        <f>DATEDIF(N402,O402,"M")</f>
        <v>13</v>
      </c>
      <c r="Q402" s="24" t="s">
        <v>157</v>
      </c>
      <c r="R402" s="24" t="s">
        <v>1391</v>
      </c>
      <c r="S402" s="17">
        <v>171.34</v>
      </c>
      <c r="T402" s="18">
        <v>0.1</v>
      </c>
      <c r="U402" s="15" t="s">
        <v>157</v>
      </c>
      <c r="V402" s="15" t="s">
        <v>135</v>
      </c>
      <c r="W402" s="17">
        <v>17.13</v>
      </c>
    </row>
    <row r="403" spans="1:23" s="15" customFormat="1" x14ac:dyDescent="0.25">
      <c r="A403" s="15">
        <v>2026683722</v>
      </c>
      <c r="B403" s="15" t="s">
        <v>480</v>
      </c>
      <c r="C403" s="15" t="s">
        <v>65</v>
      </c>
      <c r="D403" s="15" t="str">
        <f>CONCATENATE(C403," ",B403)</f>
        <v>SCOTT BLACKLEDGE</v>
      </c>
      <c r="E403" s="15" t="s">
        <v>78</v>
      </c>
      <c r="F403" s="15" t="s">
        <v>72</v>
      </c>
      <c r="G403" s="15" t="s">
        <v>93</v>
      </c>
      <c r="H403" s="15" t="s">
        <v>1332</v>
      </c>
      <c r="I403" s="21">
        <v>8307933</v>
      </c>
      <c r="J403" s="15" t="s">
        <v>80</v>
      </c>
      <c r="K403" s="15" t="s">
        <v>81</v>
      </c>
      <c r="L403" s="15" t="str">
        <f>CONCATENATE(K403," ",J403)</f>
        <v>GREGORY TEIPEL</v>
      </c>
      <c r="M403" s="15" t="s">
        <v>57</v>
      </c>
      <c r="N403" s="16">
        <v>45695</v>
      </c>
      <c r="O403" s="16">
        <v>46088</v>
      </c>
      <c r="P403" s="24">
        <f>DATEDIF(N403,O403,"M")</f>
        <v>13</v>
      </c>
      <c r="Q403" s="24" t="s">
        <v>157</v>
      </c>
      <c r="R403" s="24" t="s">
        <v>1391</v>
      </c>
      <c r="S403" s="17">
        <v>194.91</v>
      </c>
      <c r="T403" s="18">
        <v>0.1</v>
      </c>
      <c r="U403" s="15" t="s">
        <v>157</v>
      </c>
      <c r="V403" s="15" t="s">
        <v>135</v>
      </c>
      <c r="W403" s="17">
        <v>19.489999999999998</v>
      </c>
    </row>
    <row r="404" spans="1:23" s="15" customFormat="1" x14ac:dyDescent="0.25">
      <c r="A404" s="15">
        <v>2026844912</v>
      </c>
      <c r="B404" s="15" t="s">
        <v>554</v>
      </c>
      <c r="C404" s="15" t="s">
        <v>120</v>
      </c>
      <c r="D404" s="15" t="str">
        <f>CONCATENATE(C404," ",B404)</f>
        <v>CHRISTOPHER JENKINS</v>
      </c>
      <c r="E404" s="15" t="s">
        <v>66</v>
      </c>
      <c r="F404" s="15" t="s">
        <v>72</v>
      </c>
      <c r="G404" s="15" t="s">
        <v>93</v>
      </c>
      <c r="H404" s="15" t="s">
        <v>1332</v>
      </c>
      <c r="I404" s="21">
        <v>8307933</v>
      </c>
      <c r="J404" s="15" t="s">
        <v>80</v>
      </c>
      <c r="K404" s="15" t="s">
        <v>81</v>
      </c>
      <c r="L404" s="15" t="str">
        <f>CONCATENATE(K404," ",J404)</f>
        <v>GREGORY TEIPEL</v>
      </c>
      <c r="M404" s="15" t="s">
        <v>57</v>
      </c>
      <c r="N404" s="16">
        <v>45695</v>
      </c>
      <c r="O404" s="16">
        <v>46088</v>
      </c>
      <c r="P404" s="24">
        <f>DATEDIF(N404,O404,"M")</f>
        <v>13</v>
      </c>
      <c r="Q404" s="24" t="s">
        <v>157</v>
      </c>
      <c r="R404" s="24" t="s">
        <v>1391</v>
      </c>
      <c r="S404" s="17">
        <v>121.92</v>
      </c>
      <c r="T404" s="18">
        <v>0.1</v>
      </c>
      <c r="U404" s="15" t="s">
        <v>157</v>
      </c>
      <c r="V404" s="15" t="s">
        <v>135</v>
      </c>
      <c r="W404" s="17">
        <v>12.19</v>
      </c>
    </row>
    <row r="405" spans="1:23" s="15" customFormat="1" x14ac:dyDescent="0.25">
      <c r="A405" s="15">
        <v>2026694436</v>
      </c>
      <c r="B405" s="15" t="s">
        <v>270</v>
      </c>
      <c r="C405" s="15" t="s">
        <v>271</v>
      </c>
      <c r="D405" s="15" t="str">
        <f>CONCATENATE(C405," ",B405)</f>
        <v>GAYLE ENDRES</v>
      </c>
      <c r="E405" s="15" t="s">
        <v>66</v>
      </c>
      <c r="F405" s="15" t="s">
        <v>152</v>
      </c>
      <c r="G405" s="15" t="s">
        <v>238</v>
      </c>
      <c r="H405" s="15" t="s">
        <v>238</v>
      </c>
      <c r="I405" s="21">
        <v>8307933</v>
      </c>
      <c r="J405" s="15" t="s">
        <v>80</v>
      </c>
      <c r="K405" s="15" t="s">
        <v>81</v>
      </c>
      <c r="L405" s="15" t="str">
        <f>CONCATENATE(K405," ",J405)</f>
        <v>GREGORY TEIPEL</v>
      </c>
      <c r="M405" s="15" t="s">
        <v>57</v>
      </c>
      <c r="N405" s="16">
        <v>45695</v>
      </c>
      <c r="O405" s="16">
        <v>46088</v>
      </c>
      <c r="P405" s="24">
        <f>DATEDIF(N405,O405,"M")</f>
        <v>13</v>
      </c>
      <c r="Q405" s="24" t="s">
        <v>157</v>
      </c>
      <c r="R405" s="24" t="s">
        <v>1391</v>
      </c>
      <c r="S405" s="17">
        <v>172.98</v>
      </c>
      <c r="T405" s="18">
        <v>0.08</v>
      </c>
      <c r="U405" s="15" t="s">
        <v>157</v>
      </c>
      <c r="V405" s="15" t="s">
        <v>135</v>
      </c>
      <c r="W405" s="17">
        <v>13.84</v>
      </c>
    </row>
    <row r="406" spans="1:23" s="15" customFormat="1" x14ac:dyDescent="0.25">
      <c r="A406" s="15">
        <v>2026694437</v>
      </c>
      <c r="B406" s="15" t="s">
        <v>270</v>
      </c>
      <c r="C406" s="15" t="s">
        <v>271</v>
      </c>
      <c r="D406" s="15" t="str">
        <f>CONCATENATE(C406," ",B406)</f>
        <v>GAYLE ENDRES</v>
      </c>
      <c r="E406" s="15" t="s">
        <v>66</v>
      </c>
      <c r="F406" s="15" t="s">
        <v>152</v>
      </c>
      <c r="G406" s="15" t="s">
        <v>241</v>
      </c>
      <c r="H406" s="15" t="s">
        <v>238</v>
      </c>
      <c r="I406" s="21">
        <v>8307933</v>
      </c>
      <c r="J406" s="15" t="s">
        <v>80</v>
      </c>
      <c r="K406" s="15" t="s">
        <v>81</v>
      </c>
      <c r="L406" s="15" t="str">
        <f>CONCATENATE(K406," ",J406)</f>
        <v>GREGORY TEIPEL</v>
      </c>
      <c r="M406" s="15" t="s">
        <v>57</v>
      </c>
      <c r="N406" s="16">
        <v>45695</v>
      </c>
      <c r="O406" s="16">
        <v>46088</v>
      </c>
      <c r="P406" s="24">
        <f>DATEDIF(N406,O406,"M")</f>
        <v>13</v>
      </c>
      <c r="Q406" s="24" t="s">
        <v>157</v>
      </c>
      <c r="R406" s="24" t="s">
        <v>1391</v>
      </c>
      <c r="S406" s="17">
        <v>14.95</v>
      </c>
      <c r="T406" s="18">
        <v>0.08</v>
      </c>
      <c r="U406" s="15" t="s">
        <v>157</v>
      </c>
      <c r="V406" s="15" t="s">
        <v>135</v>
      </c>
      <c r="W406" s="17">
        <v>1.2</v>
      </c>
    </row>
    <row r="407" spans="1:23" s="15" customFormat="1" x14ac:dyDescent="0.25">
      <c r="A407" s="15">
        <v>2026521340</v>
      </c>
      <c r="B407" s="15" t="s">
        <v>50</v>
      </c>
      <c r="C407" s="15" t="s">
        <v>540</v>
      </c>
      <c r="D407" s="15" t="str">
        <f>CONCATENATE(C407," ",B407)</f>
        <v>AMANDA LEWIS</v>
      </c>
      <c r="E407" s="15" t="s">
        <v>78</v>
      </c>
      <c r="F407" s="15" t="s">
        <v>383</v>
      </c>
      <c r="G407" s="15" t="s">
        <v>384</v>
      </c>
      <c r="H407" s="15" t="s">
        <v>384</v>
      </c>
      <c r="I407" s="21">
        <v>8307933</v>
      </c>
      <c r="J407" s="15" t="s">
        <v>80</v>
      </c>
      <c r="K407" s="15" t="s">
        <v>81</v>
      </c>
      <c r="L407" s="15" t="str">
        <f>CONCATENATE(K407," ",J407)</f>
        <v>GREGORY TEIPEL</v>
      </c>
      <c r="M407" s="15" t="s">
        <v>57</v>
      </c>
      <c r="N407" s="16">
        <v>45695</v>
      </c>
      <c r="O407" s="16">
        <v>46088</v>
      </c>
      <c r="P407" s="24">
        <f>DATEDIF(N407,O407,"M")</f>
        <v>13</v>
      </c>
      <c r="Q407" s="24" t="s">
        <v>157</v>
      </c>
      <c r="R407" s="24" t="s">
        <v>1391</v>
      </c>
      <c r="S407" s="17">
        <v>31.28</v>
      </c>
      <c r="T407" s="18">
        <v>0.15</v>
      </c>
      <c r="U407" s="15" t="s">
        <v>157</v>
      </c>
      <c r="V407" s="15" t="s">
        <v>135</v>
      </c>
      <c r="W407" s="17">
        <v>4.6900000000000004</v>
      </c>
    </row>
    <row r="408" spans="1:23" s="15" customFormat="1" x14ac:dyDescent="0.25">
      <c r="A408" s="15">
        <v>2026599465</v>
      </c>
      <c r="B408" s="15" t="s">
        <v>542</v>
      </c>
      <c r="C408" s="15" t="s">
        <v>543</v>
      </c>
      <c r="D408" s="15" t="str">
        <f>CONCATENATE(C408," ",B408)</f>
        <v>CARLOS VALENZUELA</v>
      </c>
      <c r="E408" s="15" t="s">
        <v>147</v>
      </c>
      <c r="F408" s="15" t="s">
        <v>383</v>
      </c>
      <c r="G408" s="15" t="s">
        <v>384</v>
      </c>
      <c r="H408" s="15" t="s">
        <v>384</v>
      </c>
      <c r="I408" s="21">
        <v>8307933</v>
      </c>
      <c r="J408" s="15" t="s">
        <v>80</v>
      </c>
      <c r="K408" s="15" t="s">
        <v>81</v>
      </c>
      <c r="L408" s="15" t="str">
        <f>CONCATENATE(K408," ",J408)</f>
        <v>GREGORY TEIPEL</v>
      </c>
      <c r="M408" s="15" t="s">
        <v>57</v>
      </c>
      <c r="N408" s="16">
        <v>45695</v>
      </c>
      <c r="O408" s="16">
        <v>46088</v>
      </c>
      <c r="P408" s="24">
        <f>DATEDIF(N408,O408,"M")</f>
        <v>13</v>
      </c>
      <c r="Q408" s="24" t="s">
        <v>157</v>
      </c>
      <c r="R408" s="24" t="s">
        <v>1391</v>
      </c>
      <c r="S408" s="17">
        <v>103.64</v>
      </c>
      <c r="T408" s="18">
        <v>0.15</v>
      </c>
      <c r="U408" s="15" t="s">
        <v>157</v>
      </c>
      <c r="V408" s="15" t="s">
        <v>135</v>
      </c>
      <c r="W408" s="17">
        <v>15.55</v>
      </c>
    </row>
    <row r="409" spans="1:23" s="15" customFormat="1" x14ac:dyDescent="0.25">
      <c r="A409" s="15">
        <v>2026617926</v>
      </c>
      <c r="B409" s="15" t="s">
        <v>544</v>
      </c>
      <c r="C409" s="15" t="s">
        <v>545</v>
      </c>
      <c r="D409" s="15" t="str">
        <f>CONCATENATE(C409," ",B409)</f>
        <v>MARY HARRIS-HERNANDEZ</v>
      </c>
      <c r="E409" s="15" t="s">
        <v>90</v>
      </c>
      <c r="F409" s="15" t="s">
        <v>383</v>
      </c>
      <c r="G409" s="15" t="s">
        <v>384</v>
      </c>
      <c r="H409" s="15" t="s">
        <v>384</v>
      </c>
      <c r="I409" s="21">
        <v>8307933</v>
      </c>
      <c r="J409" s="15" t="s">
        <v>80</v>
      </c>
      <c r="K409" s="15" t="s">
        <v>81</v>
      </c>
      <c r="L409" s="15" t="str">
        <f>CONCATENATE(K409," ",J409)</f>
        <v>GREGORY TEIPEL</v>
      </c>
      <c r="M409" s="15" t="s">
        <v>57</v>
      </c>
      <c r="N409" s="16">
        <v>45695</v>
      </c>
      <c r="O409" s="16">
        <v>46088</v>
      </c>
      <c r="P409" s="24">
        <f>DATEDIF(N409,O409,"M")</f>
        <v>13</v>
      </c>
      <c r="Q409" s="24" t="s">
        <v>157</v>
      </c>
      <c r="R409" s="24" t="s">
        <v>1391</v>
      </c>
      <c r="S409" s="17">
        <v>129.22</v>
      </c>
      <c r="T409" s="18">
        <v>0.15</v>
      </c>
      <c r="U409" s="15" t="s">
        <v>157</v>
      </c>
      <c r="V409" s="15" t="s">
        <v>135</v>
      </c>
      <c r="W409" s="17">
        <v>19.38</v>
      </c>
    </row>
    <row r="410" spans="1:23" s="15" customFormat="1" x14ac:dyDescent="0.25">
      <c r="A410" s="15">
        <v>2026628666</v>
      </c>
      <c r="B410" s="15" t="s">
        <v>546</v>
      </c>
      <c r="C410" s="15" t="s">
        <v>180</v>
      </c>
      <c r="D410" s="15" t="str">
        <f>CONCATENATE(C410," ",B410)</f>
        <v>RYAN HERRICK</v>
      </c>
      <c r="E410" s="15" t="s">
        <v>66</v>
      </c>
      <c r="F410" s="15" t="s">
        <v>383</v>
      </c>
      <c r="G410" s="15" t="s">
        <v>384</v>
      </c>
      <c r="H410" s="15" t="s">
        <v>384</v>
      </c>
      <c r="I410" s="21">
        <v>8307933</v>
      </c>
      <c r="J410" s="15" t="s">
        <v>80</v>
      </c>
      <c r="K410" s="15" t="s">
        <v>81</v>
      </c>
      <c r="L410" s="15" t="str">
        <f>CONCATENATE(K410," ",J410)</f>
        <v>GREGORY TEIPEL</v>
      </c>
      <c r="M410" s="15" t="s">
        <v>57</v>
      </c>
      <c r="N410" s="16">
        <v>45695</v>
      </c>
      <c r="O410" s="16">
        <v>46088</v>
      </c>
      <c r="P410" s="24">
        <f>DATEDIF(N410,O410,"M")</f>
        <v>13</v>
      </c>
      <c r="Q410" s="24" t="s">
        <v>157</v>
      </c>
      <c r="R410" s="24" t="s">
        <v>1391</v>
      </c>
      <c r="S410" s="17">
        <v>58.24</v>
      </c>
      <c r="T410" s="18">
        <v>0.15</v>
      </c>
      <c r="U410" s="15" t="s">
        <v>157</v>
      </c>
      <c r="V410" s="15" t="s">
        <v>135</v>
      </c>
      <c r="W410" s="17">
        <v>8.74</v>
      </c>
    </row>
    <row r="411" spans="1:23" s="15" customFormat="1" x14ac:dyDescent="0.25">
      <c r="A411" s="15">
        <v>2026655556</v>
      </c>
      <c r="B411" s="15" t="s">
        <v>548</v>
      </c>
      <c r="C411" s="15" t="s">
        <v>298</v>
      </c>
      <c r="D411" s="15" t="str">
        <f>CONCATENATE(C411," ",B411)</f>
        <v>JAMES MARIS</v>
      </c>
      <c r="E411" s="15" t="s">
        <v>66</v>
      </c>
      <c r="F411" s="15" t="s">
        <v>383</v>
      </c>
      <c r="G411" s="15" t="s">
        <v>384</v>
      </c>
      <c r="H411" s="15" t="s">
        <v>384</v>
      </c>
      <c r="I411" s="21">
        <v>8307933</v>
      </c>
      <c r="J411" s="15" t="s">
        <v>80</v>
      </c>
      <c r="K411" s="15" t="s">
        <v>81</v>
      </c>
      <c r="L411" s="15" t="str">
        <f>CONCATENATE(K411," ",J411)</f>
        <v>GREGORY TEIPEL</v>
      </c>
      <c r="M411" s="15" t="s">
        <v>57</v>
      </c>
      <c r="N411" s="16">
        <v>45695</v>
      </c>
      <c r="O411" s="16">
        <v>46088</v>
      </c>
      <c r="P411" s="24">
        <f>DATEDIF(N411,O411,"M")</f>
        <v>13</v>
      </c>
      <c r="Q411" s="24" t="s">
        <v>157</v>
      </c>
      <c r="R411" s="24" t="s">
        <v>1391</v>
      </c>
      <c r="S411" s="17">
        <v>52</v>
      </c>
      <c r="T411" s="18">
        <v>0.15</v>
      </c>
      <c r="U411" s="15" t="s">
        <v>157</v>
      </c>
      <c r="V411" s="15" t="s">
        <v>135</v>
      </c>
      <c r="W411" s="17">
        <v>7.8</v>
      </c>
    </row>
    <row r="412" spans="1:23" s="15" customFormat="1" x14ac:dyDescent="0.25">
      <c r="A412" s="15">
        <v>2026680616</v>
      </c>
      <c r="B412" s="15" t="s">
        <v>547</v>
      </c>
      <c r="C412" s="15" t="s">
        <v>549</v>
      </c>
      <c r="D412" s="15" t="str">
        <f>CONCATENATE(C412," ",B412)</f>
        <v>JERRI JOHNSON</v>
      </c>
      <c r="E412" s="15" t="s">
        <v>333</v>
      </c>
      <c r="F412" s="15" t="s">
        <v>383</v>
      </c>
      <c r="G412" s="15" t="s">
        <v>384</v>
      </c>
      <c r="H412" s="15" t="s">
        <v>384</v>
      </c>
      <c r="I412" s="21">
        <v>8307933</v>
      </c>
      <c r="J412" s="15" t="s">
        <v>80</v>
      </c>
      <c r="K412" s="15" t="s">
        <v>81</v>
      </c>
      <c r="L412" s="15" t="str">
        <f>CONCATENATE(K412," ",J412)</f>
        <v>GREGORY TEIPEL</v>
      </c>
      <c r="M412" s="15" t="s">
        <v>57</v>
      </c>
      <c r="N412" s="16">
        <v>45695</v>
      </c>
      <c r="O412" s="16">
        <v>46088</v>
      </c>
      <c r="P412" s="24">
        <f>DATEDIF(N412,O412,"M")</f>
        <v>13</v>
      </c>
      <c r="Q412" s="24" t="s">
        <v>157</v>
      </c>
      <c r="R412" s="24" t="s">
        <v>1391</v>
      </c>
      <c r="S412" s="17">
        <v>40.78</v>
      </c>
      <c r="T412" s="18">
        <v>0.15</v>
      </c>
      <c r="U412" s="15" t="s">
        <v>157</v>
      </c>
      <c r="V412" s="15" t="s">
        <v>135</v>
      </c>
      <c r="W412" s="17">
        <v>6.12</v>
      </c>
    </row>
    <row r="413" spans="1:23" s="15" customFormat="1" x14ac:dyDescent="0.25">
      <c r="A413" s="15">
        <v>2026682346</v>
      </c>
      <c r="B413" s="15" t="s">
        <v>550</v>
      </c>
      <c r="C413" s="15" t="s">
        <v>551</v>
      </c>
      <c r="D413" s="15" t="str">
        <f>CONCATENATE(C413," ",B413)</f>
        <v>ANGELA MARKSBERRY</v>
      </c>
      <c r="E413" s="15" t="s">
        <v>66</v>
      </c>
      <c r="F413" s="15" t="s">
        <v>383</v>
      </c>
      <c r="G413" s="15" t="s">
        <v>384</v>
      </c>
      <c r="H413" s="15" t="s">
        <v>384</v>
      </c>
      <c r="I413" s="21">
        <v>8307933</v>
      </c>
      <c r="J413" s="15" t="s">
        <v>80</v>
      </c>
      <c r="K413" s="15" t="s">
        <v>81</v>
      </c>
      <c r="L413" s="15" t="str">
        <f>CONCATENATE(K413," ",J413)</f>
        <v>GREGORY TEIPEL</v>
      </c>
      <c r="M413" s="15" t="s">
        <v>57</v>
      </c>
      <c r="N413" s="16">
        <v>45695</v>
      </c>
      <c r="O413" s="16">
        <v>46088</v>
      </c>
      <c r="P413" s="24">
        <f>DATEDIF(N413,O413,"M")</f>
        <v>13</v>
      </c>
      <c r="Q413" s="24" t="s">
        <v>157</v>
      </c>
      <c r="R413" s="24" t="s">
        <v>1391</v>
      </c>
      <c r="S413" s="17">
        <v>58.24</v>
      </c>
      <c r="T413" s="18">
        <v>0.15</v>
      </c>
      <c r="U413" s="15" t="s">
        <v>157</v>
      </c>
      <c r="V413" s="15" t="s">
        <v>135</v>
      </c>
      <c r="W413" s="17">
        <v>8.74</v>
      </c>
    </row>
    <row r="414" spans="1:23" s="15" customFormat="1" x14ac:dyDescent="0.25">
      <c r="A414" s="15">
        <v>2026683721</v>
      </c>
      <c r="B414" s="15" t="s">
        <v>480</v>
      </c>
      <c r="C414" s="15" t="s">
        <v>65</v>
      </c>
      <c r="D414" s="15" t="str">
        <f>CONCATENATE(C414," ",B414)</f>
        <v>SCOTT BLACKLEDGE</v>
      </c>
      <c r="E414" s="15" t="s">
        <v>78</v>
      </c>
      <c r="F414" s="15" t="s">
        <v>383</v>
      </c>
      <c r="G414" s="15" t="s">
        <v>384</v>
      </c>
      <c r="H414" s="15" t="s">
        <v>384</v>
      </c>
      <c r="I414" s="21">
        <v>8307933</v>
      </c>
      <c r="J414" s="15" t="s">
        <v>80</v>
      </c>
      <c r="K414" s="15" t="s">
        <v>81</v>
      </c>
      <c r="L414" s="15" t="str">
        <f>CONCATENATE(K414," ",J414)</f>
        <v>GREGORY TEIPEL</v>
      </c>
      <c r="M414" s="15" t="s">
        <v>57</v>
      </c>
      <c r="N414" s="16">
        <v>45695</v>
      </c>
      <c r="O414" s="16">
        <v>46088</v>
      </c>
      <c r="P414" s="24">
        <f>DATEDIF(N414,O414,"M")</f>
        <v>13</v>
      </c>
      <c r="Q414" s="24" t="s">
        <v>157</v>
      </c>
      <c r="R414" s="24" t="s">
        <v>1391</v>
      </c>
      <c r="S414" s="17">
        <v>46.72</v>
      </c>
      <c r="T414" s="18">
        <v>0.15</v>
      </c>
      <c r="U414" s="15" t="s">
        <v>157</v>
      </c>
      <c r="V414" s="15" t="s">
        <v>135</v>
      </c>
      <c r="W414" s="17">
        <v>7.01</v>
      </c>
    </row>
    <row r="415" spans="1:23" s="15" customFormat="1" x14ac:dyDescent="0.25">
      <c r="A415" s="15">
        <v>2026698495</v>
      </c>
      <c r="B415" s="15" t="s">
        <v>552</v>
      </c>
      <c r="C415" s="15" t="s">
        <v>553</v>
      </c>
      <c r="D415" s="15" t="str">
        <f>CONCATENATE(C415," ",B415)</f>
        <v>LINDSAY OTT</v>
      </c>
      <c r="E415" s="15" t="s">
        <v>78</v>
      </c>
      <c r="F415" s="15" t="s">
        <v>383</v>
      </c>
      <c r="G415" s="15" t="s">
        <v>384</v>
      </c>
      <c r="H415" s="15" t="s">
        <v>384</v>
      </c>
      <c r="I415" s="21">
        <v>8307933</v>
      </c>
      <c r="J415" s="15" t="s">
        <v>80</v>
      </c>
      <c r="K415" s="15" t="s">
        <v>81</v>
      </c>
      <c r="L415" s="15" t="str">
        <f>CONCATENATE(K415," ",J415)</f>
        <v>GREGORY TEIPEL</v>
      </c>
      <c r="M415" s="15" t="s">
        <v>57</v>
      </c>
      <c r="N415" s="16">
        <v>45695</v>
      </c>
      <c r="O415" s="16">
        <v>46088</v>
      </c>
      <c r="P415" s="24">
        <f>DATEDIF(N415,O415,"M")</f>
        <v>13</v>
      </c>
      <c r="Q415" s="24" t="s">
        <v>157</v>
      </c>
      <c r="R415" s="24" t="s">
        <v>1391</v>
      </c>
      <c r="S415" s="17">
        <v>17.64</v>
      </c>
      <c r="T415" s="18">
        <v>0.15</v>
      </c>
      <c r="U415" s="15" t="s">
        <v>157</v>
      </c>
      <c r="V415" s="15" t="s">
        <v>135</v>
      </c>
      <c r="W415" s="17">
        <v>2.65</v>
      </c>
    </row>
    <row r="416" spans="1:23" s="15" customFormat="1" x14ac:dyDescent="0.25">
      <c r="A416" s="15">
        <v>2026733978</v>
      </c>
      <c r="B416" s="15" t="s">
        <v>617</v>
      </c>
      <c r="C416" s="15" t="s">
        <v>1226</v>
      </c>
      <c r="D416" s="15" t="str">
        <f>CONCATENATE(C416," ",B416)</f>
        <v>DOMINIQUE CHASE</v>
      </c>
      <c r="E416" s="15" t="s">
        <v>66</v>
      </c>
      <c r="F416" s="15" t="s">
        <v>383</v>
      </c>
      <c r="G416" s="15" t="s">
        <v>384</v>
      </c>
      <c r="H416" s="15" t="s">
        <v>384</v>
      </c>
      <c r="I416" s="21">
        <v>8307933</v>
      </c>
      <c r="J416" s="15" t="s">
        <v>80</v>
      </c>
      <c r="K416" s="15" t="s">
        <v>81</v>
      </c>
      <c r="L416" s="15" t="str">
        <f>CONCATENATE(K416," ",J416)</f>
        <v>GREGORY TEIPEL</v>
      </c>
      <c r="M416" s="15" t="s">
        <v>57</v>
      </c>
      <c r="N416" s="16">
        <v>45695</v>
      </c>
      <c r="O416" s="16">
        <v>46088</v>
      </c>
      <c r="P416" s="24">
        <f>DATEDIF(N416,O416,"M")</f>
        <v>13</v>
      </c>
      <c r="Q416" s="24" t="s">
        <v>157</v>
      </c>
      <c r="R416" s="24" t="s">
        <v>1391</v>
      </c>
      <c r="S416" s="17">
        <v>122.22</v>
      </c>
      <c r="T416" s="18">
        <v>0.15</v>
      </c>
      <c r="U416" s="15" t="s">
        <v>157</v>
      </c>
      <c r="V416" s="15" t="s">
        <v>135</v>
      </c>
      <c r="W416" s="17">
        <v>18.329999999999998</v>
      </c>
    </row>
    <row r="417" spans="1:23" s="15" customFormat="1" x14ac:dyDescent="0.25">
      <c r="A417" s="15">
        <v>2026737140</v>
      </c>
      <c r="B417" s="15" t="s">
        <v>1227</v>
      </c>
      <c r="C417" s="15" t="s">
        <v>1228</v>
      </c>
      <c r="D417" s="15" t="str">
        <f>CONCATENATE(C417," ",B417)</f>
        <v>MATT ABNEY</v>
      </c>
      <c r="E417" s="15" t="s">
        <v>66</v>
      </c>
      <c r="F417" s="15" t="s">
        <v>383</v>
      </c>
      <c r="G417" s="15" t="s">
        <v>384</v>
      </c>
      <c r="H417" s="15" t="s">
        <v>384</v>
      </c>
      <c r="I417" s="21">
        <v>8307933</v>
      </c>
      <c r="J417" s="15" t="s">
        <v>80</v>
      </c>
      <c r="K417" s="15" t="s">
        <v>81</v>
      </c>
      <c r="L417" s="15" t="str">
        <f>CONCATENATE(K417," ",J417)</f>
        <v>GREGORY TEIPEL</v>
      </c>
      <c r="M417" s="15" t="s">
        <v>57</v>
      </c>
      <c r="N417" s="16">
        <v>45695</v>
      </c>
      <c r="O417" s="16">
        <v>46088</v>
      </c>
      <c r="P417" s="24">
        <f>DATEDIF(N417,O417,"M")</f>
        <v>13</v>
      </c>
      <c r="Q417" s="24" t="s">
        <v>157</v>
      </c>
      <c r="R417" s="24" t="s">
        <v>1391</v>
      </c>
      <c r="S417" s="17">
        <v>124.72</v>
      </c>
      <c r="T417" s="18">
        <v>0.15</v>
      </c>
      <c r="U417" s="15" t="s">
        <v>157</v>
      </c>
      <c r="V417" s="15" t="s">
        <v>135</v>
      </c>
      <c r="W417" s="17">
        <v>18.71</v>
      </c>
    </row>
    <row r="418" spans="1:23" s="15" customFormat="1" x14ac:dyDescent="0.25">
      <c r="A418" s="15">
        <v>2026827011</v>
      </c>
      <c r="B418" s="15" t="s">
        <v>1229</v>
      </c>
      <c r="C418" s="15" t="s">
        <v>299</v>
      </c>
      <c r="D418" s="15" t="str">
        <f>CONCATENATE(C418," ",B418)</f>
        <v>PATRICIA PURCELL</v>
      </c>
      <c r="E418" s="15" t="s">
        <v>112</v>
      </c>
      <c r="F418" s="15" t="s">
        <v>383</v>
      </c>
      <c r="G418" s="15" t="s">
        <v>384</v>
      </c>
      <c r="H418" s="15" t="s">
        <v>384</v>
      </c>
      <c r="I418" s="21">
        <v>8307933</v>
      </c>
      <c r="J418" s="15" t="s">
        <v>80</v>
      </c>
      <c r="K418" s="15" t="s">
        <v>81</v>
      </c>
      <c r="L418" s="15" t="str">
        <f>CONCATENATE(K418," ",J418)</f>
        <v>GREGORY TEIPEL</v>
      </c>
      <c r="M418" s="15" t="s">
        <v>57</v>
      </c>
      <c r="N418" s="16">
        <v>45695</v>
      </c>
      <c r="O418" s="16">
        <v>46088</v>
      </c>
      <c r="P418" s="24">
        <f>DATEDIF(N418,O418,"M")</f>
        <v>13</v>
      </c>
      <c r="Q418" s="24" t="s">
        <v>157</v>
      </c>
      <c r="R418" s="24" t="s">
        <v>1391</v>
      </c>
      <c r="S418" s="17">
        <v>122.32</v>
      </c>
      <c r="T418" s="18">
        <v>0.15</v>
      </c>
      <c r="U418" s="15" t="s">
        <v>157</v>
      </c>
      <c r="V418" s="15" t="s">
        <v>135</v>
      </c>
      <c r="W418" s="17">
        <v>18.350000000000001</v>
      </c>
    </row>
    <row r="419" spans="1:23" s="15" customFormat="1" x14ac:dyDescent="0.25">
      <c r="A419" s="15">
        <v>2026832448</v>
      </c>
      <c r="B419" s="15" t="s">
        <v>74</v>
      </c>
      <c r="C419" s="15" t="s">
        <v>172</v>
      </c>
      <c r="D419" s="15" t="str">
        <f>CONCATENATE(C419," ",B419)</f>
        <v>ADAM DAUGHERTY</v>
      </c>
      <c r="E419" s="15" t="s">
        <v>96</v>
      </c>
      <c r="F419" s="15" t="s">
        <v>383</v>
      </c>
      <c r="G419" s="15" t="s">
        <v>384</v>
      </c>
      <c r="H419" s="15" t="s">
        <v>384</v>
      </c>
      <c r="I419" s="21">
        <v>8307933</v>
      </c>
      <c r="J419" s="15" t="s">
        <v>80</v>
      </c>
      <c r="K419" s="15" t="s">
        <v>81</v>
      </c>
      <c r="L419" s="15" t="str">
        <f>CONCATENATE(K419," ",J419)</f>
        <v>GREGORY TEIPEL</v>
      </c>
      <c r="M419" s="15" t="s">
        <v>57</v>
      </c>
      <c r="N419" s="16">
        <v>45695</v>
      </c>
      <c r="O419" s="16">
        <v>46088</v>
      </c>
      <c r="P419" s="24">
        <f>DATEDIF(N419,O419,"M")</f>
        <v>13</v>
      </c>
      <c r="Q419" s="24" t="s">
        <v>157</v>
      </c>
      <c r="R419" s="24" t="s">
        <v>1391</v>
      </c>
      <c r="S419" s="17">
        <v>32.979999999999997</v>
      </c>
      <c r="T419" s="18">
        <v>0.15</v>
      </c>
      <c r="U419" s="15" t="s">
        <v>157</v>
      </c>
      <c r="V419" s="15" t="s">
        <v>135</v>
      </c>
      <c r="W419" s="17">
        <v>4.95</v>
      </c>
    </row>
    <row r="420" spans="1:23" s="15" customFormat="1" x14ac:dyDescent="0.25">
      <c r="A420" s="15">
        <v>2026844913</v>
      </c>
      <c r="B420" s="15" t="s">
        <v>554</v>
      </c>
      <c r="C420" s="15" t="s">
        <v>120</v>
      </c>
      <c r="D420" s="15" t="str">
        <f>CONCATENATE(C420," ",B420)</f>
        <v>CHRISTOPHER JENKINS</v>
      </c>
      <c r="E420" s="15" t="s">
        <v>66</v>
      </c>
      <c r="F420" s="15" t="s">
        <v>383</v>
      </c>
      <c r="G420" s="15" t="s">
        <v>384</v>
      </c>
      <c r="H420" s="15" t="s">
        <v>384</v>
      </c>
      <c r="I420" s="21">
        <v>8307933</v>
      </c>
      <c r="J420" s="15" t="s">
        <v>80</v>
      </c>
      <c r="K420" s="15" t="s">
        <v>81</v>
      </c>
      <c r="L420" s="15" t="str">
        <f>CONCATENATE(K420," ",J420)</f>
        <v>GREGORY TEIPEL</v>
      </c>
      <c r="M420" s="15" t="s">
        <v>57</v>
      </c>
      <c r="N420" s="16">
        <v>45695</v>
      </c>
      <c r="O420" s="16">
        <v>46088</v>
      </c>
      <c r="P420" s="24">
        <f>DATEDIF(N420,O420,"M")</f>
        <v>13</v>
      </c>
      <c r="Q420" s="24" t="s">
        <v>157</v>
      </c>
      <c r="R420" s="24" t="s">
        <v>1391</v>
      </c>
      <c r="S420" s="17">
        <v>78.400000000000006</v>
      </c>
      <c r="T420" s="18">
        <v>0.15</v>
      </c>
      <c r="U420" s="15" t="s">
        <v>157</v>
      </c>
      <c r="V420" s="15" t="s">
        <v>135</v>
      </c>
      <c r="W420" s="17">
        <v>11.76</v>
      </c>
    </row>
    <row r="421" spans="1:23" s="15" customFormat="1" x14ac:dyDescent="0.25">
      <c r="A421" s="15">
        <v>2026860056</v>
      </c>
      <c r="B421" s="15" t="s">
        <v>538</v>
      </c>
      <c r="C421" s="15" t="s">
        <v>539</v>
      </c>
      <c r="D421" s="15" t="str">
        <f>CONCATENATE(C421," ",B421)</f>
        <v>YVETTE BECERRA</v>
      </c>
      <c r="E421" s="15" t="s">
        <v>90</v>
      </c>
      <c r="F421" s="15" t="s">
        <v>383</v>
      </c>
      <c r="G421" s="15" t="s">
        <v>384</v>
      </c>
      <c r="H421" s="15" t="s">
        <v>384</v>
      </c>
      <c r="I421" s="21">
        <v>8307933</v>
      </c>
      <c r="J421" s="15" t="s">
        <v>80</v>
      </c>
      <c r="K421" s="15" t="s">
        <v>81</v>
      </c>
      <c r="L421" s="15" t="str">
        <f>CONCATENATE(K421," ",J421)</f>
        <v>GREGORY TEIPEL</v>
      </c>
      <c r="M421" s="15" t="s">
        <v>57</v>
      </c>
      <c r="N421" s="16">
        <v>45695</v>
      </c>
      <c r="O421" s="16">
        <v>46088</v>
      </c>
      <c r="P421" s="24">
        <f>DATEDIF(N421,O421,"M")</f>
        <v>13</v>
      </c>
      <c r="Q421" s="24" t="s">
        <v>157</v>
      </c>
      <c r="R421" s="24" t="s">
        <v>1391</v>
      </c>
      <c r="S421" s="17">
        <v>13</v>
      </c>
      <c r="T421" s="18">
        <v>0.15</v>
      </c>
      <c r="U421" s="15" t="s">
        <v>157</v>
      </c>
      <c r="V421" s="15" t="s">
        <v>135</v>
      </c>
      <c r="W421" s="17">
        <v>1.95</v>
      </c>
    </row>
    <row r="422" spans="1:23" s="15" customFormat="1" x14ac:dyDescent="0.25">
      <c r="A422" s="15">
        <v>2026617925</v>
      </c>
      <c r="B422" s="15" t="s">
        <v>544</v>
      </c>
      <c r="C422" s="15" t="s">
        <v>545</v>
      </c>
      <c r="D422" s="15" t="str">
        <f>CONCATENATE(C422," ",B422)</f>
        <v>MARY HARRIS-HERNANDEZ</v>
      </c>
      <c r="E422" s="15" t="s">
        <v>90</v>
      </c>
      <c r="F422" s="15" t="s">
        <v>363</v>
      </c>
      <c r="G422" s="15" t="s">
        <v>364</v>
      </c>
      <c r="H422" s="15" t="s">
        <v>364</v>
      </c>
      <c r="I422" s="21">
        <v>8307933</v>
      </c>
      <c r="J422" s="15" t="s">
        <v>80</v>
      </c>
      <c r="K422" s="15" t="s">
        <v>81</v>
      </c>
      <c r="L422" s="15" t="str">
        <f>CONCATENATE(K422," ",J422)</f>
        <v>GREGORY TEIPEL</v>
      </c>
      <c r="M422" s="15" t="s">
        <v>57</v>
      </c>
      <c r="N422" s="16">
        <v>45695</v>
      </c>
      <c r="O422" s="16">
        <v>46088</v>
      </c>
      <c r="P422" s="24">
        <f>DATEDIF(N422,O422,"M")</f>
        <v>13</v>
      </c>
      <c r="Q422" s="24" t="s">
        <v>157</v>
      </c>
      <c r="R422" s="24" t="s">
        <v>1391</v>
      </c>
      <c r="S422" s="17">
        <v>48.88</v>
      </c>
      <c r="T422" s="18">
        <v>0.06</v>
      </c>
      <c r="U422" s="15" t="s">
        <v>157</v>
      </c>
      <c r="V422" s="15" t="s">
        <v>135</v>
      </c>
      <c r="W422" s="17">
        <v>2.93</v>
      </c>
    </row>
    <row r="423" spans="1:23" s="15" customFormat="1" x14ac:dyDescent="0.25">
      <c r="A423" s="15">
        <v>2026628667</v>
      </c>
      <c r="B423" s="15" t="s">
        <v>546</v>
      </c>
      <c r="C423" s="15" t="s">
        <v>180</v>
      </c>
      <c r="D423" s="15" t="str">
        <f>CONCATENATE(C423," ",B423)</f>
        <v>RYAN HERRICK</v>
      </c>
      <c r="E423" s="15" t="s">
        <v>66</v>
      </c>
      <c r="F423" s="15" t="s">
        <v>363</v>
      </c>
      <c r="G423" s="15" t="s">
        <v>364</v>
      </c>
      <c r="H423" s="15" t="s">
        <v>364</v>
      </c>
      <c r="I423" s="21">
        <v>8307933</v>
      </c>
      <c r="J423" s="15" t="s">
        <v>80</v>
      </c>
      <c r="K423" s="15" t="s">
        <v>81</v>
      </c>
      <c r="L423" s="15" t="str">
        <f>CONCATENATE(K423," ",J423)</f>
        <v>GREGORY TEIPEL</v>
      </c>
      <c r="M423" s="15" t="s">
        <v>57</v>
      </c>
      <c r="N423" s="16">
        <v>45695</v>
      </c>
      <c r="O423" s="16">
        <v>46088</v>
      </c>
      <c r="P423" s="24">
        <f>DATEDIF(N423,O423,"M")</f>
        <v>13</v>
      </c>
      <c r="Q423" s="24" t="s">
        <v>157</v>
      </c>
      <c r="R423" s="24" t="s">
        <v>1391</v>
      </c>
      <c r="S423" s="17">
        <v>43.36</v>
      </c>
      <c r="T423" s="18">
        <v>0.06</v>
      </c>
      <c r="U423" s="15" t="s">
        <v>157</v>
      </c>
      <c r="V423" s="15" t="s">
        <v>135</v>
      </c>
      <c r="W423" s="17">
        <v>2.6</v>
      </c>
    </row>
    <row r="424" spans="1:23" s="15" customFormat="1" x14ac:dyDescent="0.25">
      <c r="A424" s="15">
        <v>2026680614</v>
      </c>
      <c r="B424" s="15" t="s">
        <v>547</v>
      </c>
      <c r="C424" s="15" t="s">
        <v>549</v>
      </c>
      <c r="D424" s="15" t="str">
        <f>CONCATENATE(C424," ",B424)</f>
        <v>JERRI JOHNSON</v>
      </c>
      <c r="E424" s="15" t="s">
        <v>333</v>
      </c>
      <c r="F424" s="15" t="s">
        <v>363</v>
      </c>
      <c r="G424" s="15" t="s">
        <v>364</v>
      </c>
      <c r="H424" s="15" t="s">
        <v>364</v>
      </c>
      <c r="I424" s="21">
        <v>8307933</v>
      </c>
      <c r="J424" s="15" t="s">
        <v>80</v>
      </c>
      <c r="K424" s="15" t="s">
        <v>81</v>
      </c>
      <c r="L424" s="15" t="str">
        <f>CONCATENATE(K424," ",J424)</f>
        <v>GREGORY TEIPEL</v>
      </c>
      <c r="M424" s="15" t="s">
        <v>57</v>
      </c>
      <c r="N424" s="16">
        <v>45695</v>
      </c>
      <c r="O424" s="16">
        <v>46088</v>
      </c>
      <c r="P424" s="24">
        <f>DATEDIF(N424,O424,"M")</f>
        <v>13</v>
      </c>
      <c r="Q424" s="24" t="s">
        <v>157</v>
      </c>
      <c r="R424" s="24" t="s">
        <v>1391</v>
      </c>
      <c r="S424" s="17">
        <v>42.23</v>
      </c>
      <c r="T424" s="18">
        <v>0.06</v>
      </c>
      <c r="U424" s="15" t="s">
        <v>157</v>
      </c>
      <c r="V424" s="15" t="s">
        <v>135</v>
      </c>
      <c r="W424" s="17">
        <v>2.5299999999999998</v>
      </c>
    </row>
    <row r="425" spans="1:23" s="15" customFormat="1" x14ac:dyDescent="0.25">
      <c r="A425" s="15">
        <v>2026860055</v>
      </c>
      <c r="B425" s="15" t="s">
        <v>538</v>
      </c>
      <c r="C425" s="15" t="s">
        <v>539</v>
      </c>
      <c r="D425" s="15" t="str">
        <f>CONCATENATE(C425," ",B425)</f>
        <v>YVETTE BECERRA</v>
      </c>
      <c r="E425" s="15" t="s">
        <v>90</v>
      </c>
      <c r="F425" s="15" t="s">
        <v>363</v>
      </c>
      <c r="G425" s="15" t="s">
        <v>364</v>
      </c>
      <c r="H425" s="15" t="s">
        <v>364</v>
      </c>
      <c r="I425" s="21">
        <v>8307933</v>
      </c>
      <c r="J425" s="15" t="s">
        <v>80</v>
      </c>
      <c r="K425" s="15" t="s">
        <v>81</v>
      </c>
      <c r="L425" s="15" t="str">
        <f>CONCATENATE(K425," ",J425)</f>
        <v>GREGORY TEIPEL</v>
      </c>
      <c r="M425" s="15" t="s">
        <v>57</v>
      </c>
      <c r="N425" s="16">
        <v>45695</v>
      </c>
      <c r="O425" s="16">
        <v>46088</v>
      </c>
      <c r="P425" s="24">
        <f>DATEDIF(N425,O425,"M")</f>
        <v>13</v>
      </c>
      <c r="Q425" s="24" t="s">
        <v>157</v>
      </c>
      <c r="R425" s="24" t="s">
        <v>1391</v>
      </c>
      <c r="S425" s="17">
        <v>57.96</v>
      </c>
      <c r="T425" s="18">
        <v>0.06</v>
      </c>
      <c r="U425" s="15" t="s">
        <v>157</v>
      </c>
      <c r="V425" s="15" t="s">
        <v>135</v>
      </c>
      <c r="W425" s="17">
        <v>3.48</v>
      </c>
    </row>
    <row r="426" spans="1:23" s="15" customFormat="1" x14ac:dyDescent="0.25">
      <c r="A426" s="15">
        <v>2026589574</v>
      </c>
      <c r="B426" s="15" t="s">
        <v>1224</v>
      </c>
      <c r="C426" s="15" t="s">
        <v>188</v>
      </c>
      <c r="D426" s="15" t="str">
        <f>CONCATENATE(C426," ",B426)</f>
        <v>MICHAEL DILLON</v>
      </c>
      <c r="E426" s="15" t="s">
        <v>886</v>
      </c>
      <c r="F426" s="15" t="s">
        <v>383</v>
      </c>
      <c r="G426" s="15" t="s">
        <v>385</v>
      </c>
      <c r="H426" s="15" t="s">
        <v>385</v>
      </c>
      <c r="I426" s="21">
        <v>8307933</v>
      </c>
      <c r="J426" s="15" t="s">
        <v>80</v>
      </c>
      <c r="K426" s="15" t="s">
        <v>81</v>
      </c>
      <c r="L426" s="15" t="str">
        <f>CONCATENATE(K426," ",J426)</f>
        <v>GREGORY TEIPEL</v>
      </c>
      <c r="M426" s="15" t="s">
        <v>57</v>
      </c>
      <c r="N426" s="16">
        <v>45695</v>
      </c>
      <c r="O426" s="16">
        <v>46088</v>
      </c>
      <c r="P426" s="24">
        <f>DATEDIF(N426,O426,"M")</f>
        <v>13</v>
      </c>
      <c r="Q426" s="24" t="s">
        <v>157</v>
      </c>
      <c r="R426" s="24" t="s">
        <v>1391</v>
      </c>
      <c r="S426" s="17">
        <v>83.63</v>
      </c>
      <c r="T426" s="18">
        <v>0.1</v>
      </c>
      <c r="U426" s="15" t="s">
        <v>157</v>
      </c>
      <c r="V426" s="15" t="s">
        <v>135</v>
      </c>
      <c r="W426" s="17">
        <v>8.36</v>
      </c>
    </row>
    <row r="427" spans="1:23" s="15" customFormat="1" x14ac:dyDescent="0.25">
      <c r="A427" s="15">
        <v>2026599463</v>
      </c>
      <c r="B427" s="15" t="s">
        <v>542</v>
      </c>
      <c r="C427" s="15" t="s">
        <v>543</v>
      </c>
      <c r="D427" s="15" t="str">
        <f>CONCATENATE(C427," ",B427)</f>
        <v>CARLOS VALENZUELA</v>
      </c>
      <c r="E427" s="15" t="s">
        <v>147</v>
      </c>
      <c r="F427" s="15" t="s">
        <v>383</v>
      </c>
      <c r="G427" s="15" t="s">
        <v>385</v>
      </c>
      <c r="H427" s="15" t="s">
        <v>385</v>
      </c>
      <c r="I427" s="21">
        <v>8307933</v>
      </c>
      <c r="J427" s="15" t="s">
        <v>80</v>
      </c>
      <c r="K427" s="15" t="s">
        <v>81</v>
      </c>
      <c r="L427" s="15" t="str">
        <f>CONCATENATE(K427," ",J427)</f>
        <v>GREGORY TEIPEL</v>
      </c>
      <c r="M427" s="15" t="s">
        <v>57</v>
      </c>
      <c r="N427" s="16">
        <v>45695</v>
      </c>
      <c r="O427" s="16">
        <v>46088</v>
      </c>
      <c r="P427" s="24">
        <f>DATEDIF(N427,O427,"M")</f>
        <v>13</v>
      </c>
      <c r="Q427" s="24" t="s">
        <v>157</v>
      </c>
      <c r="R427" s="24" t="s">
        <v>1391</v>
      </c>
      <c r="S427" s="17">
        <v>48.08</v>
      </c>
      <c r="T427" s="18">
        <v>0.1</v>
      </c>
      <c r="U427" s="15" t="s">
        <v>157</v>
      </c>
      <c r="V427" s="15" t="s">
        <v>135</v>
      </c>
      <c r="W427" s="17">
        <v>4.8099999999999996</v>
      </c>
    </row>
    <row r="428" spans="1:23" s="15" customFormat="1" x14ac:dyDescent="0.25">
      <c r="A428" s="15">
        <v>2026637123</v>
      </c>
      <c r="B428" s="15" t="s">
        <v>547</v>
      </c>
      <c r="C428" s="15" t="s">
        <v>302</v>
      </c>
      <c r="D428" s="15" t="str">
        <f>CONCATENATE(C428," ",B428)</f>
        <v>ERIC JOHNSON</v>
      </c>
      <c r="E428" s="15" t="s">
        <v>353</v>
      </c>
      <c r="F428" s="15" t="s">
        <v>383</v>
      </c>
      <c r="G428" s="15" t="s">
        <v>385</v>
      </c>
      <c r="H428" s="15" t="s">
        <v>385</v>
      </c>
      <c r="I428" s="21">
        <v>8307933</v>
      </c>
      <c r="J428" s="15" t="s">
        <v>80</v>
      </c>
      <c r="K428" s="15" t="s">
        <v>81</v>
      </c>
      <c r="L428" s="15" t="str">
        <f>CONCATENATE(K428," ",J428)</f>
        <v>GREGORY TEIPEL</v>
      </c>
      <c r="M428" s="15" t="s">
        <v>57</v>
      </c>
      <c r="N428" s="16">
        <v>45695</v>
      </c>
      <c r="O428" s="16">
        <v>46088</v>
      </c>
      <c r="P428" s="24">
        <f>DATEDIF(N428,O428,"M")</f>
        <v>13</v>
      </c>
      <c r="Q428" s="24" t="s">
        <v>157</v>
      </c>
      <c r="R428" s="24" t="s">
        <v>1391</v>
      </c>
      <c r="S428" s="17">
        <v>145.08000000000001</v>
      </c>
      <c r="T428" s="18">
        <v>0.1</v>
      </c>
      <c r="U428" s="15" t="s">
        <v>157</v>
      </c>
      <c r="V428" s="15" t="s">
        <v>135</v>
      </c>
      <c r="W428" s="17">
        <v>14.51</v>
      </c>
    </row>
    <row r="429" spans="1:23" s="15" customFormat="1" x14ac:dyDescent="0.25">
      <c r="A429" s="15">
        <v>2026721808</v>
      </c>
      <c r="B429" s="15" t="s">
        <v>1225</v>
      </c>
      <c r="C429" s="15" t="s">
        <v>1107</v>
      </c>
      <c r="D429" s="15" t="str">
        <f>CONCATENATE(C429," ",B429)</f>
        <v>TERRI EZNACK</v>
      </c>
      <c r="E429" s="15" t="s">
        <v>90</v>
      </c>
      <c r="F429" s="15" t="s">
        <v>383</v>
      </c>
      <c r="G429" s="15" t="s">
        <v>385</v>
      </c>
      <c r="H429" s="15" t="s">
        <v>385</v>
      </c>
      <c r="I429" s="21">
        <v>8307933</v>
      </c>
      <c r="J429" s="15" t="s">
        <v>80</v>
      </c>
      <c r="K429" s="15" t="s">
        <v>81</v>
      </c>
      <c r="L429" s="15" t="str">
        <f>CONCATENATE(K429," ",J429)</f>
        <v>GREGORY TEIPEL</v>
      </c>
      <c r="M429" s="15" t="s">
        <v>57</v>
      </c>
      <c r="N429" s="16">
        <v>45695</v>
      </c>
      <c r="O429" s="16">
        <v>46088</v>
      </c>
      <c r="P429" s="24">
        <f>DATEDIF(N429,O429,"M")</f>
        <v>13</v>
      </c>
      <c r="Q429" s="24" t="s">
        <v>157</v>
      </c>
      <c r="R429" s="24" t="s">
        <v>1391</v>
      </c>
      <c r="S429" s="17">
        <v>23.05</v>
      </c>
      <c r="T429" s="18">
        <v>0.1</v>
      </c>
      <c r="U429" s="15" t="s">
        <v>157</v>
      </c>
      <c r="V429" s="15" t="s">
        <v>135</v>
      </c>
      <c r="W429" s="17">
        <v>2.2999999999999998</v>
      </c>
    </row>
    <row r="430" spans="1:23" s="15" customFormat="1" x14ac:dyDescent="0.25">
      <c r="A430" s="15">
        <v>2026832450</v>
      </c>
      <c r="B430" s="15" t="s">
        <v>74</v>
      </c>
      <c r="C430" s="15" t="s">
        <v>172</v>
      </c>
      <c r="D430" s="15" t="str">
        <f>CONCATENATE(C430," ",B430)</f>
        <v>ADAM DAUGHERTY</v>
      </c>
      <c r="E430" s="15" t="s">
        <v>96</v>
      </c>
      <c r="F430" s="15" t="s">
        <v>383</v>
      </c>
      <c r="G430" s="15" t="s">
        <v>385</v>
      </c>
      <c r="H430" s="15" t="s">
        <v>385</v>
      </c>
      <c r="I430" s="21">
        <v>8307933</v>
      </c>
      <c r="J430" s="15" t="s">
        <v>80</v>
      </c>
      <c r="K430" s="15" t="s">
        <v>81</v>
      </c>
      <c r="L430" s="15" t="str">
        <f>CONCATENATE(K430," ",J430)</f>
        <v>GREGORY TEIPEL</v>
      </c>
      <c r="M430" s="15" t="s">
        <v>57</v>
      </c>
      <c r="N430" s="16">
        <v>45695</v>
      </c>
      <c r="O430" s="16">
        <v>46088</v>
      </c>
      <c r="P430" s="24">
        <f>DATEDIF(N430,O430,"M")</f>
        <v>13</v>
      </c>
      <c r="Q430" s="24" t="s">
        <v>157</v>
      </c>
      <c r="R430" s="24" t="s">
        <v>1391</v>
      </c>
      <c r="S430" s="17">
        <v>41.25</v>
      </c>
      <c r="T430" s="18">
        <v>0.1</v>
      </c>
      <c r="U430" s="15" t="s">
        <v>157</v>
      </c>
      <c r="V430" s="15" t="s">
        <v>135</v>
      </c>
      <c r="W430" s="17">
        <v>4.12</v>
      </c>
    </row>
    <row r="431" spans="1:23" s="15" customFormat="1" x14ac:dyDescent="0.25">
      <c r="A431" s="15">
        <v>2025690377</v>
      </c>
      <c r="B431" s="15" t="s">
        <v>497</v>
      </c>
      <c r="C431" s="15" t="s">
        <v>498</v>
      </c>
      <c r="D431" s="15" t="str">
        <f>CONCATENATE(C431," ",B431)</f>
        <v>JUSTIN REITER</v>
      </c>
      <c r="E431" s="15" t="s">
        <v>78</v>
      </c>
      <c r="F431" s="15" t="s">
        <v>72</v>
      </c>
      <c r="G431" s="15" t="s">
        <v>79</v>
      </c>
      <c r="H431" s="15" t="s">
        <v>1329</v>
      </c>
      <c r="I431" s="21">
        <v>8307933</v>
      </c>
      <c r="J431" s="15" t="s">
        <v>80</v>
      </c>
      <c r="K431" s="15" t="s">
        <v>81</v>
      </c>
      <c r="L431" s="15" t="str">
        <f>CONCATENATE(K431," ",J431)</f>
        <v>GREGORY TEIPEL</v>
      </c>
      <c r="M431" s="15" t="s">
        <v>57</v>
      </c>
      <c r="N431" s="16">
        <v>45664</v>
      </c>
      <c r="O431" s="16">
        <v>46088</v>
      </c>
      <c r="P431" s="24">
        <f>DATEDIF(N431,O431,"M")</f>
        <v>14</v>
      </c>
      <c r="Q431" s="24" t="s">
        <v>157</v>
      </c>
      <c r="R431" s="24" t="s">
        <v>1391</v>
      </c>
      <c r="S431" s="17">
        <v>19.63</v>
      </c>
      <c r="T431" s="18">
        <v>0.1</v>
      </c>
      <c r="U431" s="15" t="s">
        <v>157</v>
      </c>
      <c r="V431" s="15" t="s">
        <v>135</v>
      </c>
      <c r="W431" s="17">
        <v>1.96</v>
      </c>
    </row>
    <row r="432" spans="1:23" s="15" customFormat="1" x14ac:dyDescent="0.25">
      <c r="A432" s="15">
        <v>2025732432</v>
      </c>
      <c r="B432" s="15" t="s">
        <v>502</v>
      </c>
      <c r="C432" s="15" t="s">
        <v>216</v>
      </c>
      <c r="D432" s="15" t="str">
        <f>CONCATENATE(C432," ",B432)</f>
        <v>DEBORAH HANNA</v>
      </c>
      <c r="E432" s="15" t="s">
        <v>353</v>
      </c>
      <c r="F432" s="15" t="s">
        <v>72</v>
      </c>
      <c r="G432" s="15" t="s">
        <v>79</v>
      </c>
      <c r="H432" s="15" t="s">
        <v>1329</v>
      </c>
      <c r="I432" s="21">
        <v>8307933</v>
      </c>
      <c r="J432" s="15" t="s">
        <v>80</v>
      </c>
      <c r="K432" s="15" t="s">
        <v>81</v>
      </c>
      <c r="L432" s="15" t="str">
        <f>CONCATENATE(K432," ",J432)</f>
        <v>GREGORY TEIPEL</v>
      </c>
      <c r="M432" s="15" t="s">
        <v>57</v>
      </c>
      <c r="N432" s="16">
        <v>45664</v>
      </c>
      <c r="O432" s="16">
        <v>46088</v>
      </c>
      <c r="P432" s="24">
        <f>DATEDIF(N432,O432,"M")</f>
        <v>14</v>
      </c>
      <c r="Q432" s="24" t="s">
        <v>157</v>
      </c>
      <c r="R432" s="24" t="s">
        <v>1391</v>
      </c>
      <c r="S432" s="17">
        <v>93.93</v>
      </c>
      <c r="T432" s="18">
        <v>0.1</v>
      </c>
      <c r="U432" s="15" t="s">
        <v>157</v>
      </c>
      <c r="V432" s="15" t="s">
        <v>135</v>
      </c>
      <c r="W432" s="17">
        <v>9.39</v>
      </c>
    </row>
    <row r="433" spans="1:23" s="15" customFormat="1" x14ac:dyDescent="0.25">
      <c r="A433" s="15">
        <v>2026053293</v>
      </c>
      <c r="B433" s="15" t="s">
        <v>515</v>
      </c>
      <c r="C433" s="15" t="s">
        <v>107</v>
      </c>
      <c r="D433" s="15" t="str">
        <f>CONCATENATE(C433," ",B433)</f>
        <v>PAMELA CREASBAUM</v>
      </c>
      <c r="E433" s="15" t="s">
        <v>66</v>
      </c>
      <c r="F433" s="15" t="s">
        <v>72</v>
      </c>
      <c r="G433" s="15" t="s">
        <v>79</v>
      </c>
      <c r="H433" s="15" t="s">
        <v>1329</v>
      </c>
      <c r="I433" s="21">
        <v>8307933</v>
      </c>
      <c r="J433" s="15" t="s">
        <v>80</v>
      </c>
      <c r="K433" s="15" t="s">
        <v>81</v>
      </c>
      <c r="L433" s="15" t="str">
        <f>CONCATENATE(K433," ",J433)</f>
        <v>GREGORY TEIPEL</v>
      </c>
      <c r="M433" s="15" t="s">
        <v>57</v>
      </c>
      <c r="N433" s="16">
        <v>45664</v>
      </c>
      <c r="O433" s="16">
        <v>46088</v>
      </c>
      <c r="P433" s="24">
        <f>DATEDIF(N433,O433,"M")</f>
        <v>14</v>
      </c>
      <c r="Q433" s="24" t="s">
        <v>157</v>
      </c>
      <c r="R433" s="24" t="s">
        <v>1391</v>
      </c>
      <c r="S433" s="17">
        <v>78.430000000000007</v>
      </c>
      <c r="T433" s="18">
        <v>0.1</v>
      </c>
      <c r="U433" s="15" t="s">
        <v>157</v>
      </c>
      <c r="V433" s="15" t="s">
        <v>135</v>
      </c>
      <c r="W433" s="17">
        <v>7.84</v>
      </c>
    </row>
    <row r="434" spans="1:23" s="15" customFormat="1" x14ac:dyDescent="0.25">
      <c r="A434" s="15">
        <v>2026082703</v>
      </c>
      <c r="B434" s="15" t="s">
        <v>516</v>
      </c>
      <c r="C434" s="15" t="s">
        <v>259</v>
      </c>
      <c r="D434" s="15" t="str">
        <f>CONCATENATE(C434," ",B434)</f>
        <v>KAREN FOWLER</v>
      </c>
      <c r="E434" s="15" t="s">
        <v>96</v>
      </c>
      <c r="F434" s="15" t="s">
        <v>72</v>
      </c>
      <c r="G434" s="15" t="s">
        <v>79</v>
      </c>
      <c r="H434" s="15" t="s">
        <v>1329</v>
      </c>
      <c r="I434" s="21">
        <v>8307933</v>
      </c>
      <c r="J434" s="15" t="s">
        <v>80</v>
      </c>
      <c r="K434" s="15" t="s">
        <v>81</v>
      </c>
      <c r="L434" s="15" t="str">
        <f>CONCATENATE(K434," ",J434)</f>
        <v>GREGORY TEIPEL</v>
      </c>
      <c r="M434" s="15" t="s">
        <v>57</v>
      </c>
      <c r="N434" s="16">
        <v>45664</v>
      </c>
      <c r="O434" s="16">
        <v>46088</v>
      </c>
      <c r="P434" s="24">
        <f>DATEDIF(N434,O434,"M")</f>
        <v>14</v>
      </c>
      <c r="Q434" s="24" t="s">
        <v>157</v>
      </c>
      <c r="R434" s="24" t="s">
        <v>1391</v>
      </c>
      <c r="S434" s="17">
        <v>148.53</v>
      </c>
      <c r="T434" s="18">
        <v>0.1</v>
      </c>
      <c r="U434" s="15" t="s">
        <v>157</v>
      </c>
      <c r="V434" s="15" t="s">
        <v>135</v>
      </c>
      <c r="W434" s="17">
        <v>14.85</v>
      </c>
    </row>
    <row r="435" spans="1:23" s="15" customFormat="1" x14ac:dyDescent="0.25">
      <c r="A435" s="15">
        <v>2026113524</v>
      </c>
      <c r="B435" s="15" t="s">
        <v>518</v>
      </c>
      <c r="C435" s="15" t="s">
        <v>248</v>
      </c>
      <c r="D435" s="15" t="str">
        <f>CONCATENATE(C435," ",B435)</f>
        <v>TRINA FUHRHOP</v>
      </c>
      <c r="E435" s="15" t="s">
        <v>66</v>
      </c>
      <c r="F435" s="15" t="s">
        <v>72</v>
      </c>
      <c r="G435" s="15" t="s">
        <v>79</v>
      </c>
      <c r="H435" s="15" t="s">
        <v>1329</v>
      </c>
      <c r="I435" s="21">
        <v>8307933</v>
      </c>
      <c r="J435" s="15" t="s">
        <v>80</v>
      </c>
      <c r="K435" s="15" t="s">
        <v>81</v>
      </c>
      <c r="L435" s="15" t="str">
        <f>CONCATENATE(K435," ",J435)</f>
        <v>GREGORY TEIPEL</v>
      </c>
      <c r="M435" s="15" t="s">
        <v>57</v>
      </c>
      <c r="N435" s="16">
        <v>45664</v>
      </c>
      <c r="O435" s="16">
        <v>46088</v>
      </c>
      <c r="P435" s="24">
        <f>DATEDIF(N435,O435,"M")</f>
        <v>14</v>
      </c>
      <c r="Q435" s="24" t="s">
        <v>157</v>
      </c>
      <c r="R435" s="24" t="s">
        <v>1391</v>
      </c>
      <c r="S435" s="17">
        <v>144.18</v>
      </c>
      <c r="T435" s="18">
        <v>0.1</v>
      </c>
      <c r="U435" s="15" t="s">
        <v>157</v>
      </c>
      <c r="V435" s="15" t="s">
        <v>135</v>
      </c>
      <c r="W435" s="17">
        <v>14.42</v>
      </c>
    </row>
    <row r="436" spans="1:23" s="15" customFormat="1" x14ac:dyDescent="0.25">
      <c r="A436" s="15">
        <v>2026126661</v>
      </c>
      <c r="B436" s="15" t="s">
        <v>504</v>
      </c>
      <c r="C436" s="15" t="s">
        <v>519</v>
      </c>
      <c r="D436" s="15" t="str">
        <f>CONCATENATE(C436," ",B436)</f>
        <v>SHANNON WEST</v>
      </c>
      <c r="E436" s="15" t="s">
        <v>90</v>
      </c>
      <c r="F436" s="15" t="s">
        <v>72</v>
      </c>
      <c r="G436" s="15" t="s">
        <v>79</v>
      </c>
      <c r="H436" s="15" t="s">
        <v>1329</v>
      </c>
      <c r="I436" s="21">
        <v>8307933</v>
      </c>
      <c r="J436" s="15" t="s">
        <v>80</v>
      </c>
      <c r="K436" s="15" t="s">
        <v>81</v>
      </c>
      <c r="L436" s="15" t="str">
        <f>CONCATENATE(K436," ",J436)</f>
        <v>GREGORY TEIPEL</v>
      </c>
      <c r="M436" s="15" t="s">
        <v>57</v>
      </c>
      <c r="N436" s="16">
        <v>45664</v>
      </c>
      <c r="O436" s="16">
        <v>46088</v>
      </c>
      <c r="P436" s="24">
        <f>DATEDIF(N436,O436,"M")</f>
        <v>14</v>
      </c>
      <c r="Q436" s="24" t="s">
        <v>157</v>
      </c>
      <c r="R436" s="24" t="s">
        <v>1391</v>
      </c>
      <c r="S436" s="17">
        <v>107.5</v>
      </c>
      <c r="T436" s="18">
        <v>0.1</v>
      </c>
      <c r="U436" s="15" t="s">
        <v>157</v>
      </c>
      <c r="V436" s="15" t="s">
        <v>135</v>
      </c>
      <c r="W436" s="17">
        <v>10.75</v>
      </c>
    </row>
    <row r="437" spans="1:23" s="15" customFormat="1" x14ac:dyDescent="0.25">
      <c r="A437" s="15">
        <v>2026154681</v>
      </c>
      <c r="B437" s="15" t="s">
        <v>523</v>
      </c>
      <c r="C437" s="15" t="s">
        <v>524</v>
      </c>
      <c r="D437" s="15" t="str">
        <f>CONCATENATE(C437," ",B437)</f>
        <v>STEPHANIE CLANCY</v>
      </c>
      <c r="E437" s="15" t="s">
        <v>78</v>
      </c>
      <c r="F437" s="15" t="s">
        <v>72</v>
      </c>
      <c r="G437" s="15" t="s">
        <v>79</v>
      </c>
      <c r="H437" s="15" t="s">
        <v>1329</v>
      </c>
      <c r="I437" s="21">
        <v>8307933</v>
      </c>
      <c r="J437" s="15" t="s">
        <v>80</v>
      </c>
      <c r="K437" s="15" t="s">
        <v>81</v>
      </c>
      <c r="L437" s="15" t="str">
        <f>CONCATENATE(K437," ",J437)</f>
        <v>GREGORY TEIPEL</v>
      </c>
      <c r="M437" s="15" t="s">
        <v>57</v>
      </c>
      <c r="N437" s="16">
        <v>45664</v>
      </c>
      <c r="O437" s="16">
        <v>46088</v>
      </c>
      <c r="P437" s="24">
        <f>DATEDIF(N437,O437,"M")</f>
        <v>14</v>
      </c>
      <c r="Q437" s="24" t="s">
        <v>157</v>
      </c>
      <c r="R437" s="24" t="s">
        <v>1391</v>
      </c>
      <c r="S437" s="17">
        <v>119.95</v>
      </c>
      <c r="T437" s="18">
        <v>0.1</v>
      </c>
      <c r="U437" s="15" t="s">
        <v>157</v>
      </c>
      <c r="V437" s="15" t="s">
        <v>135</v>
      </c>
      <c r="W437" s="17">
        <v>12</v>
      </c>
    </row>
    <row r="438" spans="1:23" s="15" customFormat="1" x14ac:dyDescent="0.25">
      <c r="A438" s="15">
        <v>2026155453</v>
      </c>
      <c r="B438" s="15" t="s">
        <v>525</v>
      </c>
      <c r="C438" s="15" t="s">
        <v>526</v>
      </c>
      <c r="D438" s="15" t="str">
        <f>CONCATENATE(C438," ",B438)</f>
        <v>VIRGIL HENRY</v>
      </c>
      <c r="E438" s="15" t="s">
        <v>527</v>
      </c>
      <c r="F438" s="15" t="s">
        <v>72</v>
      </c>
      <c r="G438" s="15" t="s">
        <v>79</v>
      </c>
      <c r="H438" s="15" t="s">
        <v>1329</v>
      </c>
      <c r="I438" s="21">
        <v>8307933</v>
      </c>
      <c r="J438" s="15" t="s">
        <v>80</v>
      </c>
      <c r="K438" s="15" t="s">
        <v>81</v>
      </c>
      <c r="L438" s="15" t="str">
        <f>CONCATENATE(K438," ",J438)</f>
        <v>GREGORY TEIPEL</v>
      </c>
      <c r="M438" s="15" t="s">
        <v>57</v>
      </c>
      <c r="N438" s="16">
        <v>45664</v>
      </c>
      <c r="O438" s="16">
        <v>46088</v>
      </c>
      <c r="P438" s="24">
        <f>DATEDIF(N438,O438,"M")</f>
        <v>14</v>
      </c>
      <c r="Q438" s="24" t="s">
        <v>157</v>
      </c>
      <c r="R438" s="24" t="s">
        <v>1391</v>
      </c>
      <c r="S438" s="17">
        <v>67.3</v>
      </c>
      <c r="T438" s="18">
        <v>0.1</v>
      </c>
      <c r="U438" s="15" t="s">
        <v>157</v>
      </c>
      <c r="V438" s="15" t="s">
        <v>135</v>
      </c>
      <c r="W438" s="17">
        <v>6.73</v>
      </c>
    </row>
    <row r="439" spans="1:23" s="15" customFormat="1" x14ac:dyDescent="0.25">
      <c r="A439" s="15">
        <v>2026166108</v>
      </c>
      <c r="B439" s="15" t="s">
        <v>528</v>
      </c>
      <c r="C439" s="15" t="s">
        <v>529</v>
      </c>
      <c r="D439" s="15" t="str">
        <f>CONCATENATE(C439," ",B439)</f>
        <v>STEPHEN FREY</v>
      </c>
      <c r="E439" s="15" t="s">
        <v>66</v>
      </c>
      <c r="F439" s="15" t="s">
        <v>72</v>
      </c>
      <c r="G439" s="15" t="s">
        <v>79</v>
      </c>
      <c r="H439" s="15" t="s">
        <v>1329</v>
      </c>
      <c r="I439" s="21">
        <v>8307933</v>
      </c>
      <c r="J439" s="15" t="s">
        <v>80</v>
      </c>
      <c r="K439" s="15" t="s">
        <v>81</v>
      </c>
      <c r="L439" s="15" t="str">
        <f>CONCATENATE(K439," ",J439)</f>
        <v>GREGORY TEIPEL</v>
      </c>
      <c r="M439" s="15" t="s">
        <v>57</v>
      </c>
      <c r="N439" s="16">
        <v>45664</v>
      </c>
      <c r="O439" s="16">
        <v>46088</v>
      </c>
      <c r="P439" s="24">
        <f>DATEDIF(N439,O439,"M")</f>
        <v>14</v>
      </c>
      <c r="Q439" s="24" t="s">
        <v>157</v>
      </c>
      <c r="R439" s="24" t="s">
        <v>1391</v>
      </c>
      <c r="S439" s="17">
        <v>129.13</v>
      </c>
      <c r="T439" s="18">
        <v>0.1</v>
      </c>
      <c r="U439" s="15" t="s">
        <v>157</v>
      </c>
      <c r="V439" s="15" t="s">
        <v>135</v>
      </c>
      <c r="W439" s="17">
        <v>12.91</v>
      </c>
    </row>
    <row r="440" spans="1:23" s="15" customFormat="1" x14ac:dyDescent="0.25">
      <c r="A440" s="15">
        <v>2026175249</v>
      </c>
      <c r="B440" s="15" t="s">
        <v>530</v>
      </c>
      <c r="C440" s="15" t="s">
        <v>230</v>
      </c>
      <c r="D440" s="15" t="str">
        <f>CONCATENATE(C440," ",B440)</f>
        <v>MICHELE SZAPIELAK</v>
      </c>
      <c r="E440" s="15" t="s">
        <v>66</v>
      </c>
      <c r="F440" s="15" t="s">
        <v>72</v>
      </c>
      <c r="G440" s="15" t="s">
        <v>79</v>
      </c>
      <c r="H440" s="15" t="s">
        <v>1329</v>
      </c>
      <c r="I440" s="21">
        <v>8307933</v>
      </c>
      <c r="J440" s="15" t="s">
        <v>80</v>
      </c>
      <c r="K440" s="15" t="s">
        <v>81</v>
      </c>
      <c r="L440" s="15" t="str">
        <f>CONCATENATE(K440," ",J440)</f>
        <v>GREGORY TEIPEL</v>
      </c>
      <c r="M440" s="15" t="s">
        <v>57</v>
      </c>
      <c r="N440" s="16">
        <v>45664</v>
      </c>
      <c r="O440" s="16">
        <v>46088</v>
      </c>
      <c r="P440" s="24">
        <f>DATEDIF(N440,O440,"M")</f>
        <v>14</v>
      </c>
      <c r="Q440" s="24" t="s">
        <v>157</v>
      </c>
      <c r="R440" s="24" t="s">
        <v>1391</v>
      </c>
      <c r="S440" s="17">
        <v>61.27</v>
      </c>
      <c r="T440" s="18">
        <v>0.1</v>
      </c>
      <c r="U440" s="15" t="s">
        <v>157</v>
      </c>
      <c r="V440" s="15" t="s">
        <v>135</v>
      </c>
      <c r="W440" s="17">
        <v>6.13</v>
      </c>
    </row>
    <row r="441" spans="1:23" s="15" customFormat="1" x14ac:dyDescent="0.25">
      <c r="A441" s="15">
        <v>2026236140</v>
      </c>
      <c r="B441" s="15" t="s">
        <v>535</v>
      </c>
      <c r="C441" s="15" t="s">
        <v>188</v>
      </c>
      <c r="D441" s="15" t="str">
        <f>CONCATENATE(C441," ",B441)</f>
        <v>MICHAEL RUSS</v>
      </c>
      <c r="E441" s="15" t="s">
        <v>90</v>
      </c>
      <c r="F441" s="15" t="s">
        <v>72</v>
      </c>
      <c r="G441" s="15" t="s">
        <v>79</v>
      </c>
      <c r="H441" s="15" t="s">
        <v>1329</v>
      </c>
      <c r="I441" s="21">
        <v>8307933</v>
      </c>
      <c r="J441" s="15" t="s">
        <v>80</v>
      </c>
      <c r="K441" s="15" t="s">
        <v>81</v>
      </c>
      <c r="L441" s="15" t="str">
        <f>CONCATENATE(K441," ",J441)</f>
        <v>GREGORY TEIPEL</v>
      </c>
      <c r="M441" s="15" t="s">
        <v>57</v>
      </c>
      <c r="N441" s="16">
        <v>45664</v>
      </c>
      <c r="O441" s="16">
        <v>46088</v>
      </c>
      <c r="P441" s="24">
        <f>DATEDIF(N441,O441,"M")</f>
        <v>14</v>
      </c>
      <c r="Q441" s="24" t="s">
        <v>157</v>
      </c>
      <c r="R441" s="24" t="s">
        <v>1391</v>
      </c>
      <c r="S441" s="17">
        <v>127.21</v>
      </c>
      <c r="T441" s="18">
        <v>0.1</v>
      </c>
      <c r="U441" s="15" t="s">
        <v>157</v>
      </c>
      <c r="V441" s="15" t="s">
        <v>135</v>
      </c>
      <c r="W441" s="17">
        <v>12.72</v>
      </c>
    </row>
    <row r="442" spans="1:23" s="15" customFormat="1" x14ac:dyDescent="0.25">
      <c r="A442" s="15">
        <v>2026298483</v>
      </c>
      <c r="B442" s="15" t="s">
        <v>536</v>
      </c>
      <c r="C442" s="15" t="s">
        <v>537</v>
      </c>
      <c r="D442" s="15" t="str">
        <f>CONCATENATE(C442," ",B442)</f>
        <v>BRIAN ANDRASEK</v>
      </c>
      <c r="E442" s="15" t="s">
        <v>66</v>
      </c>
      <c r="F442" s="15" t="s">
        <v>72</v>
      </c>
      <c r="G442" s="15" t="s">
        <v>79</v>
      </c>
      <c r="H442" s="15" t="s">
        <v>1329</v>
      </c>
      <c r="I442" s="21">
        <v>8307933</v>
      </c>
      <c r="J442" s="15" t="s">
        <v>80</v>
      </c>
      <c r="K442" s="15" t="s">
        <v>81</v>
      </c>
      <c r="L442" s="15" t="str">
        <f>CONCATENATE(K442," ",J442)</f>
        <v>GREGORY TEIPEL</v>
      </c>
      <c r="M442" s="15" t="s">
        <v>57</v>
      </c>
      <c r="N442" s="16">
        <v>45664</v>
      </c>
      <c r="O442" s="16">
        <v>46088</v>
      </c>
      <c r="P442" s="24">
        <f>DATEDIF(N442,O442,"M")</f>
        <v>14</v>
      </c>
      <c r="Q442" s="24" t="s">
        <v>157</v>
      </c>
      <c r="R442" s="24" t="s">
        <v>1391</v>
      </c>
      <c r="S442" s="17">
        <v>25.6</v>
      </c>
      <c r="T442" s="18">
        <v>0.1</v>
      </c>
      <c r="U442" s="15" t="s">
        <v>157</v>
      </c>
      <c r="V442" s="15" t="s">
        <v>135</v>
      </c>
      <c r="W442" s="17">
        <v>2.56</v>
      </c>
    </row>
    <row r="443" spans="1:23" s="15" customFormat="1" x14ac:dyDescent="0.25">
      <c r="A443" s="15">
        <v>2026036711</v>
      </c>
      <c r="B443" s="15" t="s">
        <v>513</v>
      </c>
      <c r="C443" s="15" t="s">
        <v>211</v>
      </c>
      <c r="D443" s="15" t="str">
        <f>CONCATENATE(C443," ",B443)</f>
        <v>ANTHONY CASTRO</v>
      </c>
      <c r="E443" s="15" t="s">
        <v>66</v>
      </c>
      <c r="F443" s="15" t="s">
        <v>72</v>
      </c>
      <c r="G443" s="15" t="s">
        <v>93</v>
      </c>
      <c r="H443" s="15" t="s">
        <v>1332</v>
      </c>
      <c r="I443" s="21">
        <v>8307933</v>
      </c>
      <c r="J443" s="15" t="s">
        <v>80</v>
      </c>
      <c r="K443" s="15" t="s">
        <v>81</v>
      </c>
      <c r="L443" s="15" t="str">
        <f>CONCATENATE(K443," ",J443)</f>
        <v>GREGORY TEIPEL</v>
      </c>
      <c r="M443" s="15" t="s">
        <v>57</v>
      </c>
      <c r="N443" s="16">
        <v>45664</v>
      </c>
      <c r="O443" s="16">
        <v>46088</v>
      </c>
      <c r="P443" s="24">
        <f>DATEDIF(N443,O443,"M")</f>
        <v>14</v>
      </c>
      <c r="Q443" s="24" t="s">
        <v>157</v>
      </c>
      <c r="R443" s="24" t="s">
        <v>1391</v>
      </c>
      <c r="S443" s="17">
        <v>152.33000000000001</v>
      </c>
      <c r="T443" s="18">
        <v>0.1</v>
      </c>
      <c r="U443" s="15" t="s">
        <v>157</v>
      </c>
      <c r="V443" s="15" t="s">
        <v>135</v>
      </c>
      <c r="W443" s="17">
        <v>15.23</v>
      </c>
    </row>
    <row r="444" spans="1:23" s="15" customFormat="1" x14ac:dyDescent="0.25">
      <c r="A444" s="15">
        <v>2026099502</v>
      </c>
      <c r="B444" s="15" t="s">
        <v>517</v>
      </c>
      <c r="C444" s="15" t="s">
        <v>500</v>
      </c>
      <c r="D444" s="15" t="str">
        <f>CONCATENATE(C444," ",B444)</f>
        <v>SARAH LEVY</v>
      </c>
      <c r="E444" s="15" t="s">
        <v>78</v>
      </c>
      <c r="F444" s="15" t="s">
        <v>72</v>
      </c>
      <c r="G444" s="15" t="s">
        <v>93</v>
      </c>
      <c r="H444" s="15" t="s">
        <v>1332</v>
      </c>
      <c r="I444" s="21">
        <v>8307933</v>
      </c>
      <c r="J444" s="15" t="s">
        <v>80</v>
      </c>
      <c r="K444" s="15" t="s">
        <v>81</v>
      </c>
      <c r="L444" s="15" t="str">
        <f>CONCATENATE(K444," ",J444)</f>
        <v>GREGORY TEIPEL</v>
      </c>
      <c r="M444" s="15" t="s">
        <v>57</v>
      </c>
      <c r="N444" s="16">
        <v>45664</v>
      </c>
      <c r="O444" s="16">
        <v>46088</v>
      </c>
      <c r="P444" s="24">
        <f>DATEDIF(N444,O444,"M")</f>
        <v>14</v>
      </c>
      <c r="Q444" s="24" t="s">
        <v>157</v>
      </c>
      <c r="R444" s="24" t="s">
        <v>1391</v>
      </c>
      <c r="S444" s="17">
        <v>234.17</v>
      </c>
      <c r="T444" s="18">
        <v>0.1</v>
      </c>
      <c r="U444" s="15" t="s">
        <v>157</v>
      </c>
      <c r="V444" s="15" t="s">
        <v>135</v>
      </c>
      <c r="W444" s="17">
        <v>23.42</v>
      </c>
    </row>
    <row r="445" spans="1:23" s="15" customFormat="1" x14ac:dyDescent="0.25">
      <c r="A445" s="15">
        <v>2026145113</v>
      </c>
      <c r="B445" s="15" t="s">
        <v>521</v>
      </c>
      <c r="C445" s="15" t="s">
        <v>188</v>
      </c>
      <c r="D445" s="15" t="str">
        <f>CONCATENATE(C445," ",B445)</f>
        <v>MICHAEL HOCHERL</v>
      </c>
      <c r="E445" s="15" t="s">
        <v>353</v>
      </c>
      <c r="F445" s="15" t="s">
        <v>72</v>
      </c>
      <c r="G445" s="15" t="s">
        <v>93</v>
      </c>
      <c r="H445" s="15" t="s">
        <v>1332</v>
      </c>
      <c r="I445" s="21">
        <v>8307933</v>
      </c>
      <c r="J445" s="15" t="s">
        <v>80</v>
      </c>
      <c r="K445" s="15" t="s">
        <v>81</v>
      </c>
      <c r="L445" s="15" t="str">
        <f>CONCATENATE(K445," ",J445)</f>
        <v>GREGORY TEIPEL</v>
      </c>
      <c r="M445" s="15" t="s">
        <v>57</v>
      </c>
      <c r="N445" s="16">
        <v>45664</v>
      </c>
      <c r="O445" s="16">
        <v>46088</v>
      </c>
      <c r="P445" s="24">
        <f>DATEDIF(N445,O445,"M")</f>
        <v>14</v>
      </c>
      <c r="Q445" s="24" t="s">
        <v>157</v>
      </c>
      <c r="R445" s="24" t="s">
        <v>1391</v>
      </c>
      <c r="S445" s="17">
        <v>128.61000000000001</v>
      </c>
      <c r="T445" s="18">
        <v>0.1</v>
      </c>
      <c r="U445" s="15" t="s">
        <v>157</v>
      </c>
      <c r="V445" s="15" t="s">
        <v>135</v>
      </c>
      <c r="W445" s="17">
        <v>12.86</v>
      </c>
    </row>
    <row r="446" spans="1:23" s="15" customFormat="1" x14ac:dyDescent="0.25">
      <c r="A446" s="15">
        <v>2026150038</v>
      </c>
      <c r="B446" s="15" t="s">
        <v>522</v>
      </c>
      <c r="C446" s="15" t="s">
        <v>477</v>
      </c>
      <c r="D446" s="15" t="str">
        <f>CONCATENATE(C446," ",B446)</f>
        <v>JULIE BEILFUSS</v>
      </c>
      <c r="E446" s="15" t="s">
        <v>66</v>
      </c>
      <c r="F446" s="15" t="s">
        <v>72</v>
      </c>
      <c r="G446" s="15" t="s">
        <v>93</v>
      </c>
      <c r="H446" s="15" t="s">
        <v>1332</v>
      </c>
      <c r="I446" s="21">
        <v>8307933</v>
      </c>
      <c r="J446" s="15" t="s">
        <v>80</v>
      </c>
      <c r="K446" s="15" t="s">
        <v>81</v>
      </c>
      <c r="L446" s="15" t="str">
        <f>CONCATENATE(K446," ",J446)</f>
        <v>GREGORY TEIPEL</v>
      </c>
      <c r="M446" s="15" t="s">
        <v>57</v>
      </c>
      <c r="N446" s="16">
        <v>45664</v>
      </c>
      <c r="O446" s="16">
        <v>46088</v>
      </c>
      <c r="P446" s="24">
        <f>DATEDIF(N446,O446,"M")</f>
        <v>14</v>
      </c>
      <c r="Q446" s="24" t="s">
        <v>157</v>
      </c>
      <c r="R446" s="24" t="s">
        <v>1391</v>
      </c>
      <c r="S446" s="17">
        <v>59</v>
      </c>
      <c r="T446" s="18">
        <v>0.1</v>
      </c>
      <c r="U446" s="15" t="s">
        <v>157</v>
      </c>
      <c r="V446" s="15" t="s">
        <v>135</v>
      </c>
      <c r="W446" s="17">
        <v>5.9</v>
      </c>
    </row>
    <row r="447" spans="1:23" s="15" customFormat="1" x14ac:dyDescent="0.25">
      <c r="A447" s="15">
        <v>2026185573</v>
      </c>
      <c r="B447" s="15" t="s">
        <v>531</v>
      </c>
      <c r="C447" s="15" t="s">
        <v>532</v>
      </c>
      <c r="D447" s="15" t="str">
        <f>CONCATENATE(C447," ",B447)</f>
        <v>NILAY PATEL</v>
      </c>
      <c r="E447" s="15" t="s">
        <v>66</v>
      </c>
      <c r="F447" s="15" t="s">
        <v>72</v>
      </c>
      <c r="G447" s="15" t="s">
        <v>93</v>
      </c>
      <c r="H447" s="15" t="s">
        <v>1332</v>
      </c>
      <c r="I447" s="21">
        <v>8307933</v>
      </c>
      <c r="J447" s="15" t="s">
        <v>80</v>
      </c>
      <c r="K447" s="15" t="s">
        <v>81</v>
      </c>
      <c r="L447" s="15" t="str">
        <f>CONCATENATE(K447," ",J447)</f>
        <v>GREGORY TEIPEL</v>
      </c>
      <c r="M447" s="15" t="s">
        <v>57</v>
      </c>
      <c r="N447" s="16">
        <v>45664</v>
      </c>
      <c r="O447" s="16">
        <v>46088</v>
      </c>
      <c r="P447" s="24">
        <f>DATEDIF(N447,O447,"M")</f>
        <v>14</v>
      </c>
      <c r="Q447" s="24" t="s">
        <v>157</v>
      </c>
      <c r="R447" s="24" t="s">
        <v>1391</v>
      </c>
      <c r="S447" s="17">
        <v>135.59</v>
      </c>
      <c r="T447" s="18">
        <v>0.1</v>
      </c>
      <c r="U447" s="15" t="s">
        <v>157</v>
      </c>
      <c r="V447" s="15" t="s">
        <v>135</v>
      </c>
      <c r="W447" s="17">
        <v>13.56</v>
      </c>
    </row>
    <row r="448" spans="1:23" s="15" customFormat="1" x14ac:dyDescent="0.25">
      <c r="A448" s="15">
        <v>2025690376</v>
      </c>
      <c r="B448" s="15" t="s">
        <v>497</v>
      </c>
      <c r="C448" s="15" t="s">
        <v>498</v>
      </c>
      <c r="D448" s="15" t="str">
        <f>CONCATENATE(C448," ",B448)</f>
        <v>JUSTIN REITER</v>
      </c>
      <c r="E448" s="15" t="s">
        <v>78</v>
      </c>
      <c r="F448" s="15" t="s">
        <v>383</v>
      </c>
      <c r="G448" s="15" t="s">
        <v>384</v>
      </c>
      <c r="H448" s="15" t="s">
        <v>384</v>
      </c>
      <c r="I448" s="21">
        <v>8307933</v>
      </c>
      <c r="J448" s="15" t="s">
        <v>80</v>
      </c>
      <c r="K448" s="15" t="s">
        <v>81</v>
      </c>
      <c r="L448" s="15" t="str">
        <f>CONCATENATE(K448," ",J448)</f>
        <v>GREGORY TEIPEL</v>
      </c>
      <c r="M448" s="15" t="s">
        <v>57</v>
      </c>
      <c r="N448" s="16">
        <v>45664</v>
      </c>
      <c r="O448" s="16">
        <v>46088</v>
      </c>
      <c r="P448" s="24">
        <f>DATEDIF(N448,O448,"M")</f>
        <v>14</v>
      </c>
      <c r="Q448" s="24" t="s">
        <v>157</v>
      </c>
      <c r="R448" s="24" t="s">
        <v>1391</v>
      </c>
      <c r="S448" s="17">
        <v>31.28</v>
      </c>
      <c r="T448" s="18">
        <v>0.15</v>
      </c>
      <c r="U448" s="15" t="s">
        <v>157</v>
      </c>
      <c r="V448" s="15" t="s">
        <v>135</v>
      </c>
      <c r="W448" s="17">
        <v>4.6900000000000004</v>
      </c>
    </row>
    <row r="449" spans="1:23" s="15" customFormat="1" x14ac:dyDescent="0.25">
      <c r="A449" s="15">
        <v>2025732433</v>
      </c>
      <c r="B449" s="15" t="s">
        <v>502</v>
      </c>
      <c r="C449" s="15" t="s">
        <v>216</v>
      </c>
      <c r="D449" s="15" t="str">
        <f>CONCATENATE(C449," ",B449)</f>
        <v>DEBORAH HANNA</v>
      </c>
      <c r="E449" s="15" t="s">
        <v>353</v>
      </c>
      <c r="F449" s="15" t="s">
        <v>383</v>
      </c>
      <c r="G449" s="15" t="s">
        <v>384</v>
      </c>
      <c r="H449" s="15" t="s">
        <v>384</v>
      </c>
      <c r="I449" s="21">
        <v>8307933</v>
      </c>
      <c r="J449" s="15" t="s">
        <v>80</v>
      </c>
      <c r="K449" s="15" t="s">
        <v>81</v>
      </c>
      <c r="L449" s="15" t="str">
        <f>CONCATENATE(K449," ",J449)</f>
        <v>GREGORY TEIPEL</v>
      </c>
      <c r="M449" s="15" t="s">
        <v>57</v>
      </c>
      <c r="N449" s="16">
        <v>45664</v>
      </c>
      <c r="O449" s="16">
        <v>46088</v>
      </c>
      <c r="P449" s="24">
        <f>DATEDIF(N449,O449,"M")</f>
        <v>14</v>
      </c>
      <c r="Q449" s="24" t="s">
        <v>157</v>
      </c>
      <c r="R449" s="24" t="s">
        <v>1391</v>
      </c>
      <c r="S449" s="17">
        <v>98.64</v>
      </c>
      <c r="T449" s="18">
        <v>0.15</v>
      </c>
      <c r="U449" s="15" t="s">
        <v>157</v>
      </c>
      <c r="V449" s="15" t="s">
        <v>135</v>
      </c>
      <c r="W449" s="17">
        <v>14.8</v>
      </c>
    </row>
    <row r="450" spans="1:23" s="15" customFormat="1" x14ac:dyDescent="0.25">
      <c r="A450" s="15">
        <v>2026028784</v>
      </c>
      <c r="B450" s="15" t="s">
        <v>717</v>
      </c>
      <c r="C450" s="15" t="s">
        <v>1208</v>
      </c>
      <c r="D450" s="15" t="str">
        <f>CONCATENATE(C450," ",B450)</f>
        <v>LEAH HAMILTON</v>
      </c>
      <c r="E450" s="15" t="s">
        <v>66</v>
      </c>
      <c r="F450" s="15" t="s">
        <v>383</v>
      </c>
      <c r="G450" s="15" t="s">
        <v>384</v>
      </c>
      <c r="H450" s="15" t="s">
        <v>384</v>
      </c>
      <c r="I450" s="21">
        <v>8307933</v>
      </c>
      <c r="J450" s="15" t="s">
        <v>80</v>
      </c>
      <c r="K450" s="15" t="s">
        <v>81</v>
      </c>
      <c r="L450" s="15" t="str">
        <f>CONCATENATE(K450," ",J450)</f>
        <v>GREGORY TEIPEL</v>
      </c>
      <c r="M450" s="15" t="s">
        <v>57</v>
      </c>
      <c r="N450" s="16">
        <v>45664</v>
      </c>
      <c r="O450" s="16">
        <v>46088</v>
      </c>
      <c r="P450" s="24">
        <f>DATEDIF(N450,O450,"M")</f>
        <v>14</v>
      </c>
      <c r="Q450" s="24" t="s">
        <v>157</v>
      </c>
      <c r="R450" s="24" t="s">
        <v>1391</v>
      </c>
      <c r="S450" s="17">
        <v>96</v>
      </c>
      <c r="T450" s="18">
        <v>0.15</v>
      </c>
      <c r="U450" s="15" t="s">
        <v>157</v>
      </c>
      <c r="V450" s="15" t="s">
        <v>135</v>
      </c>
      <c r="W450" s="17">
        <v>14.4</v>
      </c>
    </row>
    <row r="451" spans="1:23" s="15" customFormat="1" x14ac:dyDescent="0.25">
      <c r="A451" s="15">
        <v>2026036712</v>
      </c>
      <c r="B451" s="15" t="s">
        <v>513</v>
      </c>
      <c r="C451" s="15" t="s">
        <v>211</v>
      </c>
      <c r="D451" s="15" t="str">
        <f>CONCATENATE(C451," ",B451)</f>
        <v>ANTHONY CASTRO</v>
      </c>
      <c r="E451" s="15" t="s">
        <v>66</v>
      </c>
      <c r="F451" s="15" t="s">
        <v>383</v>
      </c>
      <c r="G451" s="15" t="s">
        <v>384</v>
      </c>
      <c r="H451" s="15" t="s">
        <v>384</v>
      </c>
      <c r="I451" s="21">
        <v>8307933</v>
      </c>
      <c r="J451" s="15" t="s">
        <v>80</v>
      </c>
      <c r="K451" s="15" t="s">
        <v>81</v>
      </c>
      <c r="L451" s="15" t="str">
        <f>CONCATENATE(K451," ",J451)</f>
        <v>GREGORY TEIPEL</v>
      </c>
      <c r="M451" s="15" t="s">
        <v>57</v>
      </c>
      <c r="N451" s="16">
        <v>45664</v>
      </c>
      <c r="O451" s="16">
        <v>46088</v>
      </c>
      <c r="P451" s="24">
        <f>DATEDIF(N451,O451,"M")</f>
        <v>14</v>
      </c>
      <c r="Q451" s="24" t="s">
        <v>157</v>
      </c>
      <c r="R451" s="24" t="s">
        <v>1391</v>
      </c>
      <c r="S451" s="17">
        <v>74.58</v>
      </c>
      <c r="T451" s="18">
        <v>0.15</v>
      </c>
      <c r="U451" s="15" t="s">
        <v>157</v>
      </c>
      <c r="V451" s="15" t="s">
        <v>135</v>
      </c>
      <c r="W451" s="17">
        <v>11.19</v>
      </c>
    </row>
    <row r="452" spans="1:23" s="15" customFormat="1" x14ac:dyDescent="0.25">
      <c r="A452" s="15">
        <v>2026043419</v>
      </c>
      <c r="B452" s="15" t="s">
        <v>272</v>
      </c>
      <c r="C452" s="15" t="s">
        <v>1209</v>
      </c>
      <c r="D452" s="15" t="str">
        <f>CONCATENATE(C452," ",B452)</f>
        <v>DYLAN DEAN</v>
      </c>
      <c r="E452" s="15" t="s">
        <v>84</v>
      </c>
      <c r="F452" s="15" t="s">
        <v>383</v>
      </c>
      <c r="G452" s="15" t="s">
        <v>384</v>
      </c>
      <c r="H452" s="15" t="s">
        <v>384</v>
      </c>
      <c r="I452" s="21">
        <v>8307933</v>
      </c>
      <c r="J452" s="15" t="s">
        <v>80</v>
      </c>
      <c r="K452" s="15" t="s">
        <v>81</v>
      </c>
      <c r="L452" s="15" t="str">
        <f>CONCATENATE(K452," ",J452)</f>
        <v>GREGORY TEIPEL</v>
      </c>
      <c r="M452" s="15" t="s">
        <v>57</v>
      </c>
      <c r="N452" s="16">
        <v>45664</v>
      </c>
      <c r="O452" s="16">
        <v>46088</v>
      </c>
      <c r="P452" s="24">
        <f>DATEDIF(N452,O452,"M")</f>
        <v>14</v>
      </c>
      <c r="Q452" s="24" t="s">
        <v>157</v>
      </c>
      <c r="R452" s="24" t="s">
        <v>1391</v>
      </c>
      <c r="S452" s="17">
        <v>79.33</v>
      </c>
      <c r="T452" s="18">
        <v>0.15</v>
      </c>
      <c r="U452" s="15" t="s">
        <v>157</v>
      </c>
      <c r="V452" s="15" t="s">
        <v>135</v>
      </c>
      <c r="W452" s="17">
        <v>11.9</v>
      </c>
    </row>
    <row r="453" spans="1:23" s="15" customFormat="1" x14ac:dyDescent="0.25">
      <c r="A453" s="15">
        <v>2026053294</v>
      </c>
      <c r="B453" s="15" t="s">
        <v>515</v>
      </c>
      <c r="C453" s="15" t="s">
        <v>107</v>
      </c>
      <c r="D453" s="15" t="str">
        <f>CONCATENATE(C453," ",B453)</f>
        <v>PAMELA CREASBAUM</v>
      </c>
      <c r="E453" s="15" t="s">
        <v>66</v>
      </c>
      <c r="F453" s="15" t="s">
        <v>383</v>
      </c>
      <c r="G453" s="15" t="s">
        <v>384</v>
      </c>
      <c r="H453" s="15" t="s">
        <v>384</v>
      </c>
      <c r="I453" s="21">
        <v>8307933</v>
      </c>
      <c r="J453" s="15" t="s">
        <v>80</v>
      </c>
      <c r="K453" s="15" t="s">
        <v>81</v>
      </c>
      <c r="L453" s="15" t="str">
        <f>CONCATENATE(K453," ",J453)</f>
        <v>GREGORY TEIPEL</v>
      </c>
      <c r="M453" s="15" t="s">
        <v>57</v>
      </c>
      <c r="N453" s="16">
        <v>45664</v>
      </c>
      <c r="O453" s="16">
        <v>46088</v>
      </c>
      <c r="P453" s="24">
        <f>DATEDIF(N453,O453,"M")</f>
        <v>14</v>
      </c>
      <c r="Q453" s="24" t="s">
        <v>157</v>
      </c>
      <c r="R453" s="24" t="s">
        <v>1391</v>
      </c>
      <c r="S453" s="17">
        <v>124.72</v>
      </c>
      <c r="T453" s="18">
        <v>0.15</v>
      </c>
      <c r="U453" s="15" t="s">
        <v>157</v>
      </c>
      <c r="V453" s="15" t="s">
        <v>135</v>
      </c>
      <c r="W453" s="17">
        <v>18.71</v>
      </c>
    </row>
    <row r="454" spans="1:23" s="15" customFormat="1" x14ac:dyDescent="0.25">
      <c r="A454" s="15">
        <v>2026056484</v>
      </c>
      <c r="B454" s="15" t="s">
        <v>1210</v>
      </c>
      <c r="C454" s="15" t="s">
        <v>556</v>
      </c>
      <c r="D454" s="15" t="str">
        <f>CONCATENATE(C454," ",B454)</f>
        <v>TRACY SKIBINSKI</v>
      </c>
      <c r="E454" s="15" t="s">
        <v>78</v>
      </c>
      <c r="F454" s="15" t="s">
        <v>383</v>
      </c>
      <c r="G454" s="15" t="s">
        <v>384</v>
      </c>
      <c r="H454" s="15" t="s">
        <v>384</v>
      </c>
      <c r="I454" s="21">
        <v>8307933</v>
      </c>
      <c r="J454" s="15" t="s">
        <v>80</v>
      </c>
      <c r="K454" s="15" t="s">
        <v>81</v>
      </c>
      <c r="L454" s="15" t="str">
        <f>CONCATENATE(K454," ",J454)</f>
        <v>GREGORY TEIPEL</v>
      </c>
      <c r="M454" s="15" t="s">
        <v>57</v>
      </c>
      <c r="N454" s="16">
        <v>45664</v>
      </c>
      <c r="O454" s="16">
        <v>46088</v>
      </c>
      <c r="P454" s="24">
        <f>DATEDIF(N454,O454,"M")</f>
        <v>14</v>
      </c>
      <c r="Q454" s="24" t="s">
        <v>157</v>
      </c>
      <c r="R454" s="24" t="s">
        <v>1391</v>
      </c>
      <c r="S454" s="17">
        <v>46.72</v>
      </c>
      <c r="T454" s="18">
        <v>0.15</v>
      </c>
      <c r="U454" s="15" t="s">
        <v>157</v>
      </c>
      <c r="V454" s="15" t="s">
        <v>135</v>
      </c>
      <c r="W454" s="17">
        <v>7.01</v>
      </c>
    </row>
    <row r="455" spans="1:23" s="15" customFormat="1" x14ac:dyDescent="0.25">
      <c r="A455" s="15">
        <v>2026077464</v>
      </c>
      <c r="B455" s="15" t="s">
        <v>267</v>
      </c>
      <c r="C455" s="15" t="s">
        <v>545</v>
      </c>
      <c r="D455" s="15" t="str">
        <f>CONCATENATE(C455," ",B455)</f>
        <v>MARY DIANA</v>
      </c>
      <c r="E455" s="15" t="s">
        <v>66</v>
      </c>
      <c r="F455" s="15" t="s">
        <v>383</v>
      </c>
      <c r="G455" s="15" t="s">
        <v>384</v>
      </c>
      <c r="H455" s="15" t="s">
        <v>384</v>
      </c>
      <c r="I455" s="21">
        <v>8307933</v>
      </c>
      <c r="J455" s="15" t="s">
        <v>80</v>
      </c>
      <c r="K455" s="15" t="s">
        <v>81</v>
      </c>
      <c r="L455" s="15" t="str">
        <f>CONCATENATE(K455," ",J455)</f>
        <v>GREGORY TEIPEL</v>
      </c>
      <c r="M455" s="15" t="s">
        <v>57</v>
      </c>
      <c r="N455" s="16">
        <v>45664</v>
      </c>
      <c r="O455" s="16">
        <v>46088</v>
      </c>
      <c r="P455" s="24">
        <f>DATEDIF(N455,O455,"M")</f>
        <v>14</v>
      </c>
      <c r="Q455" s="24" t="s">
        <v>157</v>
      </c>
      <c r="R455" s="24" t="s">
        <v>1391</v>
      </c>
      <c r="S455" s="17">
        <v>198.36</v>
      </c>
      <c r="T455" s="18">
        <v>0.15</v>
      </c>
      <c r="U455" s="15" t="s">
        <v>157</v>
      </c>
      <c r="V455" s="15" t="s">
        <v>135</v>
      </c>
      <c r="W455" s="17">
        <v>29.75</v>
      </c>
    </row>
    <row r="456" spans="1:23" s="15" customFormat="1" x14ac:dyDescent="0.25">
      <c r="A456" s="15">
        <v>2026082702</v>
      </c>
      <c r="B456" s="15" t="s">
        <v>516</v>
      </c>
      <c r="C456" s="15" t="s">
        <v>259</v>
      </c>
      <c r="D456" s="15" t="str">
        <f>CONCATENATE(C456," ",B456)</f>
        <v>KAREN FOWLER</v>
      </c>
      <c r="E456" s="15" t="s">
        <v>96</v>
      </c>
      <c r="F456" s="15" t="s">
        <v>383</v>
      </c>
      <c r="G456" s="15" t="s">
        <v>384</v>
      </c>
      <c r="H456" s="15" t="s">
        <v>384</v>
      </c>
      <c r="I456" s="21">
        <v>8307933</v>
      </c>
      <c r="J456" s="15" t="s">
        <v>80</v>
      </c>
      <c r="K456" s="15" t="s">
        <v>81</v>
      </c>
      <c r="L456" s="15" t="str">
        <f>CONCATENATE(K456," ",J456)</f>
        <v>GREGORY TEIPEL</v>
      </c>
      <c r="M456" s="15" t="s">
        <v>57</v>
      </c>
      <c r="N456" s="16">
        <v>45664</v>
      </c>
      <c r="O456" s="16">
        <v>46088</v>
      </c>
      <c r="P456" s="24">
        <f>DATEDIF(N456,O456,"M")</f>
        <v>14</v>
      </c>
      <c r="Q456" s="24" t="s">
        <v>157</v>
      </c>
      <c r="R456" s="24" t="s">
        <v>1391</v>
      </c>
      <c r="S456" s="17">
        <v>32.979999999999997</v>
      </c>
      <c r="T456" s="18">
        <v>0.15</v>
      </c>
      <c r="U456" s="15" t="s">
        <v>157</v>
      </c>
      <c r="V456" s="15" t="s">
        <v>135</v>
      </c>
      <c r="W456" s="17">
        <v>4.95</v>
      </c>
    </row>
    <row r="457" spans="1:23" s="15" customFormat="1" x14ac:dyDescent="0.25">
      <c r="A457" s="15">
        <v>2026084802</v>
      </c>
      <c r="B457" s="15" t="s">
        <v>1214</v>
      </c>
      <c r="C457" s="15" t="s">
        <v>500</v>
      </c>
      <c r="D457" s="15" t="str">
        <f>CONCATENATE(C457," ",B457)</f>
        <v>SARAH HOWELL</v>
      </c>
      <c r="E457" s="15" t="s">
        <v>66</v>
      </c>
      <c r="F457" s="15" t="s">
        <v>383</v>
      </c>
      <c r="G457" s="15" t="s">
        <v>384</v>
      </c>
      <c r="H457" s="15" t="s">
        <v>384</v>
      </c>
      <c r="I457" s="21">
        <v>8307933</v>
      </c>
      <c r="J457" s="15" t="s">
        <v>80</v>
      </c>
      <c r="K457" s="15" t="s">
        <v>81</v>
      </c>
      <c r="L457" s="15" t="str">
        <f>CONCATENATE(K457," ",J457)</f>
        <v>GREGORY TEIPEL</v>
      </c>
      <c r="M457" s="15" t="s">
        <v>57</v>
      </c>
      <c r="N457" s="16">
        <v>45664</v>
      </c>
      <c r="O457" s="16">
        <v>46088</v>
      </c>
      <c r="P457" s="24">
        <f>DATEDIF(N457,O457,"M")</f>
        <v>14</v>
      </c>
      <c r="Q457" s="24" t="s">
        <v>157</v>
      </c>
      <c r="R457" s="24" t="s">
        <v>1391</v>
      </c>
      <c r="S457" s="17">
        <v>105.02</v>
      </c>
      <c r="T457" s="18">
        <v>0.15</v>
      </c>
      <c r="U457" s="15" t="s">
        <v>157</v>
      </c>
      <c r="V457" s="15" t="s">
        <v>135</v>
      </c>
      <c r="W457" s="17">
        <v>15.75</v>
      </c>
    </row>
    <row r="458" spans="1:23" s="15" customFormat="1" x14ac:dyDescent="0.25">
      <c r="A458" s="15">
        <v>2026099501</v>
      </c>
      <c r="B458" s="15" t="s">
        <v>517</v>
      </c>
      <c r="C458" s="15" t="s">
        <v>500</v>
      </c>
      <c r="D458" s="15" t="str">
        <f>CONCATENATE(C458," ",B458)</f>
        <v>SARAH LEVY</v>
      </c>
      <c r="E458" s="15" t="s">
        <v>78</v>
      </c>
      <c r="F458" s="15" t="s">
        <v>383</v>
      </c>
      <c r="G458" s="15" t="s">
        <v>384</v>
      </c>
      <c r="H458" s="15" t="s">
        <v>384</v>
      </c>
      <c r="I458" s="21">
        <v>8307933</v>
      </c>
      <c r="J458" s="15" t="s">
        <v>80</v>
      </c>
      <c r="K458" s="15" t="s">
        <v>81</v>
      </c>
      <c r="L458" s="15" t="str">
        <f>CONCATENATE(K458," ",J458)</f>
        <v>GREGORY TEIPEL</v>
      </c>
      <c r="M458" s="15" t="s">
        <v>57</v>
      </c>
      <c r="N458" s="16">
        <v>45664</v>
      </c>
      <c r="O458" s="16">
        <v>46088</v>
      </c>
      <c r="P458" s="24">
        <f>DATEDIF(N458,O458,"M")</f>
        <v>14</v>
      </c>
      <c r="Q458" s="24" t="s">
        <v>157</v>
      </c>
      <c r="R458" s="24" t="s">
        <v>1391</v>
      </c>
      <c r="S458" s="17">
        <v>31.28</v>
      </c>
      <c r="T458" s="18">
        <v>0.15</v>
      </c>
      <c r="U458" s="15" t="s">
        <v>157</v>
      </c>
      <c r="V458" s="15" t="s">
        <v>135</v>
      </c>
      <c r="W458" s="17">
        <v>4.6900000000000004</v>
      </c>
    </row>
    <row r="459" spans="1:23" s="15" customFormat="1" x14ac:dyDescent="0.25">
      <c r="A459" s="15">
        <v>2026113523</v>
      </c>
      <c r="B459" s="15" t="s">
        <v>518</v>
      </c>
      <c r="C459" s="15" t="s">
        <v>248</v>
      </c>
      <c r="D459" s="15" t="str">
        <f>CONCATENATE(C459," ",B459)</f>
        <v>TRINA FUHRHOP</v>
      </c>
      <c r="E459" s="15" t="s">
        <v>66</v>
      </c>
      <c r="F459" s="15" t="s">
        <v>383</v>
      </c>
      <c r="G459" s="15" t="s">
        <v>384</v>
      </c>
      <c r="H459" s="15" t="s">
        <v>384</v>
      </c>
      <c r="I459" s="21">
        <v>8307933</v>
      </c>
      <c r="J459" s="15" t="s">
        <v>80</v>
      </c>
      <c r="K459" s="15" t="s">
        <v>81</v>
      </c>
      <c r="L459" s="15" t="str">
        <f>CONCATENATE(K459," ",J459)</f>
        <v>GREGORY TEIPEL</v>
      </c>
      <c r="M459" s="15" t="s">
        <v>57</v>
      </c>
      <c r="N459" s="16">
        <v>45664</v>
      </c>
      <c r="O459" s="16">
        <v>46088</v>
      </c>
      <c r="P459" s="24">
        <f>DATEDIF(N459,O459,"M")</f>
        <v>14</v>
      </c>
      <c r="Q459" s="24" t="s">
        <v>157</v>
      </c>
      <c r="R459" s="24" t="s">
        <v>1391</v>
      </c>
      <c r="S459" s="17">
        <v>284.54000000000002</v>
      </c>
      <c r="T459" s="18">
        <v>0.15</v>
      </c>
      <c r="U459" s="15" t="s">
        <v>157</v>
      </c>
      <c r="V459" s="15" t="s">
        <v>135</v>
      </c>
      <c r="W459" s="17">
        <v>42.68</v>
      </c>
    </row>
    <row r="460" spans="1:23" s="15" customFormat="1" x14ac:dyDescent="0.25">
      <c r="A460" s="15">
        <v>2026119932</v>
      </c>
      <c r="B460" s="15" t="s">
        <v>670</v>
      </c>
      <c r="C460" s="15" t="s">
        <v>460</v>
      </c>
      <c r="D460" s="15" t="str">
        <f>CONCATENATE(C460," ",B460)</f>
        <v>KENNETH HUNT</v>
      </c>
      <c r="E460" s="15" t="s">
        <v>397</v>
      </c>
      <c r="F460" s="15" t="s">
        <v>383</v>
      </c>
      <c r="G460" s="15" t="s">
        <v>384</v>
      </c>
      <c r="H460" s="15" t="s">
        <v>384</v>
      </c>
      <c r="I460" s="21">
        <v>8307933</v>
      </c>
      <c r="J460" s="15" t="s">
        <v>80</v>
      </c>
      <c r="K460" s="15" t="s">
        <v>81</v>
      </c>
      <c r="L460" s="15" t="str">
        <f>CONCATENATE(K460," ",J460)</f>
        <v>GREGORY TEIPEL</v>
      </c>
      <c r="M460" s="15" t="s">
        <v>57</v>
      </c>
      <c r="N460" s="16">
        <v>45664</v>
      </c>
      <c r="O460" s="16">
        <v>46088</v>
      </c>
      <c r="P460" s="24">
        <f>DATEDIF(N460,O460,"M")</f>
        <v>14</v>
      </c>
      <c r="Q460" s="24" t="s">
        <v>157</v>
      </c>
      <c r="R460" s="24" t="s">
        <v>1391</v>
      </c>
      <c r="S460" s="17">
        <v>110.16</v>
      </c>
      <c r="T460" s="18">
        <v>0.15</v>
      </c>
      <c r="U460" s="15" t="s">
        <v>157</v>
      </c>
      <c r="V460" s="15" t="s">
        <v>135</v>
      </c>
      <c r="W460" s="17">
        <v>16.52</v>
      </c>
    </row>
    <row r="461" spans="1:23" s="15" customFormat="1" x14ac:dyDescent="0.25">
      <c r="A461" s="15">
        <v>2026126660</v>
      </c>
      <c r="B461" s="15" t="s">
        <v>504</v>
      </c>
      <c r="C461" s="15" t="s">
        <v>519</v>
      </c>
      <c r="D461" s="15" t="str">
        <f>CONCATENATE(C461," ",B461)</f>
        <v>SHANNON WEST</v>
      </c>
      <c r="E461" s="15" t="s">
        <v>90</v>
      </c>
      <c r="F461" s="15" t="s">
        <v>383</v>
      </c>
      <c r="G461" s="15" t="s">
        <v>384</v>
      </c>
      <c r="H461" s="15" t="s">
        <v>384</v>
      </c>
      <c r="I461" s="21">
        <v>8307933</v>
      </c>
      <c r="J461" s="15" t="s">
        <v>80</v>
      </c>
      <c r="K461" s="15" t="s">
        <v>81</v>
      </c>
      <c r="L461" s="15" t="str">
        <f>CONCATENATE(K461," ",J461)</f>
        <v>GREGORY TEIPEL</v>
      </c>
      <c r="M461" s="15" t="s">
        <v>57</v>
      </c>
      <c r="N461" s="16">
        <v>45664</v>
      </c>
      <c r="O461" s="16">
        <v>46088</v>
      </c>
      <c r="P461" s="24">
        <f>DATEDIF(N461,O461,"M")</f>
        <v>14</v>
      </c>
      <c r="Q461" s="24" t="s">
        <v>157</v>
      </c>
      <c r="R461" s="24" t="s">
        <v>1391</v>
      </c>
      <c r="S461" s="17">
        <v>140.6</v>
      </c>
      <c r="T461" s="18">
        <v>0.15</v>
      </c>
      <c r="U461" s="15" t="s">
        <v>157</v>
      </c>
      <c r="V461" s="15" t="s">
        <v>135</v>
      </c>
      <c r="W461" s="17">
        <v>21.09</v>
      </c>
    </row>
    <row r="462" spans="1:23" s="15" customFormat="1" x14ac:dyDescent="0.25">
      <c r="A462" s="15">
        <v>2026131288</v>
      </c>
      <c r="B462" s="15" t="s">
        <v>1215</v>
      </c>
      <c r="C462" s="15" t="s">
        <v>1216</v>
      </c>
      <c r="D462" s="15" t="str">
        <f>CONCATENATE(C462," ",B462)</f>
        <v>SYLENA MANES</v>
      </c>
      <c r="E462" s="15" t="s">
        <v>90</v>
      </c>
      <c r="F462" s="15" t="s">
        <v>383</v>
      </c>
      <c r="G462" s="15" t="s">
        <v>384</v>
      </c>
      <c r="H462" s="15" t="s">
        <v>384</v>
      </c>
      <c r="I462" s="21">
        <v>8307933</v>
      </c>
      <c r="J462" s="15" t="s">
        <v>80</v>
      </c>
      <c r="K462" s="15" t="s">
        <v>81</v>
      </c>
      <c r="L462" s="15" t="str">
        <f>CONCATENATE(K462," ",J462)</f>
        <v>GREGORY TEIPEL</v>
      </c>
      <c r="M462" s="15" t="s">
        <v>57</v>
      </c>
      <c r="N462" s="16">
        <v>45664</v>
      </c>
      <c r="O462" s="16">
        <v>46088</v>
      </c>
      <c r="P462" s="24">
        <f>DATEDIF(N462,O462,"M")</f>
        <v>14</v>
      </c>
      <c r="Q462" s="24" t="s">
        <v>157</v>
      </c>
      <c r="R462" s="24" t="s">
        <v>1391</v>
      </c>
      <c r="S462" s="17">
        <v>176.94</v>
      </c>
      <c r="T462" s="18">
        <v>0.15</v>
      </c>
      <c r="U462" s="15" t="s">
        <v>157</v>
      </c>
      <c r="V462" s="15" t="s">
        <v>135</v>
      </c>
      <c r="W462" s="17">
        <v>26.54</v>
      </c>
    </row>
    <row r="463" spans="1:23" s="15" customFormat="1" x14ac:dyDescent="0.25">
      <c r="A463" s="15">
        <v>2026145112</v>
      </c>
      <c r="B463" s="15" t="s">
        <v>521</v>
      </c>
      <c r="C463" s="15" t="s">
        <v>188</v>
      </c>
      <c r="D463" s="15" t="str">
        <f>CONCATENATE(C463," ",B463)</f>
        <v>MICHAEL HOCHERL</v>
      </c>
      <c r="E463" s="15" t="s">
        <v>353</v>
      </c>
      <c r="F463" s="15" t="s">
        <v>383</v>
      </c>
      <c r="G463" s="15" t="s">
        <v>384</v>
      </c>
      <c r="H463" s="15" t="s">
        <v>384</v>
      </c>
      <c r="I463" s="21">
        <v>8307933</v>
      </c>
      <c r="J463" s="15" t="s">
        <v>80</v>
      </c>
      <c r="K463" s="15" t="s">
        <v>81</v>
      </c>
      <c r="L463" s="15" t="str">
        <f>CONCATENATE(K463," ",J463)</f>
        <v>GREGORY TEIPEL</v>
      </c>
      <c r="M463" s="15" t="s">
        <v>57</v>
      </c>
      <c r="N463" s="16">
        <v>45664</v>
      </c>
      <c r="O463" s="16">
        <v>46088</v>
      </c>
      <c r="P463" s="24">
        <f>DATEDIF(N463,O463,"M")</f>
        <v>14</v>
      </c>
      <c r="Q463" s="24" t="s">
        <v>157</v>
      </c>
      <c r="R463" s="24" t="s">
        <v>1391</v>
      </c>
      <c r="S463" s="17">
        <v>50.48</v>
      </c>
      <c r="T463" s="18">
        <v>0.15</v>
      </c>
      <c r="U463" s="15" t="s">
        <v>157</v>
      </c>
      <c r="V463" s="15" t="s">
        <v>135</v>
      </c>
      <c r="W463" s="17">
        <v>7.57</v>
      </c>
    </row>
    <row r="464" spans="1:23" s="15" customFormat="1" x14ac:dyDescent="0.25">
      <c r="A464" s="15">
        <v>2026150039</v>
      </c>
      <c r="B464" s="15" t="s">
        <v>522</v>
      </c>
      <c r="C464" s="15" t="s">
        <v>477</v>
      </c>
      <c r="D464" s="15" t="str">
        <f>CONCATENATE(C464," ",B464)</f>
        <v>JULIE BEILFUSS</v>
      </c>
      <c r="E464" s="15" t="s">
        <v>66</v>
      </c>
      <c r="F464" s="15" t="s">
        <v>383</v>
      </c>
      <c r="G464" s="15" t="s">
        <v>384</v>
      </c>
      <c r="H464" s="15" t="s">
        <v>384</v>
      </c>
      <c r="I464" s="21">
        <v>8307933</v>
      </c>
      <c r="J464" s="15" t="s">
        <v>80</v>
      </c>
      <c r="K464" s="15" t="s">
        <v>81</v>
      </c>
      <c r="L464" s="15" t="str">
        <f>CONCATENATE(K464," ",J464)</f>
        <v>GREGORY TEIPEL</v>
      </c>
      <c r="M464" s="15" t="s">
        <v>57</v>
      </c>
      <c r="N464" s="16">
        <v>45664</v>
      </c>
      <c r="O464" s="16">
        <v>46088</v>
      </c>
      <c r="P464" s="24">
        <f>DATEDIF(N464,O464,"M")</f>
        <v>14</v>
      </c>
      <c r="Q464" s="24" t="s">
        <v>157</v>
      </c>
      <c r="R464" s="24" t="s">
        <v>1391</v>
      </c>
      <c r="S464" s="17">
        <v>72.760000000000005</v>
      </c>
      <c r="T464" s="18">
        <v>0.15</v>
      </c>
      <c r="U464" s="15" t="s">
        <v>157</v>
      </c>
      <c r="V464" s="15" t="s">
        <v>135</v>
      </c>
      <c r="W464" s="17">
        <v>10.91</v>
      </c>
    </row>
    <row r="465" spans="1:23" s="15" customFormat="1" x14ac:dyDescent="0.25">
      <c r="A465" s="15">
        <v>2026153889</v>
      </c>
      <c r="B465" s="15" t="s">
        <v>1217</v>
      </c>
      <c r="C465" s="15" t="s">
        <v>1218</v>
      </c>
      <c r="D465" s="15" t="str">
        <f>CONCATENATE(C465," ",B465)</f>
        <v>JAZZMINE ESPINOZA</v>
      </c>
      <c r="E465" s="15" t="s">
        <v>886</v>
      </c>
      <c r="F465" s="15" t="s">
        <v>383</v>
      </c>
      <c r="G465" s="15" t="s">
        <v>384</v>
      </c>
      <c r="H465" s="15" t="s">
        <v>384</v>
      </c>
      <c r="I465" s="21">
        <v>8307933</v>
      </c>
      <c r="J465" s="15" t="s">
        <v>80</v>
      </c>
      <c r="K465" s="15" t="s">
        <v>81</v>
      </c>
      <c r="L465" s="15" t="str">
        <f>CONCATENATE(K465," ",J465)</f>
        <v>GREGORY TEIPEL</v>
      </c>
      <c r="M465" s="15" t="s">
        <v>57</v>
      </c>
      <c r="N465" s="16">
        <v>45664</v>
      </c>
      <c r="O465" s="16">
        <v>46088</v>
      </c>
      <c r="P465" s="24">
        <f>DATEDIF(N465,O465,"M")</f>
        <v>14</v>
      </c>
      <c r="Q465" s="24" t="s">
        <v>157</v>
      </c>
      <c r="R465" s="24" t="s">
        <v>1391</v>
      </c>
      <c r="S465" s="17">
        <v>60.76</v>
      </c>
      <c r="T465" s="18">
        <v>0.15</v>
      </c>
      <c r="U465" s="15" t="s">
        <v>157</v>
      </c>
      <c r="V465" s="15" t="s">
        <v>135</v>
      </c>
      <c r="W465" s="17">
        <v>9.11</v>
      </c>
    </row>
    <row r="466" spans="1:23" s="15" customFormat="1" x14ac:dyDescent="0.25">
      <c r="A466" s="15">
        <v>2026154680</v>
      </c>
      <c r="B466" s="15" t="s">
        <v>523</v>
      </c>
      <c r="C466" s="15" t="s">
        <v>524</v>
      </c>
      <c r="D466" s="15" t="str">
        <f>CONCATENATE(C466," ",B466)</f>
        <v>STEPHANIE CLANCY</v>
      </c>
      <c r="E466" s="15" t="s">
        <v>78</v>
      </c>
      <c r="F466" s="15" t="s">
        <v>383</v>
      </c>
      <c r="G466" s="15" t="s">
        <v>384</v>
      </c>
      <c r="H466" s="15" t="s">
        <v>384</v>
      </c>
      <c r="I466" s="21">
        <v>8307933</v>
      </c>
      <c r="J466" s="15" t="s">
        <v>80</v>
      </c>
      <c r="K466" s="15" t="s">
        <v>81</v>
      </c>
      <c r="L466" s="15" t="str">
        <f>CONCATENATE(K466," ",J466)</f>
        <v>GREGORY TEIPEL</v>
      </c>
      <c r="M466" s="15" t="s">
        <v>57</v>
      </c>
      <c r="N466" s="16">
        <v>45664</v>
      </c>
      <c r="O466" s="16">
        <v>46088</v>
      </c>
      <c r="P466" s="24">
        <f>DATEDIF(N466,O466,"M")</f>
        <v>14</v>
      </c>
      <c r="Q466" s="24" t="s">
        <v>157</v>
      </c>
      <c r="R466" s="24" t="s">
        <v>1391</v>
      </c>
      <c r="S466" s="17">
        <v>46.72</v>
      </c>
      <c r="T466" s="18">
        <v>0.15</v>
      </c>
      <c r="U466" s="15" t="s">
        <v>157</v>
      </c>
      <c r="V466" s="15" t="s">
        <v>135</v>
      </c>
      <c r="W466" s="17">
        <v>7.01</v>
      </c>
    </row>
    <row r="467" spans="1:23" s="15" customFormat="1" x14ac:dyDescent="0.25">
      <c r="A467" s="15">
        <v>2026155452</v>
      </c>
      <c r="B467" s="15" t="s">
        <v>525</v>
      </c>
      <c r="C467" s="15" t="s">
        <v>526</v>
      </c>
      <c r="D467" s="15" t="str">
        <f>CONCATENATE(C467," ",B467)</f>
        <v>VIRGIL HENRY</v>
      </c>
      <c r="E467" s="15" t="s">
        <v>527</v>
      </c>
      <c r="F467" s="15" t="s">
        <v>383</v>
      </c>
      <c r="G467" s="15" t="s">
        <v>384</v>
      </c>
      <c r="H467" s="15" t="s">
        <v>384</v>
      </c>
      <c r="I467" s="21">
        <v>8307933</v>
      </c>
      <c r="J467" s="15" t="s">
        <v>80</v>
      </c>
      <c r="K467" s="15" t="s">
        <v>81</v>
      </c>
      <c r="L467" s="15" t="str">
        <f>CONCATENATE(K467," ",J467)</f>
        <v>GREGORY TEIPEL</v>
      </c>
      <c r="M467" s="15" t="s">
        <v>57</v>
      </c>
      <c r="N467" s="16">
        <v>45664</v>
      </c>
      <c r="O467" s="16">
        <v>46088</v>
      </c>
      <c r="P467" s="24">
        <f>DATEDIF(N467,O467,"M")</f>
        <v>14</v>
      </c>
      <c r="Q467" s="24" t="s">
        <v>157</v>
      </c>
      <c r="R467" s="24" t="s">
        <v>1391</v>
      </c>
      <c r="S467" s="17">
        <v>135.84</v>
      </c>
      <c r="T467" s="18">
        <v>0.15</v>
      </c>
      <c r="U467" s="15" t="s">
        <v>157</v>
      </c>
      <c r="V467" s="15" t="s">
        <v>135</v>
      </c>
      <c r="W467" s="17">
        <v>20.38</v>
      </c>
    </row>
    <row r="468" spans="1:23" s="15" customFormat="1" x14ac:dyDescent="0.25">
      <c r="A468" s="15">
        <v>2026175248</v>
      </c>
      <c r="B468" s="15" t="s">
        <v>530</v>
      </c>
      <c r="C468" s="15" t="s">
        <v>230</v>
      </c>
      <c r="D468" s="15" t="str">
        <f>CONCATENATE(C468," ",B468)</f>
        <v>MICHELE SZAPIELAK</v>
      </c>
      <c r="E468" s="15" t="s">
        <v>66</v>
      </c>
      <c r="F468" s="15" t="s">
        <v>383</v>
      </c>
      <c r="G468" s="15" t="s">
        <v>384</v>
      </c>
      <c r="H468" s="15" t="s">
        <v>384</v>
      </c>
      <c r="I468" s="21">
        <v>8307933</v>
      </c>
      <c r="J468" s="15" t="s">
        <v>80</v>
      </c>
      <c r="K468" s="15" t="s">
        <v>81</v>
      </c>
      <c r="L468" s="15" t="str">
        <f>CONCATENATE(K468," ",J468)</f>
        <v>GREGORY TEIPEL</v>
      </c>
      <c r="M468" s="15" t="s">
        <v>57</v>
      </c>
      <c r="N468" s="16">
        <v>45664</v>
      </c>
      <c r="O468" s="16">
        <v>46088</v>
      </c>
      <c r="P468" s="24">
        <f>DATEDIF(N468,O468,"M")</f>
        <v>14</v>
      </c>
      <c r="Q468" s="24" t="s">
        <v>157</v>
      </c>
      <c r="R468" s="24" t="s">
        <v>1391</v>
      </c>
      <c r="S468" s="17">
        <v>52</v>
      </c>
      <c r="T468" s="18">
        <v>0.15</v>
      </c>
      <c r="U468" s="15" t="s">
        <v>157</v>
      </c>
      <c r="V468" s="15" t="s">
        <v>135</v>
      </c>
      <c r="W468" s="17">
        <v>7.8</v>
      </c>
    </row>
    <row r="469" spans="1:23" s="15" customFormat="1" x14ac:dyDescent="0.25">
      <c r="A469" s="15">
        <v>2026298484</v>
      </c>
      <c r="B469" s="15" t="s">
        <v>536</v>
      </c>
      <c r="C469" s="15" t="s">
        <v>537</v>
      </c>
      <c r="D469" s="15" t="str">
        <f>CONCATENATE(C469," ",B469)</f>
        <v>BRIAN ANDRASEK</v>
      </c>
      <c r="E469" s="15" t="s">
        <v>66</v>
      </c>
      <c r="F469" s="15" t="s">
        <v>383</v>
      </c>
      <c r="G469" s="15" t="s">
        <v>384</v>
      </c>
      <c r="H469" s="15" t="s">
        <v>384</v>
      </c>
      <c r="I469" s="21">
        <v>8307933</v>
      </c>
      <c r="J469" s="15" t="s">
        <v>80</v>
      </c>
      <c r="K469" s="15" t="s">
        <v>81</v>
      </c>
      <c r="L469" s="15" t="str">
        <f>CONCATENATE(K469," ",J469)</f>
        <v>GREGORY TEIPEL</v>
      </c>
      <c r="M469" s="15" t="s">
        <v>57</v>
      </c>
      <c r="N469" s="16">
        <v>45664</v>
      </c>
      <c r="O469" s="16">
        <v>46088</v>
      </c>
      <c r="P469" s="24">
        <f>DATEDIF(N469,O469,"M")</f>
        <v>14</v>
      </c>
      <c r="Q469" s="24" t="s">
        <v>157</v>
      </c>
      <c r="R469" s="24" t="s">
        <v>1391</v>
      </c>
      <c r="S469" s="17">
        <v>58.24</v>
      </c>
      <c r="T469" s="18">
        <v>0.15</v>
      </c>
      <c r="U469" s="15" t="s">
        <v>157</v>
      </c>
      <c r="V469" s="15" t="s">
        <v>135</v>
      </c>
      <c r="W469" s="17">
        <v>8.74</v>
      </c>
    </row>
    <row r="470" spans="1:23" s="15" customFormat="1" x14ac:dyDescent="0.25">
      <c r="A470" s="15">
        <v>2025732434</v>
      </c>
      <c r="B470" s="15" t="s">
        <v>502</v>
      </c>
      <c r="C470" s="15" t="s">
        <v>216</v>
      </c>
      <c r="D470" s="15" t="str">
        <f>CONCATENATE(C470," ",B470)</f>
        <v>DEBORAH HANNA</v>
      </c>
      <c r="E470" s="15" t="s">
        <v>353</v>
      </c>
      <c r="F470" s="15" t="s">
        <v>363</v>
      </c>
      <c r="G470" s="15" t="s">
        <v>364</v>
      </c>
      <c r="H470" s="15" t="s">
        <v>364</v>
      </c>
      <c r="I470" s="21">
        <v>8307933</v>
      </c>
      <c r="J470" s="15" t="s">
        <v>80</v>
      </c>
      <c r="K470" s="15" t="s">
        <v>81</v>
      </c>
      <c r="L470" s="15" t="str">
        <f>CONCATENATE(K470," ",J470)</f>
        <v>GREGORY TEIPEL</v>
      </c>
      <c r="M470" s="15" t="s">
        <v>57</v>
      </c>
      <c r="N470" s="16">
        <v>45664</v>
      </c>
      <c r="O470" s="16">
        <v>46088</v>
      </c>
      <c r="P470" s="24">
        <f>DATEDIF(N470,O470,"M")</f>
        <v>14</v>
      </c>
      <c r="Q470" s="24" t="s">
        <v>157</v>
      </c>
      <c r="R470" s="24" t="s">
        <v>1391</v>
      </c>
      <c r="S470" s="17">
        <v>103.36</v>
      </c>
      <c r="T470" s="18">
        <v>0.06</v>
      </c>
      <c r="U470" s="15" t="s">
        <v>157</v>
      </c>
      <c r="V470" s="15" t="s">
        <v>135</v>
      </c>
      <c r="W470" s="17">
        <v>6.2</v>
      </c>
    </row>
    <row r="471" spans="1:23" s="15" customFormat="1" x14ac:dyDescent="0.25">
      <c r="A471" s="15">
        <v>2026048649</v>
      </c>
      <c r="B471" s="15" t="s">
        <v>668</v>
      </c>
      <c r="C471" s="15" t="s">
        <v>299</v>
      </c>
      <c r="D471" s="15" t="str">
        <f>CONCATENATE(C471," ",B471)</f>
        <v>PATRICIA BLAKE</v>
      </c>
      <c r="E471" s="15" t="s">
        <v>66</v>
      </c>
      <c r="F471" s="15" t="s">
        <v>363</v>
      </c>
      <c r="G471" s="15" t="s">
        <v>364</v>
      </c>
      <c r="H471" s="15" t="s">
        <v>364</v>
      </c>
      <c r="I471" s="21">
        <v>8307933</v>
      </c>
      <c r="J471" s="15" t="s">
        <v>80</v>
      </c>
      <c r="K471" s="15" t="s">
        <v>81</v>
      </c>
      <c r="L471" s="15" t="str">
        <f>CONCATENATE(K471," ",J471)</f>
        <v>GREGORY TEIPEL</v>
      </c>
      <c r="M471" s="15" t="s">
        <v>57</v>
      </c>
      <c r="N471" s="16">
        <v>45664</v>
      </c>
      <c r="O471" s="16">
        <v>46088</v>
      </c>
      <c r="P471" s="24">
        <f>DATEDIF(N471,O471,"M")</f>
        <v>14</v>
      </c>
      <c r="Q471" s="24" t="s">
        <v>157</v>
      </c>
      <c r="R471" s="24" t="s">
        <v>1391</v>
      </c>
      <c r="S471" s="17">
        <v>190.54</v>
      </c>
      <c r="T471" s="18">
        <v>0.06</v>
      </c>
      <c r="U471" s="15" t="s">
        <v>157</v>
      </c>
      <c r="V471" s="15" t="s">
        <v>135</v>
      </c>
      <c r="W471" s="17">
        <v>11.43</v>
      </c>
    </row>
    <row r="472" spans="1:23" s="15" customFormat="1" x14ac:dyDescent="0.25">
      <c r="A472" s="15">
        <v>2026119931</v>
      </c>
      <c r="B472" s="15" t="s">
        <v>670</v>
      </c>
      <c r="C472" s="15" t="s">
        <v>460</v>
      </c>
      <c r="D472" s="15" t="str">
        <f>CONCATENATE(C472," ",B472)</f>
        <v>KENNETH HUNT</v>
      </c>
      <c r="E472" s="15" t="s">
        <v>397</v>
      </c>
      <c r="F472" s="15" t="s">
        <v>363</v>
      </c>
      <c r="G472" s="15" t="s">
        <v>364</v>
      </c>
      <c r="H472" s="15" t="s">
        <v>364</v>
      </c>
      <c r="I472" s="21">
        <v>8307933</v>
      </c>
      <c r="J472" s="15" t="s">
        <v>80</v>
      </c>
      <c r="K472" s="15" t="s">
        <v>81</v>
      </c>
      <c r="L472" s="15" t="str">
        <f>CONCATENATE(K472," ",J472)</f>
        <v>GREGORY TEIPEL</v>
      </c>
      <c r="M472" s="15" t="s">
        <v>57</v>
      </c>
      <c r="N472" s="16">
        <v>45664</v>
      </c>
      <c r="O472" s="16">
        <v>46088</v>
      </c>
      <c r="P472" s="24">
        <f>DATEDIF(N472,O472,"M")</f>
        <v>14</v>
      </c>
      <c r="Q472" s="24" t="s">
        <v>157</v>
      </c>
      <c r="R472" s="24" t="s">
        <v>1391</v>
      </c>
      <c r="S472" s="17">
        <v>58.32</v>
      </c>
      <c r="T472" s="18">
        <v>0.06</v>
      </c>
      <c r="U472" s="15" t="s">
        <v>157</v>
      </c>
      <c r="V472" s="15" t="s">
        <v>135</v>
      </c>
      <c r="W472" s="17">
        <v>3.5</v>
      </c>
    </row>
    <row r="473" spans="1:23" s="15" customFormat="1" x14ac:dyDescent="0.25">
      <c r="A473" s="15">
        <v>2026082701</v>
      </c>
      <c r="B473" s="15" t="s">
        <v>516</v>
      </c>
      <c r="C473" s="15" t="s">
        <v>259</v>
      </c>
      <c r="D473" s="15" t="str">
        <f>CONCATENATE(C473," ",B473)</f>
        <v>KAREN FOWLER</v>
      </c>
      <c r="E473" s="15" t="s">
        <v>96</v>
      </c>
      <c r="F473" s="15" t="s">
        <v>383</v>
      </c>
      <c r="G473" s="15" t="s">
        <v>385</v>
      </c>
      <c r="H473" s="15" t="s">
        <v>385</v>
      </c>
      <c r="I473" s="21">
        <v>8307933</v>
      </c>
      <c r="J473" s="15" t="s">
        <v>80</v>
      </c>
      <c r="K473" s="15" t="s">
        <v>81</v>
      </c>
      <c r="L473" s="15" t="str">
        <f>CONCATENATE(K473," ",J473)</f>
        <v>GREGORY TEIPEL</v>
      </c>
      <c r="M473" s="15" t="s">
        <v>57</v>
      </c>
      <c r="N473" s="16">
        <v>45664</v>
      </c>
      <c r="O473" s="16">
        <v>46088</v>
      </c>
      <c r="P473" s="24">
        <f>DATEDIF(N473,O473,"M")</f>
        <v>14</v>
      </c>
      <c r="Q473" s="24" t="s">
        <v>157</v>
      </c>
      <c r="R473" s="24" t="s">
        <v>1391</v>
      </c>
      <c r="S473" s="17">
        <v>74</v>
      </c>
      <c r="T473" s="18">
        <v>0.1</v>
      </c>
      <c r="U473" s="15" t="s">
        <v>157</v>
      </c>
      <c r="V473" s="15" t="s">
        <v>135</v>
      </c>
      <c r="W473" s="17">
        <v>7.4</v>
      </c>
    </row>
    <row r="474" spans="1:23" s="15" customFormat="1" x14ac:dyDescent="0.25">
      <c r="A474" s="15">
        <v>2026185826</v>
      </c>
      <c r="B474" s="15" t="s">
        <v>531</v>
      </c>
      <c r="C474" s="15" t="s">
        <v>1219</v>
      </c>
      <c r="D474" s="15" t="str">
        <f>CONCATENATE(C474," ",B474)</f>
        <v>PANNA PATEL</v>
      </c>
      <c r="E474" s="15" t="s">
        <v>66</v>
      </c>
      <c r="F474" s="15" t="s">
        <v>383</v>
      </c>
      <c r="G474" s="15" t="s">
        <v>385</v>
      </c>
      <c r="H474" s="15" t="s">
        <v>385</v>
      </c>
      <c r="I474" s="21">
        <v>8307933</v>
      </c>
      <c r="J474" s="15" t="s">
        <v>80</v>
      </c>
      <c r="K474" s="15" t="s">
        <v>81</v>
      </c>
      <c r="L474" s="15" t="str">
        <f>CONCATENATE(K474," ",J474)</f>
        <v>GREGORY TEIPEL</v>
      </c>
      <c r="M474" s="15" t="s">
        <v>57</v>
      </c>
      <c r="N474" s="16">
        <v>45664</v>
      </c>
      <c r="O474" s="16">
        <v>46088</v>
      </c>
      <c r="P474" s="24">
        <f>DATEDIF(N474,O474,"M")</f>
        <v>14</v>
      </c>
      <c r="Q474" s="24" t="s">
        <v>157</v>
      </c>
      <c r="R474" s="24" t="s">
        <v>1391</v>
      </c>
      <c r="S474" s="17">
        <v>99.25</v>
      </c>
      <c r="T474" s="18">
        <v>0.1</v>
      </c>
      <c r="U474" s="15" t="s">
        <v>157</v>
      </c>
      <c r="V474" s="15" t="s">
        <v>135</v>
      </c>
      <c r="W474" s="17">
        <v>9.92</v>
      </c>
    </row>
    <row r="475" spans="1:23" s="15" customFormat="1" x14ac:dyDescent="0.25">
      <c r="A475" s="15">
        <v>2025772485</v>
      </c>
      <c r="B475" s="15" t="s">
        <v>503</v>
      </c>
      <c r="C475" s="15" t="s">
        <v>466</v>
      </c>
      <c r="D475" s="15" t="str">
        <f>CONCATENATE(C475," ",B475)</f>
        <v>BRYAN REYNOLDS</v>
      </c>
      <c r="E475" s="15" t="s">
        <v>90</v>
      </c>
      <c r="F475" s="15" t="s">
        <v>72</v>
      </c>
      <c r="G475" s="15" t="s">
        <v>79</v>
      </c>
      <c r="H475" s="15" t="s">
        <v>1329</v>
      </c>
      <c r="I475" s="21">
        <v>8307933</v>
      </c>
      <c r="J475" s="15" t="s">
        <v>80</v>
      </c>
      <c r="K475" s="15" t="s">
        <v>81</v>
      </c>
      <c r="L475" s="15" t="str">
        <f>CONCATENATE(K475," ",J475)</f>
        <v>GREGORY TEIPEL</v>
      </c>
      <c r="M475" s="15" t="s">
        <v>57</v>
      </c>
      <c r="N475" s="16">
        <v>45633</v>
      </c>
      <c r="O475" s="16">
        <v>46088</v>
      </c>
      <c r="P475" s="24">
        <f>DATEDIF(N475,O475,"M")</f>
        <v>15</v>
      </c>
      <c r="Q475" s="24" t="s">
        <v>157</v>
      </c>
      <c r="R475" s="24" t="s">
        <v>1391</v>
      </c>
      <c r="S475" s="17">
        <v>157.47999999999999</v>
      </c>
      <c r="T475" s="18">
        <v>0.1</v>
      </c>
      <c r="U475" s="15" t="s">
        <v>157</v>
      </c>
      <c r="V475" s="15" t="s">
        <v>135</v>
      </c>
      <c r="W475" s="17">
        <v>15.75</v>
      </c>
    </row>
    <row r="476" spans="1:23" s="15" customFormat="1" x14ac:dyDescent="0.25">
      <c r="A476" s="15">
        <v>2025815280</v>
      </c>
      <c r="B476" s="15" t="s">
        <v>504</v>
      </c>
      <c r="C476" s="15" t="s">
        <v>505</v>
      </c>
      <c r="D476" s="15" t="str">
        <f>CONCATENATE(C476," ",B476)</f>
        <v>CARLEE WEST</v>
      </c>
      <c r="E476" s="15" t="s">
        <v>78</v>
      </c>
      <c r="F476" s="15" t="s">
        <v>72</v>
      </c>
      <c r="G476" s="15" t="s">
        <v>79</v>
      </c>
      <c r="H476" s="15" t="s">
        <v>1329</v>
      </c>
      <c r="I476" s="21">
        <v>8307933</v>
      </c>
      <c r="J476" s="15" t="s">
        <v>80</v>
      </c>
      <c r="K476" s="15" t="s">
        <v>81</v>
      </c>
      <c r="L476" s="15" t="str">
        <f>CONCATENATE(K476," ",J476)</f>
        <v>GREGORY TEIPEL</v>
      </c>
      <c r="M476" s="15" t="s">
        <v>57</v>
      </c>
      <c r="N476" s="16">
        <v>45633</v>
      </c>
      <c r="O476" s="16">
        <v>46088</v>
      </c>
      <c r="P476" s="24">
        <f>DATEDIF(N476,O476,"M")</f>
        <v>15</v>
      </c>
      <c r="Q476" s="24" t="s">
        <v>157</v>
      </c>
      <c r="R476" s="24" t="s">
        <v>1391</v>
      </c>
      <c r="S476" s="17">
        <v>12.1</v>
      </c>
      <c r="T476" s="18">
        <v>0.1</v>
      </c>
      <c r="U476" s="15" t="s">
        <v>157</v>
      </c>
      <c r="V476" s="15" t="s">
        <v>135</v>
      </c>
      <c r="W476" s="17">
        <v>1.21</v>
      </c>
    </row>
    <row r="477" spans="1:23" s="15" customFormat="1" x14ac:dyDescent="0.25">
      <c r="A477" s="15">
        <v>2025863139</v>
      </c>
      <c r="B477" s="15" t="s">
        <v>507</v>
      </c>
      <c r="C477" s="15" t="s">
        <v>508</v>
      </c>
      <c r="D477" s="15" t="str">
        <f>CONCATENATE(C477," ",B477)</f>
        <v>JACKY RICE</v>
      </c>
      <c r="E477" s="15" t="s">
        <v>90</v>
      </c>
      <c r="F477" s="15" t="s">
        <v>72</v>
      </c>
      <c r="G477" s="15" t="s">
        <v>79</v>
      </c>
      <c r="H477" s="15" t="s">
        <v>1329</v>
      </c>
      <c r="I477" s="21">
        <v>8307933</v>
      </c>
      <c r="J477" s="15" t="s">
        <v>80</v>
      </c>
      <c r="K477" s="15" t="s">
        <v>81</v>
      </c>
      <c r="L477" s="15" t="str">
        <f>CONCATENATE(K477," ",J477)</f>
        <v>GREGORY TEIPEL</v>
      </c>
      <c r="M477" s="15" t="s">
        <v>57</v>
      </c>
      <c r="N477" s="16">
        <v>45633</v>
      </c>
      <c r="O477" s="16">
        <v>46088</v>
      </c>
      <c r="P477" s="24">
        <f>DATEDIF(N477,O477,"M")</f>
        <v>15</v>
      </c>
      <c r="Q477" s="24" t="s">
        <v>157</v>
      </c>
      <c r="R477" s="24" t="s">
        <v>1391</v>
      </c>
      <c r="S477" s="17">
        <v>107.02</v>
      </c>
      <c r="T477" s="18">
        <v>0.1</v>
      </c>
      <c r="U477" s="15" t="s">
        <v>157</v>
      </c>
      <c r="V477" s="15" t="s">
        <v>135</v>
      </c>
      <c r="W477" s="17">
        <v>10.7</v>
      </c>
    </row>
    <row r="478" spans="1:23" s="15" customFormat="1" x14ac:dyDescent="0.25">
      <c r="A478" s="15">
        <v>2025887935</v>
      </c>
      <c r="B478" s="15" t="s">
        <v>509</v>
      </c>
      <c r="C478" s="15" t="s">
        <v>510</v>
      </c>
      <c r="D478" s="15" t="str">
        <f>CONCATENATE(C478," ",B478)</f>
        <v>ROBERT WHITE</v>
      </c>
      <c r="E478" s="15" t="s">
        <v>112</v>
      </c>
      <c r="F478" s="15" t="s">
        <v>72</v>
      </c>
      <c r="G478" s="15" t="s">
        <v>79</v>
      </c>
      <c r="H478" s="15" t="s">
        <v>1329</v>
      </c>
      <c r="I478" s="21">
        <v>8307933</v>
      </c>
      <c r="J478" s="15" t="s">
        <v>80</v>
      </c>
      <c r="K478" s="15" t="s">
        <v>81</v>
      </c>
      <c r="L478" s="15" t="str">
        <f>CONCATENATE(K478," ",J478)</f>
        <v>GREGORY TEIPEL</v>
      </c>
      <c r="M478" s="15" t="s">
        <v>57</v>
      </c>
      <c r="N478" s="16">
        <v>45633</v>
      </c>
      <c r="O478" s="16">
        <v>46088</v>
      </c>
      <c r="P478" s="24">
        <f>DATEDIF(N478,O478,"M")</f>
        <v>15</v>
      </c>
      <c r="Q478" s="24" t="s">
        <v>157</v>
      </c>
      <c r="R478" s="24" t="s">
        <v>1391</v>
      </c>
      <c r="S478" s="17">
        <v>95.25</v>
      </c>
      <c r="T478" s="18">
        <v>0.1</v>
      </c>
      <c r="U478" s="15" t="s">
        <v>157</v>
      </c>
      <c r="V478" s="15" t="s">
        <v>135</v>
      </c>
      <c r="W478" s="17">
        <v>9.52</v>
      </c>
    </row>
    <row r="479" spans="1:23" s="15" customFormat="1" x14ac:dyDescent="0.25">
      <c r="A479" s="15">
        <v>2025896510</v>
      </c>
      <c r="B479" s="15" t="s">
        <v>511</v>
      </c>
      <c r="C479" s="15" t="s">
        <v>512</v>
      </c>
      <c r="D479" s="15" t="str">
        <f>CONCATENATE(C479," ",B479)</f>
        <v>JOSEPH SABOT</v>
      </c>
      <c r="E479" s="15" t="s">
        <v>458</v>
      </c>
      <c r="F479" s="15" t="s">
        <v>72</v>
      </c>
      <c r="G479" s="15" t="s">
        <v>79</v>
      </c>
      <c r="H479" s="15" t="s">
        <v>1329</v>
      </c>
      <c r="I479" s="21">
        <v>8307933</v>
      </c>
      <c r="J479" s="15" t="s">
        <v>80</v>
      </c>
      <c r="K479" s="15" t="s">
        <v>81</v>
      </c>
      <c r="L479" s="15" t="str">
        <f>CONCATENATE(K479," ",J479)</f>
        <v>GREGORY TEIPEL</v>
      </c>
      <c r="M479" s="15" t="s">
        <v>57</v>
      </c>
      <c r="N479" s="16">
        <v>45633</v>
      </c>
      <c r="O479" s="16">
        <v>46088</v>
      </c>
      <c r="P479" s="24">
        <f>DATEDIF(N479,O479,"M")</f>
        <v>15</v>
      </c>
      <c r="Q479" s="24" t="s">
        <v>157</v>
      </c>
      <c r="R479" s="24" t="s">
        <v>1391</v>
      </c>
      <c r="S479" s="17">
        <v>131.94999999999999</v>
      </c>
      <c r="T479" s="18">
        <v>0.1</v>
      </c>
      <c r="U479" s="15" t="s">
        <v>157</v>
      </c>
      <c r="V479" s="15" t="s">
        <v>135</v>
      </c>
      <c r="W479" s="17">
        <v>13.2</v>
      </c>
    </row>
    <row r="480" spans="1:23" s="15" customFormat="1" x14ac:dyDescent="0.25">
      <c r="A480" s="15">
        <v>2025839021</v>
      </c>
      <c r="B480" s="15" t="s">
        <v>506</v>
      </c>
      <c r="C480" s="15" t="s">
        <v>184</v>
      </c>
      <c r="D480" s="15" t="str">
        <f>CONCATENATE(C480," ",B480)</f>
        <v>KELLY BANKS</v>
      </c>
      <c r="E480" s="15" t="s">
        <v>112</v>
      </c>
      <c r="F480" s="15" t="s">
        <v>72</v>
      </c>
      <c r="G480" s="15" t="s">
        <v>93</v>
      </c>
      <c r="H480" s="15" t="s">
        <v>1332</v>
      </c>
      <c r="I480" s="21">
        <v>8307933</v>
      </c>
      <c r="J480" s="15" t="s">
        <v>80</v>
      </c>
      <c r="K480" s="15" t="s">
        <v>81</v>
      </c>
      <c r="L480" s="15" t="str">
        <f>CONCATENATE(K480," ",J480)</f>
        <v>GREGORY TEIPEL</v>
      </c>
      <c r="M480" s="15" t="s">
        <v>57</v>
      </c>
      <c r="N480" s="16">
        <v>45633</v>
      </c>
      <c r="O480" s="16">
        <v>46088</v>
      </c>
      <c r="P480" s="24">
        <f>DATEDIF(N480,O480,"M")</f>
        <v>15</v>
      </c>
      <c r="Q480" s="24" t="s">
        <v>157</v>
      </c>
      <c r="R480" s="24" t="s">
        <v>1391</v>
      </c>
      <c r="S480" s="17">
        <v>104.44</v>
      </c>
      <c r="T480" s="18">
        <v>0.1</v>
      </c>
      <c r="U480" s="15" t="s">
        <v>157</v>
      </c>
      <c r="V480" s="15" t="s">
        <v>135</v>
      </c>
      <c r="W480" s="17">
        <v>10.44</v>
      </c>
    </row>
    <row r="481" spans="1:23" s="15" customFormat="1" x14ac:dyDescent="0.25">
      <c r="A481" s="15">
        <v>2025707626</v>
      </c>
      <c r="B481" s="15" t="s">
        <v>1199</v>
      </c>
      <c r="C481" s="15" t="s">
        <v>676</v>
      </c>
      <c r="D481" s="15" t="str">
        <f>CONCATENATE(C481," ",B481)</f>
        <v>JEFFREY BLUHM</v>
      </c>
      <c r="E481" s="15" t="s">
        <v>112</v>
      </c>
      <c r="F481" s="15" t="s">
        <v>383</v>
      </c>
      <c r="G481" s="15" t="s">
        <v>384</v>
      </c>
      <c r="H481" s="15" t="s">
        <v>384</v>
      </c>
      <c r="I481" s="21">
        <v>8307933</v>
      </c>
      <c r="J481" s="15" t="s">
        <v>80</v>
      </c>
      <c r="K481" s="15" t="s">
        <v>81</v>
      </c>
      <c r="L481" s="15" t="str">
        <f>CONCATENATE(K481," ",J481)</f>
        <v>GREGORY TEIPEL</v>
      </c>
      <c r="M481" s="15" t="s">
        <v>57</v>
      </c>
      <c r="N481" s="16">
        <v>45633</v>
      </c>
      <c r="O481" s="16">
        <v>46088</v>
      </c>
      <c r="P481" s="24">
        <f>DATEDIF(N481,O481,"M")</f>
        <v>15</v>
      </c>
      <c r="Q481" s="24" t="s">
        <v>157</v>
      </c>
      <c r="R481" s="24" t="s">
        <v>1391</v>
      </c>
      <c r="S481" s="17">
        <v>51</v>
      </c>
      <c r="T481" s="18">
        <v>0.15</v>
      </c>
      <c r="U481" s="15" t="s">
        <v>157</v>
      </c>
      <c r="V481" s="15" t="s">
        <v>135</v>
      </c>
      <c r="W481" s="17">
        <v>7.65</v>
      </c>
    </row>
    <row r="482" spans="1:23" s="15" customFormat="1" x14ac:dyDescent="0.25">
      <c r="A482" s="15">
        <v>2025772484</v>
      </c>
      <c r="B482" s="15" t="s">
        <v>503</v>
      </c>
      <c r="C482" s="15" t="s">
        <v>466</v>
      </c>
      <c r="D482" s="15" t="str">
        <f>CONCATENATE(C482," ",B482)</f>
        <v>BRYAN REYNOLDS</v>
      </c>
      <c r="E482" s="15" t="s">
        <v>90</v>
      </c>
      <c r="F482" s="15" t="s">
        <v>383</v>
      </c>
      <c r="G482" s="15" t="s">
        <v>384</v>
      </c>
      <c r="H482" s="15" t="s">
        <v>384</v>
      </c>
      <c r="I482" s="21">
        <v>8307933</v>
      </c>
      <c r="J482" s="15" t="s">
        <v>80</v>
      </c>
      <c r="K482" s="15" t="s">
        <v>81</v>
      </c>
      <c r="L482" s="15" t="str">
        <f>CONCATENATE(K482," ",J482)</f>
        <v>GREGORY TEIPEL</v>
      </c>
      <c r="M482" s="15" t="s">
        <v>57</v>
      </c>
      <c r="N482" s="16">
        <v>45633</v>
      </c>
      <c r="O482" s="16">
        <v>46088</v>
      </c>
      <c r="P482" s="24">
        <f>DATEDIF(N482,O482,"M")</f>
        <v>15</v>
      </c>
      <c r="Q482" s="24" t="s">
        <v>157</v>
      </c>
      <c r="R482" s="24" t="s">
        <v>1391</v>
      </c>
      <c r="S482" s="17">
        <v>261</v>
      </c>
      <c r="T482" s="18">
        <v>0.15</v>
      </c>
      <c r="U482" s="15" t="s">
        <v>157</v>
      </c>
      <c r="V482" s="15" t="s">
        <v>135</v>
      </c>
      <c r="W482" s="17">
        <v>39.15</v>
      </c>
    </row>
    <row r="483" spans="1:23" s="15" customFormat="1" x14ac:dyDescent="0.25">
      <c r="A483" s="15">
        <v>2025803166</v>
      </c>
      <c r="B483" s="15" t="s">
        <v>1201</v>
      </c>
      <c r="C483" s="15" t="s">
        <v>1202</v>
      </c>
      <c r="D483" s="15" t="str">
        <f>CONCATENATE(C483," ",B483)</f>
        <v>DARREN PYLE</v>
      </c>
      <c r="E483" s="15" t="s">
        <v>90</v>
      </c>
      <c r="F483" s="15" t="s">
        <v>383</v>
      </c>
      <c r="G483" s="15" t="s">
        <v>384</v>
      </c>
      <c r="H483" s="15" t="s">
        <v>384</v>
      </c>
      <c r="I483" s="21">
        <v>8307933</v>
      </c>
      <c r="J483" s="15" t="s">
        <v>80</v>
      </c>
      <c r="K483" s="15" t="s">
        <v>81</v>
      </c>
      <c r="L483" s="15" t="str">
        <f>CONCATENATE(K483," ",J483)</f>
        <v>GREGORY TEIPEL</v>
      </c>
      <c r="M483" s="15" t="s">
        <v>57</v>
      </c>
      <c r="N483" s="16">
        <v>45633</v>
      </c>
      <c r="O483" s="16">
        <v>46088</v>
      </c>
      <c r="P483" s="24">
        <f>DATEDIF(N483,O483,"M")</f>
        <v>15</v>
      </c>
      <c r="Q483" s="24" t="s">
        <v>157</v>
      </c>
      <c r="R483" s="24" t="s">
        <v>1391</v>
      </c>
      <c r="S483" s="17">
        <v>140.6</v>
      </c>
      <c r="T483" s="18">
        <v>0.15</v>
      </c>
      <c r="U483" s="15" t="s">
        <v>157</v>
      </c>
      <c r="V483" s="15" t="s">
        <v>135</v>
      </c>
      <c r="W483" s="17">
        <v>21.09</v>
      </c>
    </row>
    <row r="484" spans="1:23" s="15" customFormat="1" x14ac:dyDescent="0.25">
      <c r="A484" s="15">
        <v>2025805896</v>
      </c>
      <c r="B484" s="15" t="s">
        <v>1203</v>
      </c>
      <c r="C484" s="15" t="s">
        <v>259</v>
      </c>
      <c r="D484" s="15" t="str">
        <f>CONCATENATE(C484," ",B484)</f>
        <v>KAREN MOSS</v>
      </c>
      <c r="E484" s="15" t="s">
        <v>90</v>
      </c>
      <c r="F484" s="15" t="s">
        <v>383</v>
      </c>
      <c r="G484" s="15" t="s">
        <v>384</v>
      </c>
      <c r="H484" s="15" t="s">
        <v>384</v>
      </c>
      <c r="I484" s="21">
        <v>8307933</v>
      </c>
      <c r="J484" s="15" t="s">
        <v>80</v>
      </c>
      <c r="K484" s="15" t="s">
        <v>81</v>
      </c>
      <c r="L484" s="15" t="str">
        <f>CONCATENATE(K484," ",J484)</f>
        <v>GREGORY TEIPEL</v>
      </c>
      <c r="M484" s="15" t="s">
        <v>57</v>
      </c>
      <c r="N484" s="16">
        <v>45633</v>
      </c>
      <c r="O484" s="16">
        <v>46088</v>
      </c>
      <c r="P484" s="24">
        <f>DATEDIF(N484,O484,"M")</f>
        <v>15</v>
      </c>
      <c r="Q484" s="24" t="s">
        <v>157</v>
      </c>
      <c r="R484" s="24" t="s">
        <v>1391</v>
      </c>
      <c r="S484" s="17">
        <v>111.68</v>
      </c>
      <c r="T484" s="18">
        <v>0.15</v>
      </c>
      <c r="U484" s="15" t="s">
        <v>157</v>
      </c>
      <c r="V484" s="15" t="s">
        <v>135</v>
      </c>
      <c r="W484" s="17">
        <v>16.75</v>
      </c>
    </row>
    <row r="485" spans="1:23" s="15" customFormat="1" x14ac:dyDescent="0.25">
      <c r="A485" s="15">
        <v>2025815282</v>
      </c>
      <c r="B485" s="15" t="s">
        <v>504</v>
      </c>
      <c r="C485" s="15" t="s">
        <v>505</v>
      </c>
      <c r="D485" s="15" t="str">
        <f>CONCATENATE(C485," ",B485)</f>
        <v>CARLEE WEST</v>
      </c>
      <c r="E485" s="15" t="s">
        <v>78</v>
      </c>
      <c r="F485" s="15" t="s">
        <v>383</v>
      </c>
      <c r="G485" s="15" t="s">
        <v>384</v>
      </c>
      <c r="H485" s="15" t="s">
        <v>384</v>
      </c>
      <c r="I485" s="21">
        <v>8307933</v>
      </c>
      <c r="J485" s="15" t="s">
        <v>80</v>
      </c>
      <c r="K485" s="15" t="s">
        <v>81</v>
      </c>
      <c r="L485" s="15" t="str">
        <f>CONCATENATE(K485," ",J485)</f>
        <v>GREGORY TEIPEL</v>
      </c>
      <c r="M485" s="15" t="s">
        <v>57</v>
      </c>
      <c r="N485" s="16">
        <v>45633</v>
      </c>
      <c r="O485" s="16">
        <v>46088</v>
      </c>
      <c r="P485" s="24">
        <f>DATEDIF(N485,O485,"M")</f>
        <v>15</v>
      </c>
      <c r="Q485" s="24" t="s">
        <v>157</v>
      </c>
      <c r="R485" s="24" t="s">
        <v>1391</v>
      </c>
      <c r="S485" s="17">
        <v>31.28</v>
      </c>
      <c r="T485" s="18">
        <v>0.15</v>
      </c>
      <c r="U485" s="15" t="s">
        <v>157</v>
      </c>
      <c r="V485" s="15" t="s">
        <v>135</v>
      </c>
      <c r="W485" s="17">
        <v>4.6900000000000004</v>
      </c>
    </row>
    <row r="486" spans="1:23" s="15" customFormat="1" x14ac:dyDescent="0.25">
      <c r="A486" s="15">
        <v>2025863138</v>
      </c>
      <c r="B486" s="15" t="s">
        <v>507</v>
      </c>
      <c r="C486" s="15" t="s">
        <v>508</v>
      </c>
      <c r="D486" s="15" t="str">
        <f>CONCATENATE(C486," ",B486)</f>
        <v>JACKY RICE</v>
      </c>
      <c r="E486" s="15" t="s">
        <v>90</v>
      </c>
      <c r="F486" s="15" t="s">
        <v>383</v>
      </c>
      <c r="G486" s="15" t="s">
        <v>384</v>
      </c>
      <c r="H486" s="15" t="s">
        <v>384</v>
      </c>
      <c r="I486" s="21">
        <v>8307933</v>
      </c>
      <c r="J486" s="15" t="s">
        <v>80</v>
      </c>
      <c r="K486" s="15" t="s">
        <v>81</v>
      </c>
      <c r="L486" s="15" t="str">
        <f>CONCATENATE(K486," ",J486)</f>
        <v>GREGORY TEIPEL</v>
      </c>
      <c r="M486" s="15" t="s">
        <v>57</v>
      </c>
      <c r="N486" s="16">
        <v>45633</v>
      </c>
      <c r="O486" s="16">
        <v>46088</v>
      </c>
      <c r="P486" s="24">
        <f>DATEDIF(N486,O486,"M")</f>
        <v>15</v>
      </c>
      <c r="Q486" s="24" t="s">
        <v>157</v>
      </c>
      <c r="R486" s="24" t="s">
        <v>1391</v>
      </c>
      <c r="S486" s="17">
        <v>129.22</v>
      </c>
      <c r="T486" s="18">
        <v>0.15</v>
      </c>
      <c r="U486" s="15" t="s">
        <v>157</v>
      </c>
      <c r="V486" s="15" t="s">
        <v>135</v>
      </c>
      <c r="W486" s="17">
        <v>19.38</v>
      </c>
    </row>
    <row r="487" spans="1:23" s="15" customFormat="1" x14ac:dyDescent="0.25">
      <c r="A487" s="15">
        <v>2025884354</v>
      </c>
      <c r="B487" s="15" t="s">
        <v>145</v>
      </c>
      <c r="C487" s="15" t="s">
        <v>666</v>
      </c>
      <c r="D487" s="15" t="str">
        <f>CONCATENATE(C487," ",B487)</f>
        <v>KIM SMITH</v>
      </c>
      <c r="E487" s="15" t="s">
        <v>90</v>
      </c>
      <c r="F487" s="15" t="s">
        <v>383</v>
      </c>
      <c r="G487" s="15" t="s">
        <v>384</v>
      </c>
      <c r="H487" s="15" t="s">
        <v>384</v>
      </c>
      <c r="I487" s="21">
        <v>8307933</v>
      </c>
      <c r="J487" s="15" t="s">
        <v>80</v>
      </c>
      <c r="K487" s="15" t="s">
        <v>81</v>
      </c>
      <c r="L487" s="15" t="str">
        <f>CONCATENATE(K487," ",J487)</f>
        <v>GREGORY TEIPEL</v>
      </c>
      <c r="M487" s="15" t="s">
        <v>57</v>
      </c>
      <c r="N487" s="16">
        <v>45633</v>
      </c>
      <c r="O487" s="16">
        <v>46088</v>
      </c>
      <c r="P487" s="24">
        <f>DATEDIF(N487,O487,"M")</f>
        <v>15</v>
      </c>
      <c r="Q487" s="24" t="s">
        <v>157</v>
      </c>
      <c r="R487" s="24" t="s">
        <v>1391</v>
      </c>
      <c r="S487" s="17">
        <v>83</v>
      </c>
      <c r="T487" s="18">
        <v>0.15</v>
      </c>
      <c r="U487" s="15" t="s">
        <v>157</v>
      </c>
      <c r="V487" s="15" t="s">
        <v>135</v>
      </c>
      <c r="W487" s="17">
        <v>12.45</v>
      </c>
    </row>
    <row r="488" spans="1:23" s="15" customFormat="1" x14ac:dyDescent="0.25">
      <c r="A488" s="15">
        <v>2025885800</v>
      </c>
      <c r="B488" s="15" t="s">
        <v>1204</v>
      </c>
      <c r="C488" s="15" t="s">
        <v>1205</v>
      </c>
      <c r="D488" s="15" t="str">
        <f>CONCATENATE(C488," ",B488)</f>
        <v>JAVIER LUGO</v>
      </c>
      <c r="E488" s="15" t="s">
        <v>333</v>
      </c>
      <c r="F488" s="15" t="s">
        <v>383</v>
      </c>
      <c r="G488" s="15" t="s">
        <v>384</v>
      </c>
      <c r="H488" s="15" t="s">
        <v>384</v>
      </c>
      <c r="I488" s="21">
        <v>8307933</v>
      </c>
      <c r="J488" s="15" t="s">
        <v>80</v>
      </c>
      <c r="K488" s="15" t="s">
        <v>81</v>
      </c>
      <c r="L488" s="15" t="str">
        <f>CONCATENATE(K488," ",J488)</f>
        <v>GREGORY TEIPEL</v>
      </c>
      <c r="M488" s="15" t="s">
        <v>57</v>
      </c>
      <c r="N488" s="16">
        <v>45633</v>
      </c>
      <c r="O488" s="16">
        <v>46088</v>
      </c>
      <c r="P488" s="24">
        <f>DATEDIF(N488,O488,"M")</f>
        <v>15</v>
      </c>
      <c r="Q488" s="24" t="s">
        <v>157</v>
      </c>
      <c r="R488" s="24" t="s">
        <v>1391</v>
      </c>
      <c r="S488" s="17">
        <v>187.04</v>
      </c>
      <c r="T488" s="18">
        <v>0.15</v>
      </c>
      <c r="U488" s="15" t="s">
        <v>157</v>
      </c>
      <c r="V488" s="15" t="s">
        <v>135</v>
      </c>
      <c r="W488" s="17">
        <v>28.06</v>
      </c>
    </row>
    <row r="489" spans="1:23" s="15" customFormat="1" x14ac:dyDescent="0.25">
      <c r="A489" s="15">
        <v>2025887934</v>
      </c>
      <c r="B489" s="15" t="s">
        <v>509</v>
      </c>
      <c r="C489" s="15" t="s">
        <v>510</v>
      </c>
      <c r="D489" s="15" t="str">
        <f>CONCATENATE(C489," ",B489)</f>
        <v>ROBERT WHITE</v>
      </c>
      <c r="E489" s="15" t="s">
        <v>112</v>
      </c>
      <c r="F489" s="15" t="s">
        <v>383</v>
      </c>
      <c r="G489" s="15" t="s">
        <v>384</v>
      </c>
      <c r="H489" s="15" t="s">
        <v>384</v>
      </c>
      <c r="I489" s="21">
        <v>8307933</v>
      </c>
      <c r="J489" s="15" t="s">
        <v>80</v>
      </c>
      <c r="K489" s="15" t="s">
        <v>81</v>
      </c>
      <c r="L489" s="15" t="str">
        <f>CONCATENATE(K489," ",J489)</f>
        <v>GREGORY TEIPEL</v>
      </c>
      <c r="M489" s="15" t="s">
        <v>57</v>
      </c>
      <c r="N489" s="16">
        <v>45633</v>
      </c>
      <c r="O489" s="16">
        <v>46088</v>
      </c>
      <c r="P489" s="24">
        <f>DATEDIF(N489,O489,"M")</f>
        <v>15</v>
      </c>
      <c r="Q489" s="24" t="s">
        <v>157</v>
      </c>
      <c r="R489" s="24" t="s">
        <v>1391</v>
      </c>
      <c r="S489" s="17">
        <v>122.32</v>
      </c>
      <c r="T489" s="18">
        <v>0.15</v>
      </c>
      <c r="U489" s="15" t="s">
        <v>157</v>
      </c>
      <c r="V489" s="15" t="s">
        <v>135</v>
      </c>
      <c r="W489" s="17">
        <v>18.350000000000001</v>
      </c>
    </row>
    <row r="490" spans="1:23" s="15" customFormat="1" x14ac:dyDescent="0.25">
      <c r="A490" s="15">
        <v>2025896511</v>
      </c>
      <c r="B490" s="15" t="s">
        <v>511</v>
      </c>
      <c r="C490" s="15" t="s">
        <v>512</v>
      </c>
      <c r="D490" s="15" t="str">
        <f>CONCATENATE(C490," ",B490)</f>
        <v>JOSEPH SABOT</v>
      </c>
      <c r="E490" s="15" t="s">
        <v>458</v>
      </c>
      <c r="F490" s="15" t="s">
        <v>383</v>
      </c>
      <c r="G490" s="15" t="s">
        <v>384</v>
      </c>
      <c r="H490" s="15" t="s">
        <v>384</v>
      </c>
      <c r="I490" s="21">
        <v>8307933</v>
      </c>
      <c r="J490" s="15" t="s">
        <v>80</v>
      </c>
      <c r="K490" s="15" t="s">
        <v>81</v>
      </c>
      <c r="L490" s="15" t="str">
        <f>CONCATENATE(K490," ",J490)</f>
        <v>GREGORY TEIPEL</v>
      </c>
      <c r="M490" s="15" t="s">
        <v>57</v>
      </c>
      <c r="N490" s="16">
        <v>45633</v>
      </c>
      <c r="O490" s="16">
        <v>46088</v>
      </c>
      <c r="P490" s="24">
        <f>DATEDIF(N490,O490,"M")</f>
        <v>15</v>
      </c>
      <c r="Q490" s="24" t="s">
        <v>157</v>
      </c>
      <c r="R490" s="24" t="s">
        <v>1391</v>
      </c>
      <c r="S490" s="17">
        <v>40</v>
      </c>
      <c r="T490" s="18">
        <v>0.15</v>
      </c>
      <c r="U490" s="15" t="s">
        <v>157</v>
      </c>
      <c r="V490" s="15" t="s">
        <v>135</v>
      </c>
      <c r="W490" s="17">
        <v>6</v>
      </c>
    </row>
    <row r="491" spans="1:23" s="15" customFormat="1" x14ac:dyDescent="0.25">
      <c r="A491" s="15">
        <v>2025815451</v>
      </c>
      <c r="B491" s="15" t="s">
        <v>504</v>
      </c>
      <c r="C491" s="15" t="s">
        <v>505</v>
      </c>
      <c r="D491" s="15" t="str">
        <f>CONCATENATE(C491," ",B491)</f>
        <v>CARLEE WEST</v>
      </c>
      <c r="E491" s="15" t="s">
        <v>78</v>
      </c>
      <c r="F491" s="15" t="s">
        <v>363</v>
      </c>
      <c r="G491" s="15" t="s">
        <v>364</v>
      </c>
      <c r="H491" s="15" t="s">
        <v>364</v>
      </c>
      <c r="I491" s="21">
        <v>8307933</v>
      </c>
      <c r="J491" s="15" t="s">
        <v>80</v>
      </c>
      <c r="K491" s="15" t="s">
        <v>81</v>
      </c>
      <c r="L491" s="15" t="str">
        <f>CONCATENATE(K491," ",J491)</f>
        <v>GREGORY TEIPEL</v>
      </c>
      <c r="M491" s="15" t="s">
        <v>57</v>
      </c>
      <c r="N491" s="16">
        <v>45633</v>
      </c>
      <c r="O491" s="16">
        <v>46088</v>
      </c>
      <c r="P491" s="24">
        <f>DATEDIF(N491,O491,"M")</f>
        <v>15</v>
      </c>
      <c r="Q491" s="24" t="s">
        <v>157</v>
      </c>
      <c r="R491" s="24" t="s">
        <v>1391</v>
      </c>
      <c r="S491" s="17">
        <v>40.07</v>
      </c>
      <c r="T491" s="18">
        <v>0.06</v>
      </c>
      <c r="U491" s="15" t="s">
        <v>157</v>
      </c>
      <c r="V491" s="15" t="s">
        <v>135</v>
      </c>
      <c r="W491" s="17">
        <v>2.4</v>
      </c>
    </row>
    <row r="492" spans="1:23" s="15" customFormat="1" x14ac:dyDescent="0.25">
      <c r="A492" s="15">
        <v>2025863140</v>
      </c>
      <c r="B492" s="15" t="s">
        <v>507</v>
      </c>
      <c r="C492" s="15" t="s">
        <v>508</v>
      </c>
      <c r="D492" s="15" t="str">
        <f>CONCATENATE(C492," ",B492)</f>
        <v>JACKY RICE</v>
      </c>
      <c r="E492" s="15" t="s">
        <v>90</v>
      </c>
      <c r="F492" s="15" t="s">
        <v>363</v>
      </c>
      <c r="G492" s="15" t="s">
        <v>364</v>
      </c>
      <c r="H492" s="15" t="s">
        <v>364</v>
      </c>
      <c r="I492" s="21">
        <v>8307933</v>
      </c>
      <c r="J492" s="15" t="s">
        <v>80</v>
      </c>
      <c r="K492" s="15" t="s">
        <v>81</v>
      </c>
      <c r="L492" s="15" t="str">
        <f>CONCATENATE(K492," ",J492)</f>
        <v>GREGORY TEIPEL</v>
      </c>
      <c r="M492" s="15" t="s">
        <v>57</v>
      </c>
      <c r="N492" s="16">
        <v>45633</v>
      </c>
      <c r="O492" s="16">
        <v>46088</v>
      </c>
      <c r="P492" s="24">
        <f>DATEDIF(N492,O492,"M")</f>
        <v>15</v>
      </c>
      <c r="Q492" s="24" t="s">
        <v>157</v>
      </c>
      <c r="R492" s="24" t="s">
        <v>1391</v>
      </c>
      <c r="S492" s="17">
        <v>55.66</v>
      </c>
      <c r="T492" s="18">
        <v>0.06</v>
      </c>
      <c r="U492" s="15" t="s">
        <v>157</v>
      </c>
      <c r="V492" s="15" t="s">
        <v>135</v>
      </c>
      <c r="W492" s="17">
        <v>3.34</v>
      </c>
    </row>
    <row r="493" spans="1:23" s="15" customFormat="1" x14ac:dyDescent="0.25">
      <c r="A493" s="15">
        <v>2025884356</v>
      </c>
      <c r="B493" s="15" t="s">
        <v>145</v>
      </c>
      <c r="C493" s="15" t="s">
        <v>666</v>
      </c>
      <c r="D493" s="15" t="str">
        <f>CONCATENATE(C493," ",B493)</f>
        <v>KIM SMITH</v>
      </c>
      <c r="E493" s="15" t="s">
        <v>90</v>
      </c>
      <c r="F493" s="15" t="s">
        <v>363</v>
      </c>
      <c r="G493" s="15" t="s">
        <v>364</v>
      </c>
      <c r="H493" s="15" t="s">
        <v>364</v>
      </c>
      <c r="I493" s="21">
        <v>8307933</v>
      </c>
      <c r="J493" s="15" t="s">
        <v>80</v>
      </c>
      <c r="K493" s="15" t="s">
        <v>81</v>
      </c>
      <c r="L493" s="15" t="str">
        <f>CONCATENATE(K493," ",J493)</f>
        <v>GREGORY TEIPEL</v>
      </c>
      <c r="M493" s="15" t="s">
        <v>57</v>
      </c>
      <c r="N493" s="16">
        <v>45633</v>
      </c>
      <c r="O493" s="16">
        <v>46088</v>
      </c>
      <c r="P493" s="24">
        <f>DATEDIF(N493,O493,"M")</f>
        <v>15</v>
      </c>
      <c r="Q493" s="24" t="s">
        <v>157</v>
      </c>
      <c r="R493" s="24" t="s">
        <v>1391</v>
      </c>
      <c r="S493" s="17">
        <v>55.66</v>
      </c>
      <c r="T493" s="18">
        <v>0.06</v>
      </c>
      <c r="U493" s="15" t="s">
        <v>157</v>
      </c>
      <c r="V493" s="15" t="s">
        <v>135</v>
      </c>
      <c r="W493" s="17">
        <v>3.34</v>
      </c>
    </row>
    <row r="494" spans="1:23" s="15" customFormat="1" x14ac:dyDescent="0.25">
      <c r="A494" s="15">
        <v>2026047881</v>
      </c>
      <c r="B494" s="15" t="s">
        <v>667</v>
      </c>
      <c r="C494" s="15" t="s">
        <v>454</v>
      </c>
      <c r="D494" s="15" t="str">
        <f>CONCATENATE(C494," ",B494)</f>
        <v>HOWARD SHIPWASH</v>
      </c>
      <c r="E494" s="15" t="s">
        <v>78</v>
      </c>
      <c r="F494" s="15" t="s">
        <v>363</v>
      </c>
      <c r="G494" s="15" t="s">
        <v>364</v>
      </c>
      <c r="H494" s="15" t="s">
        <v>364</v>
      </c>
      <c r="I494" s="21">
        <v>8307933</v>
      </c>
      <c r="J494" s="15" t="s">
        <v>80</v>
      </c>
      <c r="K494" s="15" t="s">
        <v>81</v>
      </c>
      <c r="L494" s="15" t="str">
        <f>CONCATENATE(K494," ",J494)</f>
        <v>GREGORY TEIPEL</v>
      </c>
      <c r="M494" s="15" t="s">
        <v>57</v>
      </c>
      <c r="N494" s="16">
        <v>45633</v>
      </c>
      <c r="O494" s="16">
        <v>46088</v>
      </c>
      <c r="P494" s="24">
        <f>DATEDIF(N494,O494,"M")</f>
        <v>15</v>
      </c>
      <c r="Q494" s="24" t="s">
        <v>157</v>
      </c>
      <c r="R494" s="24" t="s">
        <v>1391</v>
      </c>
      <c r="S494" s="17">
        <v>40.07</v>
      </c>
      <c r="T494" s="18">
        <v>0.06</v>
      </c>
      <c r="U494" s="15" t="s">
        <v>157</v>
      </c>
      <c r="V494" s="15" t="s">
        <v>135</v>
      </c>
      <c r="W494" s="17">
        <v>2.4</v>
      </c>
    </row>
    <row r="495" spans="1:23" s="15" customFormat="1" x14ac:dyDescent="0.25">
      <c r="A495" s="15">
        <v>2025805895</v>
      </c>
      <c r="B495" s="15" t="s">
        <v>1203</v>
      </c>
      <c r="C495" s="15" t="s">
        <v>259</v>
      </c>
      <c r="D495" s="15" t="str">
        <f>CONCATENATE(C495," ",B495)</f>
        <v>KAREN MOSS</v>
      </c>
      <c r="E495" s="15" t="s">
        <v>90</v>
      </c>
      <c r="F495" s="15" t="s">
        <v>383</v>
      </c>
      <c r="G495" s="15" t="s">
        <v>385</v>
      </c>
      <c r="H495" s="15" t="s">
        <v>385</v>
      </c>
      <c r="I495" s="21">
        <v>8307933</v>
      </c>
      <c r="J495" s="15" t="s">
        <v>80</v>
      </c>
      <c r="K495" s="15" t="s">
        <v>81</v>
      </c>
      <c r="L495" s="15" t="str">
        <f>CONCATENATE(K495," ",J495)</f>
        <v>GREGORY TEIPEL</v>
      </c>
      <c r="M495" s="15" t="s">
        <v>57</v>
      </c>
      <c r="N495" s="16">
        <v>45633</v>
      </c>
      <c r="O495" s="16">
        <v>46088</v>
      </c>
      <c r="P495" s="24">
        <f>DATEDIF(N495,O495,"M")</f>
        <v>15</v>
      </c>
      <c r="Q495" s="24" t="s">
        <v>157</v>
      </c>
      <c r="R495" s="24" t="s">
        <v>1391</v>
      </c>
      <c r="S495" s="17">
        <v>80.349999999999994</v>
      </c>
      <c r="T495" s="18">
        <v>0.1</v>
      </c>
      <c r="U495" s="15" t="s">
        <v>157</v>
      </c>
      <c r="V495" s="15" t="s">
        <v>135</v>
      </c>
      <c r="W495" s="17">
        <v>8.0399999999999991</v>
      </c>
    </row>
    <row r="496" spans="1:23" s="15" customFormat="1" x14ac:dyDescent="0.25">
      <c r="A496" s="15">
        <v>2025815281</v>
      </c>
      <c r="B496" s="15" t="s">
        <v>504</v>
      </c>
      <c r="C496" s="15" t="s">
        <v>505</v>
      </c>
      <c r="D496" s="15" t="str">
        <f>CONCATENATE(C496," ",B496)</f>
        <v>CARLEE WEST</v>
      </c>
      <c r="E496" s="15" t="s">
        <v>78</v>
      </c>
      <c r="F496" s="15" t="s">
        <v>383</v>
      </c>
      <c r="G496" s="15" t="s">
        <v>385</v>
      </c>
      <c r="H496" s="15" t="s">
        <v>385</v>
      </c>
      <c r="I496" s="21">
        <v>8307933</v>
      </c>
      <c r="J496" s="15" t="s">
        <v>80</v>
      </c>
      <c r="K496" s="15" t="s">
        <v>81</v>
      </c>
      <c r="L496" s="15" t="str">
        <f>CONCATENATE(K496," ",J496)</f>
        <v>GREGORY TEIPEL</v>
      </c>
      <c r="M496" s="15" t="s">
        <v>57</v>
      </c>
      <c r="N496" s="16">
        <v>45633</v>
      </c>
      <c r="O496" s="16">
        <v>46088</v>
      </c>
      <c r="P496" s="24">
        <f>DATEDIF(N496,O496,"M")</f>
        <v>15</v>
      </c>
      <c r="Q496" s="24" t="s">
        <v>157</v>
      </c>
      <c r="R496" s="24" t="s">
        <v>1391</v>
      </c>
      <c r="S496" s="17">
        <v>21.83</v>
      </c>
      <c r="T496" s="18">
        <v>0.1</v>
      </c>
      <c r="U496" s="15" t="s">
        <v>157</v>
      </c>
      <c r="V496" s="15" t="s">
        <v>135</v>
      </c>
      <c r="W496" s="17">
        <v>2.1800000000000002</v>
      </c>
    </row>
    <row r="497" spans="1:23" s="15" customFormat="1" x14ac:dyDescent="0.25">
      <c r="A497" s="15">
        <v>2025260278</v>
      </c>
      <c r="B497" s="15" t="s">
        <v>489</v>
      </c>
      <c r="C497" s="15" t="s">
        <v>250</v>
      </c>
      <c r="D497" s="15" t="str">
        <f>CONCATENATE(C497," ",B497)</f>
        <v>DAVID KUHN</v>
      </c>
      <c r="E497" s="15" t="s">
        <v>78</v>
      </c>
      <c r="F497" s="15" t="s">
        <v>72</v>
      </c>
      <c r="G497" s="15" t="s">
        <v>79</v>
      </c>
      <c r="H497" s="15" t="s">
        <v>1329</v>
      </c>
      <c r="I497" s="21">
        <v>8307933</v>
      </c>
      <c r="J497" s="15" t="s">
        <v>80</v>
      </c>
      <c r="K497" s="15" t="s">
        <v>81</v>
      </c>
      <c r="L497" s="15" t="str">
        <f>CONCATENATE(K497," ",J497)</f>
        <v>GREGORY TEIPEL</v>
      </c>
      <c r="M497" s="15" t="s">
        <v>57</v>
      </c>
      <c r="N497" s="16">
        <v>45603</v>
      </c>
      <c r="O497" s="16">
        <v>46088</v>
      </c>
      <c r="P497" s="24">
        <f>DATEDIF(N497,O497,"M")</f>
        <v>16</v>
      </c>
      <c r="Q497" s="24" t="s">
        <v>157</v>
      </c>
      <c r="R497" s="24" t="s">
        <v>1391</v>
      </c>
      <c r="S497" s="17">
        <v>267.5</v>
      </c>
      <c r="T497" s="18">
        <v>0.1</v>
      </c>
      <c r="U497" s="15" t="s">
        <v>157</v>
      </c>
      <c r="V497" s="15" t="s">
        <v>135</v>
      </c>
      <c r="W497" s="17">
        <v>26.75</v>
      </c>
    </row>
    <row r="498" spans="1:23" s="15" customFormat="1" x14ac:dyDescent="0.25">
      <c r="A498" s="15">
        <v>2025655085</v>
      </c>
      <c r="B498" s="15" t="s">
        <v>495</v>
      </c>
      <c r="C498" s="15" t="s">
        <v>496</v>
      </c>
      <c r="D498" s="15" t="str">
        <f>CONCATENATE(C498," ",B498)</f>
        <v>TAMMY LAROUX</v>
      </c>
      <c r="E498" s="15" t="s">
        <v>90</v>
      </c>
      <c r="F498" s="15" t="s">
        <v>72</v>
      </c>
      <c r="G498" s="15" t="s">
        <v>79</v>
      </c>
      <c r="H498" s="15" t="s">
        <v>1329</v>
      </c>
      <c r="I498" s="21">
        <v>8307933</v>
      </c>
      <c r="J498" s="15" t="s">
        <v>80</v>
      </c>
      <c r="K498" s="15" t="s">
        <v>81</v>
      </c>
      <c r="L498" s="15" t="str">
        <f>CONCATENATE(K498," ",J498)</f>
        <v>GREGORY TEIPEL</v>
      </c>
      <c r="M498" s="15" t="s">
        <v>57</v>
      </c>
      <c r="N498" s="16">
        <v>45604</v>
      </c>
      <c r="O498" s="16">
        <v>46089</v>
      </c>
      <c r="P498" s="24">
        <f>DATEDIF(N498,O498,"M")</f>
        <v>16</v>
      </c>
      <c r="Q498" s="24" t="s">
        <v>157</v>
      </c>
      <c r="R498" s="24" t="s">
        <v>1391</v>
      </c>
      <c r="S498" s="17">
        <v>68.25</v>
      </c>
      <c r="T498" s="18">
        <v>0.1</v>
      </c>
      <c r="U498" s="15" t="s">
        <v>157</v>
      </c>
      <c r="V498" s="15" t="s">
        <v>135</v>
      </c>
      <c r="W498" s="17">
        <v>6.82</v>
      </c>
    </row>
    <row r="499" spans="1:23" s="15" customFormat="1" x14ac:dyDescent="0.25">
      <c r="A499" s="15">
        <v>2025655084</v>
      </c>
      <c r="B499" s="15" t="s">
        <v>495</v>
      </c>
      <c r="C499" s="15" t="s">
        <v>496</v>
      </c>
      <c r="D499" s="15" t="str">
        <f>CONCATENATE(C499," ",B499)</f>
        <v>TAMMY LAROUX</v>
      </c>
      <c r="E499" s="15" t="s">
        <v>90</v>
      </c>
      <c r="F499" s="15" t="s">
        <v>383</v>
      </c>
      <c r="G499" s="15" t="s">
        <v>385</v>
      </c>
      <c r="H499" s="15" t="s">
        <v>385</v>
      </c>
      <c r="I499" s="21">
        <v>8307933</v>
      </c>
      <c r="J499" s="15" t="s">
        <v>80</v>
      </c>
      <c r="K499" s="15" t="s">
        <v>81</v>
      </c>
      <c r="L499" s="15" t="str">
        <f>CONCATENATE(K499," ",J499)</f>
        <v>GREGORY TEIPEL</v>
      </c>
      <c r="M499" s="15" t="s">
        <v>57</v>
      </c>
      <c r="N499" s="16">
        <v>45604</v>
      </c>
      <c r="O499" s="16">
        <v>46089</v>
      </c>
      <c r="P499" s="24">
        <f>DATEDIF(N499,O499,"M")</f>
        <v>16</v>
      </c>
      <c r="Q499" s="24" t="s">
        <v>157</v>
      </c>
      <c r="R499" s="24" t="s">
        <v>1391</v>
      </c>
      <c r="S499" s="17">
        <v>99.25</v>
      </c>
      <c r="T499" s="18">
        <v>0.1</v>
      </c>
      <c r="U499" s="15" t="s">
        <v>157</v>
      </c>
      <c r="V499" s="15" t="s">
        <v>135</v>
      </c>
      <c r="W499" s="17">
        <v>9.92</v>
      </c>
    </row>
    <row r="500" spans="1:23" s="15" customFormat="1" x14ac:dyDescent="0.25">
      <c r="A500" s="15">
        <v>2024899507</v>
      </c>
      <c r="B500" s="15" t="s">
        <v>650</v>
      </c>
      <c r="C500" s="15" t="s">
        <v>651</v>
      </c>
      <c r="D500" s="15" t="str">
        <f>CONCATENATE(C500," ",B500)</f>
        <v>MARIANO DOBLE</v>
      </c>
      <c r="E500" s="15" t="s">
        <v>353</v>
      </c>
      <c r="F500" s="15" t="s">
        <v>383</v>
      </c>
      <c r="G500" s="15" t="s">
        <v>384</v>
      </c>
      <c r="H500" s="15" t="s">
        <v>384</v>
      </c>
      <c r="I500" s="21">
        <v>8307933</v>
      </c>
      <c r="J500" s="15" t="s">
        <v>80</v>
      </c>
      <c r="K500" s="15" t="s">
        <v>81</v>
      </c>
      <c r="L500" s="15" t="str">
        <f>CONCATENATE(K500," ",J500)</f>
        <v>GREGORY TEIPEL</v>
      </c>
      <c r="M500" s="15" t="s">
        <v>57</v>
      </c>
      <c r="N500" s="16">
        <v>45571</v>
      </c>
      <c r="O500" s="16">
        <v>46087</v>
      </c>
      <c r="P500" s="24">
        <f>DATEDIF(N500,O500,"M")</f>
        <v>17</v>
      </c>
      <c r="Q500" s="24" t="s">
        <v>157</v>
      </c>
      <c r="R500" s="24" t="s">
        <v>1391</v>
      </c>
      <c r="S500" s="17">
        <v>34.340000000000003</v>
      </c>
      <c r="T500" s="18">
        <v>0.15</v>
      </c>
      <c r="U500" s="15" t="s">
        <v>157</v>
      </c>
      <c r="V500" s="15" t="s">
        <v>135</v>
      </c>
      <c r="W500" s="17">
        <v>5.15</v>
      </c>
    </row>
    <row r="501" spans="1:23" s="15" customFormat="1" x14ac:dyDescent="0.25">
      <c r="A501" s="15">
        <v>2025049457</v>
      </c>
      <c r="B501" s="15" t="s">
        <v>1194</v>
      </c>
      <c r="C501" s="15" t="s">
        <v>1195</v>
      </c>
      <c r="D501" s="15" t="str">
        <f>CONCATENATE(C501," ",B501)</f>
        <v>DAWOOD HANASH</v>
      </c>
      <c r="E501" s="15" t="s">
        <v>66</v>
      </c>
      <c r="F501" s="15" t="s">
        <v>383</v>
      </c>
      <c r="G501" s="15" t="s">
        <v>384</v>
      </c>
      <c r="H501" s="15" t="s">
        <v>384</v>
      </c>
      <c r="I501" s="21">
        <v>8307933</v>
      </c>
      <c r="J501" s="15" t="s">
        <v>80</v>
      </c>
      <c r="K501" s="15" t="s">
        <v>81</v>
      </c>
      <c r="L501" s="15" t="str">
        <f>CONCATENATE(K501," ",J501)</f>
        <v>GREGORY TEIPEL</v>
      </c>
      <c r="M501" s="15" t="s">
        <v>57</v>
      </c>
      <c r="N501" s="16">
        <v>45572</v>
      </c>
      <c r="O501" s="16">
        <v>46088</v>
      </c>
      <c r="P501" s="24">
        <f>DATEDIF(N501,O501,"M")</f>
        <v>17</v>
      </c>
      <c r="Q501" s="24" t="s">
        <v>157</v>
      </c>
      <c r="R501" s="24" t="s">
        <v>1391</v>
      </c>
      <c r="S501" s="17">
        <v>59.4</v>
      </c>
      <c r="T501" s="18">
        <v>0.15</v>
      </c>
      <c r="U501" s="15" t="s">
        <v>157</v>
      </c>
      <c r="V501" s="15" t="s">
        <v>135</v>
      </c>
      <c r="W501" s="17">
        <v>8.91</v>
      </c>
    </row>
    <row r="502" spans="1:23" s="15" customFormat="1" x14ac:dyDescent="0.25">
      <c r="A502" s="15">
        <v>2024899509</v>
      </c>
      <c r="B502" s="15" t="s">
        <v>650</v>
      </c>
      <c r="C502" s="15" t="s">
        <v>651</v>
      </c>
      <c r="D502" s="15" t="str">
        <f>CONCATENATE(C502," ",B502)</f>
        <v>MARIANO DOBLE</v>
      </c>
      <c r="E502" s="15" t="s">
        <v>353</v>
      </c>
      <c r="F502" s="15" t="s">
        <v>363</v>
      </c>
      <c r="G502" s="15" t="s">
        <v>364</v>
      </c>
      <c r="H502" s="15" t="s">
        <v>364</v>
      </c>
      <c r="I502" s="21">
        <v>8307933</v>
      </c>
      <c r="J502" s="15" t="s">
        <v>80</v>
      </c>
      <c r="K502" s="15" t="s">
        <v>81</v>
      </c>
      <c r="L502" s="15" t="str">
        <f>CONCATENATE(K502," ",J502)</f>
        <v>GREGORY TEIPEL</v>
      </c>
      <c r="M502" s="15" t="s">
        <v>57</v>
      </c>
      <c r="N502" s="16">
        <v>45571</v>
      </c>
      <c r="O502" s="16">
        <v>46087</v>
      </c>
      <c r="P502" s="24">
        <f>DATEDIF(N502,O502,"M")</f>
        <v>17</v>
      </c>
      <c r="Q502" s="24" t="s">
        <v>157</v>
      </c>
      <c r="R502" s="24" t="s">
        <v>1391</v>
      </c>
      <c r="S502" s="17">
        <v>49.55</v>
      </c>
      <c r="T502" s="18">
        <v>0.06</v>
      </c>
      <c r="U502" s="15" t="s">
        <v>157</v>
      </c>
      <c r="V502" s="15" t="s">
        <v>135</v>
      </c>
      <c r="W502" s="17">
        <v>2.97</v>
      </c>
    </row>
    <row r="503" spans="1:23" s="15" customFormat="1" x14ac:dyDescent="0.25">
      <c r="A503" s="15">
        <v>2024899508</v>
      </c>
      <c r="B503" s="15" t="s">
        <v>650</v>
      </c>
      <c r="C503" s="15" t="s">
        <v>651</v>
      </c>
      <c r="D503" s="15" t="str">
        <f>CONCATENATE(C503," ",B503)</f>
        <v>MARIANO DOBLE</v>
      </c>
      <c r="E503" s="15" t="s">
        <v>353</v>
      </c>
      <c r="F503" s="15" t="s">
        <v>383</v>
      </c>
      <c r="G503" s="15" t="s">
        <v>385</v>
      </c>
      <c r="H503" s="15" t="s">
        <v>385</v>
      </c>
      <c r="I503" s="21">
        <v>8307933</v>
      </c>
      <c r="J503" s="15" t="s">
        <v>80</v>
      </c>
      <c r="K503" s="15" t="s">
        <v>81</v>
      </c>
      <c r="L503" s="15" t="str">
        <f>CONCATENATE(K503," ",J503)</f>
        <v>GREGORY TEIPEL</v>
      </c>
      <c r="M503" s="15" t="s">
        <v>57</v>
      </c>
      <c r="N503" s="16">
        <v>45571</v>
      </c>
      <c r="O503" s="16">
        <v>46087</v>
      </c>
      <c r="P503" s="24">
        <f>DATEDIF(N503,O503,"M")</f>
        <v>17</v>
      </c>
      <c r="Q503" s="24" t="s">
        <v>157</v>
      </c>
      <c r="R503" s="24" t="s">
        <v>1391</v>
      </c>
      <c r="S503" s="17">
        <v>29.25</v>
      </c>
      <c r="T503" s="18">
        <v>0.1</v>
      </c>
      <c r="U503" s="15" t="s">
        <v>157</v>
      </c>
      <c r="V503" s="15" t="s">
        <v>135</v>
      </c>
      <c r="W503" s="17">
        <v>2.92</v>
      </c>
    </row>
    <row r="504" spans="1:23" s="15" customFormat="1" x14ac:dyDescent="0.25">
      <c r="A504" s="15">
        <v>2024598450</v>
      </c>
      <c r="B504" s="15" t="s">
        <v>483</v>
      </c>
      <c r="C504" s="15" t="s">
        <v>484</v>
      </c>
      <c r="D504" s="15" t="str">
        <f>CONCATENATE(C504," ",B504)</f>
        <v>KIMBERLEIGH MOTYKA</v>
      </c>
      <c r="E504" s="15" t="s">
        <v>66</v>
      </c>
      <c r="F504" s="15" t="s">
        <v>72</v>
      </c>
      <c r="G504" s="15" t="s">
        <v>79</v>
      </c>
      <c r="H504" s="15" t="s">
        <v>1329</v>
      </c>
      <c r="I504" s="21">
        <v>8307933</v>
      </c>
      <c r="J504" s="15" t="s">
        <v>80</v>
      </c>
      <c r="K504" s="15" t="s">
        <v>81</v>
      </c>
      <c r="L504" s="15" t="str">
        <f>CONCATENATE(K504," ",J504)</f>
        <v>GREGORY TEIPEL</v>
      </c>
      <c r="M504" s="15" t="s">
        <v>57</v>
      </c>
      <c r="N504" s="16">
        <v>45542</v>
      </c>
      <c r="O504" s="16">
        <v>46088</v>
      </c>
      <c r="P504" s="24">
        <f>DATEDIF(N504,O504,"M")</f>
        <v>18</v>
      </c>
      <c r="Q504" s="24" t="s">
        <v>157</v>
      </c>
      <c r="R504" s="24" t="s">
        <v>1391</v>
      </c>
      <c r="S504" s="17">
        <v>90.76</v>
      </c>
      <c r="T504" s="18">
        <v>0.1</v>
      </c>
      <c r="U504" s="15" t="s">
        <v>157</v>
      </c>
      <c r="V504" s="15" t="s">
        <v>135</v>
      </c>
      <c r="W504" s="17">
        <v>9.08</v>
      </c>
    </row>
    <row r="505" spans="1:23" s="15" customFormat="1" x14ac:dyDescent="0.25">
      <c r="A505" s="15">
        <v>2024598451</v>
      </c>
      <c r="B505" s="15" t="s">
        <v>483</v>
      </c>
      <c r="C505" s="15" t="s">
        <v>484</v>
      </c>
      <c r="D505" s="15" t="str">
        <f>CONCATENATE(C505," ",B505)</f>
        <v>KIMBERLEIGH MOTYKA</v>
      </c>
      <c r="E505" s="15" t="s">
        <v>66</v>
      </c>
      <c r="F505" s="15" t="s">
        <v>383</v>
      </c>
      <c r="G505" s="15" t="s">
        <v>385</v>
      </c>
      <c r="H505" s="15" t="s">
        <v>385</v>
      </c>
      <c r="I505" s="21">
        <v>8307933</v>
      </c>
      <c r="J505" s="15" t="s">
        <v>80</v>
      </c>
      <c r="K505" s="15" t="s">
        <v>81</v>
      </c>
      <c r="L505" s="15" t="str">
        <f>CONCATENATE(K505," ",J505)</f>
        <v>GREGORY TEIPEL</v>
      </c>
      <c r="M505" s="15" t="s">
        <v>57</v>
      </c>
      <c r="N505" s="16">
        <v>45542</v>
      </c>
      <c r="O505" s="16">
        <v>46088</v>
      </c>
      <c r="P505" s="24">
        <f>DATEDIF(N505,O505,"M")</f>
        <v>18</v>
      </c>
      <c r="Q505" s="24" t="s">
        <v>157</v>
      </c>
      <c r="R505" s="24" t="s">
        <v>1391</v>
      </c>
      <c r="S505" s="17">
        <v>51.63</v>
      </c>
      <c r="T505" s="18">
        <v>0.1</v>
      </c>
      <c r="U505" s="15" t="s">
        <v>157</v>
      </c>
      <c r="V505" s="15" t="s">
        <v>135</v>
      </c>
      <c r="W505" s="17">
        <v>5.16</v>
      </c>
    </row>
    <row r="506" spans="1:23" s="15" customFormat="1" x14ac:dyDescent="0.25">
      <c r="A506" s="15">
        <v>2024001564</v>
      </c>
      <c r="B506" s="15" t="s">
        <v>145</v>
      </c>
      <c r="C506" s="15" t="s">
        <v>155</v>
      </c>
      <c r="D506" s="15" t="str">
        <f>CONCATENATE(C506," ",B506)</f>
        <v>JASON SMITH</v>
      </c>
      <c r="E506" s="15" t="s">
        <v>84</v>
      </c>
      <c r="F506" s="15" t="s">
        <v>72</v>
      </c>
      <c r="G506" s="15" t="s">
        <v>93</v>
      </c>
      <c r="H506" s="15" t="s">
        <v>1332</v>
      </c>
      <c r="I506" s="21">
        <v>8307933</v>
      </c>
      <c r="J506" s="15" t="s">
        <v>80</v>
      </c>
      <c r="K506" s="15" t="s">
        <v>81</v>
      </c>
      <c r="L506" s="15" t="str">
        <f>CONCATENATE(K506," ",J506)</f>
        <v>GREGORY TEIPEL</v>
      </c>
      <c r="M506" s="15" t="s">
        <v>57</v>
      </c>
      <c r="N506" s="16">
        <v>45510</v>
      </c>
      <c r="O506" s="16">
        <v>46087</v>
      </c>
      <c r="P506" s="24">
        <f>DATEDIF(N506,O506,"M")</f>
        <v>19</v>
      </c>
      <c r="Q506" s="24" t="s">
        <v>157</v>
      </c>
      <c r="R506" s="24" t="s">
        <v>1391</v>
      </c>
      <c r="S506" s="17">
        <v>90.33</v>
      </c>
      <c r="T506" s="18">
        <v>0.1</v>
      </c>
      <c r="U506" s="15" t="s">
        <v>157</v>
      </c>
      <c r="V506" s="15" t="s">
        <v>135</v>
      </c>
      <c r="W506" s="17">
        <v>9.0299999999999994</v>
      </c>
    </row>
    <row r="507" spans="1:23" s="15" customFormat="1" x14ac:dyDescent="0.25">
      <c r="A507" s="15">
        <v>2024001565</v>
      </c>
      <c r="B507" s="15" t="s">
        <v>145</v>
      </c>
      <c r="C507" s="15" t="s">
        <v>155</v>
      </c>
      <c r="D507" s="15" t="str">
        <f>CONCATENATE(C507," ",B507)</f>
        <v>JASON SMITH</v>
      </c>
      <c r="E507" s="15" t="s">
        <v>84</v>
      </c>
      <c r="F507" s="15" t="s">
        <v>383</v>
      </c>
      <c r="G507" s="15" t="s">
        <v>384</v>
      </c>
      <c r="H507" s="15" t="s">
        <v>384</v>
      </c>
      <c r="I507" s="21">
        <v>8307933</v>
      </c>
      <c r="J507" s="15" t="s">
        <v>80</v>
      </c>
      <c r="K507" s="15" t="s">
        <v>81</v>
      </c>
      <c r="L507" s="15" t="str">
        <f>CONCATENATE(K507," ",J507)</f>
        <v>GREGORY TEIPEL</v>
      </c>
      <c r="M507" s="15" t="s">
        <v>57</v>
      </c>
      <c r="N507" s="16">
        <v>45510</v>
      </c>
      <c r="O507" s="16">
        <v>46087</v>
      </c>
      <c r="P507" s="24">
        <f>DATEDIF(N507,O507,"M")</f>
        <v>19</v>
      </c>
      <c r="Q507" s="24" t="s">
        <v>157</v>
      </c>
      <c r="R507" s="24" t="s">
        <v>1391</v>
      </c>
      <c r="S507" s="17">
        <v>40.65</v>
      </c>
      <c r="T507" s="18">
        <v>0.15</v>
      </c>
      <c r="U507" s="15" t="s">
        <v>157</v>
      </c>
      <c r="V507" s="15" t="s">
        <v>135</v>
      </c>
      <c r="W507" s="17">
        <v>6.1</v>
      </c>
    </row>
    <row r="508" spans="1:23" s="15" customFormat="1" x14ac:dyDescent="0.25">
      <c r="A508" s="15">
        <v>2023710953</v>
      </c>
      <c r="B508" s="15" t="s">
        <v>1186</v>
      </c>
      <c r="C508" s="15" t="s">
        <v>1187</v>
      </c>
      <c r="D508" s="15" t="str">
        <f>CONCATENATE(C508," ",B508)</f>
        <v>RITA CABAN</v>
      </c>
      <c r="E508" s="15" t="s">
        <v>527</v>
      </c>
      <c r="F508" s="15" t="s">
        <v>383</v>
      </c>
      <c r="G508" s="15" t="s">
        <v>384</v>
      </c>
      <c r="H508" s="15" t="s">
        <v>384</v>
      </c>
      <c r="I508" s="21">
        <v>8307933</v>
      </c>
      <c r="J508" s="15" t="s">
        <v>80</v>
      </c>
      <c r="K508" s="15" t="s">
        <v>81</v>
      </c>
      <c r="L508" s="15" t="str">
        <f>CONCATENATE(K508," ",J508)</f>
        <v>GREGORY TEIPEL</v>
      </c>
      <c r="M508" s="15" t="s">
        <v>57</v>
      </c>
      <c r="N508" s="16">
        <v>45479</v>
      </c>
      <c r="O508" s="16">
        <v>46087</v>
      </c>
      <c r="P508" s="24">
        <f>DATEDIF(N508,O508,"M")</f>
        <v>20</v>
      </c>
      <c r="Q508" s="24" t="s">
        <v>157</v>
      </c>
      <c r="R508" s="24" t="s">
        <v>1391</v>
      </c>
      <c r="S508" s="17">
        <v>132.86000000000001</v>
      </c>
      <c r="T508" s="18">
        <v>0.15</v>
      </c>
      <c r="U508" s="15" t="s">
        <v>157</v>
      </c>
      <c r="V508" s="15" t="s">
        <v>135</v>
      </c>
      <c r="W508" s="17">
        <v>19.93</v>
      </c>
    </row>
    <row r="509" spans="1:23" s="15" customFormat="1" x14ac:dyDescent="0.25">
      <c r="A509" s="15">
        <v>2023184015</v>
      </c>
      <c r="B509" s="15" t="s">
        <v>476</v>
      </c>
      <c r="C509" s="15" t="s">
        <v>477</v>
      </c>
      <c r="D509" s="15" t="str">
        <f>CONCATENATE(C509," ",B509)</f>
        <v>JULIE KINKAID</v>
      </c>
      <c r="E509" s="15" t="s">
        <v>96</v>
      </c>
      <c r="F509" s="15" t="s">
        <v>72</v>
      </c>
      <c r="G509" s="15" t="s">
        <v>79</v>
      </c>
      <c r="H509" s="15" t="s">
        <v>1329</v>
      </c>
      <c r="I509" s="21">
        <v>8307933</v>
      </c>
      <c r="J509" s="15" t="s">
        <v>80</v>
      </c>
      <c r="K509" s="15" t="s">
        <v>81</v>
      </c>
      <c r="L509" s="15" t="str">
        <f>CONCATENATE(K509," ",J509)</f>
        <v>GREGORY TEIPEL</v>
      </c>
      <c r="M509" s="15" t="s">
        <v>57</v>
      </c>
      <c r="N509" s="16">
        <v>45449</v>
      </c>
      <c r="O509" s="16">
        <v>46087</v>
      </c>
      <c r="P509" s="24">
        <f>DATEDIF(N509,O509,"M")</f>
        <v>21</v>
      </c>
      <c r="Q509" s="24" t="s">
        <v>157</v>
      </c>
      <c r="R509" s="24" t="s">
        <v>1391</v>
      </c>
      <c r="S509" s="17">
        <v>142.85</v>
      </c>
      <c r="T509" s="18">
        <v>0.1</v>
      </c>
      <c r="U509" s="15" t="s">
        <v>157</v>
      </c>
      <c r="V509" s="15" t="s">
        <v>135</v>
      </c>
      <c r="W509" s="17">
        <v>14.28</v>
      </c>
    </row>
    <row r="510" spans="1:23" s="15" customFormat="1" x14ac:dyDescent="0.25">
      <c r="A510" s="15">
        <v>2023297034</v>
      </c>
      <c r="B510" s="15" t="s">
        <v>480</v>
      </c>
      <c r="C510" s="15" t="s">
        <v>481</v>
      </c>
      <c r="D510" s="15" t="str">
        <f>CONCATENATE(C510," ",B510)</f>
        <v>NATHAN BLACKLEDGE</v>
      </c>
      <c r="E510" s="15" t="s">
        <v>96</v>
      </c>
      <c r="F510" s="15" t="s">
        <v>72</v>
      </c>
      <c r="G510" s="15" t="s">
        <v>79</v>
      </c>
      <c r="H510" s="15" t="s">
        <v>1329</v>
      </c>
      <c r="I510" s="21">
        <v>8307933</v>
      </c>
      <c r="J510" s="15" t="s">
        <v>80</v>
      </c>
      <c r="K510" s="15" t="s">
        <v>81</v>
      </c>
      <c r="L510" s="15" t="str">
        <f>CONCATENATE(K510," ",J510)</f>
        <v>GREGORY TEIPEL</v>
      </c>
      <c r="M510" s="15" t="s">
        <v>57</v>
      </c>
      <c r="N510" s="16">
        <v>45449</v>
      </c>
      <c r="O510" s="16">
        <v>46087</v>
      </c>
      <c r="P510" s="24">
        <f>DATEDIF(N510,O510,"M")</f>
        <v>21</v>
      </c>
      <c r="Q510" s="24" t="s">
        <v>157</v>
      </c>
      <c r="R510" s="24" t="s">
        <v>1391</v>
      </c>
      <c r="S510" s="17">
        <v>149.5</v>
      </c>
      <c r="T510" s="18">
        <v>0.1</v>
      </c>
      <c r="U510" s="15" t="s">
        <v>157</v>
      </c>
      <c r="V510" s="15" t="s">
        <v>135</v>
      </c>
      <c r="W510" s="17">
        <v>14.95</v>
      </c>
    </row>
    <row r="511" spans="1:23" s="15" customFormat="1" x14ac:dyDescent="0.25">
      <c r="A511" s="15">
        <v>2023294111</v>
      </c>
      <c r="B511" s="15" t="s">
        <v>478</v>
      </c>
      <c r="C511" s="15" t="s">
        <v>479</v>
      </c>
      <c r="D511" s="15" t="str">
        <f>CONCATENATE(C511," ",B511)</f>
        <v>BRENT ARP</v>
      </c>
      <c r="E511" s="15" t="s">
        <v>78</v>
      </c>
      <c r="F511" s="15" t="s">
        <v>72</v>
      </c>
      <c r="G511" s="15" t="s">
        <v>93</v>
      </c>
      <c r="H511" s="15" t="s">
        <v>1332</v>
      </c>
      <c r="I511" s="21">
        <v>8307933</v>
      </c>
      <c r="J511" s="15" t="s">
        <v>80</v>
      </c>
      <c r="K511" s="15" t="s">
        <v>81</v>
      </c>
      <c r="L511" s="15" t="str">
        <f>CONCATENATE(K511," ",J511)</f>
        <v>GREGORY TEIPEL</v>
      </c>
      <c r="M511" s="15" t="s">
        <v>57</v>
      </c>
      <c r="N511" s="16">
        <v>45449</v>
      </c>
      <c r="O511" s="16">
        <v>46087</v>
      </c>
      <c r="P511" s="24">
        <f>DATEDIF(N511,O511,"M")</f>
        <v>21</v>
      </c>
      <c r="Q511" s="24" t="s">
        <v>157</v>
      </c>
      <c r="R511" s="24" t="s">
        <v>1391</v>
      </c>
      <c r="S511" s="17">
        <v>191.17</v>
      </c>
      <c r="T511" s="18">
        <v>0.1</v>
      </c>
      <c r="U511" s="15" t="s">
        <v>157</v>
      </c>
      <c r="V511" s="15" t="s">
        <v>135</v>
      </c>
      <c r="W511" s="17">
        <v>19.12</v>
      </c>
    </row>
    <row r="512" spans="1:23" s="15" customFormat="1" x14ac:dyDescent="0.25">
      <c r="A512" s="15">
        <v>2023297035</v>
      </c>
      <c r="B512" s="15" t="s">
        <v>480</v>
      </c>
      <c r="C512" s="15" t="s">
        <v>481</v>
      </c>
      <c r="D512" s="15" t="str">
        <f>CONCATENATE(C512," ",B512)</f>
        <v>NATHAN BLACKLEDGE</v>
      </c>
      <c r="E512" s="15" t="s">
        <v>96</v>
      </c>
      <c r="F512" s="15" t="s">
        <v>383</v>
      </c>
      <c r="G512" s="15" t="s">
        <v>384</v>
      </c>
      <c r="H512" s="15" t="s">
        <v>384</v>
      </c>
      <c r="I512" s="21">
        <v>8307933</v>
      </c>
      <c r="J512" s="15" t="s">
        <v>80</v>
      </c>
      <c r="K512" s="15" t="s">
        <v>81</v>
      </c>
      <c r="L512" s="15" t="str">
        <f>CONCATENATE(K512," ",J512)</f>
        <v>GREGORY TEIPEL</v>
      </c>
      <c r="M512" s="15" t="s">
        <v>57</v>
      </c>
      <c r="N512" s="16">
        <v>45449</v>
      </c>
      <c r="O512" s="16">
        <v>46087</v>
      </c>
      <c r="P512" s="24">
        <f>DATEDIF(N512,O512,"M")</f>
        <v>21</v>
      </c>
      <c r="Q512" s="24" t="s">
        <v>157</v>
      </c>
      <c r="R512" s="24" t="s">
        <v>1391</v>
      </c>
      <c r="S512" s="17">
        <v>86.91</v>
      </c>
      <c r="T512" s="18">
        <v>0.15</v>
      </c>
      <c r="U512" s="15" t="s">
        <v>157</v>
      </c>
      <c r="V512" s="15" t="s">
        <v>135</v>
      </c>
      <c r="W512" s="17">
        <v>13.04</v>
      </c>
    </row>
    <row r="513" spans="1:23" s="15" customFormat="1" x14ac:dyDescent="0.25">
      <c r="A513" s="15">
        <v>2023294110</v>
      </c>
      <c r="B513" s="15" t="s">
        <v>478</v>
      </c>
      <c r="C513" s="15" t="s">
        <v>479</v>
      </c>
      <c r="D513" s="15" t="str">
        <f>CONCATENATE(C513," ",B513)</f>
        <v>BRENT ARP</v>
      </c>
      <c r="E513" s="15" t="s">
        <v>78</v>
      </c>
      <c r="F513" s="15" t="s">
        <v>363</v>
      </c>
      <c r="G513" s="15" t="s">
        <v>364</v>
      </c>
      <c r="H513" s="15" t="s">
        <v>364</v>
      </c>
      <c r="I513" s="21">
        <v>8307933</v>
      </c>
      <c r="J513" s="15" t="s">
        <v>80</v>
      </c>
      <c r="K513" s="15" t="s">
        <v>81</v>
      </c>
      <c r="L513" s="15" t="str">
        <f>CONCATENATE(K513," ",J513)</f>
        <v>GREGORY TEIPEL</v>
      </c>
      <c r="M513" s="15" t="s">
        <v>57</v>
      </c>
      <c r="N513" s="16">
        <v>45449</v>
      </c>
      <c r="O513" s="16">
        <v>46087</v>
      </c>
      <c r="P513" s="24">
        <f>DATEDIF(N513,O513,"M")</f>
        <v>21</v>
      </c>
      <c r="Q513" s="24" t="s">
        <v>157</v>
      </c>
      <c r="R513" s="24" t="s">
        <v>1391</v>
      </c>
      <c r="S513" s="17">
        <v>40.07</v>
      </c>
      <c r="T513" s="18">
        <v>0.06</v>
      </c>
      <c r="U513" s="15" t="s">
        <v>157</v>
      </c>
      <c r="V513" s="15" t="s">
        <v>135</v>
      </c>
      <c r="W513" s="17">
        <v>2.4</v>
      </c>
    </row>
    <row r="514" spans="1:23" s="15" customFormat="1" x14ac:dyDescent="0.25">
      <c r="A514" s="15">
        <v>2023217694</v>
      </c>
      <c r="B514" s="15" t="s">
        <v>1185</v>
      </c>
      <c r="C514" s="15" t="s">
        <v>524</v>
      </c>
      <c r="D514" s="15" t="str">
        <f>CONCATENATE(C514," ",B514)</f>
        <v>STEPHANIE BAXTER</v>
      </c>
      <c r="E514" s="15" t="s">
        <v>780</v>
      </c>
      <c r="F514" s="15" t="s">
        <v>383</v>
      </c>
      <c r="G514" s="15" t="s">
        <v>385</v>
      </c>
      <c r="H514" s="15" t="s">
        <v>385</v>
      </c>
      <c r="I514" s="21">
        <v>8307933</v>
      </c>
      <c r="J514" s="15" t="s">
        <v>80</v>
      </c>
      <c r="K514" s="15" t="s">
        <v>81</v>
      </c>
      <c r="L514" s="15" t="str">
        <f>CONCATENATE(K514," ",J514)</f>
        <v>GREGORY TEIPEL</v>
      </c>
      <c r="M514" s="15" t="s">
        <v>57</v>
      </c>
      <c r="N514" s="16">
        <v>45449</v>
      </c>
      <c r="O514" s="16">
        <v>46087</v>
      </c>
      <c r="P514" s="24">
        <f>DATEDIF(N514,O514,"M")</f>
        <v>21</v>
      </c>
      <c r="Q514" s="24" t="s">
        <v>157</v>
      </c>
      <c r="R514" s="24" t="s">
        <v>1391</v>
      </c>
      <c r="S514" s="17">
        <v>29.42</v>
      </c>
      <c r="T514" s="18">
        <v>0.1</v>
      </c>
      <c r="U514" s="15" t="s">
        <v>157</v>
      </c>
      <c r="V514" s="15" t="s">
        <v>135</v>
      </c>
      <c r="W514" s="17">
        <v>2.94</v>
      </c>
    </row>
    <row r="515" spans="1:23" s="15" customFormat="1" x14ac:dyDescent="0.25">
      <c r="A515" s="15">
        <v>2022657266</v>
      </c>
      <c r="B515" s="15" t="s">
        <v>474</v>
      </c>
      <c r="C515" s="15" t="s">
        <v>475</v>
      </c>
      <c r="D515" s="15" t="str">
        <f>CONCATENATE(C515," ",B515)</f>
        <v>BONNIE CAFFEY</v>
      </c>
      <c r="E515" s="15" t="s">
        <v>90</v>
      </c>
      <c r="F515" s="15" t="s">
        <v>72</v>
      </c>
      <c r="G515" s="15" t="s">
        <v>93</v>
      </c>
      <c r="H515" s="15" t="s">
        <v>1332</v>
      </c>
      <c r="I515" s="21">
        <v>8307933</v>
      </c>
      <c r="J515" s="15" t="s">
        <v>80</v>
      </c>
      <c r="K515" s="15" t="s">
        <v>81</v>
      </c>
      <c r="L515" s="15" t="str">
        <f>CONCATENATE(K515," ",J515)</f>
        <v>GREGORY TEIPEL</v>
      </c>
      <c r="M515" s="15" t="s">
        <v>57</v>
      </c>
      <c r="N515" s="16">
        <v>45418</v>
      </c>
      <c r="O515" s="16">
        <v>46087</v>
      </c>
      <c r="P515" s="24">
        <f>DATEDIF(N515,O515,"M")</f>
        <v>22</v>
      </c>
      <c r="Q515" s="24" t="s">
        <v>157</v>
      </c>
      <c r="R515" s="24" t="s">
        <v>1391</v>
      </c>
      <c r="S515" s="17">
        <v>139.25</v>
      </c>
      <c r="T515" s="18">
        <v>0.1</v>
      </c>
      <c r="U515" s="15" t="s">
        <v>157</v>
      </c>
      <c r="V515" s="15" t="s">
        <v>135</v>
      </c>
      <c r="W515" s="17">
        <v>13.92</v>
      </c>
    </row>
    <row r="516" spans="1:23" s="15" customFormat="1" x14ac:dyDescent="0.25">
      <c r="A516" s="15">
        <v>2022807452</v>
      </c>
      <c r="B516" s="15" t="s">
        <v>1184</v>
      </c>
      <c r="C516" s="15" t="s">
        <v>240</v>
      </c>
      <c r="D516" s="15" t="str">
        <f>CONCATENATE(C516," ",B516)</f>
        <v>JOHN ZURAITIS</v>
      </c>
      <c r="E516" s="15" t="s">
        <v>66</v>
      </c>
      <c r="F516" s="15" t="s">
        <v>383</v>
      </c>
      <c r="G516" s="15" t="s">
        <v>384</v>
      </c>
      <c r="H516" s="15" t="s">
        <v>384</v>
      </c>
      <c r="I516" s="21">
        <v>8307933</v>
      </c>
      <c r="J516" s="15" t="s">
        <v>80</v>
      </c>
      <c r="K516" s="15" t="s">
        <v>81</v>
      </c>
      <c r="L516" s="15" t="str">
        <f>CONCATENATE(K516," ",J516)</f>
        <v>GREGORY TEIPEL</v>
      </c>
      <c r="M516" s="15" t="s">
        <v>57</v>
      </c>
      <c r="N516" s="16">
        <v>45418</v>
      </c>
      <c r="O516" s="16">
        <v>46087</v>
      </c>
      <c r="P516" s="24">
        <f>DATEDIF(N516,O516,"M")</f>
        <v>22</v>
      </c>
      <c r="Q516" s="24" t="s">
        <v>157</v>
      </c>
      <c r="R516" s="24" t="s">
        <v>1391</v>
      </c>
      <c r="S516" s="17">
        <v>148.27000000000001</v>
      </c>
      <c r="T516" s="18">
        <v>0.15</v>
      </c>
      <c r="U516" s="15" t="s">
        <v>157</v>
      </c>
      <c r="V516" s="15" t="s">
        <v>135</v>
      </c>
      <c r="W516" s="17">
        <v>22.24</v>
      </c>
    </row>
    <row r="517" spans="1:23" s="15" customFormat="1" x14ac:dyDescent="0.25">
      <c r="A517" s="15">
        <v>2022505612</v>
      </c>
      <c r="B517" s="15" t="s">
        <v>473</v>
      </c>
      <c r="C517" s="15" t="s">
        <v>174</v>
      </c>
      <c r="D517" s="15" t="str">
        <f>CONCATENATE(C517," ",B517)</f>
        <v>LARRY MORRISON</v>
      </c>
      <c r="E517" s="15" t="s">
        <v>112</v>
      </c>
      <c r="F517" s="15" t="s">
        <v>72</v>
      </c>
      <c r="G517" s="15" t="s">
        <v>93</v>
      </c>
      <c r="H517" s="15" t="s">
        <v>1332</v>
      </c>
      <c r="I517" s="21">
        <v>8307933</v>
      </c>
      <c r="J517" s="15" t="s">
        <v>80</v>
      </c>
      <c r="K517" s="15" t="s">
        <v>81</v>
      </c>
      <c r="L517" s="15" t="str">
        <f>CONCATENATE(K517," ",J517)</f>
        <v>GREGORY TEIPEL</v>
      </c>
      <c r="M517" s="15" t="s">
        <v>57</v>
      </c>
      <c r="N517" s="16">
        <v>45389</v>
      </c>
      <c r="O517" s="16">
        <v>46088</v>
      </c>
      <c r="P517" s="24">
        <f>DATEDIF(N517,O517,"M")</f>
        <v>23</v>
      </c>
      <c r="Q517" s="24" t="s">
        <v>157</v>
      </c>
      <c r="R517" s="24" t="s">
        <v>1391</v>
      </c>
      <c r="S517" s="17">
        <v>180.88</v>
      </c>
      <c r="T517" s="18">
        <v>0.1</v>
      </c>
      <c r="U517" s="15" t="s">
        <v>157</v>
      </c>
      <c r="V517" s="15" t="s">
        <v>135</v>
      </c>
      <c r="W517" s="17">
        <v>18.09</v>
      </c>
    </row>
    <row r="518" spans="1:23" s="15" customFormat="1" x14ac:dyDescent="0.25">
      <c r="A518" s="15">
        <v>2022623337</v>
      </c>
      <c r="B518" s="15" t="s">
        <v>1183</v>
      </c>
      <c r="C518" s="15" t="s">
        <v>65</v>
      </c>
      <c r="D518" s="15" t="str">
        <f>CONCATENATE(C518," ",B518)</f>
        <v>SCOTT OLSON</v>
      </c>
      <c r="E518" s="15" t="s">
        <v>66</v>
      </c>
      <c r="F518" s="15" t="s">
        <v>383</v>
      </c>
      <c r="G518" s="15" t="s">
        <v>384</v>
      </c>
      <c r="H518" s="15" t="s">
        <v>384</v>
      </c>
      <c r="I518" s="21">
        <v>8307933</v>
      </c>
      <c r="J518" s="15" t="s">
        <v>80</v>
      </c>
      <c r="K518" s="15" t="s">
        <v>81</v>
      </c>
      <c r="L518" s="15" t="str">
        <f>CONCATENATE(K518," ",J518)</f>
        <v>GREGORY TEIPEL</v>
      </c>
      <c r="M518" s="15" t="s">
        <v>57</v>
      </c>
      <c r="N518" s="16">
        <v>45392</v>
      </c>
      <c r="O518" s="16">
        <v>46091</v>
      </c>
      <c r="P518" s="24">
        <f>DATEDIF(N518,O518,"M")</f>
        <v>23</v>
      </c>
      <c r="Q518" s="24" t="s">
        <v>157</v>
      </c>
      <c r="R518" s="24" t="s">
        <v>1391</v>
      </c>
      <c r="S518" s="17">
        <v>388.92</v>
      </c>
      <c r="T518" s="18">
        <v>0.15</v>
      </c>
      <c r="U518" s="15" t="s">
        <v>157</v>
      </c>
      <c r="V518" s="15" t="s">
        <v>135</v>
      </c>
      <c r="W518" s="17">
        <v>58.34</v>
      </c>
    </row>
    <row r="519" spans="1:23" s="15" customFormat="1" x14ac:dyDescent="0.25">
      <c r="A519" s="15">
        <v>2021785654</v>
      </c>
      <c r="B519" s="15" t="s">
        <v>1053</v>
      </c>
      <c r="C519" s="15" t="s">
        <v>234</v>
      </c>
      <c r="D519" s="15" t="str">
        <f>CONCATENATE(C519," ",B519)</f>
        <v>DIANE MORRIS</v>
      </c>
      <c r="E519" s="15" t="s">
        <v>90</v>
      </c>
      <c r="F519" s="15" t="s">
        <v>383</v>
      </c>
      <c r="G519" s="15" t="s">
        <v>384</v>
      </c>
      <c r="H519" s="15" t="s">
        <v>384</v>
      </c>
      <c r="I519" s="21">
        <v>8307933</v>
      </c>
      <c r="J519" s="15" t="s">
        <v>80</v>
      </c>
      <c r="K519" s="15" t="s">
        <v>81</v>
      </c>
      <c r="L519" s="15" t="str">
        <f>CONCATENATE(K519," ",J519)</f>
        <v>GREGORY TEIPEL</v>
      </c>
      <c r="M519" s="15" t="s">
        <v>57</v>
      </c>
      <c r="N519" s="16">
        <v>45357</v>
      </c>
      <c r="O519" s="16">
        <v>46087</v>
      </c>
      <c r="P519" s="24">
        <f>DATEDIF(N519,O519,"M")</f>
        <v>24</v>
      </c>
      <c r="Q519" s="24" t="s">
        <v>157</v>
      </c>
      <c r="R519" s="24" t="s">
        <v>1391</v>
      </c>
      <c r="S519" s="17">
        <v>67</v>
      </c>
      <c r="T519" s="18">
        <v>0.15</v>
      </c>
      <c r="U519" s="15" t="s">
        <v>157</v>
      </c>
      <c r="V519" s="15" t="s">
        <v>135</v>
      </c>
      <c r="W519" s="17">
        <v>10.050000000000001</v>
      </c>
    </row>
    <row r="520" spans="1:23" s="15" customFormat="1" x14ac:dyDescent="0.25">
      <c r="A520" s="15">
        <v>2021281141</v>
      </c>
      <c r="B520" s="15" t="s">
        <v>471</v>
      </c>
      <c r="C520" s="15" t="s">
        <v>472</v>
      </c>
      <c r="D520" s="15" t="str">
        <f>CONCATENATE(C520," ",B520)</f>
        <v>ANGELIA JACKSON</v>
      </c>
      <c r="E520" s="15" t="s">
        <v>237</v>
      </c>
      <c r="F520" s="15" t="s">
        <v>72</v>
      </c>
      <c r="G520" s="15" t="s">
        <v>93</v>
      </c>
      <c r="H520" s="15" t="s">
        <v>1332</v>
      </c>
      <c r="I520" s="21">
        <v>8307933</v>
      </c>
      <c r="J520" s="15" t="s">
        <v>80</v>
      </c>
      <c r="K520" s="15" t="s">
        <v>81</v>
      </c>
      <c r="L520" s="15" t="str">
        <f>CONCATENATE(K520," ",J520)</f>
        <v>GREGORY TEIPEL</v>
      </c>
      <c r="M520" s="15" t="s">
        <v>57</v>
      </c>
      <c r="N520" s="16">
        <v>45323</v>
      </c>
      <c r="O520" s="16">
        <v>46082</v>
      </c>
      <c r="P520" s="24">
        <f>DATEDIF(N520,O520,"M")</f>
        <v>25</v>
      </c>
      <c r="Q520" s="24" t="s">
        <v>157</v>
      </c>
      <c r="R520" s="24" t="s">
        <v>1391</v>
      </c>
      <c r="S520" s="17">
        <v>78.27</v>
      </c>
      <c r="T520" s="18">
        <v>0.1</v>
      </c>
      <c r="U520" s="15" t="s">
        <v>157</v>
      </c>
      <c r="V520" s="15" t="s">
        <v>135</v>
      </c>
      <c r="W520" s="17">
        <v>7.83</v>
      </c>
    </row>
    <row r="521" spans="1:23" s="15" customFormat="1" x14ac:dyDescent="0.25">
      <c r="A521" s="15">
        <v>2021092886</v>
      </c>
      <c r="B521" s="15" t="s">
        <v>469</v>
      </c>
      <c r="C521" s="15" t="s">
        <v>470</v>
      </c>
      <c r="D521" s="15" t="str">
        <f>CONCATENATE(C521," ",B521)</f>
        <v>LUCINDA PENA</v>
      </c>
      <c r="E521" s="15" t="s">
        <v>90</v>
      </c>
      <c r="F521" s="15" t="s">
        <v>72</v>
      </c>
      <c r="G521" s="15" t="s">
        <v>93</v>
      </c>
      <c r="H521" s="15" t="s">
        <v>1332</v>
      </c>
      <c r="I521" s="21">
        <v>8307933</v>
      </c>
      <c r="J521" s="15" t="s">
        <v>80</v>
      </c>
      <c r="K521" s="15" t="s">
        <v>81</v>
      </c>
      <c r="L521" s="15" t="str">
        <f>CONCATENATE(K521," ",J521)</f>
        <v>GREGORY TEIPEL</v>
      </c>
      <c r="M521" s="15" t="s">
        <v>57</v>
      </c>
      <c r="N521" s="16">
        <v>45295</v>
      </c>
      <c r="O521" s="16">
        <v>46085</v>
      </c>
      <c r="P521" s="24">
        <f>DATEDIF(N521,O521,"M")</f>
        <v>26</v>
      </c>
      <c r="Q521" s="24" t="s">
        <v>157</v>
      </c>
      <c r="R521" s="24" t="s">
        <v>1391</v>
      </c>
      <c r="S521" s="17">
        <v>167.21</v>
      </c>
      <c r="T521" s="18">
        <v>0.1</v>
      </c>
      <c r="U521" s="15" t="s">
        <v>157</v>
      </c>
      <c r="V521" s="15" t="s">
        <v>135</v>
      </c>
      <c r="W521" s="17">
        <v>16.72</v>
      </c>
    </row>
    <row r="522" spans="1:23" s="15" customFormat="1" x14ac:dyDescent="0.25">
      <c r="A522" s="15">
        <v>2021092887</v>
      </c>
      <c r="B522" s="15" t="s">
        <v>469</v>
      </c>
      <c r="C522" s="15" t="s">
        <v>470</v>
      </c>
      <c r="D522" s="15" t="str">
        <f>CONCATENATE(C522," ",B522)</f>
        <v>LUCINDA PENA</v>
      </c>
      <c r="E522" s="15" t="s">
        <v>90</v>
      </c>
      <c r="F522" s="15" t="s">
        <v>383</v>
      </c>
      <c r="G522" s="15" t="s">
        <v>385</v>
      </c>
      <c r="H522" s="15" t="s">
        <v>385</v>
      </c>
      <c r="I522" s="21">
        <v>8307933</v>
      </c>
      <c r="J522" s="15" t="s">
        <v>80</v>
      </c>
      <c r="K522" s="15" t="s">
        <v>81</v>
      </c>
      <c r="L522" s="15" t="str">
        <f>CONCATENATE(K522," ",J522)</f>
        <v>GREGORY TEIPEL</v>
      </c>
      <c r="M522" s="15" t="s">
        <v>57</v>
      </c>
      <c r="N522" s="16">
        <v>45295</v>
      </c>
      <c r="O522" s="16">
        <v>46085</v>
      </c>
      <c r="P522" s="24">
        <f>DATEDIF(N522,O522,"M")</f>
        <v>26</v>
      </c>
      <c r="Q522" s="24" t="s">
        <v>157</v>
      </c>
      <c r="R522" s="24" t="s">
        <v>1391</v>
      </c>
      <c r="S522" s="17">
        <v>32.58</v>
      </c>
      <c r="T522" s="18">
        <v>0.1</v>
      </c>
      <c r="U522" s="15" t="s">
        <v>157</v>
      </c>
      <c r="V522" s="15" t="s">
        <v>135</v>
      </c>
      <c r="W522" s="17">
        <v>3.26</v>
      </c>
    </row>
    <row r="523" spans="1:23" s="15" customFormat="1" x14ac:dyDescent="0.25">
      <c r="A523" s="15">
        <v>2019484024</v>
      </c>
      <c r="B523" s="15" t="s">
        <v>465</v>
      </c>
      <c r="C523" s="15" t="s">
        <v>466</v>
      </c>
      <c r="D523" s="15" t="str">
        <f>CONCATENATE(C523," ",B523)</f>
        <v>BRYAN TREHERN</v>
      </c>
      <c r="E523" s="15" t="s">
        <v>112</v>
      </c>
      <c r="F523" s="15" t="s">
        <v>72</v>
      </c>
      <c r="G523" s="15" t="s">
        <v>93</v>
      </c>
      <c r="H523" s="15" t="s">
        <v>1332</v>
      </c>
      <c r="I523" s="21">
        <v>8307933</v>
      </c>
      <c r="J523" s="15" t="s">
        <v>80</v>
      </c>
      <c r="K523" s="15" t="s">
        <v>81</v>
      </c>
      <c r="L523" s="15" t="str">
        <f>CONCATENATE(K523," ",J523)</f>
        <v>GREGORY TEIPEL</v>
      </c>
      <c r="M523" s="15" t="s">
        <v>57</v>
      </c>
      <c r="N523" s="16">
        <v>45144</v>
      </c>
      <c r="O523" s="16">
        <v>46087</v>
      </c>
      <c r="P523" s="24">
        <f>DATEDIF(N523,O523,"M")</f>
        <v>31</v>
      </c>
      <c r="Q523" s="24" t="s">
        <v>157</v>
      </c>
      <c r="R523" s="24" t="s">
        <v>1391</v>
      </c>
      <c r="S523" s="17">
        <v>141.33000000000001</v>
      </c>
      <c r="T523" s="18">
        <v>0.1</v>
      </c>
      <c r="U523" s="15" t="s">
        <v>157</v>
      </c>
      <c r="V523" s="15" t="s">
        <v>135</v>
      </c>
      <c r="W523" s="17">
        <v>14.13</v>
      </c>
    </row>
    <row r="524" spans="1:23" s="15" customFormat="1" x14ac:dyDescent="0.25">
      <c r="A524" s="15">
        <v>2019638944</v>
      </c>
      <c r="B524" s="15" t="s">
        <v>626</v>
      </c>
      <c r="C524" s="15" t="s">
        <v>263</v>
      </c>
      <c r="D524" s="15" t="str">
        <f>CONCATENATE(C524," ",B524)</f>
        <v>MARK PHILLIPS</v>
      </c>
      <c r="E524" s="15" t="s">
        <v>78</v>
      </c>
      <c r="F524" s="15" t="s">
        <v>363</v>
      </c>
      <c r="G524" s="15" t="s">
        <v>364</v>
      </c>
      <c r="H524" s="15" t="s">
        <v>364</v>
      </c>
      <c r="I524" s="21">
        <v>8307933</v>
      </c>
      <c r="J524" s="15" t="s">
        <v>80</v>
      </c>
      <c r="K524" s="15" t="s">
        <v>81</v>
      </c>
      <c r="L524" s="15" t="str">
        <f>CONCATENATE(K524," ",J524)</f>
        <v>GREGORY TEIPEL</v>
      </c>
      <c r="M524" s="15" t="s">
        <v>57</v>
      </c>
      <c r="N524" s="16">
        <v>45146</v>
      </c>
      <c r="O524" s="16">
        <v>46089</v>
      </c>
      <c r="P524" s="24">
        <f>DATEDIF(N524,O524,"M")</f>
        <v>31</v>
      </c>
      <c r="Q524" s="24" t="s">
        <v>157</v>
      </c>
      <c r="R524" s="24" t="s">
        <v>1391</v>
      </c>
      <c r="S524" s="17">
        <v>40.07</v>
      </c>
      <c r="T524" s="18">
        <v>0.06</v>
      </c>
      <c r="U524" s="15" t="s">
        <v>157</v>
      </c>
      <c r="V524" s="15" t="s">
        <v>135</v>
      </c>
      <c r="W524" s="17">
        <v>2.4</v>
      </c>
    </row>
    <row r="525" spans="1:23" s="15" customFormat="1" x14ac:dyDescent="0.25">
      <c r="A525" s="15">
        <v>2019110193</v>
      </c>
      <c r="B525" s="15" t="s">
        <v>463</v>
      </c>
      <c r="C525" s="15" t="s">
        <v>464</v>
      </c>
      <c r="D525" s="15" t="str">
        <f>CONCATENATE(C525," ",B525)</f>
        <v>TAYLOR DICKEY</v>
      </c>
      <c r="E525" s="15" t="s">
        <v>353</v>
      </c>
      <c r="F525" s="15" t="s">
        <v>383</v>
      </c>
      <c r="G525" s="15" t="s">
        <v>1172</v>
      </c>
      <c r="H525" s="15" t="s">
        <v>1172</v>
      </c>
      <c r="I525" s="21">
        <v>8307933</v>
      </c>
      <c r="J525" s="15" t="s">
        <v>80</v>
      </c>
      <c r="K525" s="15" t="s">
        <v>81</v>
      </c>
      <c r="L525" s="15" t="str">
        <f>CONCATENATE(K525," ",J525)</f>
        <v>GREGORY TEIPEL</v>
      </c>
      <c r="M525" s="15" t="s">
        <v>57</v>
      </c>
      <c r="N525" s="16">
        <v>45112</v>
      </c>
      <c r="O525" s="16">
        <v>46086</v>
      </c>
      <c r="P525" s="24">
        <f>DATEDIF(N525,O525,"M")</f>
        <v>32</v>
      </c>
      <c r="Q525" s="24" t="s">
        <v>157</v>
      </c>
      <c r="R525" s="24" t="s">
        <v>1391</v>
      </c>
      <c r="S525" s="17">
        <v>-10.54</v>
      </c>
      <c r="T525" s="18">
        <v>0.15</v>
      </c>
      <c r="U525" s="15" t="s">
        <v>157</v>
      </c>
      <c r="V525" s="15" t="s">
        <v>135</v>
      </c>
      <c r="W525" s="17">
        <v>-1.58</v>
      </c>
    </row>
    <row r="526" spans="1:23" s="15" customFormat="1" x14ac:dyDescent="0.25">
      <c r="A526" s="15">
        <v>2019110192</v>
      </c>
      <c r="B526" s="15" t="s">
        <v>463</v>
      </c>
      <c r="C526" s="15" t="s">
        <v>464</v>
      </c>
      <c r="D526" s="15" t="str">
        <f>CONCATENATE(C526," ",B526)</f>
        <v>TAYLOR DICKEY</v>
      </c>
      <c r="E526" s="15" t="s">
        <v>353</v>
      </c>
      <c r="F526" s="15" t="s">
        <v>72</v>
      </c>
      <c r="G526" s="15" t="s">
        <v>93</v>
      </c>
      <c r="H526" s="15" t="s">
        <v>1332</v>
      </c>
      <c r="I526" s="21">
        <v>8307933</v>
      </c>
      <c r="J526" s="15" t="s">
        <v>80</v>
      </c>
      <c r="K526" s="15" t="s">
        <v>81</v>
      </c>
      <c r="L526" s="15" t="str">
        <f>CONCATENATE(K526," ",J526)</f>
        <v>GREGORY TEIPEL</v>
      </c>
      <c r="M526" s="15" t="s">
        <v>57</v>
      </c>
      <c r="N526" s="16">
        <v>45112</v>
      </c>
      <c r="O526" s="16">
        <v>46086</v>
      </c>
      <c r="P526" s="24">
        <f>DATEDIF(N526,O526,"M")</f>
        <v>32</v>
      </c>
      <c r="Q526" s="24" t="s">
        <v>157</v>
      </c>
      <c r="R526" s="24" t="s">
        <v>1391</v>
      </c>
      <c r="S526" s="17">
        <v>-48.91</v>
      </c>
      <c r="T526" s="18">
        <v>0.1</v>
      </c>
      <c r="U526" s="15" t="s">
        <v>157</v>
      </c>
      <c r="V526" s="15" t="s">
        <v>135</v>
      </c>
      <c r="W526" s="17">
        <v>-4.8899999999999997</v>
      </c>
    </row>
    <row r="527" spans="1:23" s="15" customFormat="1" x14ac:dyDescent="0.25">
      <c r="A527" s="15">
        <v>2019319907</v>
      </c>
      <c r="B527" s="15" t="s">
        <v>1180</v>
      </c>
      <c r="C527" s="15" t="s">
        <v>711</v>
      </c>
      <c r="D527" s="15" t="str">
        <f>CONCATENATE(C527," ",B527)</f>
        <v>CONNIE HAZEN</v>
      </c>
      <c r="E527" s="15" t="s">
        <v>96</v>
      </c>
      <c r="F527" s="15" t="s">
        <v>383</v>
      </c>
      <c r="G527" s="15" t="s">
        <v>385</v>
      </c>
      <c r="H527" s="15" t="s">
        <v>385</v>
      </c>
      <c r="I527" s="21">
        <v>8307933</v>
      </c>
      <c r="J527" s="15" t="s">
        <v>80</v>
      </c>
      <c r="K527" s="15" t="s">
        <v>81</v>
      </c>
      <c r="L527" s="15" t="str">
        <f>CONCATENATE(K527," ",J527)</f>
        <v>GREGORY TEIPEL</v>
      </c>
      <c r="M527" s="15" t="s">
        <v>57</v>
      </c>
      <c r="N527" s="16">
        <v>45118</v>
      </c>
      <c r="O527" s="16">
        <v>46092</v>
      </c>
      <c r="P527" s="24">
        <f>DATEDIF(N527,O527,"M")</f>
        <v>32</v>
      </c>
      <c r="Q527" s="24" t="s">
        <v>157</v>
      </c>
      <c r="R527" s="24" t="s">
        <v>1391</v>
      </c>
      <c r="S527" s="17">
        <v>32.58</v>
      </c>
      <c r="T527" s="18">
        <v>0.1</v>
      </c>
      <c r="U527" s="15" t="s">
        <v>157</v>
      </c>
      <c r="V527" s="15" t="s">
        <v>135</v>
      </c>
      <c r="W527" s="17">
        <v>3.26</v>
      </c>
    </row>
    <row r="528" spans="1:23" s="15" customFormat="1" x14ac:dyDescent="0.25">
      <c r="A528" s="15">
        <v>2018462892</v>
      </c>
      <c r="B528" s="15" t="s">
        <v>461</v>
      </c>
      <c r="C528" s="15" t="s">
        <v>462</v>
      </c>
      <c r="D528" s="15" t="str">
        <f>CONCATENATE(C528," ",B528)</f>
        <v>TANYA LINSLEY</v>
      </c>
      <c r="E528" s="15" t="s">
        <v>90</v>
      </c>
      <c r="F528" s="15" t="s">
        <v>383</v>
      </c>
      <c r="G528" s="15" t="s">
        <v>1172</v>
      </c>
      <c r="H528" s="15" t="s">
        <v>1172</v>
      </c>
      <c r="I528" s="21">
        <v>8307933</v>
      </c>
      <c r="J528" s="15" t="s">
        <v>80</v>
      </c>
      <c r="K528" s="15" t="s">
        <v>81</v>
      </c>
      <c r="L528" s="15" t="str">
        <f>CONCATENATE(K528," ",J528)</f>
        <v>GREGORY TEIPEL</v>
      </c>
      <c r="M528" s="15" t="s">
        <v>57</v>
      </c>
      <c r="N528" s="16">
        <v>45052</v>
      </c>
      <c r="O528" s="16">
        <v>46087</v>
      </c>
      <c r="P528" s="24">
        <f>DATEDIF(N528,O528,"M")</f>
        <v>34</v>
      </c>
      <c r="Q528" s="24" t="s">
        <v>157</v>
      </c>
      <c r="R528" s="24" t="s">
        <v>1391</v>
      </c>
      <c r="S528" s="17">
        <v>51.46</v>
      </c>
      <c r="T528" s="18">
        <v>0.15</v>
      </c>
      <c r="U528" s="15" t="s">
        <v>157</v>
      </c>
      <c r="V528" s="15" t="s">
        <v>135</v>
      </c>
      <c r="W528" s="17">
        <v>7.72</v>
      </c>
    </row>
    <row r="529" spans="1:55" s="15" customFormat="1" x14ac:dyDescent="0.25">
      <c r="A529" s="15">
        <v>2018365034</v>
      </c>
      <c r="B529" s="15" t="s">
        <v>459</v>
      </c>
      <c r="C529" s="15" t="s">
        <v>460</v>
      </c>
      <c r="D529" s="15" t="str">
        <f>CONCATENATE(C529," ",B529)</f>
        <v>KENNETH WHITTAKER</v>
      </c>
      <c r="E529" s="15" t="s">
        <v>66</v>
      </c>
      <c r="F529" s="15" t="s">
        <v>72</v>
      </c>
      <c r="G529" s="15" t="s">
        <v>79</v>
      </c>
      <c r="H529" s="15" t="s">
        <v>1329</v>
      </c>
      <c r="I529" s="21">
        <v>8307933</v>
      </c>
      <c r="J529" s="15" t="s">
        <v>80</v>
      </c>
      <c r="K529" s="15" t="s">
        <v>81</v>
      </c>
      <c r="L529" s="15" t="str">
        <f>CONCATENATE(K529," ",J529)</f>
        <v>GREGORY TEIPEL</v>
      </c>
      <c r="M529" s="15" t="s">
        <v>57</v>
      </c>
      <c r="N529" s="16">
        <v>45054</v>
      </c>
      <c r="O529" s="16">
        <v>46089</v>
      </c>
      <c r="P529" s="24">
        <f>DATEDIF(N529,O529,"M")</f>
        <v>34</v>
      </c>
      <c r="Q529" s="24" t="s">
        <v>157</v>
      </c>
      <c r="R529" s="24" t="s">
        <v>1391</v>
      </c>
      <c r="S529" s="17">
        <v>171.06</v>
      </c>
      <c r="T529" s="18">
        <v>0.1</v>
      </c>
      <c r="U529" s="15" t="s">
        <v>157</v>
      </c>
      <c r="V529" s="15" t="s">
        <v>135</v>
      </c>
      <c r="W529" s="17">
        <v>17.11</v>
      </c>
    </row>
    <row r="530" spans="1:55" s="15" customFormat="1" x14ac:dyDescent="0.25">
      <c r="A530" s="15">
        <v>2018462891</v>
      </c>
      <c r="B530" s="15" t="s">
        <v>461</v>
      </c>
      <c r="C530" s="15" t="s">
        <v>462</v>
      </c>
      <c r="D530" s="15" t="str">
        <f>CONCATENATE(C530," ",B530)</f>
        <v>TANYA LINSLEY</v>
      </c>
      <c r="E530" s="15" t="s">
        <v>90</v>
      </c>
      <c r="F530" s="15" t="s">
        <v>72</v>
      </c>
      <c r="G530" s="15" t="s">
        <v>93</v>
      </c>
      <c r="H530" s="15" t="s">
        <v>1332</v>
      </c>
      <c r="I530" s="21">
        <v>8307933</v>
      </c>
      <c r="J530" s="15" t="s">
        <v>80</v>
      </c>
      <c r="K530" s="15" t="s">
        <v>81</v>
      </c>
      <c r="L530" s="15" t="str">
        <f>CONCATENATE(K530," ",J530)</f>
        <v>GREGORY TEIPEL</v>
      </c>
      <c r="M530" s="15" t="s">
        <v>57</v>
      </c>
      <c r="N530" s="16">
        <v>45052</v>
      </c>
      <c r="O530" s="16">
        <v>46087</v>
      </c>
      <c r="P530" s="24">
        <f>DATEDIF(N530,O530,"M")</f>
        <v>34</v>
      </c>
      <c r="Q530" s="24" t="s">
        <v>157</v>
      </c>
      <c r="R530" s="24" t="s">
        <v>1391</v>
      </c>
      <c r="S530" s="17">
        <v>213.41</v>
      </c>
      <c r="T530" s="18">
        <v>0.1</v>
      </c>
      <c r="U530" s="15" t="s">
        <v>157</v>
      </c>
      <c r="V530" s="15" t="s">
        <v>135</v>
      </c>
      <c r="W530" s="17">
        <v>21.34</v>
      </c>
    </row>
    <row r="531" spans="1:55" s="15" customFormat="1" x14ac:dyDescent="0.25">
      <c r="A531" s="15">
        <v>2018167734</v>
      </c>
      <c r="B531" s="15" t="s">
        <v>456</v>
      </c>
      <c r="C531" s="15" t="s">
        <v>457</v>
      </c>
      <c r="D531" s="15" t="str">
        <f>CONCATENATE(C531," ",B531)</f>
        <v>MICHELLE BROTTEN</v>
      </c>
      <c r="E531" s="15" t="s">
        <v>458</v>
      </c>
      <c r="F531" s="15" t="s">
        <v>72</v>
      </c>
      <c r="G531" s="15" t="s">
        <v>79</v>
      </c>
      <c r="H531" s="15" t="s">
        <v>1329</v>
      </c>
      <c r="I531" s="21">
        <v>8307933</v>
      </c>
      <c r="J531" s="15" t="s">
        <v>80</v>
      </c>
      <c r="K531" s="15" t="s">
        <v>81</v>
      </c>
      <c r="L531" s="15" t="str">
        <f>CONCATENATE(K531," ",J531)</f>
        <v>GREGORY TEIPEL</v>
      </c>
      <c r="M531" s="15" t="s">
        <v>57</v>
      </c>
      <c r="N531" s="16">
        <v>45024</v>
      </c>
      <c r="O531" s="16">
        <v>46089</v>
      </c>
      <c r="P531" s="24">
        <f>DATEDIF(N531,O531,"M")</f>
        <v>35</v>
      </c>
      <c r="Q531" s="24" t="s">
        <v>157</v>
      </c>
      <c r="R531" s="24" t="s">
        <v>1391</v>
      </c>
      <c r="S531" s="17">
        <v>64.05</v>
      </c>
      <c r="T531" s="18">
        <v>0.1</v>
      </c>
      <c r="U531" s="15" t="s">
        <v>157</v>
      </c>
      <c r="V531" s="15" t="s">
        <v>135</v>
      </c>
      <c r="W531" s="17">
        <v>6.4</v>
      </c>
    </row>
    <row r="532" spans="1:55" s="15" customFormat="1" x14ac:dyDescent="0.25">
      <c r="A532" s="15">
        <v>2018091396</v>
      </c>
      <c r="B532" s="15" t="s">
        <v>1175</v>
      </c>
      <c r="C532" s="15" t="s">
        <v>1176</v>
      </c>
      <c r="D532" s="15" t="str">
        <f>CONCATENATE(C532," ",B532)</f>
        <v>BRENDA RICHARDSON</v>
      </c>
      <c r="E532" s="15" t="s">
        <v>112</v>
      </c>
      <c r="F532" s="15" t="s">
        <v>383</v>
      </c>
      <c r="G532" s="15" t="s">
        <v>385</v>
      </c>
      <c r="H532" s="15" t="s">
        <v>385</v>
      </c>
      <c r="I532" s="21">
        <v>8307933</v>
      </c>
      <c r="J532" s="15" t="s">
        <v>80</v>
      </c>
      <c r="K532" s="15" t="s">
        <v>81</v>
      </c>
      <c r="L532" s="15" t="str">
        <f>CONCATENATE(K532," ",J532)</f>
        <v>GREGORY TEIPEL</v>
      </c>
      <c r="M532" s="15" t="s">
        <v>57</v>
      </c>
      <c r="N532" s="16">
        <v>45022</v>
      </c>
      <c r="O532" s="16">
        <v>46087</v>
      </c>
      <c r="P532" s="24">
        <f>DATEDIF(N532,O532,"M")</f>
        <v>35</v>
      </c>
      <c r="Q532" s="24" t="s">
        <v>157</v>
      </c>
      <c r="R532" s="24" t="s">
        <v>1391</v>
      </c>
      <c r="S532" s="17">
        <v>164.06</v>
      </c>
      <c r="T532" s="18">
        <v>0.1</v>
      </c>
      <c r="U532" s="15" t="s">
        <v>157</v>
      </c>
      <c r="V532" s="15" t="s">
        <v>135</v>
      </c>
      <c r="W532" s="17">
        <v>16.41</v>
      </c>
    </row>
    <row r="533" spans="1:55" s="15" customFormat="1" x14ac:dyDescent="0.25">
      <c r="A533" s="15">
        <v>2018167735</v>
      </c>
      <c r="B533" s="15" t="s">
        <v>456</v>
      </c>
      <c r="C533" s="15" t="s">
        <v>457</v>
      </c>
      <c r="D533" s="15" t="str">
        <f>CONCATENATE(C533," ",B533)</f>
        <v>MICHELLE BROTTEN</v>
      </c>
      <c r="E533" s="15" t="s">
        <v>458</v>
      </c>
      <c r="F533" s="15" t="s">
        <v>383</v>
      </c>
      <c r="G533" s="15" t="s">
        <v>385</v>
      </c>
      <c r="H533" s="15" t="s">
        <v>385</v>
      </c>
      <c r="I533" s="21">
        <v>8307933</v>
      </c>
      <c r="J533" s="15" t="s">
        <v>80</v>
      </c>
      <c r="K533" s="15" t="s">
        <v>81</v>
      </c>
      <c r="L533" s="15" t="str">
        <f>CONCATENATE(K533," ",J533)</f>
        <v>GREGORY TEIPEL</v>
      </c>
      <c r="M533" s="15" t="s">
        <v>57</v>
      </c>
      <c r="N533" s="16">
        <v>45024</v>
      </c>
      <c r="O533" s="16">
        <v>46089</v>
      </c>
      <c r="P533" s="24">
        <f>DATEDIF(N533,O533,"M")</f>
        <v>35</v>
      </c>
      <c r="Q533" s="24" t="s">
        <v>157</v>
      </c>
      <c r="R533" s="24" t="s">
        <v>1391</v>
      </c>
      <c r="S533" s="17">
        <v>75.44</v>
      </c>
      <c r="T533" s="18">
        <v>0.1</v>
      </c>
      <c r="U533" s="15" t="s">
        <v>157</v>
      </c>
      <c r="V533" s="15" t="s">
        <v>135</v>
      </c>
      <c r="W533" s="17">
        <v>7.54</v>
      </c>
    </row>
    <row r="534" spans="1:55" s="15" customFormat="1" x14ac:dyDescent="0.25">
      <c r="A534" s="15">
        <v>2031581263</v>
      </c>
      <c r="B534" s="15" t="s">
        <v>584</v>
      </c>
      <c r="C534" s="15" t="s">
        <v>585</v>
      </c>
      <c r="D534" s="15" t="str">
        <f>CONCATENATE(C534," ",B534)</f>
        <v>SETH PAGET</v>
      </c>
      <c r="E534" s="15" t="s">
        <v>397</v>
      </c>
      <c r="F534" s="15" t="s">
        <v>130</v>
      </c>
      <c r="G534" s="15" t="s">
        <v>148</v>
      </c>
      <c r="H534" s="15" t="s">
        <v>148</v>
      </c>
      <c r="I534" s="21">
        <v>8046194</v>
      </c>
      <c r="J534" s="15" t="s">
        <v>586</v>
      </c>
      <c r="K534" s="15" t="s">
        <v>587</v>
      </c>
      <c r="L534" s="15" t="str">
        <f>CONCATENATE(K534," ",J534)</f>
        <v>H Allan</v>
      </c>
      <c r="M534" s="15" t="s">
        <v>57</v>
      </c>
      <c r="N534" s="16">
        <v>45942</v>
      </c>
      <c r="O534" s="16">
        <v>46093</v>
      </c>
      <c r="P534" s="24">
        <f>DATEDIF(N534,O534,"M")</f>
        <v>5</v>
      </c>
      <c r="Q534" s="24" t="s">
        <v>157</v>
      </c>
      <c r="R534" s="24" t="s">
        <v>1391</v>
      </c>
      <c r="S534" s="17">
        <v>285.18</v>
      </c>
      <c r="T534" s="18">
        <v>0.28999999999999998</v>
      </c>
      <c r="U534" s="15" t="s">
        <v>60</v>
      </c>
      <c r="V534" s="15" t="s">
        <v>135</v>
      </c>
      <c r="W534" s="17">
        <v>82.7</v>
      </c>
    </row>
    <row r="535" spans="1:55" s="15" customFormat="1" x14ac:dyDescent="0.25">
      <c r="A535" s="15">
        <v>2031581265</v>
      </c>
      <c r="B535" s="15" t="s">
        <v>584</v>
      </c>
      <c r="C535" s="15" t="s">
        <v>585</v>
      </c>
      <c r="D535" s="15" t="str">
        <f>CONCATENATE(C535," ",B535)</f>
        <v>SETH PAGET</v>
      </c>
      <c r="E535" s="15" t="s">
        <v>397</v>
      </c>
      <c r="F535" s="15" t="s">
        <v>350</v>
      </c>
      <c r="G535" s="15" t="s">
        <v>574</v>
      </c>
      <c r="H535" s="15" t="s">
        <v>148</v>
      </c>
      <c r="I535" s="21">
        <v>8046194</v>
      </c>
      <c r="J535" s="15" t="s">
        <v>586</v>
      </c>
      <c r="K535" s="15" t="s">
        <v>587</v>
      </c>
      <c r="L535" s="15" t="str">
        <f>CONCATENATE(K535," ",J535)</f>
        <v>H Allan</v>
      </c>
      <c r="M535" s="15" t="s">
        <v>57</v>
      </c>
      <c r="N535" s="16">
        <v>45942</v>
      </c>
      <c r="O535" s="16">
        <v>46093</v>
      </c>
      <c r="P535" s="24">
        <f>DATEDIF(N535,O535,"M")</f>
        <v>5</v>
      </c>
      <c r="Q535" s="24" t="s">
        <v>157</v>
      </c>
      <c r="R535" s="24" t="s">
        <v>1391</v>
      </c>
      <c r="S535" s="17">
        <v>15</v>
      </c>
      <c r="T535" s="18">
        <v>0.28999999999999998</v>
      </c>
      <c r="U535" s="15" t="s">
        <v>60</v>
      </c>
      <c r="V535" s="15" t="s">
        <v>135</v>
      </c>
      <c r="W535" s="17">
        <v>4.3499999999999996</v>
      </c>
    </row>
    <row r="536" spans="1:55" s="15" customFormat="1" x14ac:dyDescent="0.25">
      <c r="A536" s="15">
        <v>2031581264</v>
      </c>
      <c r="B536" s="15" t="s">
        <v>584</v>
      </c>
      <c r="C536" s="15" t="s">
        <v>585</v>
      </c>
      <c r="D536" s="15" t="str">
        <f>CONCATENATE(C536," ",B536)</f>
        <v>SETH PAGET</v>
      </c>
      <c r="E536" s="15" t="s">
        <v>397</v>
      </c>
      <c r="F536" s="15" t="s">
        <v>130</v>
      </c>
      <c r="G536" s="15" t="s">
        <v>978</v>
      </c>
      <c r="H536" s="15" t="s">
        <v>148</v>
      </c>
      <c r="I536" s="21">
        <v>8046194</v>
      </c>
      <c r="J536" s="15" t="s">
        <v>586</v>
      </c>
      <c r="K536" s="15" t="s">
        <v>587</v>
      </c>
      <c r="L536" s="15" t="str">
        <f>CONCATENATE(K536," ",J536)</f>
        <v>H Allan</v>
      </c>
      <c r="M536" s="15" t="s">
        <v>57</v>
      </c>
      <c r="N536" s="16">
        <v>45942</v>
      </c>
      <c r="O536" s="16">
        <v>46093</v>
      </c>
      <c r="P536" s="24">
        <f>DATEDIF(N536,O536,"M")</f>
        <v>5</v>
      </c>
      <c r="Q536" s="24" t="s">
        <v>157</v>
      </c>
      <c r="R536" s="24" t="s">
        <v>1391</v>
      </c>
      <c r="S536" s="17">
        <v>9.9499999999999993</v>
      </c>
      <c r="T536" s="18">
        <v>0.28999999999999998</v>
      </c>
      <c r="U536" s="15" t="s">
        <v>60</v>
      </c>
      <c r="V536" s="15" t="s">
        <v>135</v>
      </c>
      <c r="W536" s="17">
        <v>2.89</v>
      </c>
    </row>
    <row r="537" spans="1:55" s="15" customFormat="1" x14ac:dyDescent="0.25">
      <c r="A537" s="6">
        <v>2033089394</v>
      </c>
      <c r="B537" s="6" t="s">
        <v>957</v>
      </c>
      <c r="C537" s="6" t="s">
        <v>512</v>
      </c>
      <c r="D537" s="6" t="str">
        <f>CONCATENATE(C537," ",B537)</f>
        <v>JOSEPH MOTZKIN</v>
      </c>
      <c r="E537" s="6" t="s">
        <v>274</v>
      </c>
      <c r="F537" s="6" t="s">
        <v>383</v>
      </c>
      <c r="G537" s="6" t="s">
        <v>400</v>
      </c>
      <c r="H537" s="6" t="s">
        <v>1172</v>
      </c>
      <c r="I537" s="20" t="s">
        <v>1358</v>
      </c>
      <c r="J537" s="6" t="s">
        <v>275</v>
      </c>
      <c r="K537" s="6" t="s">
        <v>276</v>
      </c>
      <c r="L537" s="6" t="str">
        <f>CONCATENATE(K537," ",J537)</f>
        <v>Heather Geske</v>
      </c>
      <c r="M537" s="6" t="s">
        <v>57</v>
      </c>
      <c r="N537" s="5">
        <v>46033</v>
      </c>
      <c r="O537" s="5">
        <v>46092</v>
      </c>
      <c r="P537" s="23">
        <f>DATEDIF(N537,O537,"M")</f>
        <v>2</v>
      </c>
      <c r="Q537" s="23" t="s">
        <v>157</v>
      </c>
      <c r="R537" s="23" t="s">
        <v>1390</v>
      </c>
      <c r="S537" s="7">
        <v>6.3</v>
      </c>
      <c r="T537" s="13">
        <v>0.7</v>
      </c>
      <c r="U537" s="6" t="s">
        <v>60</v>
      </c>
      <c r="V537" s="6" t="s">
        <v>135</v>
      </c>
      <c r="W537" s="7">
        <v>4.41</v>
      </c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</row>
    <row r="538" spans="1:55" s="15" customFormat="1" x14ac:dyDescent="0.25">
      <c r="A538" s="6">
        <v>2032997622</v>
      </c>
      <c r="B538" s="6" t="s">
        <v>933</v>
      </c>
      <c r="C538" s="6" t="s">
        <v>464</v>
      </c>
      <c r="D538" s="6" t="str">
        <f>CONCATENATE(C538," ",B538)</f>
        <v>TAYLOR FRISBEE</v>
      </c>
      <c r="E538" s="6" t="s">
        <v>274</v>
      </c>
      <c r="F538" s="6" t="s">
        <v>383</v>
      </c>
      <c r="G538" s="6" t="s">
        <v>384</v>
      </c>
      <c r="H538" s="6" t="s">
        <v>1336</v>
      </c>
      <c r="I538" s="20" t="s">
        <v>1358</v>
      </c>
      <c r="J538" s="6" t="s">
        <v>275</v>
      </c>
      <c r="K538" s="6" t="s">
        <v>276</v>
      </c>
      <c r="L538" s="6" t="str">
        <f>CONCATENATE(K538," ",J538)</f>
        <v>Heather Geske</v>
      </c>
      <c r="M538" s="6" t="s">
        <v>57</v>
      </c>
      <c r="N538" s="5">
        <v>46028</v>
      </c>
      <c r="O538" s="5">
        <v>46087</v>
      </c>
      <c r="P538" s="23">
        <f>DATEDIF(N538,O538,"M")</f>
        <v>2</v>
      </c>
      <c r="Q538" s="23" t="s">
        <v>157</v>
      </c>
      <c r="R538" s="23" t="s">
        <v>1390</v>
      </c>
      <c r="S538" s="7">
        <v>9.6999999999999993</v>
      </c>
      <c r="T538" s="13">
        <v>0.7</v>
      </c>
      <c r="U538" s="6" t="s">
        <v>60</v>
      </c>
      <c r="V538" s="6" t="s">
        <v>135</v>
      </c>
      <c r="W538" s="7">
        <v>6.79</v>
      </c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</row>
    <row r="539" spans="1:55" s="15" customFormat="1" x14ac:dyDescent="0.25">
      <c r="A539" s="6">
        <v>2033078760</v>
      </c>
      <c r="B539" s="6" t="s">
        <v>953</v>
      </c>
      <c r="C539" s="6" t="s">
        <v>466</v>
      </c>
      <c r="D539" s="6" t="str">
        <f>CONCATENATE(C539," ",B539)</f>
        <v>BRYAN PERLMAN</v>
      </c>
      <c r="E539" s="6" t="s">
        <v>274</v>
      </c>
      <c r="F539" s="6" t="s">
        <v>383</v>
      </c>
      <c r="G539" s="6" t="s">
        <v>384</v>
      </c>
      <c r="H539" s="6" t="s">
        <v>1336</v>
      </c>
      <c r="I539" s="20" t="s">
        <v>1358</v>
      </c>
      <c r="J539" s="6" t="s">
        <v>275</v>
      </c>
      <c r="K539" s="6" t="s">
        <v>276</v>
      </c>
      <c r="L539" s="6" t="str">
        <f>CONCATENATE(K539," ",J539)</f>
        <v>Heather Geske</v>
      </c>
      <c r="M539" s="6" t="s">
        <v>57</v>
      </c>
      <c r="N539" s="5">
        <v>46032</v>
      </c>
      <c r="O539" s="5">
        <v>46091</v>
      </c>
      <c r="P539" s="23">
        <f>DATEDIF(N539,O539,"M")</f>
        <v>2</v>
      </c>
      <c r="Q539" s="23" t="s">
        <v>157</v>
      </c>
      <c r="R539" s="23" t="s">
        <v>1390</v>
      </c>
      <c r="S539" s="7">
        <v>9.6999999999999993</v>
      </c>
      <c r="T539" s="13">
        <v>0.7</v>
      </c>
      <c r="U539" s="6" t="s">
        <v>60</v>
      </c>
      <c r="V539" s="6" t="s">
        <v>135</v>
      </c>
      <c r="W539" s="7">
        <v>6.79</v>
      </c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</row>
    <row r="540" spans="1:55" s="15" customFormat="1" x14ac:dyDescent="0.25">
      <c r="A540" s="6">
        <v>2033089392</v>
      </c>
      <c r="B540" s="6" t="s">
        <v>957</v>
      </c>
      <c r="C540" s="6" t="s">
        <v>512</v>
      </c>
      <c r="D540" s="6" t="str">
        <f>CONCATENATE(C540," ",B540)</f>
        <v>JOSEPH MOTZKIN</v>
      </c>
      <c r="E540" s="6" t="s">
        <v>274</v>
      </c>
      <c r="F540" s="6" t="s">
        <v>383</v>
      </c>
      <c r="G540" s="6" t="s">
        <v>384</v>
      </c>
      <c r="H540" s="6" t="s">
        <v>1336</v>
      </c>
      <c r="I540" s="20" t="s">
        <v>1358</v>
      </c>
      <c r="J540" s="6" t="s">
        <v>275</v>
      </c>
      <c r="K540" s="6" t="s">
        <v>276</v>
      </c>
      <c r="L540" s="6" t="str">
        <f>CONCATENATE(K540," ",J540)</f>
        <v>Heather Geske</v>
      </c>
      <c r="M540" s="6" t="s">
        <v>57</v>
      </c>
      <c r="N540" s="5">
        <v>46033</v>
      </c>
      <c r="O540" s="5">
        <v>46092</v>
      </c>
      <c r="P540" s="23">
        <f>DATEDIF(N540,O540,"M")</f>
        <v>2</v>
      </c>
      <c r="Q540" s="23" t="s">
        <v>157</v>
      </c>
      <c r="R540" s="23" t="s">
        <v>1390</v>
      </c>
      <c r="S540" s="7">
        <v>9.1</v>
      </c>
      <c r="T540" s="13">
        <v>0.7</v>
      </c>
      <c r="U540" s="6" t="s">
        <v>60</v>
      </c>
      <c r="V540" s="6" t="s">
        <v>135</v>
      </c>
      <c r="W540" s="7">
        <v>6.37</v>
      </c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</row>
    <row r="541" spans="1:55" s="15" customFormat="1" x14ac:dyDescent="0.25">
      <c r="A541" s="6">
        <v>2033089391</v>
      </c>
      <c r="B541" s="6" t="s">
        <v>957</v>
      </c>
      <c r="C541" s="6" t="s">
        <v>512</v>
      </c>
      <c r="D541" s="6" t="str">
        <f>CONCATENATE(C541," ",B541)</f>
        <v>JOSEPH MOTZKIN</v>
      </c>
      <c r="E541" s="6" t="s">
        <v>274</v>
      </c>
      <c r="F541" s="6" t="s">
        <v>363</v>
      </c>
      <c r="G541" s="6" t="s">
        <v>364</v>
      </c>
      <c r="H541" s="6" t="s">
        <v>1338</v>
      </c>
      <c r="I541" s="20" t="s">
        <v>1358</v>
      </c>
      <c r="J541" s="6" t="s">
        <v>275</v>
      </c>
      <c r="K541" s="6" t="s">
        <v>276</v>
      </c>
      <c r="L541" s="6" t="str">
        <f>CONCATENATE(K541," ",J541)</f>
        <v>Heather Geske</v>
      </c>
      <c r="M541" s="6" t="s">
        <v>57</v>
      </c>
      <c r="N541" s="5">
        <v>46033</v>
      </c>
      <c r="O541" s="5">
        <v>46092</v>
      </c>
      <c r="P541" s="23">
        <f>DATEDIF(N541,O541,"M")</f>
        <v>2</v>
      </c>
      <c r="Q541" s="23" t="s">
        <v>157</v>
      </c>
      <c r="R541" s="23" t="s">
        <v>1390</v>
      </c>
      <c r="S541" s="7">
        <v>64.84</v>
      </c>
      <c r="T541" s="14">
        <v>0.375</v>
      </c>
      <c r="U541" s="6" t="s">
        <v>60</v>
      </c>
      <c r="V541" s="6" t="s">
        <v>135</v>
      </c>
      <c r="W541" s="7">
        <v>24.32</v>
      </c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</row>
    <row r="542" spans="1:55" s="15" customFormat="1" x14ac:dyDescent="0.25">
      <c r="A542" s="6">
        <v>2032997621</v>
      </c>
      <c r="B542" s="6" t="s">
        <v>933</v>
      </c>
      <c r="C542" s="6" t="s">
        <v>464</v>
      </c>
      <c r="D542" s="6" t="str">
        <f>CONCATENATE(C542," ",B542)</f>
        <v>TAYLOR FRISBEE</v>
      </c>
      <c r="E542" s="6" t="s">
        <v>274</v>
      </c>
      <c r="F542" s="6" t="s">
        <v>363</v>
      </c>
      <c r="G542" s="6" t="s">
        <v>364</v>
      </c>
      <c r="H542" s="6" t="s">
        <v>1338</v>
      </c>
      <c r="I542" s="20" t="s">
        <v>1358</v>
      </c>
      <c r="J542" s="6" t="s">
        <v>275</v>
      </c>
      <c r="K542" s="6" t="s">
        <v>276</v>
      </c>
      <c r="L542" s="6" t="str">
        <f>CONCATENATE(K542," ",J542)</f>
        <v>Heather Geske</v>
      </c>
      <c r="M542" s="6" t="s">
        <v>57</v>
      </c>
      <c r="N542" s="5">
        <v>46028</v>
      </c>
      <c r="O542" s="5">
        <v>46087</v>
      </c>
      <c r="P542" s="23">
        <f>DATEDIF(N542,O542,"M")</f>
        <v>2</v>
      </c>
      <c r="Q542" s="23" t="s">
        <v>157</v>
      </c>
      <c r="R542" s="23" t="s">
        <v>1390</v>
      </c>
      <c r="S542" s="7">
        <v>48.17</v>
      </c>
      <c r="T542" s="14">
        <v>0.375</v>
      </c>
      <c r="U542" s="6" t="s">
        <v>60</v>
      </c>
      <c r="V542" s="6" t="s">
        <v>135</v>
      </c>
      <c r="W542" s="7">
        <v>18.059999999999999</v>
      </c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</row>
    <row r="543" spans="1:55" s="15" customFormat="1" x14ac:dyDescent="0.25">
      <c r="A543" s="6">
        <v>2033078761</v>
      </c>
      <c r="B543" s="6" t="s">
        <v>953</v>
      </c>
      <c r="C543" s="6" t="s">
        <v>466</v>
      </c>
      <c r="D543" s="6" t="str">
        <f>CONCATENATE(C543," ",B543)</f>
        <v>BRYAN PERLMAN</v>
      </c>
      <c r="E543" s="6" t="s">
        <v>274</v>
      </c>
      <c r="F543" s="6" t="s">
        <v>72</v>
      </c>
      <c r="G543" s="6" t="s">
        <v>73</v>
      </c>
      <c r="H543" s="6" t="s">
        <v>1329</v>
      </c>
      <c r="I543" s="20" t="s">
        <v>1358</v>
      </c>
      <c r="J543" s="6" t="s">
        <v>275</v>
      </c>
      <c r="K543" s="6" t="s">
        <v>276</v>
      </c>
      <c r="L543" s="6" t="str">
        <f>CONCATENATE(K543," ",J543)</f>
        <v>Heather Geske</v>
      </c>
      <c r="M543" s="6" t="s">
        <v>57</v>
      </c>
      <c r="N543" s="5">
        <v>46032</v>
      </c>
      <c r="O543" s="5">
        <v>46091</v>
      </c>
      <c r="P543" s="23">
        <f>DATEDIF(N543,O543,"M")</f>
        <v>2</v>
      </c>
      <c r="Q543" s="23" t="s">
        <v>157</v>
      </c>
      <c r="R543" s="23" t="s">
        <v>1390</v>
      </c>
      <c r="S543" s="7">
        <v>34.479999999999997</v>
      </c>
      <c r="T543" s="13">
        <v>0.75</v>
      </c>
      <c r="U543" s="6" t="s">
        <v>60</v>
      </c>
      <c r="V543" s="6" t="s">
        <v>135</v>
      </c>
      <c r="W543" s="7">
        <v>25.86</v>
      </c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</row>
    <row r="544" spans="1:55" s="15" customFormat="1" x14ac:dyDescent="0.25">
      <c r="A544" s="6">
        <v>2033089393</v>
      </c>
      <c r="B544" s="6" t="s">
        <v>957</v>
      </c>
      <c r="C544" s="6" t="s">
        <v>512</v>
      </c>
      <c r="D544" s="6" t="str">
        <f>CONCATENATE(C544," ",B544)</f>
        <v>JOSEPH MOTZKIN</v>
      </c>
      <c r="E544" s="6" t="s">
        <v>274</v>
      </c>
      <c r="F544" s="6" t="s">
        <v>72</v>
      </c>
      <c r="G544" s="6" t="s">
        <v>73</v>
      </c>
      <c r="H544" s="6" t="s">
        <v>1329</v>
      </c>
      <c r="I544" s="20" t="s">
        <v>1358</v>
      </c>
      <c r="J544" s="6" t="s">
        <v>275</v>
      </c>
      <c r="K544" s="6" t="s">
        <v>276</v>
      </c>
      <c r="L544" s="6" t="str">
        <f>CONCATENATE(K544," ",J544)</f>
        <v>Heather Geske</v>
      </c>
      <c r="M544" s="6" t="s">
        <v>57</v>
      </c>
      <c r="N544" s="5">
        <v>46033</v>
      </c>
      <c r="O544" s="5">
        <v>46092</v>
      </c>
      <c r="P544" s="23">
        <f>DATEDIF(N544,O544,"M")</f>
        <v>2</v>
      </c>
      <c r="Q544" s="23" t="s">
        <v>157</v>
      </c>
      <c r="R544" s="23" t="s">
        <v>1390</v>
      </c>
      <c r="S544" s="7">
        <v>11.26</v>
      </c>
      <c r="T544" s="13">
        <v>0.75</v>
      </c>
      <c r="U544" s="6" t="s">
        <v>60</v>
      </c>
      <c r="V544" s="6" t="s">
        <v>135</v>
      </c>
      <c r="W544" s="7">
        <v>8.44</v>
      </c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</row>
    <row r="545" spans="1:55" s="15" customFormat="1" x14ac:dyDescent="0.25">
      <c r="A545" s="6">
        <v>2032997623</v>
      </c>
      <c r="B545" s="6" t="s">
        <v>933</v>
      </c>
      <c r="C545" s="6" t="s">
        <v>464</v>
      </c>
      <c r="D545" s="6" t="str">
        <f>CONCATENATE(C545," ",B545)</f>
        <v>TAYLOR FRISBEE</v>
      </c>
      <c r="E545" s="6" t="s">
        <v>274</v>
      </c>
      <c r="F545" s="6" t="s">
        <v>72</v>
      </c>
      <c r="G545" s="6" t="s">
        <v>73</v>
      </c>
      <c r="H545" s="6" t="s">
        <v>1329</v>
      </c>
      <c r="I545" s="20" t="s">
        <v>1358</v>
      </c>
      <c r="J545" s="6" t="s">
        <v>275</v>
      </c>
      <c r="K545" s="6" t="s">
        <v>276</v>
      </c>
      <c r="L545" s="6" t="str">
        <f>CONCATENATE(K545," ",J545)</f>
        <v>Heather Geske</v>
      </c>
      <c r="M545" s="6" t="s">
        <v>57</v>
      </c>
      <c r="N545" s="5">
        <v>46028</v>
      </c>
      <c r="O545" s="5">
        <v>46087</v>
      </c>
      <c r="P545" s="23">
        <f>DATEDIF(N545,O545,"M")</f>
        <v>2</v>
      </c>
      <c r="Q545" s="23" t="s">
        <v>157</v>
      </c>
      <c r="R545" s="23" t="s">
        <v>1390</v>
      </c>
      <c r="S545" s="7">
        <v>7.39</v>
      </c>
      <c r="T545" s="13">
        <v>0.75</v>
      </c>
      <c r="U545" s="6" t="s">
        <v>60</v>
      </c>
      <c r="V545" s="6" t="s">
        <v>135</v>
      </c>
      <c r="W545" s="7">
        <v>5.54</v>
      </c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</row>
    <row r="546" spans="1:55" s="15" customFormat="1" x14ac:dyDescent="0.25">
      <c r="A546" s="6">
        <v>2032446960</v>
      </c>
      <c r="B546" s="6" t="s">
        <v>327</v>
      </c>
      <c r="C546" s="6" t="s">
        <v>328</v>
      </c>
      <c r="D546" s="6" t="str">
        <f>CONCATENATE(C546," ",B546)</f>
        <v>MARTIN BROPHY</v>
      </c>
      <c r="E546" s="6" t="s">
        <v>274</v>
      </c>
      <c r="F546" s="6" t="s">
        <v>152</v>
      </c>
      <c r="G546" s="6" t="s">
        <v>153</v>
      </c>
      <c r="H546" s="6" t="s">
        <v>153</v>
      </c>
      <c r="I546" s="20" t="s">
        <v>1358</v>
      </c>
      <c r="J546" s="6" t="s">
        <v>275</v>
      </c>
      <c r="K546" s="6" t="s">
        <v>276</v>
      </c>
      <c r="L546" s="6" t="str">
        <f>CONCATENATE(K546," ",J546)</f>
        <v>Heather Geske</v>
      </c>
      <c r="M546" s="6" t="s">
        <v>57</v>
      </c>
      <c r="N546" s="5">
        <v>46023</v>
      </c>
      <c r="O546" s="5">
        <v>46082</v>
      </c>
      <c r="P546" s="23">
        <f>DATEDIF(N546,O546,"M")</f>
        <v>2</v>
      </c>
      <c r="Q546" s="23" t="s">
        <v>157</v>
      </c>
      <c r="R546" s="23" t="s">
        <v>1390</v>
      </c>
      <c r="S546" s="7">
        <v>50.58</v>
      </c>
      <c r="T546" s="13">
        <v>0.47</v>
      </c>
      <c r="U546" s="6" t="s">
        <v>60</v>
      </c>
      <c r="V546" s="6" t="s">
        <v>135</v>
      </c>
      <c r="W546" s="7">
        <v>23.77</v>
      </c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</row>
    <row r="547" spans="1:55" s="15" customFormat="1" x14ac:dyDescent="0.25">
      <c r="A547" s="6">
        <v>2033078759</v>
      </c>
      <c r="B547" s="6" t="s">
        <v>953</v>
      </c>
      <c r="C547" s="6" t="s">
        <v>466</v>
      </c>
      <c r="D547" s="6" t="str">
        <f>CONCATENATE(C547," ",B547)</f>
        <v>BRYAN PERLMAN</v>
      </c>
      <c r="E547" s="6" t="s">
        <v>274</v>
      </c>
      <c r="F547" s="6" t="s">
        <v>378</v>
      </c>
      <c r="G547" s="6" t="s">
        <v>379</v>
      </c>
      <c r="H547" s="6" t="s">
        <v>379</v>
      </c>
      <c r="I547" s="20" t="s">
        <v>1358</v>
      </c>
      <c r="J547" s="6" t="s">
        <v>275</v>
      </c>
      <c r="K547" s="6" t="s">
        <v>276</v>
      </c>
      <c r="L547" s="6" t="str">
        <f>CONCATENATE(K547," ",J547)</f>
        <v>Heather Geske</v>
      </c>
      <c r="M547" s="6" t="s">
        <v>57</v>
      </c>
      <c r="N547" s="5">
        <v>46032</v>
      </c>
      <c r="O547" s="5">
        <v>46091</v>
      </c>
      <c r="P547" s="23">
        <f>DATEDIF(N547,O547,"M")</f>
        <v>2</v>
      </c>
      <c r="Q547" s="23" t="s">
        <v>157</v>
      </c>
      <c r="R547" s="23" t="s">
        <v>1390</v>
      </c>
      <c r="S547" s="7">
        <v>28.4</v>
      </c>
      <c r="T547" s="13">
        <v>0.38</v>
      </c>
      <c r="U547" s="6" t="s">
        <v>60</v>
      </c>
      <c r="V547" s="6" t="s">
        <v>135</v>
      </c>
      <c r="W547" s="7">
        <v>10.79</v>
      </c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</row>
    <row r="548" spans="1:55" s="15" customFormat="1" x14ac:dyDescent="0.25">
      <c r="A548" s="6">
        <v>2032627614</v>
      </c>
      <c r="B548" s="6" t="s">
        <v>890</v>
      </c>
      <c r="C548" s="6" t="s">
        <v>891</v>
      </c>
      <c r="D548" s="6" t="str">
        <f>CONCATENATE(C548," ",B548)</f>
        <v>CHAD MCGOVERN</v>
      </c>
      <c r="E548" s="6" t="s">
        <v>274</v>
      </c>
      <c r="F548" s="6" t="s">
        <v>72</v>
      </c>
      <c r="G548" s="6" t="s">
        <v>73</v>
      </c>
      <c r="H548" s="6" t="s">
        <v>1329</v>
      </c>
      <c r="I548" s="20" t="s">
        <v>1358</v>
      </c>
      <c r="J548" s="6" t="s">
        <v>275</v>
      </c>
      <c r="K548" s="6" t="s">
        <v>276</v>
      </c>
      <c r="L548" s="6" t="str">
        <f>CONCATENATE(K548," ",J548)</f>
        <v>Heather Geske</v>
      </c>
      <c r="M548" s="6" t="s">
        <v>57</v>
      </c>
      <c r="N548" s="5">
        <v>46003</v>
      </c>
      <c r="O548" s="5">
        <v>46093</v>
      </c>
      <c r="P548" s="23">
        <f>DATEDIF(N548,O548,"M")</f>
        <v>3</v>
      </c>
      <c r="Q548" s="23" t="s">
        <v>157</v>
      </c>
      <c r="R548" s="23" t="s">
        <v>1390</v>
      </c>
      <c r="S548" s="7">
        <v>69.11</v>
      </c>
      <c r="T548" s="13">
        <v>0.75</v>
      </c>
      <c r="U548" s="6" t="s">
        <v>60</v>
      </c>
      <c r="V548" s="6" t="s">
        <v>135</v>
      </c>
      <c r="W548" s="7">
        <v>51.83</v>
      </c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</row>
    <row r="549" spans="1:55" s="15" customFormat="1" x14ac:dyDescent="0.25">
      <c r="A549" s="6">
        <v>2032548721</v>
      </c>
      <c r="B549" s="6" t="s">
        <v>1076</v>
      </c>
      <c r="C549" s="6" t="s">
        <v>1077</v>
      </c>
      <c r="D549" s="6" t="str">
        <f>CONCATENATE(C549," ",B549)</f>
        <v>DEVON KENDIG</v>
      </c>
      <c r="E549" s="6" t="s">
        <v>274</v>
      </c>
      <c r="F549" s="6" t="s">
        <v>72</v>
      </c>
      <c r="G549" s="6" t="s">
        <v>73</v>
      </c>
      <c r="H549" s="6" t="s">
        <v>1329</v>
      </c>
      <c r="I549" s="20" t="s">
        <v>1358</v>
      </c>
      <c r="J549" s="6" t="s">
        <v>275</v>
      </c>
      <c r="K549" s="6" t="s">
        <v>276</v>
      </c>
      <c r="L549" s="6" t="str">
        <f>CONCATENATE(K549," ",J549)</f>
        <v>Heather Geske</v>
      </c>
      <c r="M549" s="6" t="s">
        <v>57</v>
      </c>
      <c r="N549" s="5">
        <v>45998</v>
      </c>
      <c r="O549" s="5">
        <v>46088</v>
      </c>
      <c r="P549" s="23">
        <f>DATEDIF(N549,O549,"M")</f>
        <v>3</v>
      </c>
      <c r="Q549" s="23" t="s">
        <v>157</v>
      </c>
      <c r="R549" s="23" t="s">
        <v>1390</v>
      </c>
      <c r="S549" s="7">
        <v>7</v>
      </c>
      <c r="T549" s="13">
        <v>0.75</v>
      </c>
      <c r="U549" s="6" t="s">
        <v>60</v>
      </c>
      <c r="V549" s="6" t="s">
        <v>135</v>
      </c>
      <c r="W549" s="7">
        <v>5.25</v>
      </c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</row>
    <row r="550" spans="1:55" s="15" customFormat="1" x14ac:dyDescent="0.25">
      <c r="A550" s="6">
        <v>2032627615</v>
      </c>
      <c r="B550" s="6" t="s">
        <v>890</v>
      </c>
      <c r="C550" s="6" t="s">
        <v>891</v>
      </c>
      <c r="D550" s="6" t="str">
        <f>CONCATENATE(C550," ",B550)</f>
        <v>CHAD MCGOVERN</v>
      </c>
      <c r="E550" s="6" t="s">
        <v>274</v>
      </c>
      <c r="F550" s="6" t="s">
        <v>378</v>
      </c>
      <c r="G550" s="6" t="s">
        <v>379</v>
      </c>
      <c r="H550" s="6" t="s">
        <v>379</v>
      </c>
      <c r="I550" s="20" t="s">
        <v>1358</v>
      </c>
      <c r="J550" s="6" t="s">
        <v>275</v>
      </c>
      <c r="K550" s="6" t="s">
        <v>276</v>
      </c>
      <c r="L550" s="6" t="str">
        <f>CONCATENATE(K550," ",J550)</f>
        <v>Heather Geske</v>
      </c>
      <c r="M550" s="6" t="s">
        <v>57</v>
      </c>
      <c r="N550" s="5">
        <v>46003</v>
      </c>
      <c r="O550" s="5">
        <v>46093</v>
      </c>
      <c r="P550" s="23">
        <f>DATEDIF(N550,O550,"M")</f>
        <v>3</v>
      </c>
      <c r="Q550" s="23" t="s">
        <v>157</v>
      </c>
      <c r="R550" s="23" t="s">
        <v>1390</v>
      </c>
      <c r="S550" s="7">
        <v>32.79</v>
      </c>
      <c r="T550" s="13">
        <v>0.38</v>
      </c>
      <c r="U550" s="6" t="s">
        <v>60</v>
      </c>
      <c r="V550" s="6" t="s">
        <v>135</v>
      </c>
      <c r="W550" s="7">
        <v>12.46</v>
      </c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</row>
    <row r="551" spans="1:55" s="15" customFormat="1" x14ac:dyDescent="0.25">
      <c r="A551" s="6">
        <v>2032627613</v>
      </c>
      <c r="B551" s="6" t="s">
        <v>890</v>
      </c>
      <c r="C551" s="6" t="s">
        <v>891</v>
      </c>
      <c r="D551" s="6" t="str">
        <f>CONCATENATE(C551," ",B551)</f>
        <v>CHAD MCGOVERN</v>
      </c>
      <c r="E551" s="6" t="s">
        <v>274</v>
      </c>
      <c r="F551" s="6" t="s">
        <v>383</v>
      </c>
      <c r="G551" s="6" t="s">
        <v>384</v>
      </c>
      <c r="H551" s="6" t="s">
        <v>384</v>
      </c>
      <c r="I551" s="20" t="s">
        <v>1358</v>
      </c>
      <c r="J551" s="6" t="s">
        <v>275</v>
      </c>
      <c r="K551" s="6" t="s">
        <v>276</v>
      </c>
      <c r="L551" s="6" t="str">
        <f>CONCATENATE(K551," ",J551)</f>
        <v>Heather Geske</v>
      </c>
      <c r="M551" s="6" t="s">
        <v>57</v>
      </c>
      <c r="N551" s="5">
        <v>46003</v>
      </c>
      <c r="O551" s="5">
        <v>46093</v>
      </c>
      <c r="P551" s="23">
        <f>DATEDIF(N551,O551,"M")</f>
        <v>3</v>
      </c>
      <c r="Q551" s="23" t="s">
        <v>157</v>
      </c>
      <c r="R551" s="23" t="s">
        <v>1390</v>
      </c>
      <c r="S551" s="7">
        <v>9.1</v>
      </c>
      <c r="T551" s="13">
        <v>0.7</v>
      </c>
      <c r="U551" s="6" t="s">
        <v>60</v>
      </c>
      <c r="V551" s="6" t="s">
        <v>135</v>
      </c>
      <c r="W551" s="7">
        <v>6.37</v>
      </c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</row>
    <row r="552" spans="1:55" s="15" customFormat="1" x14ac:dyDescent="0.25">
      <c r="A552" s="6">
        <v>2032548720</v>
      </c>
      <c r="B552" s="6" t="s">
        <v>1076</v>
      </c>
      <c r="C552" s="6" t="s">
        <v>1077</v>
      </c>
      <c r="D552" s="6" t="str">
        <f>CONCATENATE(C552," ",B552)</f>
        <v>DEVON KENDIG</v>
      </c>
      <c r="E552" s="6" t="s">
        <v>274</v>
      </c>
      <c r="F552" s="6" t="s">
        <v>363</v>
      </c>
      <c r="G552" s="6" t="s">
        <v>364</v>
      </c>
      <c r="H552" s="6" t="s">
        <v>364</v>
      </c>
      <c r="I552" s="20" t="s">
        <v>1358</v>
      </c>
      <c r="J552" s="6" t="s">
        <v>275</v>
      </c>
      <c r="K552" s="6" t="s">
        <v>276</v>
      </c>
      <c r="L552" s="6" t="str">
        <f>CONCATENATE(K552," ",J552)</f>
        <v>Heather Geske</v>
      </c>
      <c r="M552" s="6" t="s">
        <v>57</v>
      </c>
      <c r="N552" s="5">
        <v>45998</v>
      </c>
      <c r="O552" s="5">
        <v>46088</v>
      </c>
      <c r="P552" s="23">
        <f>DATEDIF(N552,O552,"M")</f>
        <v>3</v>
      </c>
      <c r="Q552" s="23" t="s">
        <v>157</v>
      </c>
      <c r="R552" s="23" t="s">
        <v>1390</v>
      </c>
      <c r="S552" s="7">
        <v>54.57</v>
      </c>
      <c r="T552" s="14">
        <v>0.375</v>
      </c>
      <c r="U552" s="6" t="s">
        <v>60</v>
      </c>
      <c r="V552" s="6" t="s">
        <v>135</v>
      </c>
      <c r="W552" s="7">
        <v>20.46</v>
      </c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</row>
    <row r="553" spans="1:55" s="15" customFormat="1" x14ac:dyDescent="0.25">
      <c r="A553" s="6">
        <v>2032021876</v>
      </c>
      <c r="B553" s="6" t="s">
        <v>1069</v>
      </c>
      <c r="C553" s="6" t="s">
        <v>1070</v>
      </c>
      <c r="D553" s="6" t="str">
        <f>CONCATENATE(C553," ",B553)</f>
        <v>KATHERINE BARTLETT</v>
      </c>
      <c r="E553" s="6" t="s">
        <v>274</v>
      </c>
      <c r="F553" s="6" t="s">
        <v>72</v>
      </c>
      <c r="G553" s="6" t="s">
        <v>455</v>
      </c>
      <c r="H553" s="6" t="s">
        <v>1330</v>
      </c>
      <c r="I553" s="20" t="s">
        <v>1358</v>
      </c>
      <c r="J553" s="6" t="s">
        <v>275</v>
      </c>
      <c r="K553" s="6" t="s">
        <v>276</v>
      </c>
      <c r="L553" s="6" t="str">
        <f>CONCATENATE(K553," ",J553)</f>
        <v>Heather Geske</v>
      </c>
      <c r="M553" s="6" t="s">
        <v>57</v>
      </c>
      <c r="N553" s="5">
        <v>45968</v>
      </c>
      <c r="O553" s="5">
        <v>46088</v>
      </c>
      <c r="P553" s="23">
        <f>DATEDIF(N553,O553,"M")</f>
        <v>4</v>
      </c>
      <c r="Q553" s="23" t="s">
        <v>157</v>
      </c>
      <c r="R553" s="23" t="s">
        <v>1390</v>
      </c>
      <c r="S553" s="7">
        <v>72.03</v>
      </c>
      <c r="T553" s="13">
        <v>0.65</v>
      </c>
      <c r="U553" s="6" t="s">
        <v>60</v>
      </c>
      <c r="V553" s="6" t="s">
        <v>135</v>
      </c>
      <c r="W553" s="7">
        <v>46.82</v>
      </c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</row>
    <row r="554" spans="1:55" s="15" customFormat="1" x14ac:dyDescent="0.25">
      <c r="A554" s="6">
        <v>2032021875</v>
      </c>
      <c r="B554" s="6" t="s">
        <v>1069</v>
      </c>
      <c r="C554" s="6" t="s">
        <v>1070</v>
      </c>
      <c r="D554" s="6" t="str">
        <f>CONCATENATE(C554," ",B554)</f>
        <v>KATHERINE BARTLETT</v>
      </c>
      <c r="E554" s="6" t="s">
        <v>274</v>
      </c>
      <c r="F554" s="6" t="s">
        <v>383</v>
      </c>
      <c r="G554" s="6" t="s">
        <v>384</v>
      </c>
      <c r="H554" s="6" t="s">
        <v>384</v>
      </c>
      <c r="I554" s="20" t="s">
        <v>1358</v>
      </c>
      <c r="J554" s="6" t="s">
        <v>275</v>
      </c>
      <c r="K554" s="6" t="s">
        <v>276</v>
      </c>
      <c r="L554" s="6" t="str">
        <f>CONCATENATE(K554," ",J554)</f>
        <v>Heather Geske</v>
      </c>
      <c r="M554" s="6" t="s">
        <v>57</v>
      </c>
      <c r="N554" s="5">
        <v>45968</v>
      </c>
      <c r="O554" s="5">
        <v>46088</v>
      </c>
      <c r="P554" s="23">
        <f>DATEDIF(N554,O554,"M")</f>
        <v>4</v>
      </c>
      <c r="Q554" s="23" t="s">
        <v>157</v>
      </c>
      <c r="R554" s="23" t="s">
        <v>1390</v>
      </c>
      <c r="S554" s="7">
        <v>9.1</v>
      </c>
      <c r="T554" s="13">
        <v>0.7</v>
      </c>
      <c r="U554" s="6" t="s">
        <v>60</v>
      </c>
      <c r="V554" s="6" t="s">
        <v>135</v>
      </c>
      <c r="W554" s="7">
        <v>6.37</v>
      </c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</row>
    <row r="555" spans="1:55" s="15" customFormat="1" x14ac:dyDescent="0.25">
      <c r="A555" s="6">
        <v>2031523386</v>
      </c>
      <c r="B555" s="6" t="s">
        <v>1059</v>
      </c>
      <c r="C555" s="6" t="s">
        <v>302</v>
      </c>
      <c r="D555" s="6" t="str">
        <f>CONCATENATE(C555," ",B555)</f>
        <v>ERIC GERMAIN</v>
      </c>
      <c r="E555" s="6" t="s">
        <v>274</v>
      </c>
      <c r="F555" s="6" t="s">
        <v>383</v>
      </c>
      <c r="G555" s="6" t="s">
        <v>400</v>
      </c>
      <c r="H555" s="6" t="s">
        <v>1172</v>
      </c>
      <c r="I555" s="20" t="s">
        <v>1358</v>
      </c>
      <c r="J555" s="6" t="s">
        <v>275</v>
      </c>
      <c r="K555" s="6" t="s">
        <v>276</v>
      </c>
      <c r="L555" s="6" t="str">
        <f>CONCATENATE(K555," ",J555)</f>
        <v>Heather Geske</v>
      </c>
      <c r="M555" s="6" t="s">
        <v>57</v>
      </c>
      <c r="N555" s="5">
        <v>45939</v>
      </c>
      <c r="O555" s="5">
        <v>46090</v>
      </c>
      <c r="P555" s="23">
        <f>DATEDIF(N555,O555,"M")</f>
        <v>5</v>
      </c>
      <c r="Q555" s="23" t="s">
        <v>157</v>
      </c>
      <c r="R555" s="23" t="s">
        <v>1390</v>
      </c>
      <c r="S555" s="7">
        <v>6.3</v>
      </c>
      <c r="T555" s="13">
        <v>0.7</v>
      </c>
      <c r="U555" s="6" t="s">
        <v>60</v>
      </c>
      <c r="V555" s="6" t="s">
        <v>135</v>
      </c>
      <c r="W555" s="7">
        <v>4.41</v>
      </c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</row>
    <row r="556" spans="1:55" s="15" customFormat="1" x14ac:dyDescent="0.25">
      <c r="A556" s="6">
        <v>2031523388</v>
      </c>
      <c r="B556" s="6" t="s">
        <v>1059</v>
      </c>
      <c r="C556" s="6" t="s">
        <v>302</v>
      </c>
      <c r="D556" s="6" t="str">
        <f>CONCATENATE(C556," ",B556)</f>
        <v>ERIC GERMAIN</v>
      </c>
      <c r="E556" s="6" t="s">
        <v>274</v>
      </c>
      <c r="F556" s="6" t="s">
        <v>378</v>
      </c>
      <c r="G556" s="6" t="s">
        <v>380</v>
      </c>
      <c r="H556" s="6" t="s">
        <v>380</v>
      </c>
      <c r="I556" s="20" t="s">
        <v>1358</v>
      </c>
      <c r="J556" s="6" t="s">
        <v>275</v>
      </c>
      <c r="K556" s="6" t="s">
        <v>276</v>
      </c>
      <c r="L556" s="6" t="str">
        <f>CONCATENATE(K556," ",J556)</f>
        <v>Heather Geske</v>
      </c>
      <c r="M556" s="6" t="s">
        <v>57</v>
      </c>
      <c r="N556" s="5">
        <v>45939</v>
      </c>
      <c r="O556" s="5">
        <v>46090</v>
      </c>
      <c r="P556" s="23">
        <f>DATEDIF(N556,O556,"M")</f>
        <v>5</v>
      </c>
      <c r="Q556" s="23" t="s">
        <v>157</v>
      </c>
      <c r="R556" s="23" t="s">
        <v>1390</v>
      </c>
      <c r="S556" s="7">
        <v>432.86</v>
      </c>
      <c r="T556" s="13">
        <v>0.38</v>
      </c>
      <c r="U556" s="6" t="s">
        <v>60</v>
      </c>
      <c r="V556" s="6" t="s">
        <v>135</v>
      </c>
      <c r="W556" s="7">
        <v>164.49</v>
      </c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</row>
    <row r="557" spans="1:55" s="15" customFormat="1" x14ac:dyDescent="0.25">
      <c r="A557" s="6">
        <v>2031523387</v>
      </c>
      <c r="B557" s="6" t="s">
        <v>1059</v>
      </c>
      <c r="C557" s="6" t="s">
        <v>302</v>
      </c>
      <c r="D557" s="6" t="str">
        <f>CONCATENATE(C557," ",B557)</f>
        <v>ERIC GERMAIN</v>
      </c>
      <c r="E557" s="6" t="s">
        <v>274</v>
      </c>
      <c r="F557" s="6" t="s">
        <v>72</v>
      </c>
      <c r="G557" s="6" t="s">
        <v>455</v>
      </c>
      <c r="H557" s="6" t="s">
        <v>1330</v>
      </c>
      <c r="I557" s="20" t="s">
        <v>1358</v>
      </c>
      <c r="J557" s="6" t="s">
        <v>275</v>
      </c>
      <c r="K557" s="6" t="s">
        <v>276</v>
      </c>
      <c r="L557" s="6" t="str">
        <f>CONCATENATE(K557," ",J557)</f>
        <v>Heather Geske</v>
      </c>
      <c r="M557" s="6" t="s">
        <v>57</v>
      </c>
      <c r="N557" s="5">
        <v>45939</v>
      </c>
      <c r="O557" s="5">
        <v>46090</v>
      </c>
      <c r="P557" s="23">
        <f>DATEDIF(N557,O557,"M")</f>
        <v>5</v>
      </c>
      <c r="Q557" s="23" t="s">
        <v>157</v>
      </c>
      <c r="R557" s="23" t="s">
        <v>1390</v>
      </c>
      <c r="S557" s="7">
        <v>63.48</v>
      </c>
      <c r="T557" s="13">
        <v>0.65</v>
      </c>
      <c r="U557" s="6" t="s">
        <v>60</v>
      </c>
      <c r="V557" s="6" t="s">
        <v>135</v>
      </c>
      <c r="W557" s="7">
        <v>41.26</v>
      </c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</row>
    <row r="558" spans="1:55" s="15" customFormat="1" x14ac:dyDescent="0.25">
      <c r="A558" s="6">
        <v>2031523389</v>
      </c>
      <c r="B558" s="6" t="s">
        <v>1059</v>
      </c>
      <c r="C558" s="6" t="s">
        <v>302</v>
      </c>
      <c r="D558" s="6" t="str">
        <f>CONCATENATE(C558," ",B558)</f>
        <v>ERIC GERMAIN</v>
      </c>
      <c r="E558" s="6" t="s">
        <v>274</v>
      </c>
      <c r="F558" s="6" t="s">
        <v>383</v>
      </c>
      <c r="G558" s="6" t="s">
        <v>384</v>
      </c>
      <c r="H558" s="6" t="s">
        <v>384</v>
      </c>
      <c r="I558" s="20" t="s">
        <v>1358</v>
      </c>
      <c r="J558" s="6" t="s">
        <v>275</v>
      </c>
      <c r="K558" s="6" t="s">
        <v>276</v>
      </c>
      <c r="L558" s="6" t="str">
        <f>CONCATENATE(K558," ",J558)</f>
        <v>Heather Geske</v>
      </c>
      <c r="M558" s="6" t="s">
        <v>57</v>
      </c>
      <c r="N558" s="5">
        <v>45939</v>
      </c>
      <c r="O558" s="5">
        <v>46090</v>
      </c>
      <c r="P558" s="23">
        <f>DATEDIF(N558,O558,"M")</f>
        <v>5</v>
      </c>
      <c r="Q558" s="23" t="s">
        <v>157</v>
      </c>
      <c r="R558" s="23" t="s">
        <v>1390</v>
      </c>
      <c r="S558" s="7">
        <v>9.1</v>
      </c>
      <c r="T558" s="13">
        <v>0.7</v>
      </c>
      <c r="U558" s="6" t="s">
        <v>60</v>
      </c>
      <c r="V558" s="6" t="s">
        <v>135</v>
      </c>
      <c r="W558" s="7">
        <v>6.37</v>
      </c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</row>
    <row r="559" spans="1:55" s="15" customFormat="1" x14ac:dyDescent="0.25">
      <c r="A559" s="6">
        <v>2030455581</v>
      </c>
      <c r="B559" s="6" t="s">
        <v>775</v>
      </c>
      <c r="C559" s="6" t="s">
        <v>155</v>
      </c>
      <c r="D559" s="6" t="str">
        <f>CONCATENATE(C559," ",B559)</f>
        <v>JASON TROUT</v>
      </c>
      <c r="E559" s="6" t="s">
        <v>274</v>
      </c>
      <c r="F559" s="6" t="s">
        <v>383</v>
      </c>
      <c r="G559" s="6" t="s">
        <v>384</v>
      </c>
      <c r="H559" s="6" t="s">
        <v>1336</v>
      </c>
      <c r="I559" s="20" t="s">
        <v>1358</v>
      </c>
      <c r="J559" s="6" t="s">
        <v>275</v>
      </c>
      <c r="K559" s="6" t="s">
        <v>276</v>
      </c>
      <c r="L559" s="6" t="str">
        <f>CONCATENATE(K559," ",J559)</f>
        <v>Heather Geske</v>
      </c>
      <c r="M559" s="6" t="s">
        <v>57</v>
      </c>
      <c r="N559" s="5">
        <v>45882</v>
      </c>
      <c r="O559" s="5">
        <v>46094</v>
      </c>
      <c r="P559" s="23">
        <f>DATEDIF(N559,O559,"M")</f>
        <v>7</v>
      </c>
      <c r="Q559" s="23" t="s">
        <v>157</v>
      </c>
      <c r="R559" s="23" t="s">
        <v>1391</v>
      </c>
      <c r="S559" s="7">
        <v>27.38</v>
      </c>
      <c r="T559" s="13">
        <v>0.7</v>
      </c>
      <c r="U559" s="6" t="s">
        <v>60</v>
      </c>
      <c r="V559" s="6" t="s">
        <v>135</v>
      </c>
      <c r="W559" s="7">
        <v>19.170000000000002</v>
      </c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</row>
    <row r="560" spans="1:55" s="15" customFormat="1" x14ac:dyDescent="0.25">
      <c r="A560" s="6">
        <v>2030455582</v>
      </c>
      <c r="B560" s="6" t="s">
        <v>775</v>
      </c>
      <c r="C560" s="6" t="s">
        <v>155</v>
      </c>
      <c r="D560" s="6" t="str">
        <f>CONCATENATE(C560," ",B560)</f>
        <v>JASON TROUT</v>
      </c>
      <c r="E560" s="6" t="s">
        <v>274</v>
      </c>
      <c r="F560" s="6" t="s">
        <v>72</v>
      </c>
      <c r="G560" s="6" t="s">
        <v>455</v>
      </c>
      <c r="H560" s="6" t="s">
        <v>1330</v>
      </c>
      <c r="I560" s="20" t="s">
        <v>1358</v>
      </c>
      <c r="J560" s="6" t="s">
        <v>275</v>
      </c>
      <c r="K560" s="6" t="s">
        <v>276</v>
      </c>
      <c r="L560" s="6" t="str">
        <f>CONCATENATE(K560," ",J560)</f>
        <v>Heather Geske</v>
      </c>
      <c r="M560" s="6" t="s">
        <v>57</v>
      </c>
      <c r="N560" s="5">
        <v>45882</v>
      </c>
      <c r="O560" s="5">
        <v>46094</v>
      </c>
      <c r="P560" s="23">
        <f>DATEDIF(N560,O560,"M")</f>
        <v>7</v>
      </c>
      <c r="Q560" s="23" t="s">
        <v>157</v>
      </c>
      <c r="R560" s="23" t="s">
        <v>1391</v>
      </c>
      <c r="S560" s="7">
        <v>29.88</v>
      </c>
      <c r="T560" s="13">
        <v>0.65</v>
      </c>
      <c r="U560" s="6" t="s">
        <v>60</v>
      </c>
      <c r="V560" s="6" t="s">
        <v>135</v>
      </c>
      <c r="W560" s="7">
        <v>19.41</v>
      </c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</row>
    <row r="561" spans="1:55" s="15" customFormat="1" x14ac:dyDescent="0.25">
      <c r="A561" s="6">
        <v>2030455579</v>
      </c>
      <c r="B561" s="6" t="s">
        <v>775</v>
      </c>
      <c r="C561" s="6" t="s">
        <v>155</v>
      </c>
      <c r="D561" s="6" t="str">
        <f>CONCATENATE(C561," ",B561)</f>
        <v>JASON TROUT</v>
      </c>
      <c r="E561" s="6" t="s">
        <v>274</v>
      </c>
      <c r="F561" s="6" t="s">
        <v>378</v>
      </c>
      <c r="G561" s="6" t="s">
        <v>379</v>
      </c>
      <c r="H561" s="6" t="s">
        <v>1339</v>
      </c>
      <c r="I561" s="20" t="s">
        <v>1358</v>
      </c>
      <c r="J561" s="6" t="s">
        <v>275</v>
      </c>
      <c r="K561" s="6" t="s">
        <v>276</v>
      </c>
      <c r="L561" s="6" t="str">
        <f>CONCATENATE(K561," ",J561)</f>
        <v>Heather Geske</v>
      </c>
      <c r="M561" s="6" t="s">
        <v>57</v>
      </c>
      <c r="N561" s="5">
        <v>45882</v>
      </c>
      <c r="O561" s="5">
        <v>46094</v>
      </c>
      <c r="P561" s="23">
        <f>DATEDIF(N561,O561,"M")</f>
        <v>7</v>
      </c>
      <c r="Q561" s="23" t="s">
        <v>157</v>
      </c>
      <c r="R561" s="23" t="s">
        <v>1391</v>
      </c>
      <c r="S561" s="7">
        <v>60.5</v>
      </c>
      <c r="T561" s="13">
        <v>0.38</v>
      </c>
      <c r="U561" s="6" t="s">
        <v>60</v>
      </c>
      <c r="V561" s="6" t="s">
        <v>135</v>
      </c>
      <c r="W561" s="7">
        <v>22.99</v>
      </c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</row>
    <row r="562" spans="1:55" s="15" customFormat="1" x14ac:dyDescent="0.25">
      <c r="A562" s="6">
        <v>2030455580</v>
      </c>
      <c r="B562" s="6" t="s">
        <v>775</v>
      </c>
      <c r="C562" s="6" t="s">
        <v>155</v>
      </c>
      <c r="D562" s="6" t="str">
        <f>CONCATENATE(C562," ",B562)</f>
        <v>JASON TROUT</v>
      </c>
      <c r="E562" s="6" t="s">
        <v>274</v>
      </c>
      <c r="F562" s="6" t="s">
        <v>363</v>
      </c>
      <c r="G562" s="6" t="s">
        <v>364</v>
      </c>
      <c r="H562" s="6" t="s">
        <v>364</v>
      </c>
      <c r="I562" s="20" t="s">
        <v>1358</v>
      </c>
      <c r="J562" s="6" t="s">
        <v>275</v>
      </c>
      <c r="K562" s="6" t="s">
        <v>276</v>
      </c>
      <c r="L562" s="6" t="str">
        <f>CONCATENATE(K562," ",J562)</f>
        <v>Heather Geske</v>
      </c>
      <c r="M562" s="6" t="s">
        <v>57</v>
      </c>
      <c r="N562" s="5">
        <v>45882</v>
      </c>
      <c r="O562" s="5">
        <v>46094</v>
      </c>
      <c r="P562" s="23">
        <f>DATEDIF(N562,O562,"M")</f>
        <v>7</v>
      </c>
      <c r="Q562" s="23" t="s">
        <v>157</v>
      </c>
      <c r="R562" s="23" t="s">
        <v>1391</v>
      </c>
      <c r="S562" s="7">
        <v>160.85</v>
      </c>
      <c r="T562" s="14">
        <v>0.375</v>
      </c>
      <c r="U562" s="6" t="s">
        <v>60</v>
      </c>
      <c r="V562" s="6" t="s">
        <v>135</v>
      </c>
      <c r="W562" s="7">
        <v>60.32</v>
      </c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</row>
    <row r="563" spans="1:55" s="15" customFormat="1" x14ac:dyDescent="0.25">
      <c r="A563" s="6">
        <v>2030376028</v>
      </c>
      <c r="B563" s="6" t="s">
        <v>1275</v>
      </c>
      <c r="C563" s="6" t="s">
        <v>1276</v>
      </c>
      <c r="D563" s="6" t="str">
        <f>CONCATENATE(C563," ",B563)</f>
        <v>SKIPWORTH DONOVAN</v>
      </c>
      <c r="E563" s="6" t="s">
        <v>274</v>
      </c>
      <c r="F563" s="6" t="s">
        <v>383</v>
      </c>
      <c r="G563" s="6" t="s">
        <v>385</v>
      </c>
      <c r="H563" s="6" t="s">
        <v>385</v>
      </c>
      <c r="I563" s="20" t="s">
        <v>1358</v>
      </c>
      <c r="J563" s="6" t="s">
        <v>275</v>
      </c>
      <c r="K563" s="6" t="s">
        <v>276</v>
      </c>
      <c r="L563" s="6" t="str">
        <f>CONCATENATE(K563," ",J563)</f>
        <v>Heather Geske</v>
      </c>
      <c r="M563" s="6" t="s">
        <v>57</v>
      </c>
      <c r="N563" s="5">
        <v>45877</v>
      </c>
      <c r="O563" s="5">
        <v>46089</v>
      </c>
      <c r="P563" s="23">
        <f>DATEDIF(N563,O563,"M")</f>
        <v>7</v>
      </c>
      <c r="Q563" s="23" t="s">
        <v>157</v>
      </c>
      <c r="R563" s="23" t="s">
        <v>1391</v>
      </c>
      <c r="S563" s="7">
        <v>73</v>
      </c>
      <c r="T563" s="13">
        <v>0.9</v>
      </c>
      <c r="U563" s="6" t="s">
        <v>60</v>
      </c>
      <c r="V563" s="6" t="s">
        <v>135</v>
      </c>
      <c r="W563" s="7">
        <v>65.7</v>
      </c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</row>
    <row r="564" spans="1:55" s="15" customFormat="1" x14ac:dyDescent="0.25">
      <c r="A564" s="6">
        <v>2030455583</v>
      </c>
      <c r="B564" s="6" t="s">
        <v>775</v>
      </c>
      <c r="C564" s="6" t="s">
        <v>155</v>
      </c>
      <c r="D564" s="6" t="str">
        <f>CONCATENATE(C564," ",B564)</f>
        <v>JASON TROUT</v>
      </c>
      <c r="E564" s="6" t="s">
        <v>274</v>
      </c>
      <c r="F564" s="6" t="s">
        <v>383</v>
      </c>
      <c r="G564" s="6" t="s">
        <v>385</v>
      </c>
      <c r="H564" s="6" t="s">
        <v>385</v>
      </c>
      <c r="I564" s="20" t="s">
        <v>1358</v>
      </c>
      <c r="J564" s="6" t="s">
        <v>275</v>
      </c>
      <c r="K564" s="6" t="s">
        <v>276</v>
      </c>
      <c r="L564" s="6" t="str">
        <f>CONCATENATE(K564," ",J564)</f>
        <v>Heather Geske</v>
      </c>
      <c r="M564" s="6" t="s">
        <v>57</v>
      </c>
      <c r="N564" s="5">
        <v>45882</v>
      </c>
      <c r="O564" s="5">
        <v>46094</v>
      </c>
      <c r="P564" s="23">
        <f>DATEDIF(N564,O564,"M")</f>
        <v>7</v>
      </c>
      <c r="Q564" s="23" t="s">
        <v>157</v>
      </c>
      <c r="R564" s="23" t="s">
        <v>1391</v>
      </c>
      <c r="S564" s="7">
        <v>52.92</v>
      </c>
      <c r="T564" s="13">
        <v>0.9</v>
      </c>
      <c r="U564" s="6" t="s">
        <v>60</v>
      </c>
      <c r="V564" s="6" t="s">
        <v>135</v>
      </c>
      <c r="W564" s="7">
        <v>47.63</v>
      </c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</row>
    <row r="565" spans="1:55" s="15" customFormat="1" x14ac:dyDescent="0.25">
      <c r="A565" s="6">
        <v>2028281147</v>
      </c>
      <c r="B565" s="6" t="s">
        <v>706</v>
      </c>
      <c r="C565" s="6" t="s">
        <v>155</v>
      </c>
      <c r="D565" s="6" t="str">
        <f>CONCATENATE(C565," ",B565)</f>
        <v>JASON BOWLES</v>
      </c>
      <c r="E565" s="6" t="s">
        <v>274</v>
      </c>
      <c r="F565" s="6" t="s">
        <v>383</v>
      </c>
      <c r="G565" s="6" t="s">
        <v>384</v>
      </c>
      <c r="H565" s="6" t="s">
        <v>384</v>
      </c>
      <c r="I565" s="20" t="s">
        <v>1358</v>
      </c>
      <c r="J565" s="6" t="s">
        <v>275</v>
      </c>
      <c r="K565" s="6" t="s">
        <v>276</v>
      </c>
      <c r="L565" s="6" t="str">
        <f>CONCATENATE(K565," ",J565)</f>
        <v>Heather Geske</v>
      </c>
      <c r="M565" s="6" t="s">
        <v>57</v>
      </c>
      <c r="N565" s="5">
        <v>45755</v>
      </c>
      <c r="O565" s="5">
        <v>46089</v>
      </c>
      <c r="P565" s="23">
        <f>DATEDIF(N565,O565,"M")</f>
        <v>11</v>
      </c>
      <c r="Q565" s="23" t="s">
        <v>157</v>
      </c>
      <c r="R565" s="23" t="s">
        <v>1391</v>
      </c>
      <c r="S565" s="7">
        <v>18.2</v>
      </c>
      <c r="T565" s="13">
        <v>0.7</v>
      </c>
      <c r="U565" s="6" t="s">
        <v>60</v>
      </c>
      <c r="V565" s="6" t="s">
        <v>135</v>
      </c>
      <c r="W565" s="7">
        <v>12.74</v>
      </c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</row>
    <row r="566" spans="1:55" s="15" customFormat="1" x14ac:dyDescent="0.25">
      <c r="A566" s="6">
        <v>2028281146</v>
      </c>
      <c r="B566" s="6" t="s">
        <v>706</v>
      </c>
      <c r="C566" s="6" t="s">
        <v>155</v>
      </c>
      <c r="D566" s="6" t="str">
        <f>CONCATENATE(C566," ",B566)</f>
        <v>JASON BOWLES</v>
      </c>
      <c r="E566" s="6" t="s">
        <v>274</v>
      </c>
      <c r="F566" s="6" t="s">
        <v>363</v>
      </c>
      <c r="G566" s="6" t="s">
        <v>364</v>
      </c>
      <c r="H566" s="6" t="s">
        <v>364</v>
      </c>
      <c r="I566" s="20" t="s">
        <v>1358</v>
      </c>
      <c r="J566" s="6" t="s">
        <v>275</v>
      </c>
      <c r="K566" s="6" t="s">
        <v>276</v>
      </c>
      <c r="L566" s="6" t="str">
        <f>CONCATENATE(K566," ",J566)</f>
        <v>Heather Geske</v>
      </c>
      <c r="M566" s="6" t="s">
        <v>57</v>
      </c>
      <c r="N566" s="5">
        <v>45755</v>
      </c>
      <c r="O566" s="5">
        <v>46089</v>
      </c>
      <c r="P566" s="23">
        <f>DATEDIF(N566,O566,"M")</f>
        <v>11</v>
      </c>
      <c r="Q566" s="23" t="s">
        <v>157</v>
      </c>
      <c r="R566" s="23" t="s">
        <v>1391</v>
      </c>
      <c r="S566" s="7">
        <v>120.25</v>
      </c>
      <c r="T566" s="14">
        <v>0.375</v>
      </c>
      <c r="U566" s="6" t="s">
        <v>60</v>
      </c>
      <c r="V566" s="6" t="s">
        <v>135</v>
      </c>
      <c r="W566" s="7">
        <v>45.09</v>
      </c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</row>
    <row r="567" spans="1:55" s="15" customFormat="1" x14ac:dyDescent="0.25">
      <c r="A567" s="6">
        <v>2027253361</v>
      </c>
      <c r="B567" s="6" t="s">
        <v>1158</v>
      </c>
      <c r="C567" s="6" t="s">
        <v>298</v>
      </c>
      <c r="D567" s="6" t="str">
        <f>CONCATENATE(C567," ",B567)</f>
        <v>JAMES COMBS</v>
      </c>
      <c r="E567" s="6" t="s">
        <v>274</v>
      </c>
      <c r="F567" s="6" t="s">
        <v>1132</v>
      </c>
      <c r="G567" s="6" t="s">
        <v>1159</v>
      </c>
      <c r="H567" s="6" t="s">
        <v>1343</v>
      </c>
      <c r="I567" s="20">
        <v>16865615</v>
      </c>
      <c r="J567" s="6" t="s">
        <v>275</v>
      </c>
      <c r="K567" s="6" t="s">
        <v>276</v>
      </c>
      <c r="L567" s="6" t="str">
        <f>CONCATENATE(K567," ",J567)</f>
        <v>Heather Geske</v>
      </c>
      <c r="M567" s="6" t="s">
        <v>57</v>
      </c>
      <c r="N567" s="5">
        <v>45717</v>
      </c>
      <c r="O567" s="5">
        <v>46082</v>
      </c>
      <c r="P567" s="23">
        <f>DATEDIF(N567,O567,"M")</f>
        <v>12</v>
      </c>
      <c r="Q567" s="23" t="s">
        <v>157</v>
      </c>
      <c r="R567" s="23" t="s">
        <v>1391</v>
      </c>
      <c r="S567" s="7">
        <v>136.72</v>
      </c>
      <c r="T567" s="13">
        <v>0.26</v>
      </c>
      <c r="U567" s="6" t="s">
        <v>60</v>
      </c>
      <c r="V567" s="6" t="s">
        <v>135</v>
      </c>
      <c r="W567" s="7">
        <v>35.549999999999997</v>
      </c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</row>
    <row r="568" spans="1:55" s="15" customFormat="1" x14ac:dyDescent="0.25">
      <c r="A568" s="6">
        <v>2027003322</v>
      </c>
      <c r="B568" s="6" t="s">
        <v>558</v>
      </c>
      <c r="C568" s="6" t="s">
        <v>559</v>
      </c>
      <c r="D568" s="6" t="str">
        <f>CONCATENATE(C568," ",B568)</f>
        <v>ANNA SUSSMAN</v>
      </c>
      <c r="E568" s="6" t="s">
        <v>274</v>
      </c>
      <c r="F568" s="6" t="s">
        <v>383</v>
      </c>
      <c r="G568" s="6" t="s">
        <v>1172</v>
      </c>
      <c r="H568" s="6" t="s">
        <v>1172</v>
      </c>
      <c r="I568" s="20">
        <v>16865615</v>
      </c>
      <c r="J568" s="6" t="s">
        <v>275</v>
      </c>
      <c r="K568" s="6" t="s">
        <v>276</v>
      </c>
      <c r="L568" s="6" t="str">
        <f>CONCATENATE(K568," ",J568)</f>
        <v>Heather Geske</v>
      </c>
      <c r="M568" s="6" t="s">
        <v>57</v>
      </c>
      <c r="N568" s="5">
        <v>45696</v>
      </c>
      <c r="O568" s="5">
        <v>46089</v>
      </c>
      <c r="P568" s="23">
        <f>DATEDIF(N568,O568,"M")</f>
        <v>13</v>
      </c>
      <c r="Q568" s="23" t="s">
        <v>157</v>
      </c>
      <c r="R568" s="23" t="s">
        <v>1391</v>
      </c>
      <c r="S568" s="7">
        <v>20.95</v>
      </c>
      <c r="T568" s="13">
        <v>0.15</v>
      </c>
      <c r="U568" s="6" t="s">
        <v>157</v>
      </c>
      <c r="V568" s="6" t="s">
        <v>135</v>
      </c>
      <c r="W568" s="7">
        <v>3.14</v>
      </c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</row>
    <row r="569" spans="1:55" s="15" customFormat="1" x14ac:dyDescent="0.25">
      <c r="A569" s="6">
        <v>2027010993</v>
      </c>
      <c r="B569" s="6" t="s">
        <v>547</v>
      </c>
      <c r="C569" s="6" t="s">
        <v>561</v>
      </c>
      <c r="D569" s="6" t="str">
        <f>CONCATENATE(C569," ",B569)</f>
        <v>KURT JOHNSON</v>
      </c>
      <c r="E569" s="6" t="s">
        <v>274</v>
      </c>
      <c r="F569" s="6" t="s">
        <v>383</v>
      </c>
      <c r="G569" s="6" t="s">
        <v>1172</v>
      </c>
      <c r="H569" s="6" t="s">
        <v>1172</v>
      </c>
      <c r="I569" s="20">
        <v>16865615</v>
      </c>
      <c r="J569" s="6" t="s">
        <v>275</v>
      </c>
      <c r="K569" s="6" t="s">
        <v>276</v>
      </c>
      <c r="L569" s="6" t="str">
        <f>CONCATENATE(K569," ",J569)</f>
        <v>Heather Geske</v>
      </c>
      <c r="M569" s="6" t="s">
        <v>57</v>
      </c>
      <c r="N569" s="5">
        <v>45697</v>
      </c>
      <c r="O569" s="5">
        <v>46090</v>
      </c>
      <c r="P569" s="23">
        <f>DATEDIF(N569,O569,"M")</f>
        <v>13</v>
      </c>
      <c r="Q569" s="23" t="s">
        <v>157</v>
      </c>
      <c r="R569" s="23" t="s">
        <v>1391</v>
      </c>
      <c r="S569" s="7">
        <v>6.3</v>
      </c>
      <c r="T569" s="13">
        <v>0.15</v>
      </c>
      <c r="U569" s="6" t="s">
        <v>157</v>
      </c>
      <c r="V569" s="6" t="s">
        <v>135</v>
      </c>
      <c r="W569" s="7">
        <v>0.94</v>
      </c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</row>
    <row r="570" spans="1:55" s="15" customFormat="1" x14ac:dyDescent="0.25">
      <c r="A570" s="6">
        <v>2027003323</v>
      </c>
      <c r="B570" s="6" t="s">
        <v>558</v>
      </c>
      <c r="C570" s="6" t="s">
        <v>559</v>
      </c>
      <c r="D570" s="6" t="str">
        <f>CONCATENATE(C570," ",B570)</f>
        <v>ANNA SUSSMAN</v>
      </c>
      <c r="E570" s="6" t="s">
        <v>274</v>
      </c>
      <c r="F570" s="6" t="s">
        <v>72</v>
      </c>
      <c r="G570" s="6" t="s">
        <v>455</v>
      </c>
      <c r="H570" s="6" t="s">
        <v>1330</v>
      </c>
      <c r="I570" s="20">
        <v>16865615</v>
      </c>
      <c r="J570" s="6" t="s">
        <v>275</v>
      </c>
      <c r="K570" s="6" t="s">
        <v>276</v>
      </c>
      <c r="L570" s="6" t="str">
        <f>CONCATENATE(K570," ",J570)</f>
        <v>Heather Geske</v>
      </c>
      <c r="M570" s="6" t="s">
        <v>57</v>
      </c>
      <c r="N570" s="5">
        <v>45696</v>
      </c>
      <c r="O570" s="5">
        <v>46089</v>
      </c>
      <c r="P570" s="23">
        <f>DATEDIF(N570,O570,"M")</f>
        <v>13</v>
      </c>
      <c r="Q570" s="23" t="s">
        <v>157</v>
      </c>
      <c r="R570" s="23" t="s">
        <v>1391</v>
      </c>
      <c r="S570" s="7">
        <v>133.63</v>
      </c>
      <c r="T570" s="13">
        <v>0.1</v>
      </c>
      <c r="U570" s="6" t="s">
        <v>157</v>
      </c>
      <c r="V570" s="6" t="s">
        <v>135</v>
      </c>
      <c r="W570" s="7">
        <v>13.36</v>
      </c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</row>
    <row r="571" spans="1:55" s="15" customFormat="1" x14ac:dyDescent="0.25">
      <c r="A571" s="6">
        <v>2027003554</v>
      </c>
      <c r="B571" s="6" t="s">
        <v>560</v>
      </c>
      <c r="C571" s="6" t="s">
        <v>92</v>
      </c>
      <c r="D571" s="6" t="str">
        <f>CONCATENATE(C571," ",B571)</f>
        <v>TIMOTHY GOLAY</v>
      </c>
      <c r="E571" s="6" t="s">
        <v>274</v>
      </c>
      <c r="F571" s="6" t="s">
        <v>72</v>
      </c>
      <c r="G571" s="6" t="s">
        <v>455</v>
      </c>
      <c r="H571" s="6" t="s">
        <v>1330</v>
      </c>
      <c r="I571" s="20">
        <v>16865615</v>
      </c>
      <c r="J571" s="6" t="s">
        <v>275</v>
      </c>
      <c r="K571" s="6" t="s">
        <v>276</v>
      </c>
      <c r="L571" s="6" t="str">
        <f>CONCATENATE(K571," ",J571)</f>
        <v>Heather Geske</v>
      </c>
      <c r="M571" s="6" t="s">
        <v>57</v>
      </c>
      <c r="N571" s="5">
        <v>45698</v>
      </c>
      <c r="O571" s="5">
        <v>46091</v>
      </c>
      <c r="P571" s="23">
        <f>DATEDIF(N571,O571,"M")</f>
        <v>13</v>
      </c>
      <c r="Q571" s="23" t="s">
        <v>157</v>
      </c>
      <c r="R571" s="23" t="s">
        <v>1391</v>
      </c>
      <c r="S571" s="7">
        <v>50.23</v>
      </c>
      <c r="T571" s="13">
        <v>0.1</v>
      </c>
      <c r="U571" s="6" t="s">
        <v>157</v>
      </c>
      <c r="V571" s="6" t="s">
        <v>135</v>
      </c>
      <c r="W571" s="7">
        <v>5.0199999999999996</v>
      </c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</row>
    <row r="572" spans="1:55" s="15" customFormat="1" x14ac:dyDescent="0.25">
      <c r="A572" s="6">
        <v>2027010992</v>
      </c>
      <c r="B572" s="6" t="s">
        <v>547</v>
      </c>
      <c r="C572" s="6" t="s">
        <v>561</v>
      </c>
      <c r="D572" s="6" t="str">
        <f>CONCATENATE(C572," ",B572)</f>
        <v>KURT JOHNSON</v>
      </c>
      <c r="E572" s="6" t="s">
        <v>274</v>
      </c>
      <c r="F572" s="6" t="s">
        <v>72</v>
      </c>
      <c r="G572" s="6" t="s">
        <v>455</v>
      </c>
      <c r="H572" s="6" t="s">
        <v>1330</v>
      </c>
      <c r="I572" s="20">
        <v>16865615</v>
      </c>
      <c r="J572" s="6" t="s">
        <v>275</v>
      </c>
      <c r="K572" s="6" t="s">
        <v>276</v>
      </c>
      <c r="L572" s="6" t="str">
        <f>CONCATENATE(K572," ",J572)</f>
        <v>Heather Geske</v>
      </c>
      <c r="M572" s="6" t="s">
        <v>57</v>
      </c>
      <c r="N572" s="5">
        <v>45697</v>
      </c>
      <c r="O572" s="5">
        <v>46090</v>
      </c>
      <c r="P572" s="23">
        <f>DATEDIF(N572,O572,"M")</f>
        <v>13</v>
      </c>
      <c r="Q572" s="23" t="s">
        <v>157</v>
      </c>
      <c r="R572" s="23" t="s">
        <v>1391</v>
      </c>
      <c r="S572" s="7">
        <v>47.01</v>
      </c>
      <c r="T572" s="13">
        <v>0.1</v>
      </c>
      <c r="U572" s="6" t="s">
        <v>157</v>
      </c>
      <c r="V572" s="6" t="s">
        <v>135</v>
      </c>
      <c r="W572" s="7">
        <v>4.7</v>
      </c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</row>
    <row r="573" spans="1:55" s="15" customFormat="1" x14ac:dyDescent="0.25">
      <c r="A573" s="6">
        <v>2027001809</v>
      </c>
      <c r="B573" s="6" t="s">
        <v>557</v>
      </c>
      <c r="C573" s="6" t="s">
        <v>190</v>
      </c>
      <c r="D573" s="6" t="str">
        <f>CONCATENATE(C573," ",B573)</f>
        <v>HEIDI SINKLIER</v>
      </c>
      <c r="E573" s="6" t="s">
        <v>274</v>
      </c>
      <c r="F573" s="6" t="s">
        <v>72</v>
      </c>
      <c r="G573" s="6" t="s">
        <v>93</v>
      </c>
      <c r="H573" s="6" t="s">
        <v>1332</v>
      </c>
      <c r="I573" s="20">
        <v>16865615</v>
      </c>
      <c r="J573" s="6" t="s">
        <v>275</v>
      </c>
      <c r="K573" s="6" t="s">
        <v>276</v>
      </c>
      <c r="L573" s="6" t="str">
        <f>CONCATENATE(K573," ",J573)</f>
        <v>Heather Geske</v>
      </c>
      <c r="M573" s="6" t="s">
        <v>57</v>
      </c>
      <c r="N573" s="5">
        <v>45698</v>
      </c>
      <c r="O573" s="5">
        <v>46091</v>
      </c>
      <c r="P573" s="23">
        <f>DATEDIF(N573,O573,"M")</f>
        <v>13</v>
      </c>
      <c r="Q573" s="23" t="s">
        <v>157</v>
      </c>
      <c r="R573" s="23" t="s">
        <v>1391</v>
      </c>
      <c r="S573" s="7">
        <v>57.08</v>
      </c>
      <c r="T573" s="13">
        <v>0.1</v>
      </c>
      <c r="U573" s="6" t="s">
        <v>157</v>
      </c>
      <c r="V573" s="6" t="s">
        <v>135</v>
      </c>
      <c r="W573" s="7">
        <v>5.71</v>
      </c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</row>
    <row r="574" spans="1:55" s="15" customFormat="1" x14ac:dyDescent="0.25">
      <c r="A574" s="6">
        <v>2026760350</v>
      </c>
      <c r="B574" s="6" t="s">
        <v>272</v>
      </c>
      <c r="C574" s="6" t="s">
        <v>273</v>
      </c>
      <c r="D574" s="6" t="str">
        <f>CONCATENATE(C574," ",B574)</f>
        <v>CRAIG DEAN</v>
      </c>
      <c r="E574" s="6" t="s">
        <v>274</v>
      </c>
      <c r="F574" s="6" t="s">
        <v>152</v>
      </c>
      <c r="G574" s="6" t="s">
        <v>153</v>
      </c>
      <c r="H574" s="6" t="s">
        <v>153</v>
      </c>
      <c r="I574" s="20">
        <v>16865615</v>
      </c>
      <c r="J574" s="6" t="s">
        <v>275</v>
      </c>
      <c r="K574" s="6" t="s">
        <v>276</v>
      </c>
      <c r="L574" s="6" t="str">
        <f>CONCATENATE(K574," ",J574)</f>
        <v>Heather Geske</v>
      </c>
      <c r="M574" s="6" t="s">
        <v>57</v>
      </c>
      <c r="N574" s="5">
        <v>45689</v>
      </c>
      <c r="O574" s="5">
        <v>46082</v>
      </c>
      <c r="P574" s="23">
        <f>DATEDIF(N574,O574,"M")</f>
        <v>13</v>
      </c>
      <c r="Q574" s="23" t="s">
        <v>157</v>
      </c>
      <c r="R574" s="23" t="s">
        <v>1391</v>
      </c>
      <c r="S574" s="7">
        <v>76.209999999999994</v>
      </c>
      <c r="T574" s="14">
        <v>5.2499999999999998E-2</v>
      </c>
      <c r="U574" s="6" t="s">
        <v>157</v>
      </c>
      <c r="V574" s="6" t="s">
        <v>135</v>
      </c>
      <c r="W574" s="7">
        <v>4</v>
      </c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</row>
    <row r="575" spans="1:55" s="15" customFormat="1" x14ac:dyDescent="0.25">
      <c r="A575" s="6">
        <v>2027003553</v>
      </c>
      <c r="B575" s="6" t="s">
        <v>560</v>
      </c>
      <c r="C575" s="6" t="s">
        <v>92</v>
      </c>
      <c r="D575" s="6" t="str">
        <f>CONCATENATE(C575," ",B575)</f>
        <v>TIMOTHY GOLAY</v>
      </c>
      <c r="E575" s="6" t="s">
        <v>274</v>
      </c>
      <c r="F575" s="6" t="s">
        <v>378</v>
      </c>
      <c r="G575" s="6" t="s">
        <v>379</v>
      </c>
      <c r="H575" s="6" t="s">
        <v>379</v>
      </c>
      <c r="I575" s="20">
        <v>16865615</v>
      </c>
      <c r="J575" s="6" t="s">
        <v>275</v>
      </c>
      <c r="K575" s="6" t="s">
        <v>276</v>
      </c>
      <c r="L575" s="6" t="str">
        <f>CONCATENATE(K575," ",J575)</f>
        <v>Heather Geske</v>
      </c>
      <c r="M575" s="6" t="s">
        <v>57</v>
      </c>
      <c r="N575" s="5">
        <v>45698</v>
      </c>
      <c r="O575" s="5">
        <v>46091</v>
      </c>
      <c r="P575" s="23">
        <f>DATEDIF(N575,O575,"M")</f>
        <v>13</v>
      </c>
      <c r="Q575" s="23" t="s">
        <v>157</v>
      </c>
      <c r="R575" s="23" t="s">
        <v>1391</v>
      </c>
      <c r="S575" s="7">
        <v>60.5</v>
      </c>
      <c r="T575" s="13">
        <v>0.1</v>
      </c>
      <c r="U575" s="6" t="s">
        <v>157</v>
      </c>
      <c r="V575" s="6" t="s">
        <v>135</v>
      </c>
      <c r="W575" s="7">
        <v>6.05</v>
      </c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</row>
    <row r="576" spans="1:55" s="15" customFormat="1" x14ac:dyDescent="0.25">
      <c r="A576" s="6">
        <v>2027010990</v>
      </c>
      <c r="B576" s="6" t="s">
        <v>547</v>
      </c>
      <c r="C576" s="6" t="s">
        <v>561</v>
      </c>
      <c r="D576" s="6" t="str">
        <f>CONCATENATE(C576," ",B576)</f>
        <v>KURT JOHNSON</v>
      </c>
      <c r="E576" s="6" t="s">
        <v>274</v>
      </c>
      <c r="F576" s="6" t="s">
        <v>378</v>
      </c>
      <c r="G576" s="6" t="s">
        <v>379</v>
      </c>
      <c r="H576" s="6" t="s">
        <v>379</v>
      </c>
      <c r="I576" s="20">
        <v>16865615</v>
      </c>
      <c r="J576" s="6" t="s">
        <v>275</v>
      </c>
      <c r="K576" s="6" t="s">
        <v>276</v>
      </c>
      <c r="L576" s="6" t="str">
        <f>CONCATENATE(K576," ",J576)</f>
        <v>Heather Geske</v>
      </c>
      <c r="M576" s="6" t="s">
        <v>57</v>
      </c>
      <c r="N576" s="5">
        <v>45697</v>
      </c>
      <c r="O576" s="5">
        <v>46090</v>
      </c>
      <c r="P576" s="23">
        <f>DATEDIF(N576,O576,"M")</f>
        <v>13</v>
      </c>
      <c r="Q576" s="23" t="s">
        <v>157</v>
      </c>
      <c r="R576" s="23" t="s">
        <v>1391</v>
      </c>
      <c r="S576" s="7">
        <v>29.31</v>
      </c>
      <c r="T576" s="13">
        <v>0.1</v>
      </c>
      <c r="U576" s="6" t="s">
        <v>157</v>
      </c>
      <c r="V576" s="6" t="s">
        <v>135</v>
      </c>
      <c r="W576" s="7">
        <v>2.93</v>
      </c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</row>
    <row r="577" spans="1:55" s="15" customFormat="1" x14ac:dyDescent="0.25">
      <c r="A577" s="6">
        <v>2027001808</v>
      </c>
      <c r="B577" s="6" t="s">
        <v>557</v>
      </c>
      <c r="C577" s="6" t="s">
        <v>190</v>
      </c>
      <c r="D577" s="6" t="str">
        <f>CONCATENATE(C577," ",B577)</f>
        <v>HEIDI SINKLIER</v>
      </c>
      <c r="E577" s="6" t="s">
        <v>274</v>
      </c>
      <c r="F577" s="6" t="s">
        <v>383</v>
      </c>
      <c r="G577" s="6" t="s">
        <v>384</v>
      </c>
      <c r="H577" s="6" t="s">
        <v>384</v>
      </c>
      <c r="I577" s="20">
        <v>16865615</v>
      </c>
      <c r="J577" s="6" t="s">
        <v>275</v>
      </c>
      <c r="K577" s="6" t="s">
        <v>276</v>
      </c>
      <c r="L577" s="6" t="str">
        <f>CONCATENATE(K577," ",J577)</f>
        <v>Heather Geske</v>
      </c>
      <c r="M577" s="6" t="s">
        <v>57</v>
      </c>
      <c r="N577" s="5">
        <v>45698</v>
      </c>
      <c r="O577" s="5">
        <v>46091</v>
      </c>
      <c r="P577" s="23">
        <f>DATEDIF(N577,O577,"M")</f>
        <v>13</v>
      </c>
      <c r="Q577" s="23" t="s">
        <v>157</v>
      </c>
      <c r="R577" s="23" t="s">
        <v>1391</v>
      </c>
      <c r="S577" s="7">
        <v>7.11</v>
      </c>
      <c r="T577" s="13">
        <v>0.15</v>
      </c>
      <c r="U577" s="6" t="s">
        <v>157</v>
      </c>
      <c r="V577" s="6" t="s">
        <v>135</v>
      </c>
      <c r="W577" s="7">
        <v>1.07</v>
      </c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</row>
    <row r="578" spans="1:55" s="15" customFormat="1" x14ac:dyDescent="0.25">
      <c r="A578" s="6">
        <v>2027003321</v>
      </c>
      <c r="B578" s="6" t="s">
        <v>558</v>
      </c>
      <c r="C578" s="6" t="s">
        <v>559</v>
      </c>
      <c r="D578" s="6" t="str">
        <f>CONCATENATE(C578," ",B578)</f>
        <v>ANNA SUSSMAN</v>
      </c>
      <c r="E578" s="6" t="s">
        <v>274</v>
      </c>
      <c r="F578" s="6" t="s">
        <v>383</v>
      </c>
      <c r="G578" s="6" t="s">
        <v>384</v>
      </c>
      <c r="H578" s="6" t="s">
        <v>384</v>
      </c>
      <c r="I578" s="20">
        <v>16865615</v>
      </c>
      <c r="J578" s="6" t="s">
        <v>275</v>
      </c>
      <c r="K578" s="6" t="s">
        <v>276</v>
      </c>
      <c r="L578" s="6" t="str">
        <f>CONCATENATE(K578," ",J578)</f>
        <v>Heather Geske</v>
      </c>
      <c r="M578" s="6" t="s">
        <v>57</v>
      </c>
      <c r="N578" s="5">
        <v>45696</v>
      </c>
      <c r="O578" s="5">
        <v>46089</v>
      </c>
      <c r="P578" s="23">
        <f>DATEDIF(N578,O578,"M")</f>
        <v>13</v>
      </c>
      <c r="Q578" s="23" t="s">
        <v>157</v>
      </c>
      <c r="R578" s="23" t="s">
        <v>1391</v>
      </c>
      <c r="S578" s="7">
        <v>29.2</v>
      </c>
      <c r="T578" s="13">
        <v>0.15</v>
      </c>
      <c r="U578" s="6" t="s">
        <v>157</v>
      </c>
      <c r="V578" s="6" t="s">
        <v>135</v>
      </c>
      <c r="W578" s="7">
        <v>4.38</v>
      </c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</row>
    <row r="579" spans="1:55" s="15" customFormat="1" x14ac:dyDescent="0.25">
      <c r="A579" s="6">
        <v>2027003552</v>
      </c>
      <c r="B579" s="6" t="s">
        <v>560</v>
      </c>
      <c r="C579" s="6" t="s">
        <v>92</v>
      </c>
      <c r="D579" s="6" t="str">
        <f>CONCATENATE(C579," ",B579)</f>
        <v>TIMOTHY GOLAY</v>
      </c>
      <c r="E579" s="6" t="s">
        <v>274</v>
      </c>
      <c r="F579" s="6" t="s">
        <v>383</v>
      </c>
      <c r="G579" s="6" t="s">
        <v>384</v>
      </c>
      <c r="H579" s="6" t="s">
        <v>384</v>
      </c>
      <c r="I579" s="20">
        <v>16865615</v>
      </c>
      <c r="J579" s="6" t="s">
        <v>275</v>
      </c>
      <c r="K579" s="6" t="s">
        <v>276</v>
      </c>
      <c r="L579" s="6" t="str">
        <f>CONCATENATE(K579," ",J579)</f>
        <v>Heather Geske</v>
      </c>
      <c r="M579" s="6" t="s">
        <v>57</v>
      </c>
      <c r="N579" s="5">
        <v>45698</v>
      </c>
      <c r="O579" s="5">
        <v>46091</v>
      </c>
      <c r="P579" s="23">
        <f>DATEDIF(N579,O579,"M")</f>
        <v>13</v>
      </c>
      <c r="Q579" s="23" t="s">
        <v>157</v>
      </c>
      <c r="R579" s="23" t="s">
        <v>1391</v>
      </c>
      <c r="S579" s="7">
        <v>27.38</v>
      </c>
      <c r="T579" s="13">
        <v>0.15</v>
      </c>
      <c r="U579" s="6" t="s">
        <v>157</v>
      </c>
      <c r="V579" s="6" t="s">
        <v>135</v>
      </c>
      <c r="W579" s="7">
        <v>4.1100000000000003</v>
      </c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</row>
    <row r="580" spans="1:55" s="15" customFormat="1" x14ac:dyDescent="0.25">
      <c r="A580" s="6">
        <v>2027010991</v>
      </c>
      <c r="B580" s="6" t="s">
        <v>547</v>
      </c>
      <c r="C580" s="6" t="s">
        <v>561</v>
      </c>
      <c r="D580" s="6" t="str">
        <f>CONCATENATE(C580," ",B580)</f>
        <v>KURT JOHNSON</v>
      </c>
      <c r="E580" s="6" t="s">
        <v>274</v>
      </c>
      <c r="F580" s="6" t="s">
        <v>383</v>
      </c>
      <c r="G580" s="6" t="s">
        <v>384</v>
      </c>
      <c r="H580" s="6" t="s">
        <v>384</v>
      </c>
      <c r="I580" s="20">
        <v>16865615</v>
      </c>
      <c r="J580" s="6" t="s">
        <v>275</v>
      </c>
      <c r="K580" s="6" t="s">
        <v>276</v>
      </c>
      <c r="L580" s="6" t="str">
        <f>CONCATENATE(K580," ",J580)</f>
        <v>Heather Geske</v>
      </c>
      <c r="M580" s="6" t="s">
        <v>57</v>
      </c>
      <c r="N580" s="5">
        <v>45697</v>
      </c>
      <c r="O580" s="5">
        <v>46090</v>
      </c>
      <c r="P580" s="23">
        <f>DATEDIF(N580,O580,"M")</f>
        <v>13</v>
      </c>
      <c r="Q580" s="23" t="s">
        <v>157</v>
      </c>
      <c r="R580" s="23" t="s">
        <v>1391</v>
      </c>
      <c r="S580" s="7">
        <v>9.6999999999999993</v>
      </c>
      <c r="T580" s="13">
        <v>0.15</v>
      </c>
      <c r="U580" s="6" t="s">
        <v>157</v>
      </c>
      <c r="V580" s="6" t="s">
        <v>135</v>
      </c>
      <c r="W580" s="7">
        <v>1.46</v>
      </c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</row>
    <row r="581" spans="1:55" s="15" customFormat="1" x14ac:dyDescent="0.25">
      <c r="A581" s="6">
        <v>2027055700</v>
      </c>
      <c r="B581" s="6" t="s">
        <v>684</v>
      </c>
      <c r="C581" s="6" t="s">
        <v>685</v>
      </c>
      <c r="D581" s="6" t="str">
        <f>CONCATENATE(C581," ",B581)</f>
        <v>AARON HEGARTY</v>
      </c>
      <c r="E581" s="6" t="s">
        <v>274</v>
      </c>
      <c r="F581" s="6" t="s">
        <v>383</v>
      </c>
      <c r="G581" s="6" t="s">
        <v>384</v>
      </c>
      <c r="H581" s="6" t="s">
        <v>384</v>
      </c>
      <c r="I581" s="20">
        <v>16865615</v>
      </c>
      <c r="J581" s="6" t="s">
        <v>275</v>
      </c>
      <c r="K581" s="6" t="s">
        <v>276</v>
      </c>
      <c r="L581" s="6" t="str">
        <f>CONCATENATE(K581," ",J581)</f>
        <v>Heather Geske</v>
      </c>
      <c r="M581" s="6" t="s">
        <v>57</v>
      </c>
      <c r="N581" s="5">
        <v>45699</v>
      </c>
      <c r="O581" s="5">
        <v>46092</v>
      </c>
      <c r="P581" s="23">
        <f>DATEDIF(N581,O581,"M")</f>
        <v>13</v>
      </c>
      <c r="Q581" s="23" t="s">
        <v>157</v>
      </c>
      <c r="R581" s="23" t="s">
        <v>1391</v>
      </c>
      <c r="S581" s="7">
        <v>9.1</v>
      </c>
      <c r="T581" s="13">
        <v>0.15</v>
      </c>
      <c r="U581" s="6" t="s">
        <v>157</v>
      </c>
      <c r="V581" s="6" t="s">
        <v>135</v>
      </c>
      <c r="W581" s="7">
        <v>1.36</v>
      </c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</row>
    <row r="582" spans="1:55" s="15" customFormat="1" x14ac:dyDescent="0.25">
      <c r="A582" s="6">
        <v>2027001807</v>
      </c>
      <c r="B582" s="6" t="s">
        <v>557</v>
      </c>
      <c r="C582" s="6" t="s">
        <v>190</v>
      </c>
      <c r="D582" s="6" t="str">
        <f>CONCATENATE(C582," ",B582)</f>
        <v>HEIDI SINKLIER</v>
      </c>
      <c r="E582" s="6" t="s">
        <v>274</v>
      </c>
      <c r="F582" s="6" t="s">
        <v>363</v>
      </c>
      <c r="G582" s="6" t="s">
        <v>364</v>
      </c>
      <c r="H582" s="6" t="s">
        <v>364</v>
      </c>
      <c r="I582" s="20">
        <v>16865615</v>
      </c>
      <c r="J582" s="6" t="s">
        <v>275</v>
      </c>
      <c r="K582" s="6" t="s">
        <v>276</v>
      </c>
      <c r="L582" s="6" t="str">
        <f>CONCATENATE(K582," ",J582)</f>
        <v>Heather Geske</v>
      </c>
      <c r="M582" s="6" t="s">
        <v>57</v>
      </c>
      <c r="N582" s="5">
        <v>45698</v>
      </c>
      <c r="O582" s="5">
        <v>46091</v>
      </c>
      <c r="P582" s="23">
        <f>DATEDIF(N582,O582,"M")</f>
        <v>13</v>
      </c>
      <c r="Q582" s="23" t="s">
        <v>157</v>
      </c>
      <c r="R582" s="23" t="s">
        <v>1391</v>
      </c>
      <c r="S582" s="7">
        <v>53.08</v>
      </c>
      <c r="T582" s="13">
        <v>0.06</v>
      </c>
      <c r="U582" s="6" t="s">
        <v>157</v>
      </c>
      <c r="V582" s="6" t="s">
        <v>135</v>
      </c>
      <c r="W582" s="7">
        <v>3.18</v>
      </c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</row>
    <row r="583" spans="1:55" s="15" customFormat="1" x14ac:dyDescent="0.25">
      <c r="A583" s="6">
        <v>2027055699</v>
      </c>
      <c r="B583" s="6" t="s">
        <v>684</v>
      </c>
      <c r="C583" s="6" t="s">
        <v>685</v>
      </c>
      <c r="D583" s="6" t="str">
        <f>CONCATENATE(C583," ",B583)</f>
        <v>AARON HEGARTY</v>
      </c>
      <c r="E583" s="6" t="s">
        <v>274</v>
      </c>
      <c r="F583" s="6" t="s">
        <v>363</v>
      </c>
      <c r="G583" s="6" t="s">
        <v>364</v>
      </c>
      <c r="H583" s="6" t="s">
        <v>364</v>
      </c>
      <c r="I583" s="20">
        <v>16865615</v>
      </c>
      <c r="J583" s="6" t="s">
        <v>275</v>
      </c>
      <c r="K583" s="6" t="s">
        <v>276</v>
      </c>
      <c r="L583" s="6" t="str">
        <f>CONCATENATE(K583," ",J583)</f>
        <v>Heather Geske</v>
      </c>
      <c r="M583" s="6" t="s">
        <v>57</v>
      </c>
      <c r="N583" s="5">
        <v>45699</v>
      </c>
      <c r="O583" s="5">
        <v>46092</v>
      </c>
      <c r="P583" s="23">
        <f>DATEDIF(N583,O583,"M")</f>
        <v>13</v>
      </c>
      <c r="Q583" s="23" t="s">
        <v>157</v>
      </c>
      <c r="R583" s="23" t="s">
        <v>1391</v>
      </c>
      <c r="S583" s="7">
        <v>53.08</v>
      </c>
      <c r="T583" s="13">
        <v>0.06</v>
      </c>
      <c r="U583" s="6" t="s">
        <v>157</v>
      </c>
      <c r="V583" s="6" t="s">
        <v>135</v>
      </c>
      <c r="W583" s="7">
        <v>3.18</v>
      </c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</row>
    <row r="584" spans="1:55" s="15" customFormat="1" x14ac:dyDescent="0.25">
      <c r="A584" s="6">
        <v>2026133999</v>
      </c>
      <c r="B584" s="6" t="s">
        <v>491</v>
      </c>
      <c r="C584" s="6" t="s">
        <v>520</v>
      </c>
      <c r="D584" s="6" t="str">
        <f>CONCATENATE(C584," ",B584)</f>
        <v>HEATHER GESKE</v>
      </c>
      <c r="E584" s="6" t="s">
        <v>274</v>
      </c>
      <c r="F584" s="6" t="s">
        <v>72</v>
      </c>
      <c r="G584" s="6" t="s">
        <v>455</v>
      </c>
      <c r="H584" s="6" t="s">
        <v>1330</v>
      </c>
      <c r="I584" s="20">
        <v>16865615</v>
      </c>
      <c r="J584" s="6" t="s">
        <v>275</v>
      </c>
      <c r="K584" s="6" t="s">
        <v>276</v>
      </c>
      <c r="L584" s="6" t="str">
        <f>CONCATENATE(K584," ",J584)</f>
        <v>Heather Geske</v>
      </c>
      <c r="M584" s="6" t="s">
        <v>57</v>
      </c>
      <c r="N584" s="5">
        <v>45638</v>
      </c>
      <c r="O584" s="5">
        <v>46093</v>
      </c>
      <c r="P584" s="23">
        <f>DATEDIF(N584,O584,"M")</f>
        <v>15</v>
      </c>
      <c r="Q584" s="23" t="s">
        <v>157</v>
      </c>
      <c r="R584" s="23" t="s">
        <v>1391</v>
      </c>
      <c r="S584" s="7">
        <v>100.33</v>
      </c>
      <c r="T584" s="13">
        <v>0.1</v>
      </c>
      <c r="U584" s="6" t="s">
        <v>157</v>
      </c>
      <c r="V584" s="6" t="s">
        <v>135</v>
      </c>
      <c r="W584" s="7">
        <v>10.029999999999999</v>
      </c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</row>
    <row r="585" spans="1:55" s="15" customFormat="1" x14ac:dyDescent="0.25">
      <c r="A585" s="6">
        <v>2026133998</v>
      </c>
      <c r="B585" s="6" t="s">
        <v>491</v>
      </c>
      <c r="C585" s="6" t="s">
        <v>520</v>
      </c>
      <c r="D585" s="6" t="str">
        <f>CONCATENATE(C585," ",B585)</f>
        <v>HEATHER GESKE</v>
      </c>
      <c r="E585" s="6" t="s">
        <v>274</v>
      </c>
      <c r="F585" s="6" t="s">
        <v>383</v>
      </c>
      <c r="G585" s="6" t="s">
        <v>384</v>
      </c>
      <c r="H585" s="6" t="s">
        <v>384</v>
      </c>
      <c r="I585" s="20">
        <v>16865615</v>
      </c>
      <c r="J585" s="6" t="s">
        <v>275</v>
      </c>
      <c r="K585" s="6" t="s">
        <v>276</v>
      </c>
      <c r="L585" s="6" t="str">
        <f>CONCATENATE(K585," ",J585)</f>
        <v>Heather Geske</v>
      </c>
      <c r="M585" s="6" t="s">
        <v>57</v>
      </c>
      <c r="N585" s="5">
        <v>45638</v>
      </c>
      <c r="O585" s="5">
        <v>46093</v>
      </c>
      <c r="P585" s="23">
        <f>DATEDIF(N585,O585,"M")</f>
        <v>15</v>
      </c>
      <c r="Q585" s="23" t="s">
        <v>157</v>
      </c>
      <c r="R585" s="23" t="s">
        <v>1391</v>
      </c>
      <c r="S585" s="7">
        <v>18.2</v>
      </c>
      <c r="T585" s="13">
        <v>0.15</v>
      </c>
      <c r="U585" s="6" t="s">
        <v>157</v>
      </c>
      <c r="V585" s="6" t="s">
        <v>135</v>
      </c>
      <c r="W585" s="7">
        <v>2.73</v>
      </c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</row>
    <row r="586" spans="1:55" s="15" customFormat="1" x14ac:dyDescent="0.25">
      <c r="A586" s="6">
        <v>2033055763</v>
      </c>
      <c r="B586" s="6" t="s">
        <v>948</v>
      </c>
      <c r="C586" s="6" t="s">
        <v>726</v>
      </c>
      <c r="D586" s="6" t="str">
        <f>CONCATENATE(C586," ",B586)</f>
        <v>MARIA RODRIGUEZ</v>
      </c>
      <c r="E586" s="6" t="s">
        <v>170</v>
      </c>
      <c r="F586" s="6" t="s">
        <v>383</v>
      </c>
      <c r="G586" s="6" t="s">
        <v>384</v>
      </c>
      <c r="H586" s="6" t="s">
        <v>1336</v>
      </c>
      <c r="I586" s="20" t="s">
        <v>1359</v>
      </c>
      <c r="J586" s="6" t="s">
        <v>949</v>
      </c>
      <c r="K586" s="6" t="s">
        <v>950</v>
      </c>
      <c r="L586" s="6" t="str">
        <f>CONCATENATE(K586," ",J586)</f>
        <v>Ines Berg</v>
      </c>
      <c r="M586" s="6" t="s">
        <v>57</v>
      </c>
      <c r="N586" s="5">
        <v>46031</v>
      </c>
      <c r="O586" s="5">
        <v>46090</v>
      </c>
      <c r="P586" s="23">
        <f>DATEDIF(N586,O586,"M")</f>
        <v>2</v>
      </c>
      <c r="Q586" s="23" t="s">
        <v>157</v>
      </c>
      <c r="R586" s="23" t="s">
        <v>1390</v>
      </c>
      <c r="S586" s="7">
        <v>27.46</v>
      </c>
      <c r="T586" s="13">
        <v>0.7</v>
      </c>
      <c r="U586" s="6" t="s">
        <v>60</v>
      </c>
      <c r="V586" s="6" t="s">
        <v>135</v>
      </c>
      <c r="W586" s="7">
        <v>19.22</v>
      </c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</row>
    <row r="587" spans="1:55" s="15" customFormat="1" x14ac:dyDescent="0.25">
      <c r="A587" s="15">
        <v>2031934790</v>
      </c>
      <c r="B587" s="15" t="s">
        <v>324</v>
      </c>
      <c r="C587" s="15" t="s">
        <v>203</v>
      </c>
      <c r="D587" s="15" t="str">
        <f>CONCATENATE(C587," ",B587)</f>
        <v>EDWARD GARCIA</v>
      </c>
      <c r="E587" s="15" t="s">
        <v>66</v>
      </c>
      <c r="F587" s="15" t="s">
        <v>152</v>
      </c>
      <c r="G587" s="15" t="s">
        <v>153</v>
      </c>
      <c r="H587" s="15" t="s">
        <v>153</v>
      </c>
      <c r="I587" s="21">
        <v>18754354</v>
      </c>
      <c r="J587" s="15" t="s">
        <v>325</v>
      </c>
      <c r="K587" s="15" t="s">
        <v>326</v>
      </c>
      <c r="L587" s="15" t="str">
        <f>CONCATENATE(K587," ",J587)</f>
        <v>JACOB YALE</v>
      </c>
      <c r="M587" s="15" t="s">
        <v>57</v>
      </c>
      <c r="N587" s="16">
        <v>45962</v>
      </c>
      <c r="O587" s="16">
        <v>46082</v>
      </c>
      <c r="P587" s="24">
        <f>DATEDIF(N587,O587,"M")</f>
        <v>4</v>
      </c>
      <c r="Q587" s="24" t="s">
        <v>157</v>
      </c>
      <c r="R587" s="24" t="s">
        <v>1391</v>
      </c>
      <c r="S587" s="17">
        <v>66.28</v>
      </c>
      <c r="T587" s="18">
        <v>0.47</v>
      </c>
      <c r="U587" s="15" t="s">
        <v>60</v>
      </c>
      <c r="V587" s="15" t="s">
        <v>135</v>
      </c>
      <c r="W587" s="17">
        <v>31.15</v>
      </c>
    </row>
    <row r="588" spans="1:55" s="15" customFormat="1" x14ac:dyDescent="0.25">
      <c r="A588" s="15">
        <v>2029658015</v>
      </c>
      <c r="B588" s="15" t="s">
        <v>537</v>
      </c>
      <c r="C588" s="15" t="s">
        <v>718</v>
      </c>
      <c r="D588" s="15" t="str">
        <f>CONCATENATE(C588," ",B588)</f>
        <v>JONES BRIAN</v>
      </c>
      <c r="E588" s="15" t="s">
        <v>170</v>
      </c>
      <c r="F588" s="15" t="s">
        <v>383</v>
      </c>
      <c r="G588" s="15" t="s">
        <v>384</v>
      </c>
      <c r="H588" s="15" t="s">
        <v>384</v>
      </c>
      <c r="I588" s="21">
        <v>18754354</v>
      </c>
      <c r="J588" s="15" t="s">
        <v>325</v>
      </c>
      <c r="K588" s="15" t="s">
        <v>326</v>
      </c>
      <c r="L588" s="15" t="str">
        <f>CONCATENATE(K588," ",J588)</f>
        <v>JACOB YALE</v>
      </c>
      <c r="M588" s="15" t="s">
        <v>57</v>
      </c>
      <c r="N588" s="16">
        <v>45845</v>
      </c>
      <c r="O588" s="16">
        <v>46088</v>
      </c>
      <c r="P588" s="24">
        <f>DATEDIF(N588,O588,"M")</f>
        <v>8</v>
      </c>
      <c r="Q588" s="24" t="s">
        <v>157</v>
      </c>
      <c r="R588" s="24" t="s">
        <v>1391</v>
      </c>
      <c r="S588" s="17">
        <v>22.72</v>
      </c>
      <c r="T588" s="18">
        <v>0.7</v>
      </c>
      <c r="U588" s="15" t="s">
        <v>60</v>
      </c>
      <c r="V588" s="15" t="s">
        <v>135</v>
      </c>
      <c r="W588" s="17">
        <v>15.9</v>
      </c>
    </row>
    <row r="589" spans="1:55" s="15" customFormat="1" x14ac:dyDescent="0.25">
      <c r="A589" s="15">
        <v>2029434655</v>
      </c>
      <c r="B589" s="15" t="s">
        <v>1266</v>
      </c>
      <c r="C589" s="15" t="s">
        <v>1070</v>
      </c>
      <c r="D589" s="15" t="str">
        <f>CONCATENATE(C589," ",B589)</f>
        <v>KATHERINE BALLARD</v>
      </c>
      <c r="E589" s="15" t="s">
        <v>170</v>
      </c>
      <c r="F589" s="15" t="s">
        <v>383</v>
      </c>
      <c r="G589" s="15" t="s">
        <v>384</v>
      </c>
      <c r="H589" s="15" t="s">
        <v>384</v>
      </c>
      <c r="I589" s="21">
        <v>18754354</v>
      </c>
      <c r="J589" s="15" t="s">
        <v>325</v>
      </c>
      <c r="K589" s="15" t="s">
        <v>326</v>
      </c>
      <c r="L589" s="15" t="str">
        <f>CONCATENATE(K589," ",J589)</f>
        <v>JACOB YALE</v>
      </c>
      <c r="M589" s="15" t="s">
        <v>57</v>
      </c>
      <c r="N589" s="16">
        <v>45821</v>
      </c>
      <c r="O589" s="16">
        <v>46094</v>
      </c>
      <c r="P589" s="24">
        <f>DATEDIF(N589,O589,"M")</f>
        <v>9</v>
      </c>
      <c r="Q589" s="24" t="s">
        <v>157</v>
      </c>
      <c r="R589" s="24" t="s">
        <v>1391</v>
      </c>
      <c r="S589" s="17">
        <v>83.79</v>
      </c>
      <c r="T589" s="18">
        <v>0.7</v>
      </c>
      <c r="U589" s="15" t="s">
        <v>60</v>
      </c>
      <c r="V589" s="15" t="s">
        <v>135</v>
      </c>
      <c r="W589" s="17">
        <v>58.65</v>
      </c>
    </row>
    <row r="590" spans="1:55" s="15" customFormat="1" x14ac:dyDescent="0.25">
      <c r="A590" s="15">
        <v>2027729457</v>
      </c>
      <c r="B590" s="15" t="s">
        <v>697</v>
      </c>
      <c r="C590" s="15" t="s">
        <v>636</v>
      </c>
      <c r="D590" s="15" t="str">
        <f>CONCATENATE(C590," ",B590)</f>
        <v>ANTONIO CASTELAN</v>
      </c>
      <c r="E590" s="15" t="s">
        <v>66</v>
      </c>
      <c r="F590" s="15" t="s">
        <v>383</v>
      </c>
      <c r="G590" s="15" t="s">
        <v>384</v>
      </c>
      <c r="H590" s="15" t="s">
        <v>384</v>
      </c>
      <c r="I590" s="21">
        <v>18754354</v>
      </c>
      <c r="J590" s="15" t="s">
        <v>325</v>
      </c>
      <c r="K590" s="15" t="s">
        <v>326</v>
      </c>
      <c r="L590" s="15" t="str">
        <f>CONCATENATE(K590," ",J590)</f>
        <v>JACOB YALE</v>
      </c>
      <c r="M590" s="15" t="s">
        <v>57</v>
      </c>
      <c r="N590" s="16">
        <v>45728</v>
      </c>
      <c r="O590" s="16">
        <v>46093</v>
      </c>
      <c r="P590" s="24">
        <f>DATEDIF(N590,O590,"M")</f>
        <v>12</v>
      </c>
      <c r="Q590" s="24" t="s">
        <v>157</v>
      </c>
      <c r="R590" s="24" t="s">
        <v>1391</v>
      </c>
      <c r="S590" s="17">
        <v>15.75</v>
      </c>
      <c r="T590" s="18">
        <v>0.7</v>
      </c>
      <c r="U590" s="15" t="s">
        <v>60</v>
      </c>
      <c r="V590" s="15" t="s">
        <v>135</v>
      </c>
      <c r="W590" s="17">
        <v>11.02</v>
      </c>
    </row>
    <row r="591" spans="1:55" s="15" customFormat="1" x14ac:dyDescent="0.25">
      <c r="A591" s="15">
        <v>2027729456</v>
      </c>
      <c r="B591" s="15" t="s">
        <v>697</v>
      </c>
      <c r="C591" s="15" t="s">
        <v>636</v>
      </c>
      <c r="D591" s="15" t="str">
        <f>CONCATENATE(C591," ",B591)</f>
        <v>ANTONIO CASTELAN</v>
      </c>
      <c r="E591" s="15" t="s">
        <v>66</v>
      </c>
      <c r="F591" s="15" t="s">
        <v>363</v>
      </c>
      <c r="G591" s="15" t="s">
        <v>364</v>
      </c>
      <c r="H591" s="15" t="s">
        <v>364</v>
      </c>
      <c r="I591" s="21">
        <v>18754354</v>
      </c>
      <c r="J591" s="15" t="s">
        <v>325</v>
      </c>
      <c r="K591" s="15" t="s">
        <v>326</v>
      </c>
      <c r="L591" s="15" t="str">
        <f>CONCATENATE(K591," ",J591)</f>
        <v>JACOB YALE</v>
      </c>
      <c r="M591" s="15" t="s">
        <v>57</v>
      </c>
      <c r="N591" s="16">
        <v>45728</v>
      </c>
      <c r="O591" s="16">
        <v>46093</v>
      </c>
      <c r="P591" s="24">
        <f>DATEDIF(N591,O591,"M")</f>
        <v>12</v>
      </c>
      <c r="Q591" s="24" t="s">
        <v>157</v>
      </c>
      <c r="R591" s="24" t="s">
        <v>1391</v>
      </c>
      <c r="S591" s="17">
        <v>150.44999999999999</v>
      </c>
      <c r="T591" s="25">
        <v>0.375</v>
      </c>
      <c r="U591" s="15" t="s">
        <v>60</v>
      </c>
      <c r="V591" s="15" t="s">
        <v>135</v>
      </c>
      <c r="W591" s="17">
        <v>56.42</v>
      </c>
    </row>
    <row r="592" spans="1:55" s="26" customFormat="1" x14ac:dyDescent="0.25">
      <c r="A592" s="26">
        <v>2032667004</v>
      </c>
      <c r="B592" s="26" t="s">
        <v>901</v>
      </c>
      <c r="C592" s="26" t="s">
        <v>902</v>
      </c>
      <c r="D592" s="26" t="str">
        <f>CONCATENATE(C592," ",B592)</f>
        <v>KOREY CASTILLO</v>
      </c>
      <c r="E592" s="26" t="s">
        <v>71</v>
      </c>
      <c r="F592" s="26" t="s">
        <v>72</v>
      </c>
      <c r="G592" s="26" t="s">
        <v>73</v>
      </c>
      <c r="H592" s="26" t="s">
        <v>1329</v>
      </c>
      <c r="I592" s="27" t="s">
        <v>1360</v>
      </c>
      <c r="J592" s="26" t="s">
        <v>126</v>
      </c>
      <c r="K592" s="26" t="s">
        <v>127</v>
      </c>
      <c r="L592" s="26" t="str">
        <f>CONCATENATE(K592," ",J592)</f>
        <v>Jake Shulman</v>
      </c>
      <c r="M592" s="26" t="s">
        <v>57</v>
      </c>
      <c r="N592" s="28">
        <v>46004</v>
      </c>
      <c r="O592" s="28">
        <v>46094</v>
      </c>
      <c r="P592" s="29">
        <f>DATEDIF(N592,O592,"M")</f>
        <v>3</v>
      </c>
      <c r="Q592" s="29" t="s">
        <v>157</v>
      </c>
      <c r="R592" s="29" t="s">
        <v>1390</v>
      </c>
      <c r="S592" s="30">
        <v>66.52</v>
      </c>
      <c r="T592" s="31">
        <v>0.75</v>
      </c>
      <c r="U592" s="26" t="s">
        <v>60</v>
      </c>
      <c r="V592" s="26" t="s">
        <v>135</v>
      </c>
      <c r="W592" s="30">
        <v>49.89</v>
      </c>
    </row>
    <row r="593" spans="1:23" s="26" customFormat="1" x14ac:dyDescent="0.25">
      <c r="A593" s="26">
        <v>2032667003</v>
      </c>
      <c r="B593" s="26" t="s">
        <v>901</v>
      </c>
      <c r="C593" s="26" t="s">
        <v>902</v>
      </c>
      <c r="D593" s="26" t="str">
        <f>CONCATENATE(C593," ",B593)</f>
        <v>KOREY CASTILLO</v>
      </c>
      <c r="E593" s="26" t="s">
        <v>71</v>
      </c>
      <c r="F593" s="26" t="s">
        <v>383</v>
      </c>
      <c r="G593" s="26" t="s">
        <v>384</v>
      </c>
      <c r="H593" s="26" t="s">
        <v>384</v>
      </c>
      <c r="I593" s="27" t="s">
        <v>1360</v>
      </c>
      <c r="J593" s="26" t="s">
        <v>126</v>
      </c>
      <c r="K593" s="26" t="s">
        <v>127</v>
      </c>
      <c r="L593" s="26" t="str">
        <f>CONCATENATE(K593," ",J593)</f>
        <v>Jake Shulman</v>
      </c>
      <c r="M593" s="26" t="s">
        <v>57</v>
      </c>
      <c r="N593" s="28">
        <v>46004</v>
      </c>
      <c r="O593" s="28">
        <v>46094</v>
      </c>
      <c r="P593" s="29">
        <f>DATEDIF(N593,O593,"M")</f>
        <v>3</v>
      </c>
      <c r="Q593" s="29" t="s">
        <v>157</v>
      </c>
      <c r="R593" s="29" t="s">
        <v>1390</v>
      </c>
      <c r="S593" s="30">
        <v>143.38</v>
      </c>
      <c r="T593" s="31">
        <v>0.7</v>
      </c>
      <c r="U593" s="26" t="s">
        <v>60</v>
      </c>
      <c r="V593" s="26" t="s">
        <v>135</v>
      </c>
      <c r="W593" s="30">
        <v>100.37</v>
      </c>
    </row>
    <row r="594" spans="1:23" s="26" customFormat="1" x14ac:dyDescent="0.25">
      <c r="A594" s="26">
        <v>2032135721</v>
      </c>
      <c r="B594" s="26" t="s">
        <v>1074</v>
      </c>
      <c r="C594" s="26" t="s">
        <v>1075</v>
      </c>
      <c r="D594" s="26" t="str">
        <f>CONCATENATE(C594," ",B594)</f>
        <v>FREDRIC PASHE</v>
      </c>
      <c r="E594" s="26" t="s">
        <v>1073</v>
      </c>
      <c r="F594" s="26" t="s">
        <v>72</v>
      </c>
      <c r="G594" s="26" t="s">
        <v>73</v>
      </c>
      <c r="H594" s="26" t="s">
        <v>1329</v>
      </c>
      <c r="I594" s="27" t="s">
        <v>1360</v>
      </c>
      <c r="J594" s="26" t="s">
        <v>126</v>
      </c>
      <c r="K594" s="26" t="s">
        <v>127</v>
      </c>
      <c r="L594" s="26" t="str">
        <f>CONCATENATE(K594," ",J594)</f>
        <v>Jake Shulman</v>
      </c>
      <c r="M594" s="26" t="s">
        <v>57</v>
      </c>
      <c r="N594" s="28">
        <v>45974</v>
      </c>
      <c r="O594" s="28">
        <v>46094</v>
      </c>
      <c r="P594" s="29">
        <f>DATEDIF(N594,O594,"M")</f>
        <v>4</v>
      </c>
      <c r="Q594" s="29" t="s">
        <v>157</v>
      </c>
      <c r="R594" s="29" t="s">
        <v>1390</v>
      </c>
      <c r="S594" s="30">
        <v>65.56</v>
      </c>
      <c r="T594" s="31">
        <v>0.75</v>
      </c>
      <c r="U594" s="26" t="s">
        <v>60</v>
      </c>
      <c r="V594" s="26" t="s">
        <v>135</v>
      </c>
      <c r="W594" s="30">
        <v>49.17</v>
      </c>
    </row>
    <row r="595" spans="1:23" s="26" customFormat="1" x14ac:dyDescent="0.25">
      <c r="A595" s="26">
        <v>2032099302</v>
      </c>
      <c r="B595" s="26" t="s">
        <v>1071</v>
      </c>
      <c r="C595" s="26" t="s">
        <v>1072</v>
      </c>
      <c r="D595" s="26" t="str">
        <f>CONCATENATE(C595," ",B595)</f>
        <v>DEANNA LAFROMBOIS</v>
      </c>
      <c r="E595" s="26" t="s">
        <v>1073</v>
      </c>
      <c r="F595" s="26" t="s">
        <v>72</v>
      </c>
      <c r="G595" s="26" t="s">
        <v>73</v>
      </c>
      <c r="H595" s="26" t="s">
        <v>1329</v>
      </c>
      <c r="I595" s="27" t="s">
        <v>1360</v>
      </c>
      <c r="J595" s="26" t="s">
        <v>126</v>
      </c>
      <c r="K595" s="26" t="s">
        <v>127</v>
      </c>
      <c r="L595" s="26" t="str">
        <f>CONCATENATE(K595," ",J595)</f>
        <v>Jake Shulman</v>
      </c>
      <c r="M595" s="26" t="s">
        <v>57</v>
      </c>
      <c r="N595" s="28">
        <v>45972</v>
      </c>
      <c r="O595" s="28">
        <v>46092</v>
      </c>
      <c r="P595" s="29">
        <f>DATEDIF(N595,O595,"M")</f>
        <v>4</v>
      </c>
      <c r="Q595" s="29" t="s">
        <v>157</v>
      </c>
      <c r="R595" s="29" t="s">
        <v>1390</v>
      </c>
      <c r="S595" s="30">
        <v>47.86</v>
      </c>
      <c r="T595" s="31">
        <v>0.75</v>
      </c>
      <c r="U595" s="26" t="s">
        <v>60</v>
      </c>
      <c r="V595" s="26" t="s">
        <v>135</v>
      </c>
      <c r="W595" s="30">
        <v>35.9</v>
      </c>
    </row>
    <row r="596" spans="1:23" s="26" customFormat="1" x14ac:dyDescent="0.25">
      <c r="A596" s="26">
        <v>2031569265</v>
      </c>
      <c r="B596" s="26" t="s">
        <v>1292</v>
      </c>
      <c r="C596" s="26" t="s">
        <v>1293</v>
      </c>
      <c r="D596" s="26" t="str">
        <f>CONCATENATE(C596," ",B596)</f>
        <v>ETHAN LOIGEROT</v>
      </c>
      <c r="E596" s="26" t="s">
        <v>84</v>
      </c>
      <c r="F596" s="26" t="s">
        <v>383</v>
      </c>
      <c r="G596" s="26" t="s">
        <v>384</v>
      </c>
      <c r="H596" s="26" t="s">
        <v>384</v>
      </c>
      <c r="I596" s="27" t="s">
        <v>1361</v>
      </c>
      <c r="J596" s="26" t="s">
        <v>126</v>
      </c>
      <c r="K596" s="26" t="s">
        <v>127</v>
      </c>
      <c r="L596" s="26" t="str">
        <f>CONCATENATE(K596," ",J596)</f>
        <v>Jake Shulman</v>
      </c>
      <c r="M596" s="26" t="s">
        <v>57</v>
      </c>
      <c r="N596" s="28">
        <v>45941</v>
      </c>
      <c r="O596" s="28">
        <v>46092</v>
      </c>
      <c r="P596" s="29">
        <f>DATEDIF(N596,O596,"M")</f>
        <v>5</v>
      </c>
      <c r="Q596" s="29" t="s">
        <v>157</v>
      </c>
      <c r="R596" s="29" t="s">
        <v>1390</v>
      </c>
      <c r="S596" s="30">
        <v>56.5</v>
      </c>
      <c r="T596" s="31">
        <v>0.7</v>
      </c>
      <c r="U596" s="26" t="s">
        <v>60</v>
      </c>
      <c r="V596" s="26" t="s">
        <v>135</v>
      </c>
      <c r="W596" s="30">
        <v>39.549999999999997</v>
      </c>
    </row>
    <row r="597" spans="1:23" s="26" customFormat="1" x14ac:dyDescent="0.25">
      <c r="A597" s="26">
        <v>2029910891</v>
      </c>
      <c r="B597" s="26" t="s">
        <v>757</v>
      </c>
      <c r="C597" s="26" t="s">
        <v>758</v>
      </c>
      <c r="D597" s="26" t="str">
        <f>CONCATENATE(C597," ",B597)</f>
        <v>LINN ZABRINA</v>
      </c>
      <c r="E597" s="26" t="s">
        <v>90</v>
      </c>
      <c r="F597" s="26" t="s">
        <v>383</v>
      </c>
      <c r="G597" s="26" t="s">
        <v>384</v>
      </c>
      <c r="H597" s="26" t="s">
        <v>384</v>
      </c>
      <c r="I597" s="27" t="s">
        <v>1361</v>
      </c>
      <c r="J597" s="26" t="s">
        <v>126</v>
      </c>
      <c r="K597" s="26" t="s">
        <v>127</v>
      </c>
      <c r="L597" s="26" t="str">
        <f>CONCATENATE(K597," ",J597)</f>
        <v>Jake Shulman</v>
      </c>
      <c r="M597" s="26" t="s">
        <v>57</v>
      </c>
      <c r="N597" s="28">
        <v>45850</v>
      </c>
      <c r="O597" s="28">
        <v>46093</v>
      </c>
      <c r="P597" s="29">
        <f>DATEDIF(N597,O597,"M")</f>
        <v>8</v>
      </c>
      <c r="Q597" s="29" t="s">
        <v>157</v>
      </c>
      <c r="R597" s="29" t="s">
        <v>1391</v>
      </c>
      <c r="S597" s="30">
        <v>44.15</v>
      </c>
      <c r="T597" s="31">
        <v>0.7</v>
      </c>
      <c r="U597" s="26" t="s">
        <v>60</v>
      </c>
      <c r="V597" s="26" t="s">
        <v>135</v>
      </c>
      <c r="W597" s="30">
        <v>30.9</v>
      </c>
    </row>
    <row r="598" spans="1:23" s="26" customFormat="1" x14ac:dyDescent="0.25">
      <c r="A598" s="26">
        <v>2029910892</v>
      </c>
      <c r="B598" s="26" t="s">
        <v>757</v>
      </c>
      <c r="C598" s="26" t="s">
        <v>758</v>
      </c>
      <c r="D598" s="26" t="str">
        <f>CONCATENATE(C598," ",B598)</f>
        <v>LINN ZABRINA</v>
      </c>
      <c r="E598" s="26" t="s">
        <v>90</v>
      </c>
      <c r="F598" s="26" t="s">
        <v>363</v>
      </c>
      <c r="G598" s="26" t="s">
        <v>364</v>
      </c>
      <c r="H598" s="26" t="s">
        <v>364</v>
      </c>
      <c r="I598" s="27" t="s">
        <v>1361</v>
      </c>
      <c r="J598" s="26" t="s">
        <v>126</v>
      </c>
      <c r="K598" s="26" t="s">
        <v>127</v>
      </c>
      <c r="L598" s="26" t="str">
        <f>CONCATENATE(K598," ",J598)</f>
        <v>Jake Shulman</v>
      </c>
      <c r="M598" s="26" t="s">
        <v>57</v>
      </c>
      <c r="N598" s="28">
        <v>45850</v>
      </c>
      <c r="O598" s="28">
        <v>46093</v>
      </c>
      <c r="P598" s="29">
        <f>DATEDIF(N598,O598,"M")</f>
        <v>8</v>
      </c>
      <c r="Q598" s="29" t="s">
        <v>157</v>
      </c>
      <c r="R598" s="29" t="s">
        <v>1391</v>
      </c>
      <c r="S598" s="30">
        <v>28.38</v>
      </c>
      <c r="T598" s="32">
        <v>0.375</v>
      </c>
      <c r="U598" s="26" t="s">
        <v>60</v>
      </c>
      <c r="V598" s="26" t="s">
        <v>135</v>
      </c>
      <c r="W598" s="30">
        <v>10.64</v>
      </c>
    </row>
    <row r="599" spans="1:23" s="26" customFormat="1" x14ac:dyDescent="0.25">
      <c r="A599" s="26">
        <v>2029398822</v>
      </c>
      <c r="B599" s="26" t="s">
        <v>1261</v>
      </c>
      <c r="C599" s="26" t="s">
        <v>197</v>
      </c>
      <c r="D599" s="26" t="str">
        <f>CONCATENATE(C599," ",B599)</f>
        <v>LISA BOWSER</v>
      </c>
      <c r="E599" s="26" t="s">
        <v>1073</v>
      </c>
      <c r="F599" s="26" t="s">
        <v>383</v>
      </c>
      <c r="G599" s="26" t="s">
        <v>843</v>
      </c>
      <c r="H599" s="26" t="s">
        <v>843</v>
      </c>
      <c r="I599" s="27" t="s">
        <v>1361</v>
      </c>
      <c r="J599" s="26" t="s">
        <v>126</v>
      </c>
      <c r="K599" s="26" t="s">
        <v>127</v>
      </c>
      <c r="L599" s="26" t="str">
        <f>CONCATENATE(K599," ",J599)</f>
        <v>Jake Shulman</v>
      </c>
      <c r="M599" s="26" t="s">
        <v>57</v>
      </c>
      <c r="N599" s="28">
        <v>45819</v>
      </c>
      <c r="O599" s="28">
        <v>46092</v>
      </c>
      <c r="P599" s="29">
        <f>DATEDIF(N599,O599,"M")</f>
        <v>9</v>
      </c>
      <c r="Q599" s="29" t="s">
        <v>157</v>
      </c>
      <c r="R599" s="29" t="s">
        <v>1391</v>
      </c>
      <c r="S599" s="30">
        <v>12.83</v>
      </c>
      <c r="T599" s="31">
        <v>0.42</v>
      </c>
      <c r="U599" s="26" t="s">
        <v>60</v>
      </c>
      <c r="V599" s="26" t="s">
        <v>135</v>
      </c>
      <c r="W599" s="30">
        <v>5.39</v>
      </c>
    </row>
    <row r="600" spans="1:23" s="26" customFormat="1" x14ac:dyDescent="0.25">
      <c r="A600" s="26">
        <v>2028831848</v>
      </c>
      <c r="B600" s="26" t="s">
        <v>723</v>
      </c>
      <c r="C600" s="26" t="s">
        <v>724</v>
      </c>
      <c r="D600" s="26" t="str">
        <f>CONCATENATE(C600," ",B600)</f>
        <v>COLEEN VELMS</v>
      </c>
      <c r="E600" s="26" t="s">
        <v>170</v>
      </c>
      <c r="F600" s="26" t="s">
        <v>363</v>
      </c>
      <c r="G600" s="26" t="s">
        <v>364</v>
      </c>
      <c r="H600" s="26" t="s">
        <v>364</v>
      </c>
      <c r="I600" s="27" t="s">
        <v>1361</v>
      </c>
      <c r="J600" s="26" t="s">
        <v>126</v>
      </c>
      <c r="K600" s="26" t="s">
        <v>127</v>
      </c>
      <c r="L600" s="26" t="str">
        <f>CONCATENATE(K600," ",J600)</f>
        <v>Jake Shulman</v>
      </c>
      <c r="M600" s="26" t="s">
        <v>57</v>
      </c>
      <c r="N600" s="28">
        <v>45786</v>
      </c>
      <c r="O600" s="28">
        <v>46090</v>
      </c>
      <c r="P600" s="29">
        <f>DATEDIF(N600,O600,"M")</f>
        <v>10</v>
      </c>
      <c r="Q600" s="29" t="s">
        <v>157</v>
      </c>
      <c r="R600" s="29" t="s">
        <v>1391</v>
      </c>
      <c r="S600" s="30">
        <v>43.68</v>
      </c>
      <c r="T600" s="32">
        <v>0.375</v>
      </c>
      <c r="U600" s="26" t="s">
        <v>60</v>
      </c>
      <c r="V600" s="26" t="s">
        <v>135</v>
      </c>
      <c r="W600" s="30">
        <v>16.38</v>
      </c>
    </row>
    <row r="601" spans="1:23" s="26" customFormat="1" x14ac:dyDescent="0.25">
      <c r="A601" s="26">
        <v>2028775018</v>
      </c>
      <c r="B601" s="26" t="s">
        <v>714</v>
      </c>
      <c r="C601" s="26" t="s">
        <v>468</v>
      </c>
      <c r="D601" s="26" t="str">
        <f>CONCATENATE(C601," ",B601)</f>
        <v>AMBER RASMUSSEN</v>
      </c>
      <c r="E601" s="26" t="s">
        <v>66</v>
      </c>
      <c r="F601" s="26" t="s">
        <v>363</v>
      </c>
      <c r="G601" s="26" t="s">
        <v>364</v>
      </c>
      <c r="H601" s="26" t="s">
        <v>364</v>
      </c>
      <c r="I601" s="27" t="s">
        <v>1362</v>
      </c>
      <c r="J601" s="26" t="s">
        <v>126</v>
      </c>
      <c r="K601" s="26" t="s">
        <v>127</v>
      </c>
      <c r="L601" s="26" t="str">
        <f>CONCATENATE(K601," ",J601)</f>
        <v>Jake Shulman</v>
      </c>
      <c r="M601" s="26" t="s">
        <v>57</v>
      </c>
      <c r="N601" s="28">
        <v>45783</v>
      </c>
      <c r="O601" s="28">
        <v>46087</v>
      </c>
      <c r="P601" s="29">
        <f>DATEDIF(N601,O601,"M")</f>
        <v>10</v>
      </c>
      <c r="Q601" s="29" t="s">
        <v>157</v>
      </c>
      <c r="R601" s="29" t="s">
        <v>1391</v>
      </c>
      <c r="S601" s="30">
        <v>22.52</v>
      </c>
      <c r="T601" s="32">
        <v>0.375</v>
      </c>
      <c r="U601" s="26" t="s">
        <v>60</v>
      </c>
      <c r="V601" s="26" t="s">
        <v>135</v>
      </c>
      <c r="W601" s="30">
        <v>8.44</v>
      </c>
    </row>
    <row r="602" spans="1:23" s="26" customFormat="1" x14ac:dyDescent="0.25">
      <c r="A602" s="26">
        <v>2028775533</v>
      </c>
      <c r="B602" s="26" t="s">
        <v>715</v>
      </c>
      <c r="C602" s="26" t="s">
        <v>716</v>
      </c>
      <c r="D602" s="26" t="str">
        <f>CONCATENATE(C602," ",B602)</f>
        <v>KALINA KIRILOVA</v>
      </c>
      <c r="E602" s="26" t="s">
        <v>66</v>
      </c>
      <c r="F602" s="26" t="s">
        <v>363</v>
      </c>
      <c r="G602" s="26" t="s">
        <v>364</v>
      </c>
      <c r="H602" s="26" t="s">
        <v>364</v>
      </c>
      <c r="I602" s="27" t="s">
        <v>1362</v>
      </c>
      <c r="J602" s="26" t="s">
        <v>126</v>
      </c>
      <c r="K602" s="26" t="s">
        <v>127</v>
      </c>
      <c r="L602" s="26" t="str">
        <f>CONCATENATE(K602," ",J602)</f>
        <v>Jake Shulman</v>
      </c>
      <c r="M602" s="26" t="s">
        <v>57</v>
      </c>
      <c r="N602" s="28">
        <v>45783</v>
      </c>
      <c r="O602" s="28">
        <v>46087</v>
      </c>
      <c r="P602" s="29">
        <f>DATEDIF(N602,O602,"M")</f>
        <v>10</v>
      </c>
      <c r="Q602" s="29" t="s">
        <v>157</v>
      </c>
      <c r="R602" s="29" t="s">
        <v>1391</v>
      </c>
      <c r="S602" s="30">
        <v>22.52</v>
      </c>
      <c r="T602" s="32">
        <v>0.375</v>
      </c>
      <c r="U602" s="26" t="s">
        <v>60</v>
      </c>
      <c r="V602" s="26" t="s">
        <v>135</v>
      </c>
      <c r="W602" s="30">
        <v>8.44</v>
      </c>
    </row>
    <row r="603" spans="1:23" s="26" customFormat="1" x14ac:dyDescent="0.25">
      <c r="A603" s="26">
        <v>2028271608</v>
      </c>
      <c r="B603" s="26" t="s">
        <v>702</v>
      </c>
      <c r="C603" s="26" t="s">
        <v>703</v>
      </c>
      <c r="D603" s="26" t="str">
        <f>CONCATENATE(C603," ",B603)</f>
        <v>MAHMOUD KASDI</v>
      </c>
      <c r="E603" s="26" t="s">
        <v>66</v>
      </c>
      <c r="F603" s="26" t="s">
        <v>363</v>
      </c>
      <c r="G603" s="26" t="s">
        <v>364</v>
      </c>
      <c r="H603" s="26" t="s">
        <v>364</v>
      </c>
      <c r="I603" s="27" t="s">
        <v>1361</v>
      </c>
      <c r="J603" s="26" t="s">
        <v>126</v>
      </c>
      <c r="K603" s="26" t="s">
        <v>127</v>
      </c>
      <c r="L603" s="26" t="str">
        <f>CONCATENATE(K603," ",J603)</f>
        <v>Jake Shulman</v>
      </c>
      <c r="M603" s="26" t="s">
        <v>57</v>
      </c>
      <c r="N603" s="28">
        <v>45755</v>
      </c>
      <c r="O603" s="28">
        <v>46089</v>
      </c>
      <c r="P603" s="29">
        <f>DATEDIF(N603,O603,"M")</f>
        <v>11</v>
      </c>
      <c r="Q603" s="29" t="s">
        <v>157</v>
      </c>
      <c r="R603" s="29" t="s">
        <v>1391</v>
      </c>
      <c r="S603" s="30">
        <v>81.94</v>
      </c>
      <c r="T603" s="32">
        <v>0.375</v>
      </c>
      <c r="U603" s="26" t="s">
        <v>60</v>
      </c>
      <c r="V603" s="26" t="s">
        <v>135</v>
      </c>
      <c r="W603" s="30">
        <v>30.73</v>
      </c>
    </row>
    <row r="604" spans="1:23" s="26" customFormat="1" x14ac:dyDescent="0.25">
      <c r="A604" s="26">
        <v>2032671164</v>
      </c>
      <c r="B604" s="26" t="s">
        <v>604</v>
      </c>
      <c r="C604" s="26" t="s">
        <v>605</v>
      </c>
      <c r="D604" s="26" t="str">
        <f>CONCATENATE(C604," ",B604)</f>
        <v>GEMMA PISCOTTI</v>
      </c>
      <c r="E604" s="26" t="s">
        <v>66</v>
      </c>
      <c r="F604" s="26" t="s">
        <v>378</v>
      </c>
      <c r="G604" s="26" t="s">
        <v>380</v>
      </c>
      <c r="H604" s="26" t="s">
        <v>380</v>
      </c>
      <c r="I604" s="27">
        <v>18201929</v>
      </c>
      <c r="J604" s="26" t="s">
        <v>126</v>
      </c>
      <c r="K604" s="26" t="s">
        <v>127</v>
      </c>
      <c r="L604" s="26" t="str">
        <f>CONCATENATE(K604," ",J604)</f>
        <v>Jake Shulman</v>
      </c>
      <c r="M604" s="26" t="s">
        <v>57</v>
      </c>
      <c r="N604" s="28">
        <v>46023</v>
      </c>
      <c r="O604" s="28">
        <v>46082</v>
      </c>
      <c r="P604" s="29">
        <f>DATEDIF(N604,O604,"M")</f>
        <v>2</v>
      </c>
      <c r="Q604" s="29" t="s">
        <v>157</v>
      </c>
      <c r="R604" s="29" t="s">
        <v>1391</v>
      </c>
      <c r="S604" s="30">
        <v>254.39</v>
      </c>
      <c r="T604" s="31">
        <v>0.38</v>
      </c>
      <c r="U604" s="26" t="s">
        <v>60</v>
      </c>
      <c r="V604" s="26" t="s">
        <v>135</v>
      </c>
      <c r="W604" s="30">
        <v>96.67</v>
      </c>
    </row>
    <row r="605" spans="1:23" s="26" customFormat="1" x14ac:dyDescent="0.25">
      <c r="A605" s="26">
        <v>2032671165</v>
      </c>
      <c r="B605" s="26" t="s">
        <v>604</v>
      </c>
      <c r="C605" s="26" t="s">
        <v>605</v>
      </c>
      <c r="D605" s="26" t="str">
        <f>CONCATENATE(C605," ",B605)</f>
        <v>GEMMA PISCOTTI</v>
      </c>
      <c r="E605" s="26" t="s">
        <v>66</v>
      </c>
      <c r="F605" s="26" t="s">
        <v>378</v>
      </c>
      <c r="G605" s="26" t="s">
        <v>381</v>
      </c>
      <c r="H605" s="26" t="s">
        <v>380</v>
      </c>
      <c r="I605" s="27">
        <v>18201929</v>
      </c>
      <c r="J605" s="26" t="s">
        <v>126</v>
      </c>
      <c r="K605" s="26" t="s">
        <v>127</v>
      </c>
      <c r="L605" s="26" t="str">
        <f>CONCATENATE(K605," ",J605)</f>
        <v>Jake Shulman</v>
      </c>
      <c r="M605" s="26" t="s">
        <v>57</v>
      </c>
      <c r="N605" s="28">
        <v>46023</v>
      </c>
      <c r="O605" s="28">
        <v>46082</v>
      </c>
      <c r="P605" s="29">
        <f>DATEDIF(N605,O605,"M")</f>
        <v>2</v>
      </c>
      <c r="Q605" s="29" t="s">
        <v>157</v>
      </c>
      <c r="R605" s="29" t="s">
        <v>1391</v>
      </c>
      <c r="S605" s="30">
        <v>7.09</v>
      </c>
      <c r="T605" s="31">
        <v>0.38</v>
      </c>
      <c r="U605" s="26" t="s">
        <v>60</v>
      </c>
      <c r="V605" s="26" t="s">
        <v>135</v>
      </c>
      <c r="W605" s="30">
        <v>2.69</v>
      </c>
    </row>
    <row r="606" spans="1:23" s="26" customFormat="1" x14ac:dyDescent="0.25">
      <c r="A606" s="26">
        <v>2033008055</v>
      </c>
      <c r="B606" s="26" t="s">
        <v>1078</v>
      </c>
      <c r="C606" s="26" t="s">
        <v>302</v>
      </c>
      <c r="D606" s="26" t="str">
        <f>CONCATENATE(C606," ",B606)</f>
        <v>ERIC WOOD</v>
      </c>
      <c r="E606" s="26" t="s">
        <v>1073</v>
      </c>
      <c r="F606" s="26" t="s">
        <v>72</v>
      </c>
      <c r="G606" s="26" t="s">
        <v>73</v>
      </c>
      <c r="H606" s="26" t="s">
        <v>1329</v>
      </c>
      <c r="I606" s="27">
        <v>18201929</v>
      </c>
      <c r="J606" s="26" t="s">
        <v>126</v>
      </c>
      <c r="K606" s="26" t="s">
        <v>127</v>
      </c>
      <c r="L606" s="26" t="str">
        <f>CONCATENATE(K606," ",J606)</f>
        <v>Jake Shulman</v>
      </c>
      <c r="M606" s="26" t="s">
        <v>57</v>
      </c>
      <c r="N606" s="28">
        <v>46029</v>
      </c>
      <c r="O606" s="28">
        <v>46088</v>
      </c>
      <c r="P606" s="29">
        <f>DATEDIF(N606,O606,"M")</f>
        <v>2</v>
      </c>
      <c r="Q606" s="29" t="s">
        <v>157</v>
      </c>
      <c r="R606" s="29" t="s">
        <v>1391</v>
      </c>
      <c r="S606" s="30">
        <v>18.940000000000001</v>
      </c>
      <c r="T606" s="31">
        <v>0.75</v>
      </c>
      <c r="U606" s="26" t="s">
        <v>60</v>
      </c>
      <c r="V606" s="26" t="s">
        <v>135</v>
      </c>
      <c r="W606" s="30">
        <v>14.2</v>
      </c>
    </row>
    <row r="607" spans="1:23" s="26" customFormat="1" x14ac:dyDescent="0.25">
      <c r="A607" s="26">
        <v>2032671166</v>
      </c>
      <c r="B607" s="26" t="s">
        <v>604</v>
      </c>
      <c r="C607" s="26" t="s">
        <v>605</v>
      </c>
      <c r="D607" s="26" t="str">
        <f>CONCATENATE(C607," ",B607)</f>
        <v>GEMMA PISCOTTI</v>
      </c>
      <c r="E607" s="26" t="s">
        <v>66</v>
      </c>
      <c r="F607" s="26" t="s">
        <v>350</v>
      </c>
      <c r="G607" s="26" t="s">
        <v>606</v>
      </c>
      <c r="H607" s="26" t="s">
        <v>354</v>
      </c>
      <c r="I607" s="27">
        <v>18201929</v>
      </c>
      <c r="J607" s="26" t="s">
        <v>126</v>
      </c>
      <c r="K607" s="26" t="s">
        <v>127</v>
      </c>
      <c r="L607" s="26" t="str">
        <f>CONCATENATE(K607," ",J607)</f>
        <v>Jake Shulman</v>
      </c>
      <c r="M607" s="26" t="s">
        <v>57</v>
      </c>
      <c r="N607" s="28">
        <v>46023</v>
      </c>
      <c r="O607" s="28">
        <v>46082</v>
      </c>
      <c r="P607" s="29">
        <f>DATEDIF(N607,O607,"M")</f>
        <v>2</v>
      </c>
      <c r="Q607" s="29" t="s">
        <v>157</v>
      </c>
      <c r="R607" s="29" t="s">
        <v>1391</v>
      </c>
      <c r="S607" s="30">
        <v>71.260000000000005</v>
      </c>
      <c r="T607" s="31">
        <v>0.38</v>
      </c>
      <c r="U607" s="26" t="s">
        <v>60</v>
      </c>
      <c r="V607" s="26" t="s">
        <v>135</v>
      </c>
      <c r="W607" s="30">
        <v>27.08</v>
      </c>
    </row>
    <row r="608" spans="1:23" s="26" customFormat="1" x14ac:dyDescent="0.25">
      <c r="A608" s="26">
        <v>2032671167</v>
      </c>
      <c r="B608" s="26" t="s">
        <v>604</v>
      </c>
      <c r="C608" s="26" t="s">
        <v>605</v>
      </c>
      <c r="D608" s="26" t="str">
        <f>CONCATENATE(C608," ",B608)</f>
        <v>GEMMA PISCOTTI</v>
      </c>
      <c r="E608" s="26" t="s">
        <v>66</v>
      </c>
      <c r="F608" s="26" t="s">
        <v>350</v>
      </c>
      <c r="G608" s="26" t="s">
        <v>354</v>
      </c>
      <c r="H608" s="26" t="s">
        <v>354</v>
      </c>
      <c r="I608" s="27">
        <v>18201929</v>
      </c>
      <c r="J608" s="26" t="s">
        <v>126</v>
      </c>
      <c r="K608" s="26" t="s">
        <v>127</v>
      </c>
      <c r="L608" s="26" t="str">
        <f>CONCATENATE(K608," ",J608)</f>
        <v>Jake Shulman</v>
      </c>
      <c r="M608" s="26" t="s">
        <v>57</v>
      </c>
      <c r="N608" s="28">
        <v>46023</v>
      </c>
      <c r="O608" s="28">
        <v>46082</v>
      </c>
      <c r="P608" s="29">
        <f>DATEDIF(N608,O608,"M")</f>
        <v>2</v>
      </c>
      <c r="Q608" s="29" t="s">
        <v>157</v>
      </c>
      <c r="R608" s="29" t="s">
        <v>1391</v>
      </c>
      <c r="S608" s="30">
        <v>15</v>
      </c>
      <c r="T608" s="31">
        <v>0.38</v>
      </c>
      <c r="U608" s="26" t="s">
        <v>60</v>
      </c>
      <c r="V608" s="26" t="s">
        <v>135</v>
      </c>
      <c r="W608" s="30">
        <v>5.7</v>
      </c>
    </row>
    <row r="609" spans="1:55" s="15" customFormat="1" x14ac:dyDescent="0.25">
      <c r="A609" s="6">
        <v>2032991620</v>
      </c>
      <c r="B609" s="6" t="s">
        <v>931</v>
      </c>
      <c r="C609" s="6" t="s">
        <v>932</v>
      </c>
      <c r="D609" s="6" t="str">
        <f>CONCATENATE(C609," ",B609)</f>
        <v>NICHOLAS ZAMBOLE</v>
      </c>
      <c r="E609" s="6" t="s">
        <v>66</v>
      </c>
      <c r="F609" s="6" t="s">
        <v>383</v>
      </c>
      <c r="G609" s="6" t="s">
        <v>384</v>
      </c>
      <c r="H609" s="6" t="s">
        <v>1336</v>
      </c>
      <c r="I609" s="20" t="s">
        <v>1363</v>
      </c>
      <c r="J609" s="6" t="s">
        <v>365</v>
      </c>
      <c r="K609" s="6" t="s">
        <v>366</v>
      </c>
      <c r="L609" s="6" t="str">
        <f>CONCATENATE(K609," ",J609)</f>
        <v>James Allen</v>
      </c>
      <c r="M609" s="6" t="s">
        <v>57</v>
      </c>
      <c r="N609" s="5">
        <v>46029</v>
      </c>
      <c r="O609" s="5">
        <v>46088</v>
      </c>
      <c r="P609" s="23">
        <f>DATEDIF(N609,O609,"M")</f>
        <v>2</v>
      </c>
      <c r="Q609" s="23" t="s">
        <v>157</v>
      </c>
      <c r="R609" s="23" t="s">
        <v>1390</v>
      </c>
      <c r="S609" s="7">
        <v>45.68</v>
      </c>
      <c r="T609" s="13">
        <v>0.7</v>
      </c>
      <c r="U609" s="6" t="s">
        <v>60</v>
      </c>
      <c r="V609" s="6" t="s">
        <v>135</v>
      </c>
      <c r="W609" s="7">
        <v>31.98</v>
      </c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</row>
    <row r="610" spans="1:55" s="15" customFormat="1" x14ac:dyDescent="0.25">
      <c r="A610" s="6">
        <v>2032104992</v>
      </c>
      <c r="B610" s="6" t="s">
        <v>814</v>
      </c>
      <c r="C610" s="6" t="s">
        <v>799</v>
      </c>
      <c r="D610" s="6" t="str">
        <f>CONCATENATE(C610," ",B610)</f>
        <v>NINA HUMPHREY</v>
      </c>
      <c r="E610" s="6" t="s">
        <v>66</v>
      </c>
      <c r="F610" s="6" t="s">
        <v>383</v>
      </c>
      <c r="G610" s="6" t="s">
        <v>384</v>
      </c>
      <c r="H610" s="6" t="s">
        <v>384</v>
      </c>
      <c r="I610" s="20" t="s">
        <v>1363</v>
      </c>
      <c r="J610" s="6" t="s">
        <v>365</v>
      </c>
      <c r="K610" s="6" t="s">
        <v>366</v>
      </c>
      <c r="L610" s="6" t="str">
        <f>CONCATENATE(K610," ",J610)</f>
        <v>James Allen</v>
      </c>
      <c r="M610" s="6" t="s">
        <v>57</v>
      </c>
      <c r="N610" s="5">
        <v>46024</v>
      </c>
      <c r="O610" s="5">
        <v>46083</v>
      </c>
      <c r="P610" s="23">
        <f>DATEDIF(N610,O610,"M")</f>
        <v>2</v>
      </c>
      <c r="Q610" s="23" t="s">
        <v>157</v>
      </c>
      <c r="R610" s="23" t="s">
        <v>1390</v>
      </c>
      <c r="S610" s="7">
        <v>-11.5</v>
      </c>
      <c r="T610" s="13">
        <v>0.7</v>
      </c>
      <c r="U610" s="6" t="s">
        <v>60</v>
      </c>
      <c r="V610" s="6" t="s">
        <v>135</v>
      </c>
      <c r="W610" s="7">
        <v>-8.0500000000000007</v>
      </c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</row>
    <row r="611" spans="1:55" s="15" customFormat="1" x14ac:dyDescent="0.25">
      <c r="A611" s="6">
        <v>2032104993</v>
      </c>
      <c r="B611" s="6" t="s">
        <v>814</v>
      </c>
      <c r="C611" s="6" t="s">
        <v>799</v>
      </c>
      <c r="D611" s="6" t="str">
        <f>CONCATENATE(C611," ",B611)</f>
        <v>NINA HUMPHREY</v>
      </c>
      <c r="E611" s="6" t="s">
        <v>66</v>
      </c>
      <c r="F611" s="6" t="s">
        <v>363</v>
      </c>
      <c r="G611" s="6" t="s">
        <v>364</v>
      </c>
      <c r="H611" s="6" t="s">
        <v>364</v>
      </c>
      <c r="I611" s="20" t="s">
        <v>1363</v>
      </c>
      <c r="J611" s="6" t="s">
        <v>365</v>
      </c>
      <c r="K611" s="6" t="s">
        <v>366</v>
      </c>
      <c r="L611" s="6" t="str">
        <f>CONCATENATE(K611," ",J611)</f>
        <v>James Allen</v>
      </c>
      <c r="M611" s="6" t="s">
        <v>57</v>
      </c>
      <c r="N611" s="5">
        <v>46024</v>
      </c>
      <c r="O611" s="5">
        <v>46083</v>
      </c>
      <c r="P611" s="23">
        <f>DATEDIF(N611,O611,"M")</f>
        <v>2</v>
      </c>
      <c r="Q611" s="23" t="s">
        <v>157</v>
      </c>
      <c r="R611" s="23" t="s">
        <v>1390</v>
      </c>
      <c r="S611" s="7">
        <v>-62.64</v>
      </c>
      <c r="T611" s="14">
        <v>0.375</v>
      </c>
      <c r="U611" s="6" t="s">
        <v>60</v>
      </c>
      <c r="V611" s="6" t="s">
        <v>135</v>
      </c>
      <c r="W611" s="7">
        <v>-23.49</v>
      </c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</row>
    <row r="612" spans="1:55" s="15" customFormat="1" x14ac:dyDescent="0.25">
      <c r="A612" s="6">
        <v>2032597462</v>
      </c>
      <c r="B612" s="6" t="s">
        <v>872</v>
      </c>
      <c r="C612" s="6" t="s">
        <v>457</v>
      </c>
      <c r="D612" s="6" t="str">
        <f>CONCATENATE(C612," ",B612)</f>
        <v>MICHELLE BURBATT</v>
      </c>
      <c r="E612" s="6" t="s">
        <v>66</v>
      </c>
      <c r="F612" s="6" t="s">
        <v>72</v>
      </c>
      <c r="G612" s="6" t="s">
        <v>73</v>
      </c>
      <c r="H612" s="6" t="s">
        <v>1329</v>
      </c>
      <c r="I612" s="20" t="s">
        <v>1363</v>
      </c>
      <c r="J612" s="6" t="s">
        <v>365</v>
      </c>
      <c r="K612" s="6" t="s">
        <v>366</v>
      </c>
      <c r="L612" s="6" t="str">
        <f>CONCATENATE(K612," ",J612)</f>
        <v>James Allen</v>
      </c>
      <c r="M612" s="6" t="s">
        <v>57</v>
      </c>
      <c r="N612" s="5">
        <v>46001</v>
      </c>
      <c r="O612" s="5">
        <v>46091</v>
      </c>
      <c r="P612" s="23">
        <f>DATEDIF(N612,O612,"M")</f>
        <v>3</v>
      </c>
      <c r="Q612" s="23" t="s">
        <v>157</v>
      </c>
      <c r="R612" s="23" t="s">
        <v>1390</v>
      </c>
      <c r="S612" s="7">
        <v>64.3</v>
      </c>
      <c r="T612" s="13">
        <v>0.75</v>
      </c>
      <c r="U612" s="6" t="s">
        <v>60</v>
      </c>
      <c r="V612" s="6" t="s">
        <v>135</v>
      </c>
      <c r="W612" s="7">
        <v>48.22</v>
      </c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</row>
    <row r="613" spans="1:55" s="15" customFormat="1" x14ac:dyDescent="0.25">
      <c r="A613" s="6">
        <v>2032597461</v>
      </c>
      <c r="B613" s="6" t="s">
        <v>872</v>
      </c>
      <c r="C613" s="6" t="s">
        <v>457</v>
      </c>
      <c r="D613" s="6" t="str">
        <f>CONCATENATE(C613," ",B613)</f>
        <v>MICHELLE BURBATT</v>
      </c>
      <c r="E613" s="6" t="s">
        <v>66</v>
      </c>
      <c r="F613" s="6" t="s">
        <v>383</v>
      </c>
      <c r="G613" s="6" t="s">
        <v>384</v>
      </c>
      <c r="H613" s="6" t="s">
        <v>384</v>
      </c>
      <c r="I613" s="20" t="s">
        <v>1363</v>
      </c>
      <c r="J613" s="6" t="s">
        <v>365</v>
      </c>
      <c r="K613" s="6" t="s">
        <v>366</v>
      </c>
      <c r="L613" s="6" t="str">
        <f>CONCATENATE(K613," ",J613)</f>
        <v>James Allen</v>
      </c>
      <c r="M613" s="6" t="s">
        <v>57</v>
      </c>
      <c r="N613" s="5">
        <v>46001</v>
      </c>
      <c r="O613" s="5">
        <v>46091</v>
      </c>
      <c r="P613" s="23">
        <f>DATEDIF(N613,O613,"M")</f>
        <v>3</v>
      </c>
      <c r="Q613" s="23" t="s">
        <v>157</v>
      </c>
      <c r="R613" s="23" t="s">
        <v>1390</v>
      </c>
      <c r="S613" s="7">
        <v>52</v>
      </c>
      <c r="T613" s="13">
        <v>0.7</v>
      </c>
      <c r="U613" s="6" t="s">
        <v>60</v>
      </c>
      <c r="V613" s="6" t="s">
        <v>135</v>
      </c>
      <c r="W613" s="7">
        <v>36.4</v>
      </c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</row>
    <row r="614" spans="1:55" s="15" customFormat="1" x14ac:dyDescent="0.25">
      <c r="A614" s="6">
        <v>2032597463</v>
      </c>
      <c r="B614" s="6" t="s">
        <v>872</v>
      </c>
      <c r="C614" s="6" t="s">
        <v>457</v>
      </c>
      <c r="D614" s="6" t="str">
        <f>CONCATENATE(C614," ",B614)</f>
        <v>MICHELLE BURBATT</v>
      </c>
      <c r="E614" s="6" t="s">
        <v>66</v>
      </c>
      <c r="F614" s="6" t="s">
        <v>363</v>
      </c>
      <c r="G614" s="6" t="s">
        <v>364</v>
      </c>
      <c r="H614" s="6" t="s">
        <v>364</v>
      </c>
      <c r="I614" s="20" t="s">
        <v>1363</v>
      </c>
      <c r="J614" s="6" t="s">
        <v>365</v>
      </c>
      <c r="K614" s="6" t="s">
        <v>366</v>
      </c>
      <c r="L614" s="6" t="str">
        <f>CONCATENATE(K614," ",J614)</f>
        <v>James Allen</v>
      </c>
      <c r="M614" s="6" t="s">
        <v>57</v>
      </c>
      <c r="N614" s="5">
        <v>46001</v>
      </c>
      <c r="O614" s="5">
        <v>46091</v>
      </c>
      <c r="P614" s="23">
        <f>DATEDIF(N614,O614,"M")</f>
        <v>3</v>
      </c>
      <c r="Q614" s="23" t="s">
        <v>157</v>
      </c>
      <c r="R614" s="23" t="s">
        <v>1390</v>
      </c>
      <c r="S614" s="7">
        <v>53.87</v>
      </c>
      <c r="T614" s="14">
        <v>0.375</v>
      </c>
      <c r="U614" s="6" t="s">
        <v>60</v>
      </c>
      <c r="V614" s="6" t="s">
        <v>135</v>
      </c>
      <c r="W614" s="7">
        <v>20.2</v>
      </c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</row>
    <row r="615" spans="1:55" s="15" customFormat="1" x14ac:dyDescent="0.25">
      <c r="A615" s="6">
        <v>2032038860</v>
      </c>
      <c r="B615" s="6" t="s">
        <v>795</v>
      </c>
      <c r="C615" s="6" t="s">
        <v>176</v>
      </c>
      <c r="D615" s="6" t="str">
        <f>CONCATENATE(C615," ",B615)</f>
        <v>KIMBERLY RUSSOW</v>
      </c>
      <c r="E615" s="6" t="s">
        <v>66</v>
      </c>
      <c r="F615" s="6" t="s">
        <v>383</v>
      </c>
      <c r="G615" s="6" t="s">
        <v>384</v>
      </c>
      <c r="H615" s="6" t="s">
        <v>384</v>
      </c>
      <c r="I615" s="20" t="s">
        <v>1363</v>
      </c>
      <c r="J615" s="6" t="s">
        <v>365</v>
      </c>
      <c r="K615" s="6" t="s">
        <v>366</v>
      </c>
      <c r="L615" s="6" t="str">
        <f>CONCATENATE(K615," ",J615)</f>
        <v>James Allen</v>
      </c>
      <c r="M615" s="6" t="s">
        <v>57</v>
      </c>
      <c r="N615" s="5">
        <v>45972</v>
      </c>
      <c r="O615" s="5">
        <v>46092</v>
      </c>
      <c r="P615" s="23">
        <f>DATEDIF(N615,O615,"M")</f>
        <v>4</v>
      </c>
      <c r="Q615" s="23" t="s">
        <v>157</v>
      </c>
      <c r="R615" s="23" t="s">
        <v>1390</v>
      </c>
      <c r="S615" s="7">
        <v>27.5</v>
      </c>
      <c r="T615" s="13">
        <v>0.7</v>
      </c>
      <c r="U615" s="6" t="s">
        <v>60</v>
      </c>
      <c r="V615" s="6" t="s">
        <v>135</v>
      </c>
      <c r="W615" s="7">
        <v>19.25</v>
      </c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</row>
    <row r="616" spans="1:55" s="15" customFormat="1" x14ac:dyDescent="0.25">
      <c r="A616" s="6">
        <v>2032000756</v>
      </c>
      <c r="B616" s="6" t="s">
        <v>1091</v>
      </c>
      <c r="C616" s="6" t="s">
        <v>1092</v>
      </c>
      <c r="D616" s="6" t="str">
        <f>CONCATENATE(C616," ",B616)</f>
        <v>PATTI GALEAZ</v>
      </c>
      <c r="E616" s="6" t="s">
        <v>66</v>
      </c>
      <c r="F616" s="6" t="s">
        <v>383</v>
      </c>
      <c r="G616" s="6" t="s">
        <v>384</v>
      </c>
      <c r="H616" s="6" t="s">
        <v>384</v>
      </c>
      <c r="I616" s="20" t="s">
        <v>1363</v>
      </c>
      <c r="J616" s="6" t="s">
        <v>365</v>
      </c>
      <c r="K616" s="6" t="s">
        <v>366</v>
      </c>
      <c r="L616" s="6" t="str">
        <f>CONCATENATE(K616," ",J616)</f>
        <v>James Allen</v>
      </c>
      <c r="M616" s="6" t="s">
        <v>57</v>
      </c>
      <c r="N616" s="5">
        <v>45968</v>
      </c>
      <c r="O616" s="5">
        <v>46088</v>
      </c>
      <c r="P616" s="23">
        <f>DATEDIF(N616,O616,"M")</f>
        <v>4</v>
      </c>
      <c r="Q616" s="23" t="s">
        <v>157</v>
      </c>
      <c r="R616" s="23" t="s">
        <v>1390</v>
      </c>
      <c r="S616" s="7">
        <v>11.5</v>
      </c>
      <c r="T616" s="13">
        <v>0.7</v>
      </c>
      <c r="U616" s="6" t="s">
        <v>60</v>
      </c>
      <c r="V616" s="6" t="s">
        <v>135</v>
      </c>
      <c r="W616" s="7">
        <v>8.0500000000000007</v>
      </c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</row>
    <row r="617" spans="1:55" s="15" customFormat="1" x14ac:dyDescent="0.25">
      <c r="A617" s="6">
        <v>2032038861</v>
      </c>
      <c r="B617" s="6" t="s">
        <v>795</v>
      </c>
      <c r="C617" s="6" t="s">
        <v>176</v>
      </c>
      <c r="D617" s="6" t="str">
        <f>CONCATENATE(C617," ",B617)</f>
        <v>KIMBERLY RUSSOW</v>
      </c>
      <c r="E617" s="6" t="s">
        <v>66</v>
      </c>
      <c r="F617" s="6" t="s">
        <v>363</v>
      </c>
      <c r="G617" s="6" t="s">
        <v>364</v>
      </c>
      <c r="H617" s="6" t="s">
        <v>364</v>
      </c>
      <c r="I617" s="20" t="s">
        <v>1363</v>
      </c>
      <c r="J617" s="6" t="s">
        <v>365</v>
      </c>
      <c r="K617" s="6" t="s">
        <v>366</v>
      </c>
      <c r="L617" s="6" t="str">
        <f>CONCATENATE(K617," ",J617)</f>
        <v>James Allen</v>
      </c>
      <c r="M617" s="6" t="s">
        <v>57</v>
      </c>
      <c r="N617" s="5">
        <v>45972</v>
      </c>
      <c r="O617" s="5">
        <v>46092</v>
      </c>
      <c r="P617" s="23">
        <f>DATEDIF(N617,O617,"M")</f>
        <v>4</v>
      </c>
      <c r="Q617" s="23" t="s">
        <v>157</v>
      </c>
      <c r="R617" s="23" t="s">
        <v>1390</v>
      </c>
      <c r="S617" s="7">
        <v>109.28</v>
      </c>
      <c r="T617" s="14">
        <v>0.375</v>
      </c>
      <c r="U617" s="6" t="s">
        <v>60</v>
      </c>
      <c r="V617" s="6" t="s">
        <v>135</v>
      </c>
      <c r="W617" s="7">
        <v>40.98</v>
      </c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</row>
    <row r="618" spans="1:55" s="15" customFormat="1" x14ac:dyDescent="0.25">
      <c r="A618" s="6">
        <v>2032000757</v>
      </c>
      <c r="B618" s="6" t="s">
        <v>1091</v>
      </c>
      <c r="C618" s="6" t="s">
        <v>1092</v>
      </c>
      <c r="D618" s="6" t="str">
        <f>CONCATENATE(C618," ",B618)</f>
        <v>PATTI GALEAZ</v>
      </c>
      <c r="E618" s="6" t="s">
        <v>66</v>
      </c>
      <c r="F618" s="6" t="s">
        <v>363</v>
      </c>
      <c r="G618" s="6" t="s">
        <v>364</v>
      </c>
      <c r="H618" s="6" t="s">
        <v>364</v>
      </c>
      <c r="I618" s="20" t="s">
        <v>1363</v>
      </c>
      <c r="J618" s="6" t="s">
        <v>365</v>
      </c>
      <c r="K618" s="6" t="s">
        <v>366</v>
      </c>
      <c r="L618" s="6" t="str">
        <f>CONCATENATE(K618," ",J618)</f>
        <v>James Allen</v>
      </c>
      <c r="M618" s="6" t="s">
        <v>57</v>
      </c>
      <c r="N618" s="5">
        <v>45968</v>
      </c>
      <c r="O618" s="5">
        <v>46088</v>
      </c>
      <c r="P618" s="23">
        <f>DATEDIF(N618,O618,"M")</f>
        <v>4</v>
      </c>
      <c r="Q618" s="23" t="s">
        <v>157</v>
      </c>
      <c r="R618" s="23" t="s">
        <v>1390</v>
      </c>
      <c r="S618" s="7">
        <v>53.87</v>
      </c>
      <c r="T618" s="14">
        <v>0.375</v>
      </c>
      <c r="U618" s="6" t="s">
        <v>60</v>
      </c>
      <c r="V618" s="6" t="s">
        <v>135</v>
      </c>
      <c r="W618" s="7">
        <v>20.2</v>
      </c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</row>
    <row r="619" spans="1:55" s="15" customFormat="1" x14ac:dyDescent="0.25">
      <c r="A619" s="6">
        <v>2029402295</v>
      </c>
      <c r="B619" s="6" t="s">
        <v>1262</v>
      </c>
      <c r="C619" s="6" t="s">
        <v>1263</v>
      </c>
      <c r="D619" s="6" t="str">
        <f>CONCATENATE(C619," ",B619)</f>
        <v>MARIELLE FARIA</v>
      </c>
      <c r="E619" s="6" t="s">
        <v>66</v>
      </c>
      <c r="F619" s="6" t="s">
        <v>383</v>
      </c>
      <c r="G619" s="6" t="s">
        <v>384</v>
      </c>
      <c r="H619" s="6" t="s">
        <v>1336</v>
      </c>
      <c r="I619" s="20" t="s">
        <v>1363</v>
      </c>
      <c r="J619" s="6" t="s">
        <v>365</v>
      </c>
      <c r="K619" s="6" t="s">
        <v>366</v>
      </c>
      <c r="L619" s="6" t="str">
        <f>CONCATENATE(K619," ",J619)</f>
        <v>James Allen</v>
      </c>
      <c r="M619" s="6" t="s">
        <v>57</v>
      </c>
      <c r="N619" s="5">
        <v>45821</v>
      </c>
      <c r="O619" s="5">
        <v>46094</v>
      </c>
      <c r="P619" s="23">
        <f>DATEDIF(N619,O619,"M")</f>
        <v>9</v>
      </c>
      <c r="Q619" s="23" t="s">
        <v>157</v>
      </c>
      <c r="R619" s="23" t="s">
        <v>1391</v>
      </c>
      <c r="S619" s="7">
        <v>42.38</v>
      </c>
      <c r="T619" s="13">
        <v>0.7</v>
      </c>
      <c r="U619" s="6" t="s">
        <v>60</v>
      </c>
      <c r="V619" s="6" t="s">
        <v>135</v>
      </c>
      <c r="W619" s="7">
        <v>29.67</v>
      </c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</row>
    <row r="620" spans="1:55" s="15" customFormat="1" x14ac:dyDescent="0.25">
      <c r="A620" s="6">
        <v>2028174266</v>
      </c>
      <c r="B620" s="6" t="s">
        <v>454</v>
      </c>
      <c r="C620" s="6" t="s">
        <v>701</v>
      </c>
      <c r="D620" s="6" t="str">
        <f>CONCATENATE(C620," ",B620)</f>
        <v>TAMEKA HOWARD</v>
      </c>
      <c r="E620" s="6" t="s">
        <v>66</v>
      </c>
      <c r="F620" s="6" t="s">
        <v>383</v>
      </c>
      <c r="G620" s="6" t="s">
        <v>384</v>
      </c>
      <c r="H620" s="6" t="s">
        <v>384</v>
      </c>
      <c r="I620" s="20" t="s">
        <v>1363</v>
      </c>
      <c r="J620" s="6" t="s">
        <v>365</v>
      </c>
      <c r="K620" s="6" t="s">
        <v>366</v>
      </c>
      <c r="L620" s="6" t="str">
        <f>CONCATENATE(K620," ",J620)</f>
        <v>James Allen</v>
      </c>
      <c r="M620" s="6" t="s">
        <v>57</v>
      </c>
      <c r="N620" s="5">
        <v>45758</v>
      </c>
      <c r="O620" s="5">
        <v>46092</v>
      </c>
      <c r="P620" s="23">
        <f>DATEDIF(N620,O620,"M")</f>
        <v>11</v>
      </c>
      <c r="Q620" s="23" t="s">
        <v>157</v>
      </c>
      <c r="R620" s="23" t="s">
        <v>1391</v>
      </c>
      <c r="S620" s="7">
        <v>19</v>
      </c>
      <c r="T620" s="13">
        <v>0.7</v>
      </c>
      <c r="U620" s="6" t="s">
        <v>60</v>
      </c>
      <c r="V620" s="6" t="s">
        <v>135</v>
      </c>
      <c r="W620" s="7">
        <v>13.3</v>
      </c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</row>
    <row r="621" spans="1:55" s="15" customFormat="1" x14ac:dyDescent="0.25">
      <c r="A621" s="6">
        <v>2028174265</v>
      </c>
      <c r="B621" s="6" t="s">
        <v>454</v>
      </c>
      <c r="C621" s="6" t="s">
        <v>701</v>
      </c>
      <c r="D621" s="6" t="str">
        <f>CONCATENATE(C621," ",B621)</f>
        <v>TAMEKA HOWARD</v>
      </c>
      <c r="E621" s="6" t="s">
        <v>66</v>
      </c>
      <c r="F621" s="6" t="s">
        <v>363</v>
      </c>
      <c r="G621" s="6" t="s">
        <v>364</v>
      </c>
      <c r="H621" s="6" t="s">
        <v>364</v>
      </c>
      <c r="I621" s="20" t="s">
        <v>1363</v>
      </c>
      <c r="J621" s="6" t="s">
        <v>365</v>
      </c>
      <c r="K621" s="6" t="s">
        <v>366</v>
      </c>
      <c r="L621" s="6" t="str">
        <f>CONCATENATE(K621," ",J621)</f>
        <v>James Allen</v>
      </c>
      <c r="M621" s="6" t="s">
        <v>57</v>
      </c>
      <c r="N621" s="5">
        <v>45758</v>
      </c>
      <c r="O621" s="5">
        <v>46092</v>
      </c>
      <c r="P621" s="23">
        <f>DATEDIF(N621,O621,"M")</f>
        <v>11</v>
      </c>
      <c r="Q621" s="23" t="s">
        <v>157</v>
      </c>
      <c r="R621" s="23" t="s">
        <v>1391</v>
      </c>
      <c r="S621" s="7">
        <v>32.67</v>
      </c>
      <c r="T621" s="14">
        <v>0.375</v>
      </c>
      <c r="U621" s="6" t="s">
        <v>60</v>
      </c>
      <c r="V621" s="6" t="s">
        <v>135</v>
      </c>
      <c r="W621" s="7">
        <v>12.25</v>
      </c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</row>
    <row r="622" spans="1:55" s="15" customFormat="1" x14ac:dyDescent="0.25">
      <c r="A622" s="6">
        <v>2032451714</v>
      </c>
      <c r="B622" s="6" t="s">
        <v>842</v>
      </c>
      <c r="C622" s="6" t="s">
        <v>742</v>
      </c>
      <c r="D622" s="6" t="str">
        <f>CONCATENATE(C622," ",B622)</f>
        <v>MADISON ALPERS</v>
      </c>
      <c r="E622" s="6" t="s">
        <v>353</v>
      </c>
      <c r="F622" s="6" t="s">
        <v>383</v>
      </c>
      <c r="G622" s="6" t="s">
        <v>384</v>
      </c>
      <c r="H622" s="6" t="s">
        <v>384</v>
      </c>
      <c r="I622" s="20" t="s">
        <v>1364</v>
      </c>
      <c r="J622" s="6" t="s">
        <v>663</v>
      </c>
      <c r="K622" s="6" t="s">
        <v>639</v>
      </c>
      <c r="L622" s="6" t="str">
        <f>CONCATENATE(K622," ",J622)</f>
        <v>JARED KINYUA</v>
      </c>
      <c r="M622" s="6" t="s">
        <v>57</v>
      </c>
      <c r="N622" s="5">
        <v>45993</v>
      </c>
      <c r="O622" s="5">
        <v>46083</v>
      </c>
      <c r="P622" s="23">
        <f>DATEDIF(N622,O622,"M")</f>
        <v>3</v>
      </c>
      <c r="Q622" s="23" t="s">
        <v>157</v>
      </c>
      <c r="R622" s="23" t="s">
        <v>1390</v>
      </c>
      <c r="S622" s="7">
        <v>-34.340000000000003</v>
      </c>
      <c r="T622" s="13">
        <v>0.7</v>
      </c>
      <c r="U622" s="6" t="s">
        <v>60</v>
      </c>
      <c r="V622" s="6" t="s">
        <v>135</v>
      </c>
      <c r="W622" s="7">
        <v>-24.04</v>
      </c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</row>
    <row r="623" spans="1:55" s="15" customFormat="1" x14ac:dyDescent="0.25">
      <c r="A623" s="15">
        <v>2025724991</v>
      </c>
      <c r="B623" s="15" t="s">
        <v>661</v>
      </c>
      <c r="C623" s="15" t="s">
        <v>125</v>
      </c>
      <c r="D623" s="15" t="str">
        <f>CONCATENATE(C623," ",B623)</f>
        <v>PAULA HURSEY</v>
      </c>
      <c r="E623" s="15" t="s">
        <v>662</v>
      </c>
      <c r="F623" s="15" t="s">
        <v>383</v>
      </c>
      <c r="G623" s="15" t="s">
        <v>384</v>
      </c>
      <c r="H623" s="15" t="s">
        <v>384</v>
      </c>
      <c r="I623" s="21" t="s">
        <v>1365</v>
      </c>
      <c r="J623" s="15" t="s">
        <v>663</v>
      </c>
      <c r="K623" s="15" t="s">
        <v>639</v>
      </c>
      <c r="L623" s="15" t="str">
        <f>CONCATENATE(K623," ",J623)</f>
        <v>JARED KINYUA</v>
      </c>
      <c r="M623" s="15" t="s">
        <v>57</v>
      </c>
      <c r="N623" s="16">
        <v>45608</v>
      </c>
      <c r="O623" s="16">
        <v>46093</v>
      </c>
      <c r="P623" s="24">
        <f>DATEDIF(N623,O623,"M")</f>
        <v>16</v>
      </c>
      <c r="Q623" s="24" t="s">
        <v>157</v>
      </c>
      <c r="R623" s="24" t="s">
        <v>1391</v>
      </c>
      <c r="S623" s="17">
        <v>46.17</v>
      </c>
      <c r="T623" s="18">
        <v>0.15</v>
      </c>
      <c r="U623" s="15" t="s">
        <v>157</v>
      </c>
      <c r="V623" s="15" t="s">
        <v>135</v>
      </c>
      <c r="W623" s="17">
        <v>6.93</v>
      </c>
    </row>
    <row r="624" spans="1:55" s="15" customFormat="1" x14ac:dyDescent="0.25">
      <c r="A624" s="15">
        <v>2025724990</v>
      </c>
      <c r="B624" s="15" t="s">
        <v>661</v>
      </c>
      <c r="C624" s="15" t="s">
        <v>125</v>
      </c>
      <c r="D624" s="15" t="str">
        <f>CONCATENATE(C624," ",B624)</f>
        <v>PAULA HURSEY</v>
      </c>
      <c r="E624" s="15" t="s">
        <v>662</v>
      </c>
      <c r="F624" s="15" t="s">
        <v>363</v>
      </c>
      <c r="G624" s="15" t="s">
        <v>364</v>
      </c>
      <c r="H624" s="15" t="s">
        <v>364</v>
      </c>
      <c r="I624" s="21" t="s">
        <v>1365</v>
      </c>
      <c r="J624" s="15" t="s">
        <v>663</v>
      </c>
      <c r="K624" s="15" t="s">
        <v>639</v>
      </c>
      <c r="L624" s="15" t="str">
        <f>CONCATENATE(K624," ",J624)</f>
        <v>JARED KINYUA</v>
      </c>
      <c r="M624" s="15" t="s">
        <v>57</v>
      </c>
      <c r="N624" s="16">
        <v>45608</v>
      </c>
      <c r="O624" s="16">
        <v>46093</v>
      </c>
      <c r="P624" s="24">
        <f>DATEDIF(N624,O624,"M")</f>
        <v>16</v>
      </c>
      <c r="Q624" s="24" t="s">
        <v>157</v>
      </c>
      <c r="R624" s="24" t="s">
        <v>1391</v>
      </c>
      <c r="S624" s="17">
        <v>94.25</v>
      </c>
      <c r="T624" s="18">
        <v>0.06</v>
      </c>
      <c r="U624" s="15" t="s">
        <v>157</v>
      </c>
      <c r="V624" s="15" t="s">
        <v>135</v>
      </c>
      <c r="W624" s="17">
        <v>5.66</v>
      </c>
    </row>
    <row r="625" spans="1:55" s="15" customFormat="1" x14ac:dyDescent="0.25">
      <c r="A625" s="15">
        <v>2022736430</v>
      </c>
      <c r="B625" s="15" t="s">
        <v>233</v>
      </c>
      <c r="C625" s="15" t="s">
        <v>234</v>
      </c>
      <c r="D625" s="15" t="str">
        <f>CONCATENATE(C625," ",B625)</f>
        <v>DIANE BRYANT</v>
      </c>
      <c r="E625" s="15" t="s">
        <v>52</v>
      </c>
      <c r="F625" s="15" t="s">
        <v>152</v>
      </c>
      <c r="G625" s="15" t="s">
        <v>153</v>
      </c>
      <c r="H625" s="15" t="s">
        <v>153</v>
      </c>
      <c r="I625" s="21">
        <v>15278437</v>
      </c>
      <c r="J625" s="15" t="s">
        <v>154</v>
      </c>
      <c r="K625" s="15" t="s">
        <v>155</v>
      </c>
      <c r="L625" s="15" t="str">
        <f>CONCATENATE(K625," ",J625)</f>
        <v>JASON HOFFMANN</v>
      </c>
      <c r="M625" s="15" t="s">
        <v>57</v>
      </c>
      <c r="N625" s="16">
        <v>45413</v>
      </c>
      <c r="O625" s="16">
        <v>46082</v>
      </c>
      <c r="P625" s="24">
        <f>DATEDIF(N625,O625,"M")</f>
        <v>22</v>
      </c>
      <c r="Q625" s="24" t="s">
        <v>157</v>
      </c>
      <c r="R625" s="24" t="s">
        <v>1391</v>
      </c>
      <c r="S625" s="17">
        <v>45.54</v>
      </c>
      <c r="T625" s="25">
        <v>5.2499999999999998E-2</v>
      </c>
      <c r="U625" s="15" t="s">
        <v>157</v>
      </c>
      <c r="V625" s="15" t="s">
        <v>135</v>
      </c>
      <c r="W625" s="17">
        <v>2.39</v>
      </c>
    </row>
    <row r="626" spans="1:55" s="15" customFormat="1" x14ac:dyDescent="0.25">
      <c r="A626" s="15">
        <v>2020974703</v>
      </c>
      <c r="B626" s="15" t="s">
        <v>217</v>
      </c>
      <c r="C626" s="15" t="s">
        <v>218</v>
      </c>
      <c r="D626" s="15" t="str">
        <f>CONCATENATE(C626," ",B626)</f>
        <v>REGINA VILLANO</v>
      </c>
      <c r="E626" s="15" t="s">
        <v>52</v>
      </c>
      <c r="F626" s="15" t="s">
        <v>152</v>
      </c>
      <c r="G626" s="15" t="s">
        <v>153</v>
      </c>
      <c r="H626" s="15" t="s">
        <v>153</v>
      </c>
      <c r="I626" s="21">
        <v>15278437</v>
      </c>
      <c r="J626" s="15" t="s">
        <v>154</v>
      </c>
      <c r="K626" s="15" t="s">
        <v>155</v>
      </c>
      <c r="L626" s="15" t="str">
        <f>CONCATENATE(K626," ",J626)</f>
        <v>JASON HOFFMANN</v>
      </c>
      <c r="M626" s="15" t="s">
        <v>57</v>
      </c>
      <c r="N626" s="16">
        <v>45292</v>
      </c>
      <c r="O626" s="16">
        <v>46082</v>
      </c>
      <c r="P626" s="24">
        <f>DATEDIF(N626,O626,"M")</f>
        <v>26</v>
      </c>
      <c r="Q626" s="24" t="s">
        <v>157</v>
      </c>
      <c r="R626" s="24" t="s">
        <v>1391</v>
      </c>
      <c r="S626" s="17">
        <v>40.99</v>
      </c>
      <c r="T626" s="25">
        <v>5.2499999999999998E-2</v>
      </c>
      <c r="U626" s="15" t="s">
        <v>157</v>
      </c>
      <c r="V626" s="15" t="s">
        <v>135</v>
      </c>
      <c r="W626" s="17">
        <v>2.15</v>
      </c>
    </row>
    <row r="627" spans="1:55" s="15" customFormat="1" x14ac:dyDescent="0.25">
      <c r="A627" s="15">
        <v>2021206448</v>
      </c>
      <c r="B627" s="15" t="s">
        <v>223</v>
      </c>
      <c r="C627" s="15" t="s">
        <v>224</v>
      </c>
      <c r="D627" s="15" t="str">
        <f>CONCATENATE(C627," ",B627)</f>
        <v>DEBRA SUMMERS</v>
      </c>
      <c r="E627" s="15" t="s">
        <v>52</v>
      </c>
      <c r="F627" s="15" t="s">
        <v>152</v>
      </c>
      <c r="G627" s="15" t="s">
        <v>153</v>
      </c>
      <c r="H627" s="15" t="s">
        <v>153</v>
      </c>
      <c r="I627" s="21">
        <v>15278437</v>
      </c>
      <c r="J627" s="15" t="s">
        <v>154</v>
      </c>
      <c r="K627" s="15" t="s">
        <v>155</v>
      </c>
      <c r="L627" s="15" t="str">
        <f>CONCATENATE(K627," ",J627)</f>
        <v>JASON HOFFMANN</v>
      </c>
      <c r="M627" s="15" t="s">
        <v>57</v>
      </c>
      <c r="N627" s="16">
        <v>45292</v>
      </c>
      <c r="O627" s="16">
        <v>46082</v>
      </c>
      <c r="P627" s="24">
        <f>DATEDIF(N627,O627,"M")</f>
        <v>26</v>
      </c>
      <c r="Q627" s="24" t="s">
        <v>157</v>
      </c>
      <c r="R627" s="24" t="s">
        <v>1391</v>
      </c>
      <c r="S627" s="17">
        <v>104.08</v>
      </c>
      <c r="T627" s="25">
        <v>5.2499999999999998E-2</v>
      </c>
      <c r="U627" s="15" t="s">
        <v>157</v>
      </c>
      <c r="V627" s="15" t="s">
        <v>135</v>
      </c>
      <c r="W627" s="17">
        <v>5.46</v>
      </c>
    </row>
    <row r="628" spans="1:55" s="15" customFormat="1" x14ac:dyDescent="0.25">
      <c r="A628" s="15">
        <v>2020974702</v>
      </c>
      <c r="B628" s="15" t="s">
        <v>217</v>
      </c>
      <c r="C628" s="15" t="s">
        <v>218</v>
      </c>
      <c r="D628" s="15" t="str">
        <f>CONCATENATE(C628," ",B628)</f>
        <v>REGINA VILLANO</v>
      </c>
      <c r="E628" s="15" t="s">
        <v>52</v>
      </c>
      <c r="F628" s="15" t="s">
        <v>53</v>
      </c>
      <c r="G628" s="15" t="s">
        <v>54</v>
      </c>
      <c r="H628" s="15" t="s">
        <v>54</v>
      </c>
      <c r="I628" s="21">
        <v>15278437</v>
      </c>
      <c r="J628" s="15" t="s">
        <v>154</v>
      </c>
      <c r="K628" s="15" t="s">
        <v>155</v>
      </c>
      <c r="L628" s="15" t="str">
        <f>CONCATENATE(K628," ",J628)</f>
        <v>JASON HOFFMANN</v>
      </c>
      <c r="M628" s="15" t="s">
        <v>57</v>
      </c>
      <c r="N628" s="16">
        <v>45292</v>
      </c>
      <c r="O628" s="16">
        <v>46082</v>
      </c>
      <c r="P628" s="24">
        <f>DATEDIF(N628,O628,"M")</f>
        <v>26</v>
      </c>
      <c r="Q628" s="24" t="s">
        <v>157</v>
      </c>
      <c r="R628" s="24" t="s">
        <v>1391</v>
      </c>
      <c r="S628" s="17">
        <v>52.69</v>
      </c>
      <c r="T628" s="25">
        <v>6.5000000000000002E-2</v>
      </c>
      <c r="U628" s="15" t="s">
        <v>157</v>
      </c>
      <c r="V628" s="15" t="s">
        <v>135</v>
      </c>
      <c r="W628" s="17">
        <v>3.42</v>
      </c>
    </row>
    <row r="629" spans="1:55" s="15" customFormat="1" x14ac:dyDescent="0.25">
      <c r="A629" s="15">
        <v>2020720597</v>
      </c>
      <c r="B629" s="15" t="s">
        <v>210</v>
      </c>
      <c r="C629" s="15" t="s">
        <v>211</v>
      </c>
      <c r="D629" s="15" t="str">
        <f>CONCATENATE(C629," ",B629)</f>
        <v>ANTHONY SCAVICCHIO</v>
      </c>
      <c r="E629" s="15" t="s">
        <v>52</v>
      </c>
      <c r="F629" s="15" t="s">
        <v>152</v>
      </c>
      <c r="G629" s="15" t="s">
        <v>153</v>
      </c>
      <c r="H629" s="15" t="s">
        <v>153</v>
      </c>
      <c r="I629" s="21">
        <v>15278437</v>
      </c>
      <c r="J629" s="15" t="s">
        <v>154</v>
      </c>
      <c r="K629" s="15" t="s">
        <v>155</v>
      </c>
      <c r="L629" s="15" t="str">
        <f>CONCATENATE(K629," ",J629)</f>
        <v>JASON HOFFMANN</v>
      </c>
      <c r="M629" s="15" t="s">
        <v>57</v>
      </c>
      <c r="N629" s="16">
        <v>45261</v>
      </c>
      <c r="O629" s="16">
        <v>46082</v>
      </c>
      <c r="P629" s="24">
        <f>DATEDIF(N629,O629,"M")</f>
        <v>27</v>
      </c>
      <c r="Q629" s="24" t="s">
        <v>157</v>
      </c>
      <c r="R629" s="24" t="s">
        <v>1391</v>
      </c>
      <c r="S629" s="17">
        <v>117.55</v>
      </c>
      <c r="T629" s="25">
        <v>5.2499999999999998E-2</v>
      </c>
      <c r="U629" s="15" t="s">
        <v>157</v>
      </c>
      <c r="V629" s="15" t="s">
        <v>135</v>
      </c>
      <c r="W629" s="17">
        <v>6.17</v>
      </c>
    </row>
    <row r="630" spans="1:55" s="15" customFormat="1" x14ac:dyDescent="0.25">
      <c r="A630" s="15">
        <v>2020902469</v>
      </c>
      <c r="B630" s="15" t="s">
        <v>212</v>
      </c>
      <c r="C630" s="15" t="s">
        <v>213</v>
      </c>
      <c r="D630" s="15" t="str">
        <f>CONCATENATE(C630," ",B630)</f>
        <v>ANNE HADDAD</v>
      </c>
      <c r="E630" s="15" t="s">
        <v>52</v>
      </c>
      <c r="F630" s="15" t="s">
        <v>152</v>
      </c>
      <c r="G630" s="15" t="s">
        <v>153</v>
      </c>
      <c r="H630" s="15" t="s">
        <v>153</v>
      </c>
      <c r="I630" s="21">
        <v>15278437</v>
      </c>
      <c r="J630" s="15" t="s">
        <v>154</v>
      </c>
      <c r="K630" s="15" t="s">
        <v>155</v>
      </c>
      <c r="L630" s="15" t="str">
        <f>CONCATENATE(K630," ",J630)</f>
        <v>JASON HOFFMANN</v>
      </c>
      <c r="M630" s="15" t="s">
        <v>57</v>
      </c>
      <c r="N630" s="16">
        <v>45261</v>
      </c>
      <c r="O630" s="16">
        <v>46082</v>
      </c>
      <c r="P630" s="24">
        <f>DATEDIF(N630,O630,"M")</f>
        <v>27</v>
      </c>
      <c r="Q630" s="24" t="s">
        <v>157</v>
      </c>
      <c r="R630" s="24" t="s">
        <v>1391</v>
      </c>
      <c r="S630" s="17">
        <v>61.19</v>
      </c>
      <c r="T630" s="25">
        <v>5.2499999999999998E-2</v>
      </c>
      <c r="U630" s="15" t="s">
        <v>157</v>
      </c>
      <c r="V630" s="15" t="s">
        <v>135</v>
      </c>
      <c r="W630" s="17">
        <v>3.21</v>
      </c>
    </row>
    <row r="631" spans="1:55" s="15" customFormat="1" x14ac:dyDescent="0.25">
      <c r="A631" s="15">
        <v>2020720598</v>
      </c>
      <c r="B631" s="15" t="s">
        <v>210</v>
      </c>
      <c r="C631" s="15" t="s">
        <v>211</v>
      </c>
      <c r="D631" s="15" t="str">
        <f>CONCATENATE(C631," ",B631)</f>
        <v>ANTHONY SCAVICCHIO</v>
      </c>
      <c r="E631" s="15" t="s">
        <v>52</v>
      </c>
      <c r="F631" s="15" t="s">
        <v>53</v>
      </c>
      <c r="G631" s="15" t="s">
        <v>54</v>
      </c>
      <c r="H631" s="15" t="s">
        <v>54</v>
      </c>
      <c r="I631" s="21">
        <v>15278437</v>
      </c>
      <c r="J631" s="15" t="s">
        <v>154</v>
      </c>
      <c r="K631" s="15" t="s">
        <v>155</v>
      </c>
      <c r="L631" s="15" t="str">
        <f>CONCATENATE(K631," ",J631)</f>
        <v>JASON HOFFMANN</v>
      </c>
      <c r="M631" s="15" t="s">
        <v>57</v>
      </c>
      <c r="N631" s="16">
        <v>45261</v>
      </c>
      <c r="O631" s="16">
        <v>46082</v>
      </c>
      <c r="P631" s="24">
        <f>DATEDIF(N631,O631,"M")</f>
        <v>27</v>
      </c>
      <c r="Q631" s="24" t="s">
        <v>157</v>
      </c>
      <c r="R631" s="24" t="s">
        <v>1391</v>
      </c>
      <c r="S631" s="17">
        <v>92.55</v>
      </c>
      <c r="T631" s="25">
        <v>6.5000000000000002E-2</v>
      </c>
      <c r="U631" s="15" t="s">
        <v>157</v>
      </c>
      <c r="V631" s="15" t="s">
        <v>135</v>
      </c>
      <c r="W631" s="17">
        <v>6.02</v>
      </c>
    </row>
    <row r="632" spans="1:55" s="15" customFormat="1" x14ac:dyDescent="0.25">
      <c r="A632" s="15">
        <v>2020623869</v>
      </c>
      <c r="B632" s="15" t="s">
        <v>206</v>
      </c>
      <c r="C632" s="15" t="s">
        <v>159</v>
      </c>
      <c r="D632" s="15" t="str">
        <f>CONCATENATE(C632," ",B632)</f>
        <v>NANCY GARDNER</v>
      </c>
      <c r="E632" s="15" t="s">
        <v>52</v>
      </c>
      <c r="F632" s="15" t="s">
        <v>152</v>
      </c>
      <c r="G632" s="15" t="s">
        <v>153</v>
      </c>
      <c r="H632" s="15" t="s">
        <v>153</v>
      </c>
      <c r="I632" s="21">
        <v>15278437</v>
      </c>
      <c r="J632" s="15" t="s">
        <v>154</v>
      </c>
      <c r="K632" s="15" t="s">
        <v>155</v>
      </c>
      <c r="L632" s="15" t="str">
        <f>CONCATENATE(K632," ",J632)</f>
        <v>JASON HOFFMANN</v>
      </c>
      <c r="M632" s="15" t="s">
        <v>57</v>
      </c>
      <c r="N632" s="16">
        <v>45232</v>
      </c>
      <c r="O632" s="16">
        <v>46083</v>
      </c>
      <c r="P632" s="24">
        <f>DATEDIF(N632,O632,"M")</f>
        <v>28</v>
      </c>
      <c r="Q632" s="24" t="s">
        <v>157</v>
      </c>
      <c r="R632" s="24" t="s">
        <v>1391</v>
      </c>
      <c r="S632" s="17">
        <v>51.19</v>
      </c>
      <c r="T632" s="25">
        <v>5.2499999999999998E-2</v>
      </c>
      <c r="U632" s="15" t="s">
        <v>157</v>
      </c>
      <c r="V632" s="15" t="s">
        <v>135</v>
      </c>
      <c r="W632" s="17">
        <v>2.69</v>
      </c>
    </row>
    <row r="633" spans="1:55" s="15" customFormat="1" x14ac:dyDescent="0.25">
      <c r="A633" s="15">
        <v>2019741130</v>
      </c>
      <c r="B633" s="15" t="s">
        <v>200</v>
      </c>
      <c r="C633" s="15" t="s">
        <v>201</v>
      </c>
      <c r="D633" s="15" t="str">
        <f>CONCATENATE(C633," ",B633)</f>
        <v>SHARON HOFFMAN</v>
      </c>
      <c r="E633" s="15" t="s">
        <v>52</v>
      </c>
      <c r="F633" s="15" t="s">
        <v>152</v>
      </c>
      <c r="G633" s="15" t="s">
        <v>153</v>
      </c>
      <c r="H633" s="15" t="s">
        <v>153</v>
      </c>
      <c r="I633" s="21">
        <v>15278437</v>
      </c>
      <c r="J633" s="15" t="s">
        <v>154</v>
      </c>
      <c r="K633" s="15" t="s">
        <v>155</v>
      </c>
      <c r="L633" s="15" t="str">
        <f>CONCATENATE(K633," ",J633)</f>
        <v>JASON HOFFMANN</v>
      </c>
      <c r="M633" s="15" t="s">
        <v>57</v>
      </c>
      <c r="N633" s="16">
        <v>45170</v>
      </c>
      <c r="O633" s="16">
        <v>46082</v>
      </c>
      <c r="P633" s="24">
        <f>DATEDIF(N633,O633,"M")</f>
        <v>30</v>
      </c>
      <c r="Q633" s="24" t="s">
        <v>157</v>
      </c>
      <c r="R633" s="24" t="s">
        <v>1391</v>
      </c>
      <c r="S633" s="17">
        <v>64.540000000000006</v>
      </c>
      <c r="T633" s="25">
        <v>5.2499999999999998E-2</v>
      </c>
      <c r="U633" s="15" t="s">
        <v>157</v>
      </c>
      <c r="V633" s="15" t="s">
        <v>135</v>
      </c>
      <c r="W633" s="17">
        <v>3.39</v>
      </c>
    </row>
    <row r="634" spans="1:55" s="15" customFormat="1" x14ac:dyDescent="0.25">
      <c r="A634" s="15">
        <v>2018753089</v>
      </c>
      <c r="B634" s="15" t="s">
        <v>187</v>
      </c>
      <c r="C634" s="15" t="s">
        <v>188</v>
      </c>
      <c r="D634" s="15" t="str">
        <f>CONCATENATE(C634," ",B634)</f>
        <v>MICHAEL GEHRON</v>
      </c>
      <c r="E634" s="15" t="s">
        <v>52</v>
      </c>
      <c r="F634" s="15" t="s">
        <v>152</v>
      </c>
      <c r="G634" s="15" t="s">
        <v>153</v>
      </c>
      <c r="H634" s="15" t="s">
        <v>153</v>
      </c>
      <c r="I634" s="21">
        <v>15278437</v>
      </c>
      <c r="J634" s="15" t="s">
        <v>154</v>
      </c>
      <c r="K634" s="15" t="s">
        <v>155</v>
      </c>
      <c r="L634" s="15" t="str">
        <f>CONCATENATE(K634," ",J634)</f>
        <v>JASON HOFFMANN</v>
      </c>
      <c r="M634" s="15" t="s">
        <v>57</v>
      </c>
      <c r="N634" s="16">
        <v>45078</v>
      </c>
      <c r="O634" s="16">
        <v>46082</v>
      </c>
      <c r="P634" s="24">
        <f>DATEDIF(N634,O634,"M")</f>
        <v>33</v>
      </c>
      <c r="Q634" s="24" t="s">
        <v>157</v>
      </c>
      <c r="R634" s="24" t="s">
        <v>1391</v>
      </c>
      <c r="S634" s="17">
        <v>51.19</v>
      </c>
      <c r="T634" s="25">
        <v>5.2499999999999998E-2</v>
      </c>
      <c r="U634" s="15" t="s">
        <v>157</v>
      </c>
      <c r="V634" s="15" t="s">
        <v>135</v>
      </c>
      <c r="W634" s="17">
        <v>2.69</v>
      </c>
    </row>
    <row r="635" spans="1:55" s="15" customFormat="1" x14ac:dyDescent="0.25">
      <c r="A635" s="15">
        <v>2016627945</v>
      </c>
      <c r="B635" s="15" t="s">
        <v>158</v>
      </c>
      <c r="C635" s="15" t="s">
        <v>159</v>
      </c>
      <c r="D635" s="15" t="str">
        <f>CONCATENATE(C635," ",B635)</f>
        <v>NANCY LIEB</v>
      </c>
      <c r="E635" s="15" t="s">
        <v>52</v>
      </c>
      <c r="F635" s="15" t="s">
        <v>152</v>
      </c>
      <c r="G635" s="15" t="s">
        <v>153</v>
      </c>
      <c r="H635" s="15" t="s">
        <v>153</v>
      </c>
      <c r="I635" s="21">
        <v>15278437</v>
      </c>
      <c r="J635" s="15" t="s">
        <v>154</v>
      </c>
      <c r="K635" s="15" t="s">
        <v>155</v>
      </c>
      <c r="L635" s="15" t="str">
        <f>CONCATENATE(K635," ",J635)</f>
        <v>JASON HOFFMANN</v>
      </c>
      <c r="M635" s="15" t="s">
        <v>57</v>
      </c>
      <c r="N635" s="16">
        <v>44927</v>
      </c>
      <c r="O635" s="16">
        <v>46082</v>
      </c>
      <c r="P635" s="24">
        <f>DATEDIF(N635,O635,"M")</f>
        <v>38</v>
      </c>
      <c r="Q635" s="24" t="s">
        <v>157</v>
      </c>
      <c r="R635" s="24" t="s">
        <v>1391</v>
      </c>
      <c r="S635" s="17">
        <v>55.54</v>
      </c>
      <c r="T635" s="25">
        <v>5.2499999999999998E-2</v>
      </c>
      <c r="U635" s="15" t="s">
        <v>157</v>
      </c>
      <c r="V635" s="15" t="s">
        <v>135</v>
      </c>
      <c r="W635" s="17">
        <v>2.92</v>
      </c>
    </row>
    <row r="636" spans="1:55" s="15" customFormat="1" x14ac:dyDescent="0.25">
      <c r="A636" s="15">
        <v>2017029017</v>
      </c>
      <c r="B636" s="15" t="s">
        <v>164</v>
      </c>
      <c r="C636" s="15" t="s">
        <v>165</v>
      </c>
      <c r="D636" s="15" t="str">
        <f>CONCATENATE(C636," ",B636)</f>
        <v>JANET MARCUS</v>
      </c>
      <c r="E636" s="15" t="s">
        <v>52</v>
      </c>
      <c r="F636" s="15" t="s">
        <v>152</v>
      </c>
      <c r="G636" s="15" t="s">
        <v>153</v>
      </c>
      <c r="H636" s="15" t="s">
        <v>153</v>
      </c>
      <c r="I636" s="21">
        <v>15278437</v>
      </c>
      <c r="J636" s="15" t="s">
        <v>154</v>
      </c>
      <c r="K636" s="15" t="s">
        <v>155</v>
      </c>
      <c r="L636" s="15" t="str">
        <f>CONCATENATE(K636," ",J636)</f>
        <v>JASON HOFFMANN</v>
      </c>
      <c r="M636" s="15" t="s">
        <v>57</v>
      </c>
      <c r="N636" s="16">
        <v>44927</v>
      </c>
      <c r="O636" s="16">
        <v>46082</v>
      </c>
      <c r="P636" s="24">
        <f>DATEDIF(N636,O636,"M")</f>
        <v>38</v>
      </c>
      <c r="Q636" s="24" t="s">
        <v>157</v>
      </c>
      <c r="R636" s="24" t="s">
        <v>1391</v>
      </c>
      <c r="S636" s="17">
        <v>38.22</v>
      </c>
      <c r="T636" s="25">
        <v>5.2499999999999998E-2</v>
      </c>
      <c r="U636" s="15" t="s">
        <v>157</v>
      </c>
      <c r="V636" s="15" t="s">
        <v>135</v>
      </c>
      <c r="W636" s="17">
        <v>2.0099999999999998</v>
      </c>
    </row>
    <row r="637" spans="1:55" s="15" customFormat="1" x14ac:dyDescent="0.25">
      <c r="A637" s="15">
        <v>2017064782</v>
      </c>
      <c r="B637" s="15" t="s">
        <v>166</v>
      </c>
      <c r="C637" s="15" t="s">
        <v>167</v>
      </c>
      <c r="D637" s="15" t="str">
        <f>CONCATENATE(C637," ",B637)</f>
        <v>LINUS PARK</v>
      </c>
      <c r="E637" s="15" t="s">
        <v>52</v>
      </c>
      <c r="F637" s="15" t="s">
        <v>152</v>
      </c>
      <c r="G637" s="15" t="s">
        <v>153</v>
      </c>
      <c r="H637" s="15" t="s">
        <v>153</v>
      </c>
      <c r="I637" s="21">
        <v>15278437</v>
      </c>
      <c r="J637" s="15" t="s">
        <v>154</v>
      </c>
      <c r="K637" s="15" t="s">
        <v>155</v>
      </c>
      <c r="L637" s="15" t="str">
        <f>CONCATENATE(K637," ",J637)</f>
        <v>JASON HOFFMANN</v>
      </c>
      <c r="M637" s="15" t="s">
        <v>57</v>
      </c>
      <c r="N637" s="16">
        <v>44927</v>
      </c>
      <c r="O637" s="16">
        <v>46082</v>
      </c>
      <c r="P637" s="24">
        <f>DATEDIF(N637,O637,"M")</f>
        <v>38</v>
      </c>
      <c r="Q637" s="24" t="s">
        <v>157</v>
      </c>
      <c r="R637" s="24" t="s">
        <v>1391</v>
      </c>
      <c r="S637" s="17">
        <v>117.8</v>
      </c>
      <c r="T637" s="25">
        <v>5.2499999999999998E-2</v>
      </c>
      <c r="U637" s="15" t="s">
        <v>157</v>
      </c>
      <c r="V637" s="15" t="s">
        <v>135</v>
      </c>
      <c r="W637" s="17">
        <v>6.18</v>
      </c>
    </row>
    <row r="638" spans="1:55" s="15" customFormat="1" x14ac:dyDescent="0.25">
      <c r="A638" s="15">
        <v>2017278501</v>
      </c>
      <c r="B638" s="15" t="s">
        <v>173</v>
      </c>
      <c r="C638" s="15" t="s">
        <v>174</v>
      </c>
      <c r="D638" s="15" t="str">
        <f>CONCATENATE(C638," ",B638)</f>
        <v>LARRY ELLIS</v>
      </c>
      <c r="E638" s="15" t="s">
        <v>52</v>
      </c>
      <c r="F638" s="15" t="s">
        <v>152</v>
      </c>
      <c r="G638" s="15" t="s">
        <v>153</v>
      </c>
      <c r="H638" s="15" t="s">
        <v>153</v>
      </c>
      <c r="I638" s="21">
        <v>15278437</v>
      </c>
      <c r="J638" s="15" t="s">
        <v>154</v>
      </c>
      <c r="K638" s="15" t="s">
        <v>155</v>
      </c>
      <c r="L638" s="15" t="str">
        <f>CONCATENATE(K638," ",J638)</f>
        <v>JASON HOFFMANN</v>
      </c>
      <c r="M638" s="15" t="s">
        <v>57</v>
      </c>
      <c r="N638" s="16">
        <v>44932</v>
      </c>
      <c r="O638" s="16">
        <v>46087</v>
      </c>
      <c r="P638" s="24">
        <f>DATEDIF(N638,O638,"M")</f>
        <v>38</v>
      </c>
      <c r="Q638" s="24" t="s">
        <v>157</v>
      </c>
      <c r="R638" s="24" t="s">
        <v>1391</v>
      </c>
      <c r="S638" s="17">
        <v>48.22</v>
      </c>
      <c r="T638" s="25">
        <v>5.2499999999999998E-2</v>
      </c>
      <c r="U638" s="15" t="s">
        <v>157</v>
      </c>
      <c r="V638" s="15" t="s">
        <v>135</v>
      </c>
      <c r="W638" s="17">
        <v>2.5299999999999998</v>
      </c>
    </row>
    <row r="639" spans="1:55" s="15" customFormat="1" x14ac:dyDescent="0.25">
      <c r="A639" s="15">
        <v>2016468518</v>
      </c>
      <c r="B639" s="15" t="s">
        <v>150</v>
      </c>
      <c r="C639" s="15" t="s">
        <v>151</v>
      </c>
      <c r="D639" s="15" t="str">
        <f>CONCATENATE(C639," ",B639)</f>
        <v>BERNICE BELGER</v>
      </c>
      <c r="E639" s="15" t="s">
        <v>52</v>
      </c>
      <c r="F639" s="15" t="s">
        <v>152</v>
      </c>
      <c r="G639" s="15" t="s">
        <v>153</v>
      </c>
      <c r="H639" s="15" t="s">
        <v>153</v>
      </c>
      <c r="I639" s="21">
        <v>15278437</v>
      </c>
      <c r="J639" s="15" t="s">
        <v>154</v>
      </c>
      <c r="K639" s="15" t="s">
        <v>155</v>
      </c>
      <c r="L639" s="15" t="str">
        <f>CONCATENATE(K639," ",J639)</f>
        <v>JASON HOFFMANN</v>
      </c>
      <c r="M639" s="15" t="s">
        <v>57</v>
      </c>
      <c r="N639" s="16">
        <v>44866</v>
      </c>
      <c r="O639" s="16">
        <v>46082</v>
      </c>
      <c r="P639" s="24">
        <f>DATEDIF(N639,O639,"M")</f>
        <v>40</v>
      </c>
      <c r="Q639" s="24" t="s">
        <v>157</v>
      </c>
      <c r="R639" s="24" t="s">
        <v>1391</v>
      </c>
      <c r="S639" s="17">
        <v>61.19</v>
      </c>
      <c r="T639" s="25">
        <v>5.2499999999999998E-2</v>
      </c>
      <c r="U639" s="15" t="s">
        <v>157</v>
      </c>
      <c r="V639" s="15" t="s">
        <v>135</v>
      </c>
      <c r="W639" s="17">
        <v>3.21</v>
      </c>
    </row>
    <row r="640" spans="1:55" s="15" customFormat="1" x14ac:dyDescent="0.25">
      <c r="A640" s="6">
        <v>2032529695</v>
      </c>
      <c r="B640" s="6" t="s">
        <v>82</v>
      </c>
      <c r="C640" s="6" t="s">
        <v>329</v>
      </c>
      <c r="D640" s="6" t="str">
        <f>CONCATENATE(C640," ",B640)</f>
        <v>DAWSON DAVIS</v>
      </c>
      <c r="E640" s="6" t="s">
        <v>66</v>
      </c>
      <c r="F640" s="6" t="s">
        <v>152</v>
      </c>
      <c r="G640" s="6" t="s">
        <v>153</v>
      </c>
      <c r="H640" s="6" t="s">
        <v>153</v>
      </c>
      <c r="I640" s="20" t="s">
        <v>1366</v>
      </c>
      <c r="J640" s="6" t="s">
        <v>330</v>
      </c>
      <c r="K640" s="6" t="s">
        <v>331</v>
      </c>
      <c r="L640" s="6" t="str">
        <f>CONCATENATE(K640," ",J640)</f>
        <v>Jeffrey Horn</v>
      </c>
      <c r="M640" s="6" t="s">
        <v>57</v>
      </c>
      <c r="N640" s="5">
        <v>46023</v>
      </c>
      <c r="O640" s="5">
        <v>46082</v>
      </c>
      <c r="P640" s="23">
        <f>DATEDIF(N640,O640,"M")</f>
        <v>2</v>
      </c>
      <c r="Q640" s="23" t="s">
        <v>157</v>
      </c>
      <c r="R640" s="23" t="s">
        <v>1390</v>
      </c>
      <c r="S640" s="7">
        <v>85.58</v>
      </c>
      <c r="T640" s="13">
        <v>0.47</v>
      </c>
      <c r="U640" s="6" t="s">
        <v>60</v>
      </c>
      <c r="V640" s="6" t="s">
        <v>135</v>
      </c>
      <c r="W640" s="7">
        <v>40.22</v>
      </c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</row>
    <row r="641" spans="1:55" s="15" customFormat="1" x14ac:dyDescent="0.25">
      <c r="A641" s="15">
        <v>2032984685</v>
      </c>
      <c r="B641" s="15" t="s">
        <v>613</v>
      </c>
      <c r="C641" s="15" t="s">
        <v>614</v>
      </c>
      <c r="D641" s="15" t="str">
        <f>CONCATENATE(C641," ",B641)</f>
        <v>ABRAHAM GEORGE</v>
      </c>
      <c r="E641" s="15" t="s">
        <v>140</v>
      </c>
      <c r="F641" s="15" t="s">
        <v>350</v>
      </c>
      <c r="G641" s="15" t="s">
        <v>566</v>
      </c>
      <c r="H641" s="15" t="s">
        <v>351</v>
      </c>
      <c r="I641" s="21">
        <v>21564088</v>
      </c>
      <c r="J641" s="15" t="s">
        <v>142</v>
      </c>
      <c r="K641" s="15" t="s">
        <v>143</v>
      </c>
      <c r="L641" s="15" t="str">
        <f>CONCATENATE(K641," ",J641)</f>
        <v>Jennifer Halsaver</v>
      </c>
      <c r="M641" s="15" t="s">
        <v>57</v>
      </c>
      <c r="N641" s="16">
        <v>46028</v>
      </c>
      <c r="O641" s="16">
        <v>46087</v>
      </c>
      <c r="P641" s="24">
        <f>DATEDIF(N641,O641,"M")</f>
        <v>2</v>
      </c>
      <c r="Q641" s="24" t="s">
        <v>157</v>
      </c>
      <c r="R641" s="24" t="s">
        <v>1391</v>
      </c>
      <c r="S641" s="17">
        <v>15</v>
      </c>
      <c r="T641" s="18">
        <v>0.19</v>
      </c>
      <c r="U641" s="15" t="s">
        <v>60</v>
      </c>
      <c r="V641" s="15" t="s">
        <v>135</v>
      </c>
      <c r="W641" s="17">
        <v>2.85</v>
      </c>
    </row>
    <row r="642" spans="1:55" s="15" customFormat="1" x14ac:dyDescent="0.25">
      <c r="A642" s="15">
        <v>2032984684</v>
      </c>
      <c r="B642" s="15" t="s">
        <v>613</v>
      </c>
      <c r="C642" s="15" t="s">
        <v>614</v>
      </c>
      <c r="D642" s="15" t="str">
        <f>CONCATENATE(C642," ",B642)</f>
        <v>ABRAHAM GEORGE</v>
      </c>
      <c r="E642" s="15" t="s">
        <v>140</v>
      </c>
      <c r="F642" s="15" t="s">
        <v>130</v>
      </c>
      <c r="G642" s="15" t="s">
        <v>141</v>
      </c>
      <c r="H642" s="15" t="s">
        <v>1337</v>
      </c>
      <c r="I642" s="21">
        <v>21564088</v>
      </c>
      <c r="J642" s="15" t="s">
        <v>142</v>
      </c>
      <c r="K642" s="15" t="s">
        <v>143</v>
      </c>
      <c r="L642" s="15" t="str">
        <f>CONCATENATE(K642," ",J642)</f>
        <v>Jennifer Halsaver</v>
      </c>
      <c r="M642" s="15" t="s">
        <v>57</v>
      </c>
      <c r="N642" s="16">
        <v>46028</v>
      </c>
      <c r="O642" s="16">
        <v>46087</v>
      </c>
      <c r="P642" s="24">
        <f>DATEDIF(N642,O642,"M")</f>
        <v>2</v>
      </c>
      <c r="Q642" s="24" t="s">
        <v>157</v>
      </c>
      <c r="R642" s="24" t="s">
        <v>1391</v>
      </c>
      <c r="S642" s="17">
        <v>275.07</v>
      </c>
      <c r="T642" s="18">
        <v>0.19</v>
      </c>
      <c r="U642" s="15" t="s">
        <v>60</v>
      </c>
      <c r="V642" s="15" t="s">
        <v>135</v>
      </c>
      <c r="W642" s="17">
        <v>52.26</v>
      </c>
    </row>
    <row r="643" spans="1:55" s="15" customFormat="1" x14ac:dyDescent="0.25">
      <c r="A643" s="15">
        <v>2030917278</v>
      </c>
      <c r="B643" s="15" t="s">
        <v>575</v>
      </c>
      <c r="C643" s="15" t="s">
        <v>576</v>
      </c>
      <c r="D643" s="15" t="str">
        <f>CONCATENATE(C643," ",B643)</f>
        <v>ALICJA MATUSIAK</v>
      </c>
      <c r="E643" s="15" t="s">
        <v>140</v>
      </c>
      <c r="F643" s="15" t="s">
        <v>72</v>
      </c>
      <c r="G643" s="15" t="s">
        <v>73</v>
      </c>
      <c r="H643" s="15" t="s">
        <v>1329</v>
      </c>
      <c r="I643" s="21">
        <v>21564088</v>
      </c>
      <c r="J643" s="15" t="s">
        <v>142</v>
      </c>
      <c r="K643" s="15" t="s">
        <v>143</v>
      </c>
      <c r="L643" s="15" t="str">
        <f>CONCATENATE(K643," ",J643)</f>
        <v>Jennifer Halsaver</v>
      </c>
      <c r="M643" s="15" t="s">
        <v>57</v>
      </c>
      <c r="N643" s="16">
        <v>45910</v>
      </c>
      <c r="O643" s="16">
        <v>46091</v>
      </c>
      <c r="P643" s="24">
        <f>DATEDIF(N643,O643,"M")</f>
        <v>6</v>
      </c>
      <c r="Q643" s="24" t="s">
        <v>157</v>
      </c>
      <c r="R643" s="24" t="s">
        <v>1391</v>
      </c>
      <c r="S643" s="17">
        <v>32.380000000000003</v>
      </c>
      <c r="T643" s="18">
        <v>0.75</v>
      </c>
      <c r="U643" s="15" t="s">
        <v>60</v>
      </c>
      <c r="V643" s="15" t="s">
        <v>135</v>
      </c>
      <c r="W643" s="17">
        <v>24.26</v>
      </c>
    </row>
    <row r="644" spans="1:55" s="15" customFormat="1" x14ac:dyDescent="0.25">
      <c r="A644" s="15">
        <v>2030917279</v>
      </c>
      <c r="B644" s="15" t="s">
        <v>575</v>
      </c>
      <c r="C644" s="15" t="s">
        <v>576</v>
      </c>
      <c r="D644" s="15" t="str">
        <f>CONCATENATE(C644," ",B644)</f>
        <v>ALICJA MATUSIAK</v>
      </c>
      <c r="E644" s="15" t="s">
        <v>140</v>
      </c>
      <c r="F644" s="15" t="s">
        <v>350</v>
      </c>
      <c r="G644" s="15" t="s">
        <v>566</v>
      </c>
      <c r="H644" s="15" t="s">
        <v>566</v>
      </c>
      <c r="I644" s="21">
        <v>21564088</v>
      </c>
      <c r="J644" s="15" t="s">
        <v>142</v>
      </c>
      <c r="K644" s="15" t="s">
        <v>143</v>
      </c>
      <c r="L644" s="15" t="str">
        <f>CONCATENATE(K644," ",J644)</f>
        <v>Jennifer Halsaver</v>
      </c>
      <c r="M644" s="15" t="s">
        <v>57</v>
      </c>
      <c r="N644" s="16">
        <v>45910</v>
      </c>
      <c r="O644" s="16">
        <v>46091</v>
      </c>
      <c r="P644" s="24">
        <f>DATEDIF(N644,O644,"M")</f>
        <v>6</v>
      </c>
      <c r="Q644" s="24" t="s">
        <v>157</v>
      </c>
      <c r="R644" s="24" t="s">
        <v>1391</v>
      </c>
      <c r="S644" s="17">
        <v>15</v>
      </c>
      <c r="T644" s="18">
        <v>0.19</v>
      </c>
      <c r="U644" s="15" t="s">
        <v>60</v>
      </c>
      <c r="V644" s="15" t="s">
        <v>135</v>
      </c>
      <c r="W644" s="17">
        <v>2.85</v>
      </c>
    </row>
    <row r="645" spans="1:55" s="15" customFormat="1" x14ac:dyDescent="0.25">
      <c r="A645" s="15">
        <v>2030917276</v>
      </c>
      <c r="B645" s="15" t="s">
        <v>575</v>
      </c>
      <c r="C645" s="15" t="s">
        <v>576</v>
      </c>
      <c r="D645" s="15" t="str">
        <f>CONCATENATE(C645," ",B645)</f>
        <v>ALICJA MATUSIAK</v>
      </c>
      <c r="E645" s="15" t="s">
        <v>140</v>
      </c>
      <c r="F645" s="15" t="s">
        <v>130</v>
      </c>
      <c r="G645" s="15" t="s">
        <v>141</v>
      </c>
      <c r="H645" s="15" t="s">
        <v>141</v>
      </c>
      <c r="I645" s="21">
        <v>21564088</v>
      </c>
      <c r="J645" s="15" t="s">
        <v>142</v>
      </c>
      <c r="K645" s="15" t="s">
        <v>143</v>
      </c>
      <c r="L645" s="15" t="str">
        <f>CONCATENATE(K645," ",J645)</f>
        <v>Jennifer Halsaver</v>
      </c>
      <c r="M645" s="15" t="s">
        <v>57</v>
      </c>
      <c r="N645" s="16">
        <v>45910</v>
      </c>
      <c r="O645" s="16">
        <v>46091</v>
      </c>
      <c r="P645" s="24">
        <f>DATEDIF(N645,O645,"M")</f>
        <v>6</v>
      </c>
      <c r="Q645" s="24" t="s">
        <v>157</v>
      </c>
      <c r="R645" s="24" t="s">
        <v>1391</v>
      </c>
      <c r="S645" s="17">
        <v>247.54</v>
      </c>
      <c r="T645" s="18">
        <v>0.19</v>
      </c>
      <c r="U645" s="15" t="s">
        <v>60</v>
      </c>
      <c r="V645" s="15" t="s">
        <v>135</v>
      </c>
      <c r="W645" s="17">
        <v>47.01</v>
      </c>
    </row>
    <row r="646" spans="1:55" s="15" customFormat="1" x14ac:dyDescent="0.25">
      <c r="A646" s="15">
        <v>2030917277</v>
      </c>
      <c r="B646" s="15" t="s">
        <v>575</v>
      </c>
      <c r="C646" s="15" t="s">
        <v>576</v>
      </c>
      <c r="D646" s="15" t="str">
        <f>CONCATENATE(C646," ",B646)</f>
        <v>ALICJA MATUSIAK</v>
      </c>
      <c r="E646" s="15" t="s">
        <v>140</v>
      </c>
      <c r="F646" s="15" t="s">
        <v>383</v>
      </c>
      <c r="G646" s="15" t="s">
        <v>384</v>
      </c>
      <c r="H646" s="15" t="s">
        <v>384</v>
      </c>
      <c r="I646" s="21">
        <v>21564088</v>
      </c>
      <c r="J646" s="15" t="s">
        <v>142</v>
      </c>
      <c r="K646" s="15" t="s">
        <v>143</v>
      </c>
      <c r="L646" s="15" t="str">
        <f>CONCATENATE(K646," ",J646)</f>
        <v>Jennifer Halsaver</v>
      </c>
      <c r="M646" s="15" t="s">
        <v>57</v>
      </c>
      <c r="N646" s="16">
        <v>45910</v>
      </c>
      <c r="O646" s="16">
        <v>46091</v>
      </c>
      <c r="P646" s="24">
        <f>DATEDIF(N646,O646,"M")</f>
        <v>6</v>
      </c>
      <c r="Q646" s="24" t="s">
        <v>157</v>
      </c>
      <c r="R646" s="24" t="s">
        <v>1391</v>
      </c>
      <c r="S646" s="17">
        <v>79.58</v>
      </c>
      <c r="T646" s="18">
        <v>0.7</v>
      </c>
      <c r="U646" s="15" t="s">
        <v>60</v>
      </c>
      <c r="V646" s="15" t="s">
        <v>135</v>
      </c>
      <c r="W646" s="17">
        <v>55.71</v>
      </c>
    </row>
    <row r="647" spans="1:55" s="15" customFormat="1" x14ac:dyDescent="0.25">
      <c r="A647" s="15">
        <v>2030339161</v>
      </c>
      <c r="B647" s="15" t="s">
        <v>339</v>
      </c>
      <c r="C647" s="15" t="s">
        <v>565</v>
      </c>
      <c r="D647" s="15" t="str">
        <f>CONCATENATE(C647," ",B647)</f>
        <v>HANSON LAURA</v>
      </c>
      <c r="E647" s="15" t="s">
        <v>140</v>
      </c>
      <c r="F647" s="15" t="s">
        <v>350</v>
      </c>
      <c r="G647" s="15" t="s">
        <v>566</v>
      </c>
      <c r="H647" s="15" t="s">
        <v>566</v>
      </c>
      <c r="I647" s="21" t="s">
        <v>1367</v>
      </c>
      <c r="J647" s="15" t="s">
        <v>142</v>
      </c>
      <c r="K647" s="15" t="s">
        <v>143</v>
      </c>
      <c r="L647" s="15" t="str">
        <f>CONCATENATE(K647," ",J647)</f>
        <v>Jennifer Halsaver</v>
      </c>
      <c r="M647" s="15" t="s">
        <v>57</v>
      </c>
      <c r="N647" s="16">
        <v>45875</v>
      </c>
      <c r="O647" s="16">
        <v>46087</v>
      </c>
      <c r="P647" s="24">
        <f>DATEDIF(N647,O647,"M")</f>
        <v>7</v>
      </c>
      <c r="Q647" s="24" t="s">
        <v>157</v>
      </c>
      <c r="R647" s="24" t="s">
        <v>1391</v>
      </c>
      <c r="S647" s="17">
        <v>15</v>
      </c>
      <c r="T647" s="18">
        <v>0.19</v>
      </c>
      <c r="U647" s="15" t="s">
        <v>60</v>
      </c>
      <c r="V647" s="15" t="s">
        <v>135</v>
      </c>
      <c r="W647" s="17">
        <v>2.85</v>
      </c>
    </row>
    <row r="648" spans="1:55" s="15" customFormat="1" x14ac:dyDescent="0.25">
      <c r="A648" s="6">
        <v>2032111467</v>
      </c>
      <c r="B648" s="6" t="s">
        <v>815</v>
      </c>
      <c r="C648" s="6" t="s">
        <v>816</v>
      </c>
      <c r="D648" s="6" t="str">
        <f>CONCATENATE(C648," ",B648)</f>
        <v>JOHNNA THOMPKINS</v>
      </c>
      <c r="E648" s="6" t="s">
        <v>170</v>
      </c>
      <c r="F648" s="6" t="s">
        <v>383</v>
      </c>
      <c r="G648" s="6" t="s">
        <v>384</v>
      </c>
      <c r="H648" s="6" t="s">
        <v>384</v>
      </c>
      <c r="I648" s="20" t="s">
        <v>1368</v>
      </c>
      <c r="J648" s="6" t="s">
        <v>817</v>
      </c>
      <c r="K648" s="6" t="s">
        <v>143</v>
      </c>
      <c r="L648" s="6" t="str">
        <f>CONCATENATE(K648," ",J648)</f>
        <v>Jennifer Hess</v>
      </c>
      <c r="M648" s="6" t="s">
        <v>57</v>
      </c>
      <c r="N648" s="5">
        <v>45973</v>
      </c>
      <c r="O648" s="5">
        <v>46093</v>
      </c>
      <c r="P648" s="23">
        <f>DATEDIF(N648,O648,"M")</f>
        <v>4</v>
      </c>
      <c r="Q648" s="23" t="s">
        <v>157</v>
      </c>
      <c r="R648" s="23" t="s">
        <v>1390</v>
      </c>
      <c r="S648" s="7">
        <v>29.79</v>
      </c>
      <c r="T648" s="13">
        <v>0.7</v>
      </c>
      <c r="U648" s="6" t="s">
        <v>60</v>
      </c>
      <c r="V648" s="6" t="s">
        <v>135</v>
      </c>
      <c r="W648" s="7">
        <v>20.85</v>
      </c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</row>
    <row r="649" spans="1:55" s="15" customFormat="1" x14ac:dyDescent="0.25">
      <c r="A649" s="6">
        <v>2032111468</v>
      </c>
      <c r="B649" s="6" t="s">
        <v>815</v>
      </c>
      <c r="C649" s="6" t="s">
        <v>816</v>
      </c>
      <c r="D649" s="6" t="str">
        <f>CONCATENATE(C649," ",B649)</f>
        <v>JOHNNA THOMPKINS</v>
      </c>
      <c r="E649" s="6" t="s">
        <v>170</v>
      </c>
      <c r="F649" s="6" t="s">
        <v>363</v>
      </c>
      <c r="G649" s="6" t="s">
        <v>364</v>
      </c>
      <c r="H649" s="6" t="s">
        <v>364</v>
      </c>
      <c r="I649" s="20" t="s">
        <v>1368</v>
      </c>
      <c r="J649" s="6" t="s">
        <v>817</v>
      </c>
      <c r="K649" s="6" t="s">
        <v>143</v>
      </c>
      <c r="L649" s="6" t="str">
        <f>CONCATENATE(K649," ",J649)</f>
        <v>Jennifer Hess</v>
      </c>
      <c r="M649" s="6" t="s">
        <v>57</v>
      </c>
      <c r="N649" s="5">
        <v>45973</v>
      </c>
      <c r="O649" s="5">
        <v>46093</v>
      </c>
      <c r="P649" s="23">
        <f>DATEDIF(N649,O649,"M")</f>
        <v>4</v>
      </c>
      <c r="Q649" s="23" t="s">
        <v>157</v>
      </c>
      <c r="R649" s="23" t="s">
        <v>1390</v>
      </c>
      <c r="S649" s="7">
        <v>54.95</v>
      </c>
      <c r="T649" s="14">
        <v>0.375</v>
      </c>
      <c r="U649" s="6" t="s">
        <v>60</v>
      </c>
      <c r="V649" s="6" t="s">
        <v>135</v>
      </c>
      <c r="W649" s="7">
        <v>20.61</v>
      </c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</row>
    <row r="650" spans="1:55" s="15" customFormat="1" x14ac:dyDescent="0.25">
      <c r="A650" s="15">
        <v>2030983565</v>
      </c>
      <c r="B650" s="15" t="s">
        <v>313</v>
      </c>
      <c r="C650" s="15" t="s">
        <v>314</v>
      </c>
      <c r="D650" s="15" t="str">
        <f>CONCATENATE(C650," ",B650)</f>
        <v>PEGGY MATHENY</v>
      </c>
      <c r="E650" s="15" t="s">
        <v>140</v>
      </c>
      <c r="F650" s="15" t="s">
        <v>152</v>
      </c>
      <c r="G650" s="15" t="s">
        <v>153</v>
      </c>
      <c r="H650" s="15" t="s">
        <v>153</v>
      </c>
      <c r="I650" s="21">
        <v>18142208</v>
      </c>
      <c r="J650" s="15" t="s">
        <v>315</v>
      </c>
      <c r="K650" s="15" t="s">
        <v>316</v>
      </c>
      <c r="L650" s="15" t="str">
        <f>CONCATENATE(K650," ",J650)</f>
        <v>Jill Shepard</v>
      </c>
      <c r="M650" s="15" t="s">
        <v>57</v>
      </c>
      <c r="N650" s="16">
        <v>45931</v>
      </c>
      <c r="O650" s="16">
        <v>46082</v>
      </c>
      <c r="P650" s="24">
        <f>DATEDIF(N650,O650,"M")</f>
        <v>5</v>
      </c>
      <c r="Q650" s="24" t="s">
        <v>157</v>
      </c>
      <c r="R650" s="24" t="s">
        <v>1391</v>
      </c>
      <c r="S650" s="17">
        <v>65.680000000000007</v>
      </c>
      <c r="T650" s="18">
        <v>0.47</v>
      </c>
      <c r="U650" s="15" t="s">
        <v>60</v>
      </c>
      <c r="V650" s="15" t="s">
        <v>135</v>
      </c>
      <c r="W650" s="17">
        <v>30.87</v>
      </c>
    </row>
    <row r="651" spans="1:55" s="15" customFormat="1" x14ac:dyDescent="0.25">
      <c r="A651" s="6">
        <v>2030452962</v>
      </c>
      <c r="B651" s="6" t="s">
        <v>774</v>
      </c>
      <c r="C651" s="6" t="s">
        <v>240</v>
      </c>
      <c r="D651" s="6" t="str">
        <f>CONCATENATE(C651," ",B651)</f>
        <v>JOHN ANDERSON</v>
      </c>
      <c r="E651" s="6" t="s">
        <v>274</v>
      </c>
      <c r="F651" s="6" t="s">
        <v>383</v>
      </c>
      <c r="G651" s="6" t="s">
        <v>384</v>
      </c>
      <c r="H651" s="6" t="s">
        <v>1336</v>
      </c>
      <c r="I651" s="20" t="s">
        <v>1369</v>
      </c>
      <c r="J651" s="6" t="s">
        <v>563</v>
      </c>
      <c r="K651" s="6" t="s">
        <v>564</v>
      </c>
      <c r="L651" s="6" t="str">
        <f>CONCATENATE(K651," ",J651)</f>
        <v>Joel Lee</v>
      </c>
      <c r="M651" s="6" t="s">
        <v>57</v>
      </c>
      <c r="N651" s="5">
        <v>45882</v>
      </c>
      <c r="O651" s="5">
        <v>46094</v>
      </c>
      <c r="P651" s="23">
        <f>DATEDIF(N651,O651,"M")</f>
        <v>7</v>
      </c>
      <c r="Q651" s="23" t="s">
        <v>157</v>
      </c>
      <c r="R651" s="23" t="s">
        <v>1391</v>
      </c>
      <c r="S651" s="7">
        <v>29.2</v>
      </c>
      <c r="T651" s="13">
        <v>0.7</v>
      </c>
      <c r="U651" s="6" t="s">
        <v>60</v>
      </c>
      <c r="V651" s="6" t="s">
        <v>135</v>
      </c>
      <c r="W651" s="7">
        <v>20.440000000000001</v>
      </c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</row>
    <row r="652" spans="1:55" s="15" customFormat="1" x14ac:dyDescent="0.25">
      <c r="A652" s="6">
        <v>2030452963</v>
      </c>
      <c r="B652" s="6" t="s">
        <v>774</v>
      </c>
      <c r="C652" s="6" t="s">
        <v>240</v>
      </c>
      <c r="D652" s="6" t="str">
        <f>CONCATENATE(C652," ",B652)</f>
        <v>JOHN ANDERSON</v>
      </c>
      <c r="E652" s="6" t="s">
        <v>274</v>
      </c>
      <c r="F652" s="6" t="s">
        <v>363</v>
      </c>
      <c r="G652" s="6" t="s">
        <v>364</v>
      </c>
      <c r="H652" s="6" t="s">
        <v>364</v>
      </c>
      <c r="I652" s="20" t="s">
        <v>1369</v>
      </c>
      <c r="J652" s="6" t="s">
        <v>563</v>
      </c>
      <c r="K652" s="6" t="s">
        <v>564</v>
      </c>
      <c r="L652" s="6" t="str">
        <f>CONCATENATE(K652," ",J652)</f>
        <v>Joel Lee</v>
      </c>
      <c r="M652" s="6" t="s">
        <v>57</v>
      </c>
      <c r="N652" s="5">
        <v>45882</v>
      </c>
      <c r="O652" s="5">
        <v>46094</v>
      </c>
      <c r="P652" s="23">
        <f>DATEDIF(N652,O652,"M")</f>
        <v>7</v>
      </c>
      <c r="Q652" s="23" t="s">
        <v>157</v>
      </c>
      <c r="R652" s="23" t="s">
        <v>1391</v>
      </c>
      <c r="S652" s="7">
        <v>205.33</v>
      </c>
      <c r="T652" s="14">
        <v>0.375</v>
      </c>
      <c r="U652" s="6" t="s">
        <v>60</v>
      </c>
      <c r="V652" s="6" t="s">
        <v>135</v>
      </c>
      <c r="W652" s="7">
        <v>77</v>
      </c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</row>
    <row r="653" spans="1:55" s="15" customFormat="1" x14ac:dyDescent="0.25">
      <c r="A653" s="6">
        <v>2029877306</v>
      </c>
      <c r="B653" s="6" t="s">
        <v>751</v>
      </c>
      <c r="C653" s="6" t="s">
        <v>752</v>
      </c>
      <c r="D653" s="6" t="str">
        <f>CONCATENATE(C653," ",B653)</f>
        <v>SULLIVAN JONAS</v>
      </c>
      <c r="E653" s="6" t="s">
        <v>274</v>
      </c>
      <c r="F653" s="6" t="s">
        <v>363</v>
      </c>
      <c r="G653" s="6" t="s">
        <v>364</v>
      </c>
      <c r="H653" s="6" t="s">
        <v>364</v>
      </c>
      <c r="I653" s="20" t="s">
        <v>1369</v>
      </c>
      <c r="J653" s="6" t="s">
        <v>563</v>
      </c>
      <c r="K653" s="6" t="s">
        <v>564</v>
      </c>
      <c r="L653" s="6" t="str">
        <f>CONCATENATE(K653," ",J653)</f>
        <v>Joel Lee</v>
      </c>
      <c r="M653" s="6" t="s">
        <v>57</v>
      </c>
      <c r="N653" s="5">
        <v>45848</v>
      </c>
      <c r="O653" s="5">
        <v>46091</v>
      </c>
      <c r="P653" s="23">
        <f>DATEDIF(N653,O653,"M")</f>
        <v>8</v>
      </c>
      <c r="Q653" s="23" t="s">
        <v>157</v>
      </c>
      <c r="R653" s="23" t="s">
        <v>1391</v>
      </c>
      <c r="S653" s="7">
        <v>189.23</v>
      </c>
      <c r="T653" s="14">
        <v>0.375</v>
      </c>
      <c r="U653" s="6" t="s">
        <v>60</v>
      </c>
      <c r="V653" s="6" t="s">
        <v>135</v>
      </c>
      <c r="W653" s="7">
        <v>70.959999999999994</v>
      </c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</row>
    <row r="654" spans="1:55" s="15" customFormat="1" x14ac:dyDescent="0.25">
      <c r="A654" s="6">
        <v>2027025172</v>
      </c>
      <c r="B654" s="6" t="s">
        <v>562</v>
      </c>
      <c r="C654" s="6" t="s">
        <v>349</v>
      </c>
      <c r="D654" s="6" t="str">
        <f>CONCATENATE(C654," ",B654)</f>
        <v>SHAWN LAWVER</v>
      </c>
      <c r="E654" s="6" t="s">
        <v>274</v>
      </c>
      <c r="F654" s="6" t="s">
        <v>72</v>
      </c>
      <c r="G654" s="6" t="s">
        <v>455</v>
      </c>
      <c r="H654" s="6" t="s">
        <v>1330</v>
      </c>
      <c r="I654" s="20">
        <v>6634327</v>
      </c>
      <c r="J654" s="6" t="s">
        <v>563</v>
      </c>
      <c r="K654" s="6" t="s">
        <v>564</v>
      </c>
      <c r="L654" s="6" t="str">
        <f>CONCATENATE(K654," ",J654)</f>
        <v>Joel Lee</v>
      </c>
      <c r="M654" s="6" t="s">
        <v>57</v>
      </c>
      <c r="N654" s="5">
        <v>45697</v>
      </c>
      <c r="O654" s="5">
        <v>46090</v>
      </c>
      <c r="P654" s="23">
        <f>DATEDIF(N654,O654,"M")</f>
        <v>13</v>
      </c>
      <c r="Q654" s="23" t="s">
        <v>157</v>
      </c>
      <c r="R654" s="23" t="s">
        <v>1391</v>
      </c>
      <c r="S654" s="7">
        <v>65.08</v>
      </c>
      <c r="T654" s="13">
        <v>0.1</v>
      </c>
      <c r="U654" s="6" t="s">
        <v>157</v>
      </c>
      <c r="V654" s="6" t="s">
        <v>135</v>
      </c>
      <c r="W654" s="7">
        <v>6.51</v>
      </c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</row>
    <row r="655" spans="1:55" s="15" customFormat="1" x14ac:dyDescent="0.25">
      <c r="A655" s="6">
        <v>2027025173</v>
      </c>
      <c r="B655" s="6" t="s">
        <v>562</v>
      </c>
      <c r="C655" s="6" t="s">
        <v>349</v>
      </c>
      <c r="D655" s="6" t="str">
        <f>CONCATENATE(C655," ",B655)</f>
        <v>SHAWN LAWVER</v>
      </c>
      <c r="E655" s="6" t="s">
        <v>274</v>
      </c>
      <c r="F655" s="6" t="s">
        <v>378</v>
      </c>
      <c r="G655" s="6" t="s">
        <v>379</v>
      </c>
      <c r="H655" s="6" t="s">
        <v>379</v>
      </c>
      <c r="I655" s="20">
        <v>6634327</v>
      </c>
      <c r="J655" s="6" t="s">
        <v>563</v>
      </c>
      <c r="K655" s="6" t="s">
        <v>564</v>
      </c>
      <c r="L655" s="6" t="str">
        <f>CONCATENATE(K655," ",J655)</f>
        <v>Joel Lee</v>
      </c>
      <c r="M655" s="6" t="s">
        <v>57</v>
      </c>
      <c r="N655" s="5">
        <v>45697</v>
      </c>
      <c r="O655" s="5">
        <v>46090</v>
      </c>
      <c r="P655" s="23">
        <f>DATEDIF(N655,O655,"M")</f>
        <v>13</v>
      </c>
      <c r="Q655" s="23" t="s">
        <v>157</v>
      </c>
      <c r="R655" s="23" t="s">
        <v>1391</v>
      </c>
      <c r="S655" s="7">
        <v>70.599999999999994</v>
      </c>
      <c r="T655" s="13">
        <v>0.1</v>
      </c>
      <c r="U655" s="6" t="s">
        <v>157</v>
      </c>
      <c r="V655" s="6" t="s">
        <v>135</v>
      </c>
      <c r="W655" s="7">
        <v>7.06</v>
      </c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</row>
    <row r="656" spans="1:55" s="15" customFormat="1" x14ac:dyDescent="0.25">
      <c r="A656" s="6">
        <v>2027025171</v>
      </c>
      <c r="B656" s="6" t="s">
        <v>562</v>
      </c>
      <c r="C656" s="6" t="s">
        <v>349</v>
      </c>
      <c r="D656" s="6" t="str">
        <f>CONCATENATE(C656," ",B656)</f>
        <v>SHAWN LAWVER</v>
      </c>
      <c r="E656" s="6" t="s">
        <v>274</v>
      </c>
      <c r="F656" s="6" t="s">
        <v>383</v>
      </c>
      <c r="G656" s="6" t="s">
        <v>384</v>
      </c>
      <c r="H656" s="6" t="s">
        <v>384</v>
      </c>
      <c r="I656" s="20">
        <v>6634327</v>
      </c>
      <c r="J656" s="6" t="s">
        <v>563</v>
      </c>
      <c r="K656" s="6" t="s">
        <v>564</v>
      </c>
      <c r="L656" s="6" t="str">
        <f>CONCATENATE(K656," ",J656)</f>
        <v>Joel Lee</v>
      </c>
      <c r="M656" s="6" t="s">
        <v>57</v>
      </c>
      <c r="N656" s="5">
        <v>45697</v>
      </c>
      <c r="O656" s="5">
        <v>46090</v>
      </c>
      <c r="P656" s="23">
        <f>DATEDIF(N656,O656,"M")</f>
        <v>13</v>
      </c>
      <c r="Q656" s="23" t="s">
        <v>157</v>
      </c>
      <c r="R656" s="23" t="s">
        <v>1391</v>
      </c>
      <c r="S656" s="7">
        <v>29.2</v>
      </c>
      <c r="T656" s="13">
        <v>0.15</v>
      </c>
      <c r="U656" s="6" t="s">
        <v>157</v>
      </c>
      <c r="V656" s="6" t="s">
        <v>135</v>
      </c>
      <c r="W656" s="7">
        <v>4.38</v>
      </c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</row>
    <row r="657" spans="1:23" s="15" customFormat="1" x14ac:dyDescent="0.25">
      <c r="A657" s="15">
        <v>2033069544</v>
      </c>
      <c r="B657" s="15" t="s">
        <v>451</v>
      </c>
      <c r="C657" s="15" t="s">
        <v>452</v>
      </c>
      <c r="D657" s="15" t="str">
        <f>CONCATENATE(C657," ",B657)</f>
        <v>SANIYAH HAMMONDS</v>
      </c>
      <c r="E657" s="15" t="s">
        <v>237</v>
      </c>
      <c r="F657" s="15" t="s">
        <v>363</v>
      </c>
      <c r="G657" s="15" t="s">
        <v>364</v>
      </c>
      <c r="H657" s="15" t="s">
        <v>1338</v>
      </c>
      <c r="I657" s="21" t="s">
        <v>1370</v>
      </c>
      <c r="J657" s="15" t="s">
        <v>239</v>
      </c>
      <c r="K657" s="15" t="s">
        <v>240</v>
      </c>
      <c r="L657" s="15" t="str">
        <f>CONCATENATE(K657," ",J657)</f>
        <v>JOHN ROKEN</v>
      </c>
      <c r="M657" s="15" t="s">
        <v>57</v>
      </c>
      <c r="N657" s="16">
        <v>46032</v>
      </c>
      <c r="O657" s="16">
        <v>46091</v>
      </c>
      <c r="P657" s="24">
        <f>DATEDIF(N657,O657,"M")</f>
        <v>2</v>
      </c>
      <c r="Q657" s="24" t="s">
        <v>157</v>
      </c>
      <c r="R657" s="24" t="s">
        <v>1391</v>
      </c>
      <c r="S657" s="17">
        <v>51.21</v>
      </c>
      <c r="T657" s="25">
        <v>0.375</v>
      </c>
      <c r="U657" s="15" t="s">
        <v>60</v>
      </c>
      <c r="V657" s="15" t="s">
        <v>135</v>
      </c>
      <c r="W657" s="17">
        <v>19.2</v>
      </c>
    </row>
    <row r="658" spans="1:23" s="15" customFormat="1" x14ac:dyDescent="0.25">
      <c r="A658" s="15">
        <v>2032465281</v>
      </c>
      <c r="B658" s="15" t="s">
        <v>589</v>
      </c>
      <c r="C658" s="15" t="s">
        <v>590</v>
      </c>
      <c r="D658" s="15" t="str">
        <f>CONCATENATE(C658," ",B658)</f>
        <v>DONALD RUSSELL</v>
      </c>
      <c r="E658" s="15" t="s">
        <v>237</v>
      </c>
      <c r="F658" s="15" t="s">
        <v>350</v>
      </c>
      <c r="G658" s="15" t="s">
        <v>582</v>
      </c>
      <c r="H658" s="15" t="s">
        <v>582</v>
      </c>
      <c r="I658" s="21" t="s">
        <v>1370</v>
      </c>
      <c r="J658" s="15" t="s">
        <v>239</v>
      </c>
      <c r="K658" s="15" t="s">
        <v>240</v>
      </c>
      <c r="L658" s="15" t="str">
        <f>CONCATENATE(K658," ",J658)</f>
        <v>JOHN ROKEN</v>
      </c>
      <c r="M658" s="15" t="s">
        <v>57</v>
      </c>
      <c r="N658" s="16">
        <v>46023</v>
      </c>
      <c r="O658" s="16">
        <v>46082</v>
      </c>
      <c r="P658" s="24">
        <f>DATEDIF(N658,O658,"M")</f>
        <v>2</v>
      </c>
      <c r="Q658" s="24" t="s">
        <v>157</v>
      </c>
      <c r="R658" s="24" t="s">
        <v>1391</v>
      </c>
      <c r="S658" s="17">
        <v>15</v>
      </c>
      <c r="T658" s="18">
        <v>0.38</v>
      </c>
      <c r="U658" s="15" t="s">
        <v>60</v>
      </c>
      <c r="V658" s="15" t="s">
        <v>135</v>
      </c>
      <c r="W658" s="17">
        <v>5.7</v>
      </c>
    </row>
    <row r="659" spans="1:23" s="15" customFormat="1" x14ac:dyDescent="0.25">
      <c r="A659" s="15">
        <v>2033064965</v>
      </c>
      <c r="B659" s="15" t="s">
        <v>449</v>
      </c>
      <c r="C659" s="15" t="s">
        <v>450</v>
      </c>
      <c r="D659" s="15" t="str">
        <f>CONCATENATE(C659," ",B659)</f>
        <v>JAYLA TERRY</v>
      </c>
      <c r="E659" s="15" t="s">
        <v>52</v>
      </c>
      <c r="F659" s="15" t="s">
        <v>378</v>
      </c>
      <c r="G659" s="15" t="s">
        <v>379</v>
      </c>
      <c r="H659" s="15" t="s">
        <v>379</v>
      </c>
      <c r="I659" s="21" t="s">
        <v>1370</v>
      </c>
      <c r="J659" s="15" t="s">
        <v>239</v>
      </c>
      <c r="K659" s="15" t="s">
        <v>240</v>
      </c>
      <c r="L659" s="15" t="str">
        <f>CONCATENATE(K659," ",J659)</f>
        <v>JOHN ROKEN</v>
      </c>
      <c r="M659" s="15" t="s">
        <v>57</v>
      </c>
      <c r="N659" s="16">
        <v>46034</v>
      </c>
      <c r="O659" s="16">
        <v>46093</v>
      </c>
      <c r="P659" s="24">
        <f>DATEDIF(N659,O659,"M")</f>
        <v>2</v>
      </c>
      <c r="Q659" s="24" t="s">
        <v>157</v>
      </c>
      <c r="R659" s="24" t="s">
        <v>1391</v>
      </c>
      <c r="S659" s="17">
        <v>27.15</v>
      </c>
      <c r="T659" s="18">
        <v>0.38</v>
      </c>
      <c r="U659" s="15" t="s">
        <v>60</v>
      </c>
      <c r="V659" s="15" t="s">
        <v>135</v>
      </c>
      <c r="W659" s="17">
        <v>10.32</v>
      </c>
    </row>
    <row r="660" spans="1:23" s="15" customFormat="1" x14ac:dyDescent="0.25">
      <c r="A660" s="15">
        <v>2033069545</v>
      </c>
      <c r="B660" s="15" t="s">
        <v>451</v>
      </c>
      <c r="C660" s="15" t="s">
        <v>452</v>
      </c>
      <c r="D660" s="15" t="str">
        <f>CONCATENATE(C660," ",B660)</f>
        <v>SANIYAH HAMMONDS</v>
      </c>
      <c r="E660" s="15" t="s">
        <v>237</v>
      </c>
      <c r="F660" s="15" t="s">
        <v>378</v>
      </c>
      <c r="G660" s="15" t="s">
        <v>379</v>
      </c>
      <c r="H660" s="15" t="s">
        <v>379</v>
      </c>
      <c r="I660" s="21" t="s">
        <v>1370</v>
      </c>
      <c r="J660" s="15" t="s">
        <v>239</v>
      </c>
      <c r="K660" s="15" t="s">
        <v>240</v>
      </c>
      <c r="L660" s="15" t="str">
        <f>CONCATENATE(K660," ",J660)</f>
        <v>JOHN ROKEN</v>
      </c>
      <c r="M660" s="15" t="s">
        <v>57</v>
      </c>
      <c r="N660" s="16">
        <v>46032</v>
      </c>
      <c r="O660" s="16">
        <v>46091</v>
      </c>
      <c r="P660" s="24">
        <f>DATEDIF(N660,O660,"M")</f>
        <v>2</v>
      </c>
      <c r="Q660" s="24" t="s">
        <v>157</v>
      </c>
      <c r="R660" s="24" t="s">
        <v>1391</v>
      </c>
      <c r="S660" s="17">
        <v>11.77</v>
      </c>
      <c r="T660" s="18">
        <v>0.38</v>
      </c>
      <c r="U660" s="15" t="s">
        <v>60</v>
      </c>
      <c r="V660" s="15" t="s">
        <v>135</v>
      </c>
      <c r="W660" s="17">
        <v>4.47</v>
      </c>
    </row>
    <row r="661" spans="1:23" s="15" customFormat="1" x14ac:dyDescent="0.25">
      <c r="A661" s="15">
        <v>2033045477</v>
      </c>
      <c r="B661" s="15" t="s">
        <v>448</v>
      </c>
      <c r="C661" s="15" t="s">
        <v>370</v>
      </c>
      <c r="D661" s="15" t="str">
        <f>CONCATENATE(C661," ",B661)</f>
        <v>JORDAN WHITNEY</v>
      </c>
      <c r="E661" s="15" t="s">
        <v>52</v>
      </c>
      <c r="F661" s="15" t="s">
        <v>378</v>
      </c>
      <c r="G661" s="15" t="s">
        <v>379</v>
      </c>
      <c r="H661" s="15" t="s">
        <v>379</v>
      </c>
      <c r="I661" s="21" t="s">
        <v>1370</v>
      </c>
      <c r="J661" s="15" t="s">
        <v>239</v>
      </c>
      <c r="K661" s="15" t="s">
        <v>240</v>
      </c>
      <c r="L661" s="15" t="str">
        <f>CONCATENATE(K661," ",J661)</f>
        <v>JOHN ROKEN</v>
      </c>
      <c r="M661" s="15" t="s">
        <v>57</v>
      </c>
      <c r="N661" s="16">
        <v>46031</v>
      </c>
      <c r="O661" s="16">
        <v>46090</v>
      </c>
      <c r="P661" s="24">
        <f>DATEDIF(N661,O661,"M")</f>
        <v>2</v>
      </c>
      <c r="Q661" s="24" t="s">
        <v>157</v>
      </c>
      <c r="R661" s="24" t="s">
        <v>1391</v>
      </c>
      <c r="S661" s="17">
        <v>19.309999999999999</v>
      </c>
      <c r="T661" s="18">
        <v>0.38</v>
      </c>
      <c r="U661" s="15" t="s">
        <v>60</v>
      </c>
      <c r="V661" s="15" t="s">
        <v>135</v>
      </c>
      <c r="W661" s="17">
        <v>7.34</v>
      </c>
    </row>
    <row r="662" spans="1:23" s="15" customFormat="1" x14ac:dyDescent="0.25">
      <c r="A662" s="15">
        <v>2032465279</v>
      </c>
      <c r="B662" s="15" t="s">
        <v>589</v>
      </c>
      <c r="C662" s="15" t="s">
        <v>590</v>
      </c>
      <c r="D662" s="15" t="str">
        <f>CONCATENATE(C662," ",B662)</f>
        <v>DONALD RUSSELL</v>
      </c>
      <c r="E662" s="15" t="s">
        <v>237</v>
      </c>
      <c r="F662" s="15" t="s">
        <v>378</v>
      </c>
      <c r="G662" s="15" t="s">
        <v>379</v>
      </c>
      <c r="H662" s="15" t="s">
        <v>379</v>
      </c>
      <c r="I662" s="21" t="s">
        <v>1370</v>
      </c>
      <c r="J662" s="15" t="s">
        <v>239</v>
      </c>
      <c r="K662" s="15" t="s">
        <v>240</v>
      </c>
      <c r="L662" s="15" t="str">
        <f>CONCATENATE(K662," ",J662)</f>
        <v>JOHN ROKEN</v>
      </c>
      <c r="M662" s="15" t="s">
        <v>57</v>
      </c>
      <c r="N662" s="16">
        <v>46023</v>
      </c>
      <c r="O662" s="16">
        <v>46082</v>
      </c>
      <c r="P662" s="24">
        <f>DATEDIF(N662,O662,"M")</f>
        <v>2</v>
      </c>
      <c r="Q662" s="24" t="s">
        <v>157</v>
      </c>
      <c r="R662" s="24" t="s">
        <v>1391</v>
      </c>
      <c r="S662" s="17">
        <v>31.64</v>
      </c>
      <c r="T662" s="18">
        <v>0.38</v>
      </c>
      <c r="U662" s="15" t="s">
        <v>60</v>
      </c>
      <c r="V662" s="15" t="s">
        <v>135</v>
      </c>
      <c r="W662" s="17">
        <v>12.02</v>
      </c>
    </row>
    <row r="663" spans="1:23" s="15" customFormat="1" x14ac:dyDescent="0.25">
      <c r="A663" s="15">
        <v>2032528434</v>
      </c>
      <c r="B663" s="15" t="s">
        <v>835</v>
      </c>
      <c r="C663" s="15" t="s">
        <v>1097</v>
      </c>
      <c r="D663" s="15" t="str">
        <f>CONCATENATE(C663," ",B663)</f>
        <v>LUCAS MYERS</v>
      </c>
      <c r="E663" s="15" t="s">
        <v>52</v>
      </c>
      <c r="F663" s="15" t="s">
        <v>378</v>
      </c>
      <c r="G663" s="15" t="s">
        <v>379</v>
      </c>
      <c r="H663" s="15" t="s">
        <v>379</v>
      </c>
      <c r="I663" s="21" t="s">
        <v>1370</v>
      </c>
      <c r="J663" s="15" t="s">
        <v>239</v>
      </c>
      <c r="K663" s="15" t="s">
        <v>240</v>
      </c>
      <c r="L663" s="15" t="str">
        <f>CONCATENATE(K663," ",J663)</f>
        <v>JOHN ROKEN</v>
      </c>
      <c r="M663" s="15" t="s">
        <v>57</v>
      </c>
      <c r="N663" s="16">
        <v>46023</v>
      </c>
      <c r="O663" s="16">
        <v>46082</v>
      </c>
      <c r="P663" s="24">
        <f>DATEDIF(N663,O663,"M")</f>
        <v>2</v>
      </c>
      <c r="Q663" s="24" t="s">
        <v>157</v>
      </c>
      <c r="R663" s="24" t="s">
        <v>1391</v>
      </c>
      <c r="S663" s="17">
        <v>19.309999999999999</v>
      </c>
      <c r="T663" s="18">
        <v>0.38</v>
      </c>
      <c r="U663" s="15" t="s">
        <v>60</v>
      </c>
      <c r="V663" s="15" t="s">
        <v>135</v>
      </c>
      <c r="W663" s="17">
        <v>7.34</v>
      </c>
    </row>
    <row r="664" spans="1:23" s="15" customFormat="1" x14ac:dyDescent="0.25">
      <c r="A664" s="15">
        <v>2032465280</v>
      </c>
      <c r="B664" s="15" t="s">
        <v>589</v>
      </c>
      <c r="C664" s="15" t="s">
        <v>590</v>
      </c>
      <c r="D664" s="15" t="str">
        <f>CONCATENATE(C664," ",B664)</f>
        <v>DONALD RUSSELL</v>
      </c>
      <c r="E664" s="15" t="s">
        <v>237</v>
      </c>
      <c r="F664" s="15" t="s">
        <v>383</v>
      </c>
      <c r="G664" s="15" t="s">
        <v>384</v>
      </c>
      <c r="H664" s="15" t="s">
        <v>384</v>
      </c>
      <c r="I664" s="21" t="s">
        <v>1370</v>
      </c>
      <c r="J664" s="15" t="s">
        <v>239</v>
      </c>
      <c r="K664" s="15" t="s">
        <v>240</v>
      </c>
      <c r="L664" s="15" t="str">
        <f>CONCATENATE(K664," ",J664)</f>
        <v>JOHN ROKEN</v>
      </c>
      <c r="M664" s="15" t="s">
        <v>57</v>
      </c>
      <c r="N664" s="16">
        <v>46023</v>
      </c>
      <c r="O664" s="16">
        <v>46082</v>
      </c>
      <c r="P664" s="24">
        <f>DATEDIF(N664,O664,"M")</f>
        <v>2</v>
      </c>
      <c r="Q664" s="24" t="s">
        <v>157</v>
      </c>
      <c r="R664" s="24" t="s">
        <v>1391</v>
      </c>
      <c r="S664" s="17">
        <v>23.28</v>
      </c>
      <c r="T664" s="18">
        <v>0.7</v>
      </c>
      <c r="U664" s="15" t="s">
        <v>60</v>
      </c>
      <c r="V664" s="15" t="s">
        <v>135</v>
      </c>
      <c r="W664" s="17">
        <v>16.3</v>
      </c>
    </row>
    <row r="665" spans="1:23" s="15" customFormat="1" x14ac:dyDescent="0.25">
      <c r="A665" s="15">
        <v>2032528435</v>
      </c>
      <c r="B665" s="15" t="s">
        <v>835</v>
      </c>
      <c r="C665" s="15" t="s">
        <v>1097</v>
      </c>
      <c r="D665" s="15" t="str">
        <f>CONCATENATE(C665," ",B665)</f>
        <v>LUCAS MYERS</v>
      </c>
      <c r="E665" s="15" t="s">
        <v>52</v>
      </c>
      <c r="F665" s="15" t="s">
        <v>363</v>
      </c>
      <c r="G665" s="15" t="s">
        <v>364</v>
      </c>
      <c r="H665" s="15" t="s">
        <v>364</v>
      </c>
      <c r="I665" s="21" t="s">
        <v>1370</v>
      </c>
      <c r="J665" s="15" t="s">
        <v>239</v>
      </c>
      <c r="K665" s="15" t="s">
        <v>240</v>
      </c>
      <c r="L665" s="15" t="str">
        <f>CONCATENATE(K665," ",J665)</f>
        <v>JOHN ROKEN</v>
      </c>
      <c r="M665" s="15" t="s">
        <v>57</v>
      </c>
      <c r="N665" s="16">
        <v>46023</v>
      </c>
      <c r="O665" s="16">
        <v>46082</v>
      </c>
      <c r="P665" s="24">
        <f>DATEDIF(N665,O665,"M")</f>
        <v>2</v>
      </c>
      <c r="Q665" s="24" t="s">
        <v>157</v>
      </c>
      <c r="R665" s="24" t="s">
        <v>1391</v>
      </c>
      <c r="S665" s="17">
        <v>16.59</v>
      </c>
      <c r="T665" s="25">
        <v>0.375</v>
      </c>
      <c r="U665" s="15" t="s">
        <v>60</v>
      </c>
      <c r="V665" s="15" t="s">
        <v>135</v>
      </c>
      <c r="W665" s="17">
        <v>6.22</v>
      </c>
    </row>
    <row r="666" spans="1:23" s="15" customFormat="1" x14ac:dyDescent="0.25">
      <c r="A666" s="15">
        <v>2033064966</v>
      </c>
      <c r="B666" s="15" t="s">
        <v>449</v>
      </c>
      <c r="C666" s="15" t="s">
        <v>450</v>
      </c>
      <c r="D666" s="15" t="str">
        <f>CONCATENATE(C666," ",B666)</f>
        <v>JAYLA TERRY</v>
      </c>
      <c r="E666" s="15" t="s">
        <v>52</v>
      </c>
      <c r="F666" s="15" t="s">
        <v>53</v>
      </c>
      <c r="G666" s="15" t="s">
        <v>54</v>
      </c>
      <c r="H666" s="15" t="s">
        <v>54</v>
      </c>
      <c r="I666" s="21" t="s">
        <v>1370</v>
      </c>
      <c r="J666" s="15" t="s">
        <v>239</v>
      </c>
      <c r="K666" s="15" t="s">
        <v>240</v>
      </c>
      <c r="L666" s="15" t="str">
        <f>CONCATENATE(K666," ",J666)</f>
        <v>JOHN ROKEN</v>
      </c>
      <c r="M666" s="15" t="s">
        <v>57</v>
      </c>
      <c r="N666" s="16">
        <v>46034</v>
      </c>
      <c r="O666" s="16">
        <v>46093</v>
      </c>
      <c r="P666" s="24">
        <f>DATEDIF(N666,O666,"M")</f>
        <v>2</v>
      </c>
      <c r="Q666" s="24" t="s">
        <v>157</v>
      </c>
      <c r="R666" s="24" t="s">
        <v>1391</v>
      </c>
      <c r="S666" s="17">
        <v>40.159999999999997</v>
      </c>
      <c r="T666" s="18">
        <v>0.6</v>
      </c>
      <c r="U666" s="15" t="s">
        <v>60</v>
      </c>
      <c r="V666" s="15" t="s">
        <v>135</v>
      </c>
      <c r="W666" s="17">
        <v>24.1</v>
      </c>
    </row>
    <row r="667" spans="1:23" s="15" customFormat="1" x14ac:dyDescent="0.25">
      <c r="A667" s="15">
        <v>2033069546</v>
      </c>
      <c r="B667" s="15" t="s">
        <v>451</v>
      </c>
      <c r="C667" s="15" t="s">
        <v>452</v>
      </c>
      <c r="D667" s="15" t="str">
        <f>CONCATENATE(C667," ",B667)</f>
        <v>SANIYAH HAMMONDS</v>
      </c>
      <c r="E667" s="15" t="s">
        <v>237</v>
      </c>
      <c r="F667" s="15" t="s">
        <v>53</v>
      </c>
      <c r="G667" s="15" t="s">
        <v>54</v>
      </c>
      <c r="H667" s="15" t="s">
        <v>54</v>
      </c>
      <c r="I667" s="21" t="s">
        <v>1370</v>
      </c>
      <c r="J667" s="15" t="s">
        <v>239</v>
      </c>
      <c r="K667" s="15" t="s">
        <v>240</v>
      </c>
      <c r="L667" s="15" t="str">
        <f>CONCATENATE(K667," ",J667)</f>
        <v>JOHN ROKEN</v>
      </c>
      <c r="M667" s="15" t="s">
        <v>57</v>
      </c>
      <c r="N667" s="16">
        <v>46032</v>
      </c>
      <c r="O667" s="16">
        <v>46091</v>
      </c>
      <c r="P667" s="24">
        <f>DATEDIF(N667,O667,"M")</f>
        <v>2</v>
      </c>
      <c r="Q667" s="24" t="s">
        <v>157</v>
      </c>
      <c r="R667" s="24" t="s">
        <v>1391</v>
      </c>
      <c r="S667" s="17">
        <v>40.159999999999997</v>
      </c>
      <c r="T667" s="18">
        <v>0.6</v>
      </c>
      <c r="U667" s="15" t="s">
        <v>60</v>
      </c>
      <c r="V667" s="15" t="s">
        <v>135</v>
      </c>
      <c r="W667" s="17">
        <v>24.1</v>
      </c>
    </row>
    <row r="668" spans="1:23" s="15" customFormat="1" x14ac:dyDescent="0.25">
      <c r="A668" s="15">
        <v>2033045478</v>
      </c>
      <c r="B668" s="15" t="s">
        <v>448</v>
      </c>
      <c r="C668" s="15" t="s">
        <v>370</v>
      </c>
      <c r="D668" s="15" t="str">
        <f>CONCATENATE(C668," ",B668)</f>
        <v>JORDAN WHITNEY</v>
      </c>
      <c r="E668" s="15" t="s">
        <v>52</v>
      </c>
      <c r="F668" s="15" t="s">
        <v>53</v>
      </c>
      <c r="G668" s="15" t="s">
        <v>54</v>
      </c>
      <c r="H668" s="15" t="s">
        <v>54</v>
      </c>
      <c r="I668" s="21" t="s">
        <v>1370</v>
      </c>
      <c r="J668" s="15" t="s">
        <v>239</v>
      </c>
      <c r="K668" s="15" t="s">
        <v>240</v>
      </c>
      <c r="L668" s="15" t="str">
        <f>CONCATENATE(K668," ",J668)</f>
        <v>JOHN ROKEN</v>
      </c>
      <c r="M668" s="15" t="s">
        <v>57</v>
      </c>
      <c r="N668" s="16">
        <v>46031</v>
      </c>
      <c r="O668" s="16">
        <v>46090</v>
      </c>
      <c r="P668" s="24">
        <f>DATEDIF(N668,O668,"M")</f>
        <v>2</v>
      </c>
      <c r="Q668" s="24" t="s">
        <v>157</v>
      </c>
      <c r="R668" s="24" t="s">
        <v>1391</v>
      </c>
      <c r="S668" s="17">
        <v>46.45</v>
      </c>
      <c r="T668" s="18">
        <v>0.6</v>
      </c>
      <c r="U668" s="15" t="s">
        <v>60</v>
      </c>
      <c r="V668" s="15" t="s">
        <v>135</v>
      </c>
      <c r="W668" s="17">
        <v>27.87</v>
      </c>
    </row>
    <row r="669" spans="1:23" s="15" customFormat="1" x14ac:dyDescent="0.25">
      <c r="A669" s="15">
        <v>2032587808</v>
      </c>
      <c r="B669" s="15" t="s">
        <v>867</v>
      </c>
      <c r="C669" s="15" t="s">
        <v>537</v>
      </c>
      <c r="D669" s="15" t="str">
        <f>CONCATENATE(C669," ",B669)</f>
        <v>BRIAN DANIELS</v>
      </c>
      <c r="E669" s="15" t="s">
        <v>52</v>
      </c>
      <c r="F669" s="15" t="s">
        <v>383</v>
      </c>
      <c r="G669" s="15" t="s">
        <v>400</v>
      </c>
      <c r="H669" s="15" t="s">
        <v>1172</v>
      </c>
      <c r="I669" s="21" t="s">
        <v>1370</v>
      </c>
      <c r="J669" s="15" t="s">
        <v>239</v>
      </c>
      <c r="K669" s="15" t="s">
        <v>240</v>
      </c>
      <c r="L669" s="15" t="str">
        <f>CONCATENATE(K669," ",J669)</f>
        <v>JOHN ROKEN</v>
      </c>
      <c r="M669" s="15" t="s">
        <v>57</v>
      </c>
      <c r="N669" s="16">
        <v>46001</v>
      </c>
      <c r="O669" s="16">
        <v>46091</v>
      </c>
      <c r="P669" s="24">
        <f>DATEDIF(N669,O669,"M")</f>
        <v>3</v>
      </c>
      <c r="Q669" s="24" t="s">
        <v>157</v>
      </c>
      <c r="R669" s="24" t="s">
        <v>1391</v>
      </c>
      <c r="S669" s="17">
        <v>25.73</v>
      </c>
      <c r="T669" s="18">
        <v>0.7</v>
      </c>
      <c r="U669" s="15" t="s">
        <v>60</v>
      </c>
      <c r="V669" s="15" t="s">
        <v>135</v>
      </c>
      <c r="W669" s="17">
        <v>18.010000000000002</v>
      </c>
    </row>
    <row r="670" spans="1:23" s="15" customFormat="1" x14ac:dyDescent="0.25">
      <c r="A670" s="15">
        <v>2032648207</v>
      </c>
      <c r="B670" s="15" t="s">
        <v>965</v>
      </c>
      <c r="C670" s="15" t="s">
        <v>1100</v>
      </c>
      <c r="D670" s="15" t="str">
        <f>CONCATENATE(C670," ",B670)</f>
        <v>THEODORE WIGGINS</v>
      </c>
      <c r="E670" s="15" t="s">
        <v>52</v>
      </c>
      <c r="F670" s="15" t="s">
        <v>378</v>
      </c>
      <c r="G670" s="15" t="s">
        <v>379</v>
      </c>
      <c r="H670" s="15" t="s">
        <v>379</v>
      </c>
      <c r="I670" s="21" t="s">
        <v>1370</v>
      </c>
      <c r="J670" s="15" t="s">
        <v>239</v>
      </c>
      <c r="K670" s="15" t="s">
        <v>240</v>
      </c>
      <c r="L670" s="15" t="str">
        <f>CONCATENATE(K670," ",J670)</f>
        <v>JOHN ROKEN</v>
      </c>
      <c r="M670" s="15" t="s">
        <v>57</v>
      </c>
      <c r="N670" s="16">
        <v>46004</v>
      </c>
      <c r="O670" s="16">
        <v>46094</v>
      </c>
      <c r="P670" s="24">
        <f>DATEDIF(N670,O670,"M")</f>
        <v>3</v>
      </c>
      <c r="Q670" s="24" t="s">
        <v>157</v>
      </c>
      <c r="R670" s="24" t="s">
        <v>1391</v>
      </c>
      <c r="S670" s="17">
        <v>77.55</v>
      </c>
      <c r="T670" s="18">
        <v>0.38</v>
      </c>
      <c r="U670" s="15" t="s">
        <v>60</v>
      </c>
      <c r="V670" s="15" t="s">
        <v>135</v>
      </c>
      <c r="W670" s="17">
        <v>29.47</v>
      </c>
    </row>
    <row r="671" spans="1:23" s="15" customFormat="1" x14ac:dyDescent="0.25">
      <c r="A671" s="15">
        <v>2032587807</v>
      </c>
      <c r="B671" s="15" t="s">
        <v>867</v>
      </c>
      <c r="C671" s="15" t="s">
        <v>537</v>
      </c>
      <c r="D671" s="15" t="str">
        <f>CONCATENATE(C671," ",B671)</f>
        <v>BRIAN DANIELS</v>
      </c>
      <c r="E671" s="15" t="s">
        <v>52</v>
      </c>
      <c r="F671" s="15" t="s">
        <v>378</v>
      </c>
      <c r="G671" s="15" t="s">
        <v>379</v>
      </c>
      <c r="H671" s="15" t="s">
        <v>379</v>
      </c>
      <c r="I671" s="21" t="s">
        <v>1370</v>
      </c>
      <c r="J671" s="15" t="s">
        <v>239</v>
      </c>
      <c r="K671" s="15" t="s">
        <v>240</v>
      </c>
      <c r="L671" s="15" t="str">
        <f>CONCATENATE(K671," ",J671)</f>
        <v>JOHN ROKEN</v>
      </c>
      <c r="M671" s="15" t="s">
        <v>57</v>
      </c>
      <c r="N671" s="16">
        <v>46001</v>
      </c>
      <c r="O671" s="16">
        <v>46091</v>
      </c>
      <c r="P671" s="24">
        <f>DATEDIF(N671,O671,"M")</f>
        <v>3</v>
      </c>
      <c r="Q671" s="24" t="s">
        <v>157</v>
      </c>
      <c r="R671" s="24" t="s">
        <v>1391</v>
      </c>
      <c r="S671" s="17">
        <v>55.16</v>
      </c>
      <c r="T671" s="18">
        <v>0.38</v>
      </c>
      <c r="U671" s="15" t="s">
        <v>60</v>
      </c>
      <c r="V671" s="15" t="s">
        <v>135</v>
      </c>
      <c r="W671" s="17">
        <v>20.96</v>
      </c>
    </row>
    <row r="672" spans="1:23" s="15" customFormat="1" x14ac:dyDescent="0.25">
      <c r="A672" s="15">
        <v>2026227663</v>
      </c>
      <c r="B672" s="15" t="s">
        <v>426</v>
      </c>
      <c r="C672" s="15" t="s">
        <v>427</v>
      </c>
      <c r="D672" s="15" t="str">
        <f>CONCATENATE(C672," ",B672)</f>
        <v>KADIATU SYLLAH</v>
      </c>
      <c r="E672" s="15" t="s">
        <v>52</v>
      </c>
      <c r="F672" s="15" t="s">
        <v>378</v>
      </c>
      <c r="G672" s="15" t="s">
        <v>379</v>
      </c>
      <c r="H672" s="15" t="s">
        <v>379</v>
      </c>
      <c r="I672" s="21" t="s">
        <v>1370</v>
      </c>
      <c r="J672" s="15" t="s">
        <v>239</v>
      </c>
      <c r="K672" s="15" t="s">
        <v>240</v>
      </c>
      <c r="L672" s="15" t="str">
        <f>CONCATENATE(K672," ",J672)</f>
        <v>JOHN ROKEN</v>
      </c>
      <c r="M672" s="15" t="s">
        <v>57</v>
      </c>
      <c r="N672" s="16">
        <v>45658</v>
      </c>
      <c r="O672" s="16">
        <v>46082</v>
      </c>
      <c r="P672" s="24">
        <f>DATEDIF(N672,O672,"M")</f>
        <v>14</v>
      </c>
      <c r="Q672" s="24" t="s">
        <v>157</v>
      </c>
      <c r="R672" s="24" t="s">
        <v>1391</v>
      </c>
      <c r="S672" s="17">
        <v>57.45</v>
      </c>
      <c r="T672" s="18">
        <v>0.1</v>
      </c>
      <c r="U672" s="15" t="s">
        <v>157</v>
      </c>
      <c r="V672" s="15" t="s">
        <v>135</v>
      </c>
      <c r="W672" s="17">
        <v>5.74</v>
      </c>
    </row>
    <row r="673" spans="1:23" s="15" customFormat="1" x14ac:dyDescent="0.25">
      <c r="A673" s="15">
        <v>2026227662</v>
      </c>
      <c r="B673" s="15" t="s">
        <v>426</v>
      </c>
      <c r="C673" s="15" t="s">
        <v>427</v>
      </c>
      <c r="D673" s="15" t="str">
        <f>CONCATENATE(C673," ",B673)</f>
        <v>KADIATU SYLLAH</v>
      </c>
      <c r="E673" s="15" t="s">
        <v>52</v>
      </c>
      <c r="F673" s="15" t="s">
        <v>363</v>
      </c>
      <c r="G673" s="15" t="s">
        <v>364</v>
      </c>
      <c r="H673" s="15" t="s">
        <v>364</v>
      </c>
      <c r="I673" s="21" t="s">
        <v>1370</v>
      </c>
      <c r="J673" s="15" t="s">
        <v>239</v>
      </c>
      <c r="K673" s="15" t="s">
        <v>240</v>
      </c>
      <c r="L673" s="15" t="str">
        <f>CONCATENATE(K673," ",J673)</f>
        <v>JOHN ROKEN</v>
      </c>
      <c r="M673" s="15" t="s">
        <v>57</v>
      </c>
      <c r="N673" s="16">
        <v>45658</v>
      </c>
      <c r="O673" s="16">
        <v>46082</v>
      </c>
      <c r="P673" s="24">
        <f>DATEDIF(N673,O673,"M")</f>
        <v>14</v>
      </c>
      <c r="Q673" s="24" t="s">
        <v>157</v>
      </c>
      <c r="R673" s="24" t="s">
        <v>1391</v>
      </c>
      <c r="S673" s="17">
        <v>81.180000000000007</v>
      </c>
      <c r="T673" s="18">
        <v>0.06</v>
      </c>
      <c r="U673" s="15" t="s">
        <v>157</v>
      </c>
      <c r="V673" s="15" t="s">
        <v>135</v>
      </c>
      <c r="W673" s="17">
        <v>4.87</v>
      </c>
    </row>
    <row r="674" spans="1:23" s="15" customFormat="1" x14ac:dyDescent="0.25">
      <c r="A674" s="15">
        <v>2026227664</v>
      </c>
      <c r="B674" s="15" t="s">
        <v>426</v>
      </c>
      <c r="C674" s="15" t="s">
        <v>427</v>
      </c>
      <c r="D674" s="15" t="str">
        <f>CONCATENATE(C674," ",B674)</f>
        <v>KADIATU SYLLAH</v>
      </c>
      <c r="E674" s="15" t="s">
        <v>52</v>
      </c>
      <c r="F674" s="15" t="s">
        <v>53</v>
      </c>
      <c r="G674" s="15" t="s">
        <v>54</v>
      </c>
      <c r="H674" s="15" t="s">
        <v>54</v>
      </c>
      <c r="I674" s="21" t="s">
        <v>1370</v>
      </c>
      <c r="J674" s="15" t="s">
        <v>239</v>
      </c>
      <c r="K674" s="15" t="s">
        <v>240</v>
      </c>
      <c r="L674" s="15" t="str">
        <f>CONCATENATE(K674," ",J674)</f>
        <v>JOHN ROKEN</v>
      </c>
      <c r="M674" s="15" t="s">
        <v>57</v>
      </c>
      <c r="N674" s="16">
        <v>45658</v>
      </c>
      <c r="O674" s="16">
        <v>46082</v>
      </c>
      <c r="P674" s="24">
        <f>DATEDIF(N674,O674,"M")</f>
        <v>14</v>
      </c>
      <c r="Q674" s="24" t="s">
        <v>157</v>
      </c>
      <c r="R674" s="24" t="s">
        <v>1391</v>
      </c>
      <c r="S674" s="17">
        <v>50.06</v>
      </c>
      <c r="T674" s="25">
        <v>6.5000000000000002E-2</v>
      </c>
      <c r="U674" s="15" t="s">
        <v>157</v>
      </c>
      <c r="V674" s="15" t="s">
        <v>135</v>
      </c>
      <c r="W674" s="17">
        <v>3.25</v>
      </c>
    </row>
    <row r="675" spans="1:23" s="15" customFormat="1" x14ac:dyDescent="0.25">
      <c r="A675" s="15">
        <v>2026002595</v>
      </c>
      <c r="B675" s="15" t="s">
        <v>262</v>
      </c>
      <c r="C675" s="15" t="s">
        <v>263</v>
      </c>
      <c r="D675" s="15" t="str">
        <f>CONCATENATE(C675," ",B675)</f>
        <v>MARK HAYES</v>
      </c>
      <c r="E675" s="15" t="s">
        <v>52</v>
      </c>
      <c r="F675" s="15" t="s">
        <v>152</v>
      </c>
      <c r="G675" s="15" t="s">
        <v>153</v>
      </c>
      <c r="H675" s="15" t="s">
        <v>153</v>
      </c>
      <c r="I675" s="21" t="s">
        <v>1370</v>
      </c>
      <c r="J675" s="15" t="s">
        <v>239</v>
      </c>
      <c r="K675" s="15" t="s">
        <v>240</v>
      </c>
      <c r="L675" s="15" t="str">
        <f>CONCATENATE(K675," ",J675)</f>
        <v>JOHN ROKEN</v>
      </c>
      <c r="M675" s="15" t="s">
        <v>57</v>
      </c>
      <c r="N675" s="16">
        <v>45629</v>
      </c>
      <c r="O675" s="16">
        <v>46084</v>
      </c>
      <c r="P675" s="24">
        <f>DATEDIF(N675,O675,"M")</f>
        <v>15</v>
      </c>
      <c r="Q675" s="24" t="s">
        <v>157</v>
      </c>
      <c r="R675" s="24" t="s">
        <v>1391</v>
      </c>
      <c r="S675" s="17">
        <v>25.27</v>
      </c>
      <c r="T675" s="25">
        <v>5.2499999999999998E-2</v>
      </c>
      <c r="U675" s="15" t="s">
        <v>157</v>
      </c>
      <c r="V675" s="15" t="s">
        <v>135</v>
      </c>
      <c r="W675" s="17">
        <v>1.33</v>
      </c>
    </row>
    <row r="676" spans="1:23" s="15" customFormat="1" x14ac:dyDescent="0.25">
      <c r="A676" s="15">
        <v>2026002594</v>
      </c>
      <c r="B676" s="15" t="s">
        <v>262</v>
      </c>
      <c r="C676" s="15" t="s">
        <v>263</v>
      </c>
      <c r="D676" s="15" t="str">
        <f>CONCATENATE(C676," ",B676)</f>
        <v>MARK HAYES</v>
      </c>
      <c r="E676" s="15" t="s">
        <v>52</v>
      </c>
      <c r="F676" s="15" t="s">
        <v>152</v>
      </c>
      <c r="G676" s="15" t="s">
        <v>238</v>
      </c>
      <c r="H676" s="15" t="s">
        <v>238</v>
      </c>
      <c r="I676" s="21" t="s">
        <v>1370</v>
      </c>
      <c r="J676" s="15" t="s">
        <v>239</v>
      </c>
      <c r="K676" s="15" t="s">
        <v>240</v>
      </c>
      <c r="L676" s="15" t="str">
        <f>CONCATENATE(K676," ",J676)</f>
        <v>JOHN ROKEN</v>
      </c>
      <c r="M676" s="15" t="s">
        <v>57</v>
      </c>
      <c r="N676" s="16">
        <v>45629</v>
      </c>
      <c r="O676" s="16">
        <v>46084</v>
      </c>
      <c r="P676" s="24">
        <f>DATEDIF(N676,O676,"M")</f>
        <v>15</v>
      </c>
      <c r="Q676" s="24" t="s">
        <v>157</v>
      </c>
      <c r="R676" s="24" t="s">
        <v>1391</v>
      </c>
      <c r="S676" s="17">
        <v>55.2</v>
      </c>
      <c r="T676" s="18">
        <v>0.08</v>
      </c>
      <c r="U676" s="15" t="s">
        <v>157</v>
      </c>
      <c r="V676" s="15" t="s">
        <v>135</v>
      </c>
      <c r="W676" s="17">
        <v>4.42</v>
      </c>
    </row>
    <row r="677" spans="1:23" s="15" customFormat="1" x14ac:dyDescent="0.25">
      <c r="A677" s="15">
        <v>2025222898</v>
      </c>
      <c r="B677" s="15" t="s">
        <v>580</v>
      </c>
      <c r="C677" s="15" t="s">
        <v>1087</v>
      </c>
      <c r="D677" s="15" t="str">
        <f>CONCATENATE(C677," ",B677)</f>
        <v>EARNEST WILLIAMS</v>
      </c>
      <c r="E677" s="15" t="s">
        <v>147</v>
      </c>
      <c r="F677" s="15" t="s">
        <v>350</v>
      </c>
      <c r="G677" s="15" t="s">
        <v>582</v>
      </c>
      <c r="H677" s="15" t="s">
        <v>582</v>
      </c>
      <c r="I677" s="21" t="s">
        <v>1370</v>
      </c>
      <c r="J677" s="15" t="s">
        <v>239</v>
      </c>
      <c r="K677" s="15" t="s">
        <v>240</v>
      </c>
      <c r="L677" s="15" t="str">
        <f>CONCATENATE(K677," ",J677)</f>
        <v>JOHN ROKEN</v>
      </c>
      <c r="M677" s="15" t="s">
        <v>57</v>
      </c>
      <c r="N677" s="16">
        <v>45574</v>
      </c>
      <c r="O677" s="16">
        <v>46090</v>
      </c>
      <c r="P677" s="24">
        <f>DATEDIF(N677,O677,"M")</f>
        <v>17</v>
      </c>
      <c r="Q677" s="24" t="s">
        <v>157</v>
      </c>
      <c r="R677" s="24" t="s">
        <v>1391</v>
      </c>
      <c r="S677" s="17">
        <v>15</v>
      </c>
      <c r="T677" s="18">
        <v>0.1</v>
      </c>
      <c r="U677" s="15" t="s">
        <v>157</v>
      </c>
      <c r="V677" s="15" t="s">
        <v>135</v>
      </c>
      <c r="W677" s="17">
        <v>1.5</v>
      </c>
    </row>
    <row r="678" spans="1:23" s="15" customFormat="1" x14ac:dyDescent="0.25">
      <c r="A678" s="15">
        <v>2025222896</v>
      </c>
      <c r="B678" s="15" t="s">
        <v>580</v>
      </c>
      <c r="C678" s="15" t="s">
        <v>1087</v>
      </c>
      <c r="D678" s="15" t="str">
        <f>CONCATENATE(C678," ",B678)</f>
        <v>EARNEST WILLIAMS</v>
      </c>
      <c r="E678" s="15" t="s">
        <v>147</v>
      </c>
      <c r="F678" s="15" t="s">
        <v>378</v>
      </c>
      <c r="G678" s="15" t="s">
        <v>379</v>
      </c>
      <c r="H678" s="15" t="s">
        <v>379</v>
      </c>
      <c r="I678" s="21" t="s">
        <v>1370</v>
      </c>
      <c r="J678" s="15" t="s">
        <v>239</v>
      </c>
      <c r="K678" s="15" t="s">
        <v>240</v>
      </c>
      <c r="L678" s="15" t="str">
        <f>CONCATENATE(K678," ",J678)</f>
        <v>JOHN ROKEN</v>
      </c>
      <c r="M678" s="15" t="s">
        <v>57</v>
      </c>
      <c r="N678" s="16">
        <v>45574</v>
      </c>
      <c r="O678" s="16">
        <v>46090</v>
      </c>
      <c r="P678" s="24">
        <f>DATEDIF(N678,O678,"M")</f>
        <v>17</v>
      </c>
      <c r="Q678" s="24" t="s">
        <v>157</v>
      </c>
      <c r="R678" s="24" t="s">
        <v>1391</v>
      </c>
      <c r="S678" s="17">
        <v>31.64</v>
      </c>
      <c r="T678" s="18">
        <v>0.1</v>
      </c>
      <c r="U678" s="15" t="s">
        <v>157</v>
      </c>
      <c r="V678" s="15" t="s">
        <v>135</v>
      </c>
      <c r="W678" s="17">
        <v>3.16</v>
      </c>
    </row>
    <row r="679" spans="1:23" s="15" customFormat="1" x14ac:dyDescent="0.25">
      <c r="A679" s="15">
        <v>2025222897</v>
      </c>
      <c r="B679" s="15" t="s">
        <v>580</v>
      </c>
      <c r="C679" s="15" t="s">
        <v>1087</v>
      </c>
      <c r="D679" s="15" t="str">
        <f>CONCATENATE(C679," ",B679)</f>
        <v>EARNEST WILLIAMS</v>
      </c>
      <c r="E679" s="15" t="s">
        <v>147</v>
      </c>
      <c r="F679" s="15" t="s">
        <v>383</v>
      </c>
      <c r="G679" s="15" t="s">
        <v>384</v>
      </c>
      <c r="H679" s="15" t="s">
        <v>384</v>
      </c>
      <c r="I679" s="21" t="s">
        <v>1370</v>
      </c>
      <c r="J679" s="15" t="s">
        <v>239</v>
      </c>
      <c r="K679" s="15" t="s">
        <v>240</v>
      </c>
      <c r="L679" s="15" t="str">
        <f>CONCATENATE(K679," ",J679)</f>
        <v>JOHN ROKEN</v>
      </c>
      <c r="M679" s="15" t="s">
        <v>57</v>
      </c>
      <c r="N679" s="16">
        <v>45574</v>
      </c>
      <c r="O679" s="16">
        <v>46090</v>
      </c>
      <c r="P679" s="24">
        <f>DATEDIF(N679,O679,"M")</f>
        <v>17</v>
      </c>
      <c r="Q679" s="24" t="s">
        <v>157</v>
      </c>
      <c r="R679" s="24" t="s">
        <v>1391</v>
      </c>
      <c r="S679" s="17">
        <v>22</v>
      </c>
      <c r="T679" s="18">
        <v>0.15</v>
      </c>
      <c r="U679" s="15" t="s">
        <v>157</v>
      </c>
      <c r="V679" s="15" t="s">
        <v>135</v>
      </c>
      <c r="W679" s="17">
        <v>3.3</v>
      </c>
    </row>
    <row r="680" spans="1:23" s="15" customFormat="1" x14ac:dyDescent="0.25">
      <c r="A680" s="15">
        <v>2024752409</v>
      </c>
      <c r="B680" s="15" t="s">
        <v>424</v>
      </c>
      <c r="C680" s="15" t="s">
        <v>425</v>
      </c>
      <c r="D680" s="15" t="str">
        <f>CONCATENATE(C680," ",B680)</f>
        <v>BRIANA WRIGHT</v>
      </c>
      <c r="E680" s="15" t="s">
        <v>288</v>
      </c>
      <c r="F680" s="15" t="s">
        <v>378</v>
      </c>
      <c r="G680" s="15" t="s">
        <v>379</v>
      </c>
      <c r="H680" s="15" t="s">
        <v>379</v>
      </c>
      <c r="I680" s="21" t="s">
        <v>1370</v>
      </c>
      <c r="J680" s="15" t="s">
        <v>239</v>
      </c>
      <c r="K680" s="15" t="s">
        <v>240</v>
      </c>
      <c r="L680" s="15" t="str">
        <f>CONCATENATE(K680," ",J680)</f>
        <v>JOHN ROKEN</v>
      </c>
      <c r="M680" s="15" t="s">
        <v>57</v>
      </c>
      <c r="N680" s="16">
        <v>45544</v>
      </c>
      <c r="O680" s="16">
        <v>46090</v>
      </c>
      <c r="P680" s="24">
        <f>DATEDIF(N680,O680,"M")</f>
        <v>18</v>
      </c>
      <c r="Q680" s="24" t="s">
        <v>157</v>
      </c>
      <c r="R680" s="24" t="s">
        <v>1391</v>
      </c>
      <c r="S680" s="17">
        <v>20.76</v>
      </c>
      <c r="T680" s="18">
        <v>0.1</v>
      </c>
      <c r="U680" s="15" t="s">
        <v>157</v>
      </c>
      <c r="V680" s="15" t="s">
        <v>135</v>
      </c>
      <c r="W680" s="17">
        <v>2.08</v>
      </c>
    </row>
    <row r="681" spans="1:23" s="15" customFormat="1" x14ac:dyDescent="0.25">
      <c r="A681" s="15">
        <v>2024737147</v>
      </c>
      <c r="B681" s="15" t="s">
        <v>422</v>
      </c>
      <c r="C681" s="15" t="s">
        <v>423</v>
      </c>
      <c r="D681" s="15" t="str">
        <f>CONCATENATE(C681," ",B681)</f>
        <v>JACLYN SHACKELFORD</v>
      </c>
      <c r="E681" s="15" t="s">
        <v>288</v>
      </c>
      <c r="F681" s="15" t="s">
        <v>378</v>
      </c>
      <c r="G681" s="15" t="s">
        <v>379</v>
      </c>
      <c r="H681" s="15" t="s">
        <v>379</v>
      </c>
      <c r="I681" s="21" t="s">
        <v>1370</v>
      </c>
      <c r="J681" s="15" t="s">
        <v>239</v>
      </c>
      <c r="K681" s="15" t="s">
        <v>240</v>
      </c>
      <c r="L681" s="15" t="str">
        <f>CONCATENATE(K681," ",J681)</f>
        <v>JOHN ROKEN</v>
      </c>
      <c r="M681" s="15" t="s">
        <v>57</v>
      </c>
      <c r="N681" s="16">
        <v>45541</v>
      </c>
      <c r="O681" s="16">
        <v>46087</v>
      </c>
      <c r="P681" s="24">
        <f>DATEDIF(N681,O681,"M")</f>
        <v>18</v>
      </c>
      <c r="Q681" s="24" t="s">
        <v>157</v>
      </c>
      <c r="R681" s="24" t="s">
        <v>1391</v>
      </c>
      <c r="S681" s="17">
        <v>43.39</v>
      </c>
      <c r="T681" s="18">
        <v>0.1</v>
      </c>
      <c r="U681" s="15" t="s">
        <v>157</v>
      </c>
      <c r="V681" s="15" t="s">
        <v>135</v>
      </c>
      <c r="W681" s="17">
        <v>4.34</v>
      </c>
    </row>
    <row r="682" spans="1:23" s="15" customFormat="1" x14ac:dyDescent="0.25">
      <c r="A682" s="15">
        <v>2024752410</v>
      </c>
      <c r="B682" s="15" t="s">
        <v>424</v>
      </c>
      <c r="C682" s="15" t="s">
        <v>425</v>
      </c>
      <c r="D682" s="15" t="str">
        <f>CONCATENATE(C682," ",B682)</f>
        <v>BRIANA WRIGHT</v>
      </c>
      <c r="E682" s="15" t="s">
        <v>288</v>
      </c>
      <c r="F682" s="15" t="s">
        <v>53</v>
      </c>
      <c r="G682" s="15" t="s">
        <v>54</v>
      </c>
      <c r="H682" s="15" t="s">
        <v>54</v>
      </c>
      <c r="I682" s="21" t="s">
        <v>1370</v>
      </c>
      <c r="J682" s="15" t="s">
        <v>239</v>
      </c>
      <c r="K682" s="15" t="s">
        <v>240</v>
      </c>
      <c r="L682" s="15" t="str">
        <f>CONCATENATE(K682," ",J682)</f>
        <v>JOHN ROKEN</v>
      </c>
      <c r="M682" s="15" t="s">
        <v>57</v>
      </c>
      <c r="N682" s="16">
        <v>45544</v>
      </c>
      <c r="O682" s="16">
        <v>46090</v>
      </c>
      <c r="P682" s="24">
        <f>DATEDIF(N682,O682,"M")</f>
        <v>18</v>
      </c>
      <c r="Q682" s="24" t="s">
        <v>157</v>
      </c>
      <c r="R682" s="24" t="s">
        <v>1391</v>
      </c>
      <c r="S682" s="17">
        <v>40.159999999999997</v>
      </c>
      <c r="T682" s="25">
        <v>6.5000000000000002E-2</v>
      </c>
      <c r="U682" s="15" t="s">
        <v>157</v>
      </c>
      <c r="V682" s="15" t="s">
        <v>135</v>
      </c>
      <c r="W682" s="17">
        <v>2.61</v>
      </c>
    </row>
    <row r="683" spans="1:23" s="15" customFormat="1" x14ac:dyDescent="0.25">
      <c r="A683" s="15">
        <v>2024737148</v>
      </c>
      <c r="B683" s="15" t="s">
        <v>422</v>
      </c>
      <c r="C683" s="15" t="s">
        <v>423</v>
      </c>
      <c r="D683" s="15" t="str">
        <f>CONCATENATE(C683," ",B683)</f>
        <v>JACLYN SHACKELFORD</v>
      </c>
      <c r="E683" s="15" t="s">
        <v>288</v>
      </c>
      <c r="F683" s="15" t="s">
        <v>53</v>
      </c>
      <c r="G683" s="15" t="s">
        <v>54</v>
      </c>
      <c r="H683" s="15" t="s">
        <v>54</v>
      </c>
      <c r="I683" s="21" t="s">
        <v>1370</v>
      </c>
      <c r="J683" s="15" t="s">
        <v>239</v>
      </c>
      <c r="K683" s="15" t="s">
        <v>240</v>
      </c>
      <c r="L683" s="15" t="str">
        <f>CONCATENATE(K683," ",J683)</f>
        <v>JOHN ROKEN</v>
      </c>
      <c r="M683" s="15" t="s">
        <v>57</v>
      </c>
      <c r="N683" s="16">
        <v>45541</v>
      </c>
      <c r="O683" s="16">
        <v>46087</v>
      </c>
      <c r="P683" s="24">
        <f>DATEDIF(N683,O683,"M")</f>
        <v>18</v>
      </c>
      <c r="Q683" s="24" t="s">
        <v>157</v>
      </c>
      <c r="R683" s="24" t="s">
        <v>1391</v>
      </c>
      <c r="S683" s="17">
        <v>96.55</v>
      </c>
      <c r="T683" s="25">
        <v>6.5000000000000002E-2</v>
      </c>
      <c r="U683" s="15" t="s">
        <v>157</v>
      </c>
      <c r="V683" s="15" t="s">
        <v>135</v>
      </c>
      <c r="W683" s="17">
        <v>6.28</v>
      </c>
    </row>
    <row r="684" spans="1:23" s="15" customFormat="1" x14ac:dyDescent="0.25">
      <c r="A684" s="15">
        <v>2023845998</v>
      </c>
      <c r="B684" s="15" t="s">
        <v>471</v>
      </c>
      <c r="C684" s="15" t="s">
        <v>466</v>
      </c>
      <c r="D684" s="15" t="str">
        <f>CONCATENATE(C684," ",B684)</f>
        <v>BRYAN JACKSON</v>
      </c>
      <c r="E684" s="15" t="s">
        <v>237</v>
      </c>
      <c r="F684" s="15" t="s">
        <v>350</v>
      </c>
      <c r="G684" s="15" t="s">
        <v>582</v>
      </c>
      <c r="H684" s="15" t="s">
        <v>379</v>
      </c>
      <c r="I684" s="21" t="s">
        <v>1370</v>
      </c>
      <c r="J684" s="15" t="s">
        <v>239</v>
      </c>
      <c r="K684" s="15" t="s">
        <v>240</v>
      </c>
      <c r="L684" s="15" t="str">
        <f>CONCATENATE(K684," ",J684)</f>
        <v>JOHN ROKEN</v>
      </c>
      <c r="M684" s="15" t="s">
        <v>57</v>
      </c>
      <c r="N684" s="16">
        <v>45505</v>
      </c>
      <c r="O684" s="16">
        <v>46082</v>
      </c>
      <c r="P684" s="24">
        <f>DATEDIF(N684,O684,"M")</f>
        <v>19</v>
      </c>
      <c r="Q684" s="24" t="s">
        <v>157</v>
      </c>
      <c r="R684" s="24" t="s">
        <v>1391</v>
      </c>
      <c r="S684" s="17">
        <v>15</v>
      </c>
      <c r="T684" s="18">
        <v>0.1</v>
      </c>
      <c r="U684" s="15" t="s">
        <v>157</v>
      </c>
      <c r="V684" s="15" t="s">
        <v>135</v>
      </c>
      <c r="W684" s="17">
        <v>1.5</v>
      </c>
    </row>
    <row r="685" spans="1:23" s="15" customFormat="1" x14ac:dyDescent="0.25">
      <c r="A685" s="15">
        <v>2023845997</v>
      </c>
      <c r="B685" s="15" t="s">
        <v>471</v>
      </c>
      <c r="C685" s="15" t="s">
        <v>466</v>
      </c>
      <c r="D685" s="15" t="str">
        <f>CONCATENATE(C685," ",B685)</f>
        <v>BRYAN JACKSON</v>
      </c>
      <c r="E685" s="15" t="s">
        <v>237</v>
      </c>
      <c r="F685" s="15" t="s">
        <v>378</v>
      </c>
      <c r="G685" s="15" t="s">
        <v>379</v>
      </c>
      <c r="H685" s="15" t="s">
        <v>379</v>
      </c>
      <c r="I685" s="21" t="s">
        <v>1370</v>
      </c>
      <c r="J685" s="15" t="s">
        <v>239</v>
      </c>
      <c r="K685" s="15" t="s">
        <v>240</v>
      </c>
      <c r="L685" s="15" t="str">
        <f>CONCATENATE(K685," ",J685)</f>
        <v>JOHN ROKEN</v>
      </c>
      <c r="M685" s="15" t="s">
        <v>57</v>
      </c>
      <c r="N685" s="16">
        <v>45505</v>
      </c>
      <c r="O685" s="16">
        <v>46082</v>
      </c>
      <c r="P685" s="24">
        <f>DATEDIF(N685,O685,"M")</f>
        <v>19</v>
      </c>
      <c r="Q685" s="24" t="s">
        <v>157</v>
      </c>
      <c r="R685" s="24" t="s">
        <v>1391</v>
      </c>
      <c r="S685" s="17">
        <v>31.64</v>
      </c>
      <c r="T685" s="18">
        <v>0.1</v>
      </c>
      <c r="U685" s="15" t="s">
        <v>157</v>
      </c>
      <c r="V685" s="15" t="s">
        <v>135</v>
      </c>
      <c r="W685" s="17">
        <v>3.16</v>
      </c>
    </row>
    <row r="686" spans="1:23" s="15" customFormat="1" x14ac:dyDescent="0.25">
      <c r="A686" s="15">
        <v>2023845996</v>
      </c>
      <c r="B686" s="15" t="s">
        <v>471</v>
      </c>
      <c r="C686" s="15" t="s">
        <v>466</v>
      </c>
      <c r="D686" s="15" t="str">
        <f>CONCATENATE(C686," ",B686)</f>
        <v>BRYAN JACKSON</v>
      </c>
      <c r="E686" s="15" t="s">
        <v>237</v>
      </c>
      <c r="F686" s="15" t="s">
        <v>363</v>
      </c>
      <c r="G686" s="15" t="s">
        <v>364</v>
      </c>
      <c r="H686" s="15" t="s">
        <v>364</v>
      </c>
      <c r="I686" s="21" t="s">
        <v>1370</v>
      </c>
      <c r="J686" s="15" t="s">
        <v>239</v>
      </c>
      <c r="K686" s="15" t="s">
        <v>240</v>
      </c>
      <c r="L686" s="15" t="str">
        <f>CONCATENATE(K686," ",J686)</f>
        <v>JOHN ROKEN</v>
      </c>
      <c r="M686" s="15" t="s">
        <v>57</v>
      </c>
      <c r="N686" s="16">
        <v>45505</v>
      </c>
      <c r="O686" s="16">
        <v>46082</v>
      </c>
      <c r="P686" s="24">
        <f>DATEDIF(N686,O686,"M")</f>
        <v>19</v>
      </c>
      <c r="Q686" s="24" t="s">
        <v>157</v>
      </c>
      <c r="R686" s="24" t="s">
        <v>1391</v>
      </c>
      <c r="S686" s="17">
        <v>27.06</v>
      </c>
      <c r="T686" s="18">
        <v>0.06</v>
      </c>
      <c r="U686" s="15" t="s">
        <v>157</v>
      </c>
      <c r="V686" s="15" t="s">
        <v>135</v>
      </c>
      <c r="W686" s="17">
        <v>1.62</v>
      </c>
    </row>
    <row r="687" spans="1:23" s="15" customFormat="1" x14ac:dyDescent="0.25">
      <c r="A687" s="15">
        <v>2023499224</v>
      </c>
      <c r="B687" s="15" t="s">
        <v>417</v>
      </c>
      <c r="C687" s="15" t="s">
        <v>418</v>
      </c>
      <c r="D687" s="15" t="str">
        <f>CONCATENATE(C687," ",B687)</f>
        <v>RHONDA SURRATT</v>
      </c>
      <c r="E687" s="15" t="s">
        <v>112</v>
      </c>
      <c r="F687" s="15" t="s">
        <v>378</v>
      </c>
      <c r="G687" s="15" t="s">
        <v>379</v>
      </c>
      <c r="H687" s="15" t="s">
        <v>379</v>
      </c>
      <c r="I687" s="21" t="s">
        <v>1370</v>
      </c>
      <c r="J687" s="15" t="s">
        <v>239</v>
      </c>
      <c r="K687" s="15" t="s">
        <v>240</v>
      </c>
      <c r="L687" s="15" t="str">
        <f>CONCATENATE(K687," ",J687)</f>
        <v>JOHN ROKEN</v>
      </c>
      <c r="M687" s="15" t="s">
        <v>57</v>
      </c>
      <c r="N687" s="16">
        <v>45456</v>
      </c>
      <c r="O687" s="16">
        <v>46094</v>
      </c>
      <c r="P687" s="24">
        <f>DATEDIF(N687,O687,"M")</f>
        <v>21</v>
      </c>
      <c r="Q687" s="24" t="s">
        <v>157</v>
      </c>
      <c r="R687" s="24" t="s">
        <v>1391</v>
      </c>
      <c r="S687" s="17">
        <v>28.12</v>
      </c>
      <c r="T687" s="18">
        <v>0.1</v>
      </c>
      <c r="U687" s="15" t="s">
        <v>157</v>
      </c>
      <c r="V687" s="15" t="s">
        <v>135</v>
      </c>
      <c r="W687" s="17">
        <v>2.81</v>
      </c>
    </row>
    <row r="688" spans="1:23" s="15" customFormat="1" x14ac:dyDescent="0.25">
      <c r="A688" s="15">
        <v>2023499226</v>
      </c>
      <c r="B688" s="15" t="s">
        <v>417</v>
      </c>
      <c r="C688" s="15" t="s">
        <v>418</v>
      </c>
      <c r="D688" s="15" t="str">
        <f>CONCATENATE(C688," ",B688)</f>
        <v>RHONDA SURRATT</v>
      </c>
      <c r="E688" s="15" t="s">
        <v>112</v>
      </c>
      <c r="F688" s="15" t="s">
        <v>363</v>
      </c>
      <c r="G688" s="15" t="s">
        <v>364</v>
      </c>
      <c r="H688" s="15" t="s">
        <v>364</v>
      </c>
      <c r="I688" s="21" t="s">
        <v>1370</v>
      </c>
      <c r="J688" s="15" t="s">
        <v>239</v>
      </c>
      <c r="K688" s="15" t="s">
        <v>240</v>
      </c>
      <c r="L688" s="15" t="str">
        <f>CONCATENATE(K688," ",J688)</f>
        <v>JOHN ROKEN</v>
      </c>
      <c r="M688" s="15" t="s">
        <v>57</v>
      </c>
      <c r="N688" s="16">
        <v>45456</v>
      </c>
      <c r="O688" s="16">
        <v>46094</v>
      </c>
      <c r="P688" s="24">
        <f>DATEDIF(N688,O688,"M")</f>
        <v>21</v>
      </c>
      <c r="Q688" s="24" t="s">
        <v>157</v>
      </c>
      <c r="R688" s="24" t="s">
        <v>1391</v>
      </c>
      <c r="S688" s="17">
        <v>33.479999999999997</v>
      </c>
      <c r="T688" s="18">
        <v>0.06</v>
      </c>
      <c r="U688" s="15" t="s">
        <v>157</v>
      </c>
      <c r="V688" s="15" t="s">
        <v>135</v>
      </c>
      <c r="W688" s="17">
        <v>2.0099999999999998</v>
      </c>
    </row>
    <row r="689" spans="1:23" s="15" customFormat="1" x14ac:dyDescent="0.25">
      <c r="A689" s="15">
        <v>2023499225</v>
      </c>
      <c r="B689" s="15" t="s">
        <v>417</v>
      </c>
      <c r="C689" s="15" t="s">
        <v>418</v>
      </c>
      <c r="D689" s="15" t="str">
        <f>CONCATENATE(C689," ",B689)</f>
        <v>RHONDA SURRATT</v>
      </c>
      <c r="E689" s="15" t="s">
        <v>112</v>
      </c>
      <c r="F689" s="15" t="s">
        <v>53</v>
      </c>
      <c r="G689" s="15" t="s">
        <v>54</v>
      </c>
      <c r="H689" s="15" t="s">
        <v>54</v>
      </c>
      <c r="I689" s="21" t="s">
        <v>1370</v>
      </c>
      <c r="J689" s="15" t="s">
        <v>239</v>
      </c>
      <c r="K689" s="15" t="s">
        <v>240</v>
      </c>
      <c r="L689" s="15" t="str">
        <f>CONCATENATE(K689," ",J689)</f>
        <v>JOHN ROKEN</v>
      </c>
      <c r="M689" s="15" t="s">
        <v>57</v>
      </c>
      <c r="N689" s="16">
        <v>45456</v>
      </c>
      <c r="O689" s="16">
        <v>46094</v>
      </c>
      <c r="P689" s="24">
        <f>DATEDIF(N689,O689,"M")</f>
        <v>21</v>
      </c>
      <c r="Q689" s="24" t="s">
        <v>157</v>
      </c>
      <c r="R689" s="24" t="s">
        <v>1391</v>
      </c>
      <c r="S689" s="17">
        <v>56.69</v>
      </c>
      <c r="T689" s="25">
        <v>6.5000000000000002E-2</v>
      </c>
      <c r="U689" s="15" t="s">
        <v>157</v>
      </c>
      <c r="V689" s="15" t="s">
        <v>135</v>
      </c>
      <c r="W689" s="17">
        <v>3.68</v>
      </c>
    </row>
    <row r="690" spans="1:23" s="15" customFormat="1" x14ac:dyDescent="0.25">
      <c r="A690" s="15">
        <v>2023048532</v>
      </c>
      <c r="B690" s="15" t="s">
        <v>235</v>
      </c>
      <c r="C690" s="15" t="s">
        <v>640</v>
      </c>
      <c r="D690" s="15" t="str">
        <f>CONCATENATE(C690," ",B690)</f>
        <v>RANDY RUBINFELD</v>
      </c>
      <c r="E690" s="15" t="s">
        <v>237</v>
      </c>
      <c r="F690" s="15" t="s">
        <v>350</v>
      </c>
      <c r="G690" s="15" t="s">
        <v>582</v>
      </c>
      <c r="H690" s="15" t="s">
        <v>582</v>
      </c>
      <c r="I690" s="21">
        <v>18781057</v>
      </c>
      <c r="J690" s="15" t="s">
        <v>239</v>
      </c>
      <c r="K690" s="15" t="s">
        <v>240</v>
      </c>
      <c r="L690" s="15" t="str">
        <f>CONCATENATE(K690," ",J690)</f>
        <v>JOHN ROKEN</v>
      </c>
      <c r="M690" s="15" t="s">
        <v>57</v>
      </c>
      <c r="N690" s="16">
        <v>45422</v>
      </c>
      <c r="O690" s="16">
        <v>46091</v>
      </c>
      <c r="P690" s="24">
        <f>DATEDIF(N690,O690,"M")</f>
        <v>22</v>
      </c>
      <c r="Q690" s="24" t="s">
        <v>157</v>
      </c>
      <c r="R690" s="24" t="s">
        <v>1391</v>
      </c>
      <c r="S690" s="17">
        <v>15</v>
      </c>
      <c r="T690" s="18">
        <v>0.1</v>
      </c>
      <c r="U690" s="15" t="s">
        <v>157</v>
      </c>
      <c r="V690" s="15" t="s">
        <v>135</v>
      </c>
      <c r="W690" s="17">
        <v>1.5</v>
      </c>
    </row>
    <row r="691" spans="1:23" s="15" customFormat="1" x14ac:dyDescent="0.25">
      <c r="A691" s="15">
        <v>2023010065</v>
      </c>
      <c r="B691" s="15" t="s">
        <v>1037</v>
      </c>
      <c r="C691" s="15" t="s">
        <v>1084</v>
      </c>
      <c r="D691" s="15" t="str">
        <f>CONCATENATE(C691," ",B691)</f>
        <v>CARL BROWN</v>
      </c>
      <c r="E691" s="15" t="s">
        <v>237</v>
      </c>
      <c r="F691" s="15" t="s">
        <v>350</v>
      </c>
      <c r="G691" s="15" t="s">
        <v>582</v>
      </c>
      <c r="H691" s="15" t="s">
        <v>582</v>
      </c>
      <c r="I691" s="21">
        <v>18781057</v>
      </c>
      <c r="J691" s="15" t="s">
        <v>239</v>
      </c>
      <c r="K691" s="15" t="s">
        <v>240</v>
      </c>
      <c r="L691" s="15" t="str">
        <f>CONCATENATE(K691," ",J691)</f>
        <v>JOHN ROKEN</v>
      </c>
      <c r="M691" s="15" t="s">
        <v>57</v>
      </c>
      <c r="N691" s="16">
        <v>45419</v>
      </c>
      <c r="O691" s="16">
        <v>46088</v>
      </c>
      <c r="P691" s="24">
        <f>DATEDIF(N691,O691,"M")</f>
        <v>22</v>
      </c>
      <c r="Q691" s="24" t="s">
        <v>157</v>
      </c>
      <c r="R691" s="24" t="s">
        <v>1391</v>
      </c>
      <c r="S691" s="17">
        <v>15</v>
      </c>
      <c r="T691" s="18">
        <v>0.1</v>
      </c>
      <c r="U691" s="15" t="s">
        <v>157</v>
      </c>
      <c r="V691" s="15" t="s">
        <v>135</v>
      </c>
      <c r="W691" s="17">
        <v>1.5</v>
      </c>
    </row>
    <row r="692" spans="1:23" s="15" customFormat="1" x14ac:dyDescent="0.25">
      <c r="A692" s="15">
        <v>2022853291</v>
      </c>
      <c r="B692" s="15" t="s">
        <v>242</v>
      </c>
      <c r="C692" s="15" t="s">
        <v>243</v>
      </c>
      <c r="D692" s="15" t="str">
        <f>CONCATENATE(C692," ",B692)</f>
        <v>GREG BERLACHER</v>
      </c>
      <c r="E692" s="15" t="s">
        <v>52</v>
      </c>
      <c r="F692" s="15" t="s">
        <v>152</v>
      </c>
      <c r="G692" s="15" t="s">
        <v>153</v>
      </c>
      <c r="H692" s="15" t="s">
        <v>153</v>
      </c>
      <c r="I692" s="21">
        <v>18781057</v>
      </c>
      <c r="J692" s="15" t="s">
        <v>239</v>
      </c>
      <c r="K692" s="15" t="s">
        <v>240</v>
      </c>
      <c r="L692" s="15" t="str">
        <f>CONCATENATE(K692," ",J692)</f>
        <v>JOHN ROKEN</v>
      </c>
      <c r="M692" s="15" t="s">
        <v>57</v>
      </c>
      <c r="N692" s="16">
        <v>45413</v>
      </c>
      <c r="O692" s="16">
        <v>46082</v>
      </c>
      <c r="P692" s="24">
        <f>DATEDIF(N692,O692,"M")</f>
        <v>22</v>
      </c>
      <c r="Q692" s="24" t="s">
        <v>157</v>
      </c>
      <c r="R692" s="24" t="s">
        <v>1391</v>
      </c>
      <c r="S692" s="17">
        <v>46.01</v>
      </c>
      <c r="T692" s="25">
        <v>5.2499999999999998E-2</v>
      </c>
      <c r="U692" s="15" t="s">
        <v>157</v>
      </c>
      <c r="V692" s="15" t="s">
        <v>135</v>
      </c>
      <c r="W692" s="17">
        <v>2.42</v>
      </c>
    </row>
    <row r="693" spans="1:23" s="15" customFormat="1" x14ac:dyDescent="0.25">
      <c r="A693" s="15">
        <v>2023048531</v>
      </c>
      <c r="B693" s="15" t="s">
        <v>235</v>
      </c>
      <c r="C693" s="15" t="s">
        <v>640</v>
      </c>
      <c r="D693" s="15" t="str">
        <f>CONCATENATE(C693," ",B693)</f>
        <v>RANDY RUBINFELD</v>
      </c>
      <c r="E693" s="15" t="s">
        <v>237</v>
      </c>
      <c r="F693" s="15" t="s">
        <v>378</v>
      </c>
      <c r="G693" s="15" t="s">
        <v>379</v>
      </c>
      <c r="H693" s="15" t="s">
        <v>379</v>
      </c>
      <c r="I693" s="21">
        <v>18781057</v>
      </c>
      <c r="J693" s="15" t="s">
        <v>239</v>
      </c>
      <c r="K693" s="15" t="s">
        <v>240</v>
      </c>
      <c r="L693" s="15" t="str">
        <f>CONCATENATE(K693," ",J693)</f>
        <v>JOHN ROKEN</v>
      </c>
      <c r="M693" s="15" t="s">
        <v>57</v>
      </c>
      <c r="N693" s="16">
        <v>45422</v>
      </c>
      <c r="O693" s="16">
        <v>46091</v>
      </c>
      <c r="P693" s="24">
        <f>DATEDIF(N693,O693,"M")</f>
        <v>22</v>
      </c>
      <c r="Q693" s="24" t="s">
        <v>157</v>
      </c>
      <c r="R693" s="24" t="s">
        <v>1391</v>
      </c>
      <c r="S693" s="17">
        <v>55.07</v>
      </c>
      <c r="T693" s="18">
        <v>0.1</v>
      </c>
      <c r="U693" s="15" t="s">
        <v>157</v>
      </c>
      <c r="V693" s="15" t="s">
        <v>135</v>
      </c>
      <c r="W693" s="17">
        <v>5.51</v>
      </c>
    </row>
    <row r="694" spans="1:23" s="15" customFormat="1" x14ac:dyDescent="0.25">
      <c r="A694" s="15">
        <v>2023010064</v>
      </c>
      <c r="B694" s="15" t="s">
        <v>1037</v>
      </c>
      <c r="C694" s="15" t="s">
        <v>1084</v>
      </c>
      <c r="D694" s="15" t="str">
        <f>CONCATENATE(C694," ",B694)</f>
        <v>CARL BROWN</v>
      </c>
      <c r="E694" s="15" t="s">
        <v>237</v>
      </c>
      <c r="F694" s="15" t="s">
        <v>378</v>
      </c>
      <c r="G694" s="15" t="s">
        <v>379</v>
      </c>
      <c r="H694" s="15" t="s">
        <v>379</v>
      </c>
      <c r="I694" s="21">
        <v>18781057</v>
      </c>
      <c r="J694" s="15" t="s">
        <v>239</v>
      </c>
      <c r="K694" s="15" t="s">
        <v>240</v>
      </c>
      <c r="L694" s="15" t="str">
        <f>CONCATENATE(K694," ",J694)</f>
        <v>JOHN ROKEN</v>
      </c>
      <c r="M694" s="15" t="s">
        <v>57</v>
      </c>
      <c r="N694" s="16">
        <v>45419</v>
      </c>
      <c r="O694" s="16">
        <v>46088</v>
      </c>
      <c r="P694" s="24">
        <f>DATEDIF(N694,O694,"M")</f>
        <v>22</v>
      </c>
      <c r="Q694" s="24" t="s">
        <v>157</v>
      </c>
      <c r="R694" s="24" t="s">
        <v>1391</v>
      </c>
      <c r="S694" s="17">
        <v>17.34</v>
      </c>
      <c r="T694" s="18">
        <v>0.1</v>
      </c>
      <c r="U694" s="15" t="s">
        <v>157</v>
      </c>
      <c r="V694" s="15" t="s">
        <v>135</v>
      </c>
      <c r="W694" s="17">
        <v>1.73</v>
      </c>
    </row>
    <row r="695" spans="1:23" s="15" customFormat="1" x14ac:dyDescent="0.25">
      <c r="A695" s="15">
        <v>2022853292</v>
      </c>
      <c r="B695" s="15" t="s">
        <v>242</v>
      </c>
      <c r="C695" s="15" t="s">
        <v>243</v>
      </c>
      <c r="D695" s="15" t="str">
        <f>CONCATENATE(C695," ",B695)</f>
        <v>GREG BERLACHER</v>
      </c>
      <c r="E695" s="15" t="s">
        <v>52</v>
      </c>
      <c r="F695" s="15" t="s">
        <v>378</v>
      </c>
      <c r="G695" s="15" t="s">
        <v>379</v>
      </c>
      <c r="H695" s="15" t="s">
        <v>379</v>
      </c>
      <c r="I695" s="21">
        <v>18781057</v>
      </c>
      <c r="J695" s="15" t="s">
        <v>239</v>
      </c>
      <c r="K695" s="15" t="s">
        <v>240</v>
      </c>
      <c r="L695" s="15" t="str">
        <f>CONCATENATE(K695," ",J695)</f>
        <v>JOHN ROKEN</v>
      </c>
      <c r="M695" s="15" t="s">
        <v>57</v>
      </c>
      <c r="N695" s="16">
        <v>45413</v>
      </c>
      <c r="O695" s="16">
        <v>46082</v>
      </c>
      <c r="P695" s="24">
        <f>DATEDIF(N695,O695,"M")</f>
        <v>22</v>
      </c>
      <c r="Q695" s="24" t="s">
        <v>157</v>
      </c>
      <c r="R695" s="24" t="s">
        <v>1391</v>
      </c>
      <c r="S695" s="17">
        <v>116.64</v>
      </c>
      <c r="T695" s="18">
        <v>0.1</v>
      </c>
      <c r="U695" s="15" t="s">
        <v>157</v>
      </c>
      <c r="V695" s="15" t="s">
        <v>135</v>
      </c>
      <c r="W695" s="17">
        <v>11.66</v>
      </c>
    </row>
    <row r="696" spans="1:23" s="15" customFormat="1" x14ac:dyDescent="0.25">
      <c r="A696" s="15">
        <v>2022874966</v>
      </c>
      <c r="B696" s="15" t="s">
        <v>1106</v>
      </c>
      <c r="C696" s="15" t="s">
        <v>1107</v>
      </c>
      <c r="D696" s="15" t="str">
        <f>CONCATENATE(C696," ",B696)</f>
        <v>TERRI SHUMINSKY</v>
      </c>
      <c r="E696" s="15" t="s">
        <v>52</v>
      </c>
      <c r="F696" s="15" t="s">
        <v>378</v>
      </c>
      <c r="G696" s="15" t="s">
        <v>379</v>
      </c>
      <c r="H696" s="15" t="s">
        <v>379</v>
      </c>
      <c r="I696" s="21">
        <v>18781057</v>
      </c>
      <c r="J696" s="15" t="s">
        <v>239</v>
      </c>
      <c r="K696" s="15" t="s">
        <v>240</v>
      </c>
      <c r="L696" s="15" t="str">
        <f>CONCATENATE(K696," ",J696)</f>
        <v>JOHN ROKEN</v>
      </c>
      <c r="M696" s="15" t="s">
        <v>57</v>
      </c>
      <c r="N696" s="16">
        <v>45413</v>
      </c>
      <c r="O696" s="16">
        <v>46082</v>
      </c>
      <c r="P696" s="24">
        <f>DATEDIF(N696,O696,"M")</f>
        <v>22</v>
      </c>
      <c r="Q696" s="24" t="s">
        <v>157</v>
      </c>
      <c r="R696" s="24" t="s">
        <v>1391</v>
      </c>
      <c r="S696" s="17">
        <v>69.63</v>
      </c>
      <c r="T696" s="18">
        <v>0.1</v>
      </c>
      <c r="U696" s="15" t="s">
        <v>157</v>
      </c>
      <c r="V696" s="15" t="s">
        <v>135</v>
      </c>
      <c r="W696" s="17">
        <v>6.96</v>
      </c>
    </row>
    <row r="697" spans="1:23" s="15" customFormat="1" x14ac:dyDescent="0.25">
      <c r="A697" s="15">
        <v>2022802828</v>
      </c>
      <c r="B697" s="15" t="s">
        <v>235</v>
      </c>
      <c r="C697" s="15" t="s">
        <v>236</v>
      </c>
      <c r="D697" s="15" t="str">
        <f>CONCATENATE(C697," ",B697)</f>
        <v>ANA RUBINFELD</v>
      </c>
      <c r="E697" s="15" t="s">
        <v>237</v>
      </c>
      <c r="F697" s="15" t="s">
        <v>152</v>
      </c>
      <c r="G697" s="15" t="s">
        <v>238</v>
      </c>
      <c r="H697" s="15" t="s">
        <v>238</v>
      </c>
      <c r="I697" s="21">
        <v>18781057</v>
      </c>
      <c r="J697" s="15" t="s">
        <v>239</v>
      </c>
      <c r="K697" s="15" t="s">
        <v>240</v>
      </c>
      <c r="L697" s="15" t="str">
        <f>CONCATENATE(K697," ",J697)</f>
        <v>JOHN ROKEN</v>
      </c>
      <c r="M697" s="15" t="s">
        <v>57</v>
      </c>
      <c r="N697" s="16">
        <v>45413</v>
      </c>
      <c r="O697" s="16">
        <v>46082</v>
      </c>
      <c r="P697" s="24">
        <f>DATEDIF(N697,O697,"M")</f>
        <v>22</v>
      </c>
      <c r="Q697" s="24" t="s">
        <v>157</v>
      </c>
      <c r="R697" s="24" t="s">
        <v>1391</v>
      </c>
      <c r="S697" s="17">
        <v>35.270000000000003</v>
      </c>
      <c r="T697" s="18">
        <v>0.08</v>
      </c>
      <c r="U697" s="15" t="s">
        <v>157</v>
      </c>
      <c r="V697" s="15" t="s">
        <v>135</v>
      </c>
      <c r="W697" s="17">
        <v>2.82</v>
      </c>
    </row>
    <row r="698" spans="1:23" s="15" customFormat="1" x14ac:dyDescent="0.25">
      <c r="A698" s="15">
        <v>2022802829</v>
      </c>
      <c r="B698" s="15" t="s">
        <v>235</v>
      </c>
      <c r="C698" s="15" t="s">
        <v>236</v>
      </c>
      <c r="D698" s="15" t="str">
        <f>CONCATENATE(C698," ",B698)</f>
        <v>ANA RUBINFELD</v>
      </c>
      <c r="E698" s="15" t="s">
        <v>237</v>
      </c>
      <c r="F698" s="15" t="s">
        <v>152</v>
      </c>
      <c r="G698" s="15" t="s">
        <v>241</v>
      </c>
      <c r="H698" s="15" t="s">
        <v>238</v>
      </c>
      <c r="I698" s="21">
        <v>18781057</v>
      </c>
      <c r="J698" s="15" t="s">
        <v>239</v>
      </c>
      <c r="K698" s="15" t="s">
        <v>240</v>
      </c>
      <c r="L698" s="15" t="str">
        <f>CONCATENATE(K698," ",J698)</f>
        <v>JOHN ROKEN</v>
      </c>
      <c r="M698" s="15" t="s">
        <v>57</v>
      </c>
      <c r="N698" s="16">
        <v>45413</v>
      </c>
      <c r="O698" s="16">
        <v>46082</v>
      </c>
      <c r="P698" s="24">
        <f>DATEDIF(N698,O698,"M")</f>
        <v>22</v>
      </c>
      <c r="Q698" s="24" t="s">
        <v>157</v>
      </c>
      <c r="R698" s="24" t="s">
        <v>1391</v>
      </c>
      <c r="S698" s="17">
        <v>14.95</v>
      </c>
      <c r="T698" s="18">
        <v>0.08</v>
      </c>
      <c r="U698" s="15" t="s">
        <v>157</v>
      </c>
      <c r="V698" s="15" t="s">
        <v>135</v>
      </c>
      <c r="W698" s="17">
        <v>1.2</v>
      </c>
    </row>
    <row r="699" spans="1:23" s="15" customFormat="1" x14ac:dyDescent="0.25">
      <c r="A699" s="15">
        <v>2023048530</v>
      </c>
      <c r="B699" s="15" t="s">
        <v>235</v>
      </c>
      <c r="C699" s="15" t="s">
        <v>640</v>
      </c>
      <c r="D699" s="15" t="str">
        <f>CONCATENATE(C699," ",B699)</f>
        <v>RANDY RUBINFELD</v>
      </c>
      <c r="E699" s="15" t="s">
        <v>237</v>
      </c>
      <c r="F699" s="15" t="s">
        <v>363</v>
      </c>
      <c r="G699" s="15" t="s">
        <v>364</v>
      </c>
      <c r="H699" s="15" t="s">
        <v>364</v>
      </c>
      <c r="I699" s="21">
        <v>18781057</v>
      </c>
      <c r="J699" s="15" t="s">
        <v>239</v>
      </c>
      <c r="K699" s="15" t="s">
        <v>240</v>
      </c>
      <c r="L699" s="15" t="str">
        <f>CONCATENATE(K699," ",J699)</f>
        <v>JOHN ROKEN</v>
      </c>
      <c r="M699" s="15" t="s">
        <v>57</v>
      </c>
      <c r="N699" s="16">
        <v>45422</v>
      </c>
      <c r="O699" s="16">
        <v>46091</v>
      </c>
      <c r="P699" s="24">
        <f>DATEDIF(N699,O699,"M")</f>
        <v>22</v>
      </c>
      <c r="Q699" s="24" t="s">
        <v>157</v>
      </c>
      <c r="R699" s="24" t="s">
        <v>1391</v>
      </c>
      <c r="S699" s="17">
        <v>119.64</v>
      </c>
      <c r="T699" s="18">
        <v>0.06</v>
      </c>
      <c r="U699" s="15" t="s">
        <v>157</v>
      </c>
      <c r="V699" s="15" t="s">
        <v>135</v>
      </c>
      <c r="W699" s="17">
        <v>7.18</v>
      </c>
    </row>
    <row r="700" spans="1:23" s="15" customFormat="1" x14ac:dyDescent="0.25">
      <c r="A700" s="15">
        <v>2022853293</v>
      </c>
      <c r="B700" s="15" t="s">
        <v>242</v>
      </c>
      <c r="C700" s="15" t="s">
        <v>243</v>
      </c>
      <c r="D700" s="15" t="str">
        <f>CONCATENATE(C700," ",B700)</f>
        <v>GREG BERLACHER</v>
      </c>
      <c r="E700" s="15" t="s">
        <v>52</v>
      </c>
      <c r="F700" s="15" t="s">
        <v>53</v>
      </c>
      <c r="G700" s="15" t="s">
        <v>54</v>
      </c>
      <c r="H700" s="15" t="s">
        <v>54</v>
      </c>
      <c r="I700" s="21">
        <v>18781057</v>
      </c>
      <c r="J700" s="15" t="s">
        <v>239</v>
      </c>
      <c r="K700" s="15" t="s">
        <v>240</v>
      </c>
      <c r="L700" s="15" t="str">
        <f>CONCATENATE(K700," ",J700)</f>
        <v>JOHN ROKEN</v>
      </c>
      <c r="M700" s="15" t="s">
        <v>57</v>
      </c>
      <c r="N700" s="16">
        <v>45413</v>
      </c>
      <c r="O700" s="16">
        <v>46082</v>
      </c>
      <c r="P700" s="24">
        <f>DATEDIF(N700,O700,"M")</f>
        <v>22</v>
      </c>
      <c r="Q700" s="24" t="s">
        <v>157</v>
      </c>
      <c r="R700" s="24" t="s">
        <v>1391</v>
      </c>
      <c r="S700" s="17">
        <v>79.75</v>
      </c>
      <c r="T700" s="25">
        <v>6.5000000000000002E-2</v>
      </c>
      <c r="U700" s="15" t="s">
        <v>157</v>
      </c>
      <c r="V700" s="15" t="s">
        <v>135</v>
      </c>
      <c r="W700" s="17">
        <v>5.18</v>
      </c>
    </row>
    <row r="701" spans="1:23" s="15" customFormat="1" x14ac:dyDescent="0.25">
      <c r="A701" s="15">
        <v>2017629365</v>
      </c>
      <c r="B701" s="15" t="s">
        <v>1173</v>
      </c>
      <c r="C701" s="15" t="s">
        <v>1174</v>
      </c>
      <c r="D701" s="15" t="str">
        <f>CONCATENATE(C701," ",B701)</f>
        <v>JACKIE GLOVER</v>
      </c>
      <c r="E701" s="15" t="s">
        <v>116</v>
      </c>
      <c r="F701" s="15" t="s">
        <v>383</v>
      </c>
      <c r="G701" s="15" t="s">
        <v>1172</v>
      </c>
      <c r="H701" s="15" t="s">
        <v>1172</v>
      </c>
      <c r="I701" s="21">
        <v>20436896</v>
      </c>
      <c r="J701" s="15" t="s">
        <v>162</v>
      </c>
      <c r="K701" s="15" t="s">
        <v>163</v>
      </c>
      <c r="L701" s="15" t="str">
        <f>CONCATENATE(K701," ",J701)</f>
        <v>KATELENN CALTAGIRONE</v>
      </c>
      <c r="M701" s="15" t="s">
        <v>57</v>
      </c>
      <c r="N701" s="16">
        <v>44994</v>
      </c>
      <c r="O701" s="16">
        <v>46090</v>
      </c>
      <c r="P701" s="24">
        <f>DATEDIF(N701,O701,"M")</f>
        <v>36</v>
      </c>
      <c r="Q701" s="24" t="s">
        <v>157</v>
      </c>
      <c r="R701" s="24" t="s">
        <v>1391</v>
      </c>
      <c r="S701" s="17">
        <v>8.3699999999999992</v>
      </c>
      <c r="T701" s="18">
        <v>0.15</v>
      </c>
      <c r="U701" s="15" t="s">
        <v>157</v>
      </c>
      <c r="V701" s="15" t="s">
        <v>135</v>
      </c>
      <c r="W701" s="17">
        <v>1.26</v>
      </c>
    </row>
    <row r="702" spans="1:23" s="15" customFormat="1" x14ac:dyDescent="0.25">
      <c r="A702" s="15">
        <v>2017539416</v>
      </c>
      <c r="B702" s="15" t="s">
        <v>175</v>
      </c>
      <c r="C702" s="15" t="s">
        <v>176</v>
      </c>
      <c r="D702" s="15" t="str">
        <f>CONCATENATE(C702," ",B702)</f>
        <v>KIMBERLY HUFF</v>
      </c>
      <c r="E702" s="15" t="s">
        <v>177</v>
      </c>
      <c r="F702" s="15" t="s">
        <v>152</v>
      </c>
      <c r="G702" s="15" t="s">
        <v>153</v>
      </c>
      <c r="H702" s="15" t="s">
        <v>153</v>
      </c>
      <c r="I702" s="21">
        <v>20436896</v>
      </c>
      <c r="J702" s="15" t="s">
        <v>162</v>
      </c>
      <c r="K702" s="15" t="s">
        <v>163</v>
      </c>
      <c r="L702" s="15" t="str">
        <f>CONCATENATE(K702," ",J702)</f>
        <v>KATELENN CALTAGIRONE</v>
      </c>
      <c r="M702" s="15" t="s">
        <v>57</v>
      </c>
      <c r="N702" s="16">
        <v>44986</v>
      </c>
      <c r="O702" s="16">
        <v>46082</v>
      </c>
      <c r="P702" s="24">
        <f>DATEDIF(N702,O702,"M")</f>
        <v>36</v>
      </c>
      <c r="Q702" s="24" t="s">
        <v>157</v>
      </c>
      <c r="R702" s="24" t="s">
        <v>1391</v>
      </c>
      <c r="S702" s="17">
        <v>41.11</v>
      </c>
      <c r="T702" s="25">
        <v>5.2499999999999998E-2</v>
      </c>
      <c r="U702" s="15" t="s">
        <v>157</v>
      </c>
      <c r="V702" s="15" t="s">
        <v>135</v>
      </c>
      <c r="W702" s="17">
        <v>2.16</v>
      </c>
    </row>
    <row r="703" spans="1:23" s="15" customFormat="1" x14ac:dyDescent="0.25">
      <c r="A703" s="15">
        <v>2017629364</v>
      </c>
      <c r="B703" s="15" t="s">
        <v>1173</v>
      </c>
      <c r="C703" s="15" t="s">
        <v>1174</v>
      </c>
      <c r="D703" s="15" t="str">
        <f>CONCATENATE(C703," ",B703)</f>
        <v>JACKIE GLOVER</v>
      </c>
      <c r="E703" s="15" t="s">
        <v>116</v>
      </c>
      <c r="F703" s="15" t="s">
        <v>383</v>
      </c>
      <c r="G703" s="15" t="s">
        <v>384</v>
      </c>
      <c r="H703" s="15" t="s">
        <v>384</v>
      </c>
      <c r="I703" s="21">
        <v>20436896</v>
      </c>
      <c r="J703" s="15" t="s">
        <v>162</v>
      </c>
      <c r="K703" s="15" t="s">
        <v>163</v>
      </c>
      <c r="L703" s="15" t="str">
        <f>CONCATENATE(K703," ",J703)</f>
        <v>KATELENN CALTAGIRONE</v>
      </c>
      <c r="M703" s="15" t="s">
        <v>57</v>
      </c>
      <c r="N703" s="16">
        <v>44994</v>
      </c>
      <c r="O703" s="16">
        <v>46090</v>
      </c>
      <c r="P703" s="24">
        <f>DATEDIF(N703,O703,"M")</f>
        <v>36</v>
      </c>
      <c r="Q703" s="24" t="s">
        <v>157</v>
      </c>
      <c r="R703" s="24" t="s">
        <v>1391</v>
      </c>
      <c r="S703" s="17">
        <v>58.95</v>
      </c>
      <c r="T703" s="18">
        <v>0.15</v>
      </c>
      <c r="U703" s="15" t="s">
        <v>157</v>
      </c>
      <c r="V703" s="15" t="s">
        <v>135</v>
      </c>
      <c r="W703" s="17">
        <v>8.84</v>
      </c>
    </row>
    <row r="704" spans="1:23" s="15" customFormat="1" x14ac:dyDescent="0.25">
      <c r="A704" s="15">
        <v>2017539417</v>
      </c>
      <c r="B704" s="15" t="s">
        <v>175</v>
      </c>
      <c r="C704" s="15" t="s">
        <v>176</v>
      </c>
      <c r="D704" s="15" t="str">
        <f>CONCATENATE(C704," ",B704)</f>
        <v>KIMBERLY HUFF</v>
      </c>
      <c r="E704" s="15" t="s">
        <v>177</v>
      </c>
      <c r="F704" s="15" t="s">
        <v>53</v>
      </c>
      <c r="G704" s="15" t="s">
        <v>54</v>
      </c>
      <c r="H704" s="15" t="s">
        <v>54</v>
      </c>
      <c r="I704" s="21">
        <v>20436896</v>
      </c>
      <c r="J704" s="15" t="s">
        <v>162</v>
      </c>
      <c r="K704" s="15" t="s">
        <v>163</v>
      </c>
      <c r="L704" s="15" t="str">
        <f>CONCATENATE(K704," ",J704)</f>
        <v>KATELENN CALTAGIRONE</v>
      </c>
      <c r="M704" s="15" t="s">
        <v>57</v>
      </c>
      <c r="N704" s="16">
        <v>44986</v>
      </c>
      <c r="O704" s="16">
        <v>46082</v>
      </c>
      <c r="P704" s="24">
        <f>DATEDIF(N704,O704,"M")</f>
        <v>36</v>
      </c>
      <c r="Q704" s="24" t="s">
        <v>157</v>
      </c>
      <c r="R704" s="24" t="s">
        <v>1391</v>
      </c>
      <c r="S704" s="17">
        <v>52.69</v>
      </c>
      <c r="T704" s="25">
        <v>6.5000000000000002E-2</v>
      </c>
      <c r="U704" s="15" t="s">
        <v>157</v>
      </c>
      <c r="V704" s="15" t="s">
        <v>135</v>
      </c>
      <c r="W704" s="17">
        <v>3.42</v>
      </c>
    </row>
    <row r="705" spans="1:55" s="15" customFormat="1" x14ac:dyDescent="0.25">
      <c r="A705" s="15">
        <v>2016705959</v>
      </c>
      <c r="B705" s="15" t="s">
        <v>1171</v>
      </c>
      <c r="C705" s="15" t="s">
        <v>666</v>
      </c>
      <c r="D705" s="15" t="str">
        <f>CONCATENATE(C705," ",B705)</f>
        <v>KIM GULICK</v>
      </c>
      <c r="E705" s="15" t="s">
        <v>170</v>
      </c>
      <c r="F705" s="15" t="s">
        <v>383</v>
      </c>
      <c r="G705" s="15" t="s">
        <v>1172</v>
      </c>
      <c r="H705" s="15" t="s">
        <v>1172</v>
      </c>
      <c r="I705" s="21">
        <v>20436896</v>
      </c>
      <c r="J705" s="15" t="s">
        <v>162</v>
      </c>
      <c r="K705" s="15" t="s">
        <v>163</v>
      </c>
      <c r="L705" s="15" t="str">
        <f>CONCATENATE(K705," ",J705)</f>
        <v>KATELENN CALTAGIRONE</v>
      </c>
      <c r="M705" s="15" t="s">
        <v>57</v>
      </c>
      <c r="N705" s="16">
        <v>44927</v>
      </c>
      <c r="O705" s="16">
        <v>46082</v>
      </c>
      <c r="P705" s="24">
        <f>DATEDIF(N705,O705,"M")</f>
        <v>38</v>
      </c>
      <c r="Q705" s="24" t="s">
        <v>157</v>
      </c>
      <c r="R705" s="24" t="s">
        <v>1391</v>
      </c>
      <c r="S705" s="17">
        <v>25.73</v>
      </c>
      <c r="T705" s="18">
        <v>0.15</v>
      </c>
      <c r="U705" s="15" t="s">
        <v>157</v>
      </c>
      <c r="V705" s="15" t="s">
        <v>135</v>
      </c>
      <c r="W705" s="17">
        <v>3.86</v>
      </c>
    </row>
    <row r="706" spans="1:55" s="15" customFormat="1" x14ac:dyDescent="0.25">
      <c r="A706" s="15">
        <v>2016794187</v>
      </c>
      <c r="B706" s="15" t="s">
        <v>160</v>
      </c>
      <c r="C706" s="15" t="s">
        <v>161</v>
      </c>
      <c r="D706" s="15" t="str">
        <f>CONCATENATE(C706," ",B706)</f>
        <v>SUZIE ACKLEY</v>
      </c>
      <c r="E706" s="15" t="s">
        <v>140</v>
      </c>
      <c r="F706" s="15" t="s">
        <v>383</v>
      </c>
      <c r="G706" s="15" t="s">
        <v>1172</v>
      </c>
      <c r="H706" s="15" t="s">
        <v>1172</v>
      </c>
      <c r="I706" s="21">
        <v>20436896</v>
      </c>
      <c r="J706" s="15" t="s">
        <v>162</v>
      </c>
      <c r="K706" s="15" t="s">
        <v>163</v>
      </c>
      <c r="L706" s="15" t="str">
        <f>CONCATENATE(K706," ",J706)</f>
        <v>KATELENN CALTAGIRONE</v>
      </c>
      <c r="M706" s="15" t="s">
        <v>57</v>
      </c>
      <c r="N706" s="16">
        <v>44927</v>
      </c>
      <c r="O706" s="16">
        <v>46082</v>
      </c>
      <c r="P706" s="24">
        <f>DATEDIF(N706,O706,"M")</f>
        <v>38</v>
      </c>
      <c r="Q706" s="24" t="s">
        <v>157</v>
      </c>
      <c r="R706" s="24" t="s">
        <v>1391</v>
      </c>
      <c r="S706" s="17">
        <v>21.44</v>
      </c>
      <c r="T706" s="18">
        <v>0.15</v>
      </c>
      <c r="U706" s="15" t="s">
        <v>157</v>
      </c>
      <c r="V706" s="15" t="s">
        <v>135</v>
      </c>
      <c r="W706" s="17">
        <v>3.22</v>
      </c>
    </row>
    <row r="707" spans="1:55" s="15" customFormat="1" x14ac:dyDescent="0.25">
      <c r="A707" s="15">
        <v>2016794185</v>
      </c>
      <c r="B707" s="15" t="s">
        <v>160</v>
      </c>
      <c r="C707" s="15" t="s">
        <v>161</v>
      </c>
      <c r="D707" s="15" t="str">
        <f>CONCATENATE(C707," ",B707)</f>
        <v>SUZIE ACKLEY</v>
      </c>
      <c r="E707" s="15" t="s">
        <v>140</v>
      </c>
      <c r="F707" s="15" t="s">
        <v>152</v>
      </c>
      <c r="G707" s="15" t="s">
        <v>153</v>
      </c>
      <c r="H707" s="15" t="s">
        <v>153</v>
      </c>
      <c r="I707" s="21">
        <v>20436896</v>
      </c>
      <c r="J707" s="15" t="s">
        <v>162</v>
      </c>
      <c r="K707" s="15" t="s">
        <v>163</v>
      </c>
      <c r="L707" s="15" t="str">
        <f>CONCATENATE(K707," ",J707)</f>
        <v>KATELENN CALTAGIRONE</v>
      </c>
      <c r="M707" s="15" t="s">
        <v>57</v>
      </c>
      <c r="N707" s="16">
        <v>44927</v>
      </c>
      <c r="O707" s="16">
        <v>46082</v>
      </c>
      <c r="P707" s="24">
        <f>DATEDIF(N707,O707,"M")</f>
        <v>38</v>
      </c>
      <c r="Q707" s="24" t="s">
        <v>157</v>
      </c>
      <c r="R707" s="24" t="s">
        <v>1391</v>
      </c>
      <c r="S707" s="17">
        <v>57.2</v>
      </c>
      <c r="T707" s="25">
        <v>5.2499999999999998E-2</v>
      </c>
      <c r="U707" s="15" t="s">
        <v>157</v>
      </c>
      <c r="V707" s="15" t="s">
        <v>135</v>
      </c>
      <c r="W707" s="17">
        <v>3</v>
      </c>
    </row>
    <row r="708" spans="1:55" s="15" customFormat="1" x14ac:dyDescent="0.25">
      <c r="A708" s="15">
        <v>2021350310</v>
      </c>
      <c r="B708" s="15" t="s">
        <v>635</v>
      </c>
      <c r="C708" s="15" t="s">
        <v>636</v>
      </c>
      <c r="D708" s="15" t="str">
        <f>CONCATENATE(C708," ",B708)</f>
        <v>ANTONIO MASSIMINO</v>
      </c>
      <c r="E708" s="15" t="s">
        <v>52</v>
      </c>
      <c r="F708" s="15" t="s">
        <v>363</v>
      </c>
      <c r="G708" s="15" t="s">
        <v>364</v>
      </c>
      <c r="H708" s="15" t="s">
        <v>364</v>
      </c>
      <c r="I708" s="21">
        <v>19562245</v>
      </c>
      <c r="J708" s="15" t="s">
        <v>183</v>
      </c>
      <c r="K708" s="15" t="s">
        <v>184</v>
      </c>
      <c r="L708" s="15" t="str">
        <f>CONCATENATE(K708," ",J708)</f>
        <v>KELLY CARRYER</v>
      </c>
      <c r="M708" s="15" t="s">
        <v>57</v>
      </c>
      <c r="N708" s="16">
        <v>45301</v>
      </c>
      <c r="O708" s="16">
        <v>46091</v>
      </c>
      <c r="P708" s="24">
        <f>DATEDIF(N708,O708,"M")</f>
        <v>26</v>
      </c>
      <c r="Q708" s="24" t="s">
        <v>157</v>
      </c>
      <c r="R708" s="24" t="s">
        <v>1391</v>
      </c>
      <c r="S708" s="17">
        <v>49.98</v>
      </c>
      <c r="T708" s="18">
        <v>0.06</v>
      </c>
      <c r="U708" s="15" t="s">
        <v>157</v>
      </c>
      <c r="V708" s="15" t="s">
        <v>135</v>
      </c>
      <c r="W708" s="17">
        <v>3</v>
      </c>
    </row>
    <row r="709" spans="1:55" s="15" customFormat="1" x14ac:dyDescent="0.25">
      <c r="A709" s="15">
        <v>2019958314</v>
      </c>
      <c r="B709" s="15" t="s">
        <v>627</v>
      </c>
      <c r="C709" s="15" t="s">
        <v>628</v>
      </c>
      <c r="D709" s="15" t="str">
        <f>CONCATENATE(C709," ",B709)</f>
        <v>NIKKI SPALARIS</v>
      </c>
      <c r="E709" s="15" t="s">
        <v>52</v>
      </c>
      <c r="F709" s="15" t="s">
        <v>363</v>
      </c>
      <c r="G709" s="15" t="s">
        <v>364</v>
      </c>
      <c r="H709" s="15" t="s">
        <v>364</v>
      </c>
      <c r="I709" s="21">
        <v>19562245</v>
      </c>
      <c r="J709" s="15" t="s">
        <v>183</v>
      </c>
      <c r="K709" s="15" t="s">
        <v>184</v>
      </c>
      <c r="L709" s="15" t="str">
        <f>CONCATENATE(K709," ",J709)</f>
        <v>KELLY CARRYER</v>
      </c>
      <c r="M709" s="15" t="s">
        <v>57</v>
      </c>
      <c r="N709" s="16">
        <v>45175</v>
      </c>
      <c r="O709" s="16">
        <v>46087</v>
      </c>
      <c r="P709" s="24">
        <f>DATEDIF(N709,O709,"M")</f>
        <v>30</v>
      </c>
      <c r="Q709" s="24" t="s">
        <v>157</v>
      </c>
      <c r="R709" s="24" t="s">
        <v>1391</v>
      </c>
      <c r="S709" s="17">
        <v>49.12</v>
      </c>
      <c r="T709" s="18">
        <v>0.06</v>
      </c>
      <c r="U709" s="15" t="s">
        <v>157</v>
      </c>
      <c r="V709" s="15" t="s">
        <v>135</v>
      </c>
      <c r="W709" s="17">
        <v>2.95</v>
      </c>
    </row>
    <row r="710" spans="1:55" s="15" customFormat="1" x14ac:dyDescent="0.25">
      <c r="A710" s="15">
        <v>2018908125</v>
      </c>
      <c r="B710" s="15" t="s">
        <v>189</v>
      </c>
      <c r="C710" s="15" t="s">
        <v>190</v>
      </c>
      <c r="D710" s="15" t="str">
        <f>CONCATENATE(C710," ",B710)</f>
        <v>HEIDI RUEFENACHT</v>
      </c>
      <c r="E710" s="15" t="s">
        <v>52</v>
      </c>
      <c r="F710" s="15" t="s">
        <v>152</v>
      </c>
      <c r="G710" s="15" t="s">
        <v>153</v>
      </c>
      <c r="H710" s="15" t="s">
        <v>153</v>
      </c>
      <c r="I710" s="21">
        <v>19562245</v>
      </c>
      <c r="J710" s="15" t="s">
        <v>183</v>
      </c>
      <c r="K710" s="15" t="s">
        <v>184</v>
      </c>
      <c r="L710" s="15" t="str">
        <f>CONCATENATE(K710," ",J710)</f>
        <v>KELLY CARRYER</v>
      </c>
      <c r="M710" s="15" t="s">
        <v>57</v>
      </c>
      <c r="N710" s="16">
        <v>45108</v>
      </c>
      <c r="O710" s="16">
        <v>46082</v>
      </c>
      <c r="P710" s="24">
        <f>DATEDIF(N710,O710,"M")</f>
        <v>32</v>
      </c>
      <c r="Q710" s="24" t="s">
        <v>157</v>
      </c>
      <c r="R710" s="24" t="s">
        <v>1391</v>
      </c>
      <c r="S710" s="17">
        <v>48.22</v>
      </c>
      <c r="T710" s="25">
        <v>5.2499999999999998E-2</v>
      </c>
      <c r="U710" s="15" t="s">
        <v>157</v>
      </c>
      <c r="V710" s="15" t="s">
        <v>135</v>
      </c>
      <c r="W710" s="17">
        <v>2.5299999999999998</v>
      </c>
    </row>
    <row r="711" spans="1:55" s="15" customFormat="1" x14ac:dyDescent="0.25">
      <c r="A711" s="15">
        <v>2018472291</v>
      </c>
      <c r="B711" s="15" t="s">
        <v>181</v>
      </c>
      <c r="C711" s="15" t="s">
        <v>182</v>
      </c>
      <c r="D711" s="15" t="str">
        <f>CONCATENATE(C711," ",B711)</f>
        <v>KATHY POPA</v>
      </c>
      <c r="E711" s="15" t="s">
        <v>52</v>
      </c>
      <c r="F711" s="15" t="s">
        <v>152</v>
      </c>
      <c r="G711" s="15" t="s">
        <v>153</v>
      </c>
      <c r="H711" s="15" t="s">
        <v>153</v>
      </c>
      <c r="I711" s="21">
        <v>19562245</v>
      </c>
      <c r="J711" s="15" t="s">
        <v>183</v>
      </c>
      <c r="K711" s="15" t="s">
        <v>184</v>
      </c>
      <c r="L711" s="15" t="str">
        <f>CONCATENATE(K711," ",J711)</f>
        <v>KELLY CARRYER</v>
      </c>
      <c r="M711" s="15" t="s">
        <v>57</v>
      </c>
      <c r="N711" s="16">
        <v>45047</v>
      </c>
      <c r="O711" s="16">
        <v>46082</v>
      </c>
      <c r="P711" s="24">
        <f>DATEDIF(N711,O711,"M")</f>
        <v>34</v>
      </c>
      <c r="Q711" s="24" t="s">
        <v>157</v>
      </c>
      <c r="R711" s="24" t="s">
        <v>1391</v>
      </c>
      <c r="S711" s="17">
        <v>87.31</v>
      </c>
      <c r="T711" s="25">
        <v>5.2499999999999998E-2</v>
      </c>
      <c r="U711" s="15" t="s">
        <v>157</v>
      </c>
      <c r="V711" s="15" t="s">
        <v>135</v>
      </c>
      <c r="W711" s="17">
        <v>4.58</v>
      </c>
    </row>
    <row r="712" spans="1:55" s="15" customFormat="1" x14ac:dyDescent="0.25">
      <c r="A712" s="15">
        <v>2018522516</v>
      </c>
      <c r="B712" s="15" t="s">
        <v>185</v>
      </c>
      <c r="C712" s="15" t="s">
        <v>186</v>
      </c>
      <c r="D712" s="15" t="str">
        <f>CONCATENATE(C712," ",B712)</f>
        <v>LAWRENCE III</v>
      </c>
      <c r="E712" s="15" t="s">
        <v>52</v>
      </c>
      <c r="F712" s="15" t="s">
        <v>152</v>
      </c>
      <c r="G712" s="15" t="s">
        <v>153</v>
      </c>
      <c r="H712" s="15" t="s">
        <v>153</v>
      </c>
      <c r="I712" s="21">
        <v>19562245</v>
      </c>
      <c r="J712" s="15" t="s">
        <v>183</v>
      </c>
      <c r="K712" s="15" t="s">
        <v>184</v>
      </c>
      <c r="L712" s="15" t="str">
        <f>CONCATENATE(K712," ",J712)</f>
        <v>KELLY CARRYER</v>
      </c>
      <c r="M712" s="15" t="s">
        <v>57</v>
      </c>
      <c r="N712" s="16">
        <v>45048</v>
      </c>
      <c r="O712" s="16">
        <v>46083</v>
      </c>
      <c r="P712" s="24">
        <f>DATEDIF(N712,O712,"M")</f>
        <v>34</v>
      </c>
      <c r="Q712" s="24" t="s">
        <v>157</v>
      </c>
      <c r="R712" s="24" t="s">
        <v>1391</v>
      </c>
      <c r="S712" s="17">
        <v>50.6</v>
      </c>
      <c r="T712" s="25">
        <v>5.2499999999999998E-2</v>
      </c>
      <c r="U712" s="15" t="s">
        <v>157</v>
      </c>
      <c r="V712" s="15" t="s">
        <v>135</v>
      </c>
      <c r="W712" s="17">
        <v>2.66</v>
      </c>
    </row>
    <row r="713" spans="1:55" s="15" customFormat="1" x14ac:dyDescent="0.25">
      <c r="A713" s="15">
        <v>2018472292</v>
      </c>
      <c r="B713" s="15" t="s">
        <v>181</v>
      </c>
      <c r="C713" s="15" t="s">
        <v>182</v>
      </c>
      <c r="D713" s="15" t="str">
        <f>CONCATENATE(C713," ",B713)</f>
        <v>KATHY POPA</v>
      </c>
      <c r="E713" s="15" t="s">
        <v>52</v>
      </c>
      <c r="F713" s="15" t="s">
        <v>53</v>
      </c>
      <c r="G713" s="15" t="s">
        <v>415</v>
      </c>
      <c r="H713" s="15" t="s">
        <v>415</v>
      </c>
      <c r="I713" s="21">
        <v>19562245</v>
      </c>
      <c r="J713" s="15" t="s">
        <v>183</v>
      </c>
      <c r="K713" s="15" t="s">
        <v>184</v>
      </c>
      <c r="L713" s="15" t="str">
        <f>CONCATENATE(K713," ",J713)</f>
        <v>KELLY CARRYER</v>
      </c>
      <c r="M713" s="15" t="s">
        <v>57</v>
      </c>
      <c r="N713" s="16">
        <v>45047</v>
      </c>
      <c r="O713" s="16">
        <v>46082</v>
      </c>
      <c r="P713" s="24">
        <f>DATEDIF(N713,O713,"M")</f>
        <v>34</v>
      </c>
      <c r="Q713" s="24" t="s">
        <v>157</v>
      </c>
      <c r="R713" s="24" t="s">
        <v>1391</v>
      </c>
      <c r="S713" s="17">
        <v>97.45</v>
      </c>
      <c r="T713" s="25">
        <v>6.5000000000000002E-2</v>
      </c>
      <c r="U713" s="15" t="s">
        <v>157</v>
      </c>
      <c r="V713" s="15" t="s">
        <v>135</v>
      </c>
      <c r="W713" s="17">
        <v>6.33</v>
      </c>
    </row>
    <row r="714" spans="1:55" s="15" customFormat="1" x14ac:dyDescent="0.25">
      <c r="A714" s="15">
        <v>2032634843</v>
      </c>
      <c r="B714" s="15" t="s">
        <v>892</v>
      </c>
      <c r="C714" s="15" t="s">
        <v>195</v>
      </c>
      <c r="D714" s="15" t="str">
        <f>CONCATENATE(C714," ",B714)</f>
        <v>CAROL MAYBIN</v>
      </c>
      <c r="E714" s="15" t="s">
        <v>170</v>
      </c>
      <c r="F714" s="15" t="s">
        <v>383</v>
      </c>
      <c r="G714" s="15" t="s">
        <v>384</v>
      </c>
      <c r="H714" s="15" t="s">
        <v>384</v>
      </c>
      <c r="I714" s="21">
        <v>17516272</v>
      </c>
      <c r="J714" s="15" t="s">
        <v>880</v>
      </c>
      <c r="K714" s="15" t="s">
        <v>881</v>
      </c>
      <c r="L714" s="15" t="str">
        <f>CONCATENATE(K714," ",J714)</f>
        <v>Kenneth Weitzman</v>
      </c>
      <c r="M714" s="15" t="s">
        <v>57</v>
      </c>
      <c r="N714" s="16">
        <v>46003</v>
      </c>
      <c r="O714" s="16">
        <v>46093</v>
      </c>
      <c r="P714" s="24">
        <f>DATEDIF(N714,O714,"M")</f>
        <v>3</v>
      </c>
      <c r="Q714" s="24" t="s">
        <v>157</v>
      </c>
      <c r="R714" s="24" t="s">
        <v>1391</v>
      </c>
      <c r="S714" s="17">
        <v>57.27</v>
      </c>
      <c r="T714" s="18">
        <v>0.7</v>
      </c>
      <c r="U714" s="15" t="s">
        <v>60</v>
      </c>
      <c r="V714" s="15" t="s">
        <v>135</v>
      </c>
      <c r="W714" s="17">
        <v>40.090000000000003</v>
      </c>
    </row>
    <row r="715" spans="1:55" s="15" customFormat="1" x14ac:dyDescent="0.25">
      <c r="A715" s="15">
        <v>2032612599</v>
      </c>
      <c r="B715" s="15" t="s">
        <v>878</v>
      </c>
      <c r="C715" s="15" t="s">
        <v>879</v>
      </c>
      <c r="D715" s="15" t="str">
        <f>CONCATENATE(C715," ",B715)</f>
        <v>JORGE GALVEZ</v>
      </c>
      <c r="E715" s="15" t="s">
        <v>66</v>
      </c>
      <c r="F715" s="15" t="s">
        <v>383</v>
      </c>
      <c r="G715" s="15" t="s">
        <v>384</v>
      </c>
      <c r="H715" s="15" t="s">
        <v>384</v>
      </c>
      <c r="I715" s="21">
        <v>17516272</v>
      </c>
      <c r="J715" s="15" t="s">
        <v>880</v>
      </c>
      <c r="K715" s="15" t="s">
        <v>881</v>
      </c>
      <c r="L715" s="15" t="str">
        <f>CONCATENATE(K715," ",J715)</f>
        <v>Kenneth Weitzman</v>
      </c>
      <c r="M715" s="15" t="s">
        <v>57</v>
      </c>
      <c r="N715" s="16">
        <v>46002</v>
      </c>
      <c r="O715" s="16">
        <v>46092</v>
      </c>
      <c r="P715" s="24">
        <f>DATEDIF(N715,O715,"M")</f>
        <v>3</v>
      </c>
      <c r="Q715" s="24" t="s">
        <v>157</v>
      </c>
      <c r="R715" s="24" t="s">
        <v>1391</v>
      </c>
      <c r="S715" s="17">
        <v>18.45</v>
      </c>
      <c r="T715" s="18">
        <v>0.7</v>
      </c>
      <c r="U715" s="15" t="s">
        <v>60</v>
      </c>
      <c r="V715" s="15" t="s">
        <v>135</v>
      </c>
      <c r="W715" s="17">
        <v>12.92</v>
      </c>
    </row>
    <row r="716" spans="1:55" s="15" customFormat="1" x14ac:dyDescent="0.25">
      <c r="A716" s="15">
        <v>2032638602</v>
      </c>
      <c r="B716" s="15" t="s">
        <v>893</v>
      </c>
      <c r="C716" s="15" t="s">
        <v>236</v>
      </c>
      <c r="D716" s="15" t="str">
        <f>CONCATENATE(C716," ",B716)</f>
        <v>ANA MENDEZ</v>
      </c>
      <c r="E716" s="15" t="s">
        <v>66</v>
      </c>
      <c r="F716" s="15" t="s">
        <v>383</v>
      </c>
      <c r="G716" s="15" t="s">
        <v>384</v>
      </c>
      <c r="H716" s="15" t="s">
        <v>384</v>
      </c>
      <c r="I716" s="21">
        <v>17516272</v>
      </c>
      <c r="J716" s="15" t="s">
        <v>880</v>
      </c>
      <c r="K716" s="15" t="s">
        <v>881</v>
      </c>
      <c r="L716" s="15" t="str">
        <f>CONCATENATE(K716," ",J716)</f>
        <v>Kenneth Weitzman</v>
      </c>
      <c r="M716" s="15" t="s">
        <v>57</v>
      </c>
      <c r="N716" s="16">
        <v>46003</v>
      </c>
      <c r="O716" s="16">
        <v>46093</v>
      </c>
      <c r="P716" s="24">
        <f>DATEDIF(N716,O716,"M")</f>
        <v>3</v>
      </c>
      <c r="Q716" s="24" t="s">
        <v>157</v>
      </c>
      <c r="R716" s="24" t="s">
        <v>1391</v>
      </c>
      <c r="S716" s="17">
        <v>18.45</v>
      </c>
      <c r="T716" s="18">
        <v>0.7</v>
      </c>
      <c r="U716" s="15" t="s">
        <v>60</v>
      </c>
      <c r="V716" s="15" t="s">
        <v>135</v>
      </c>
      <c r="W716" s="17">
        <v>12.92</v>
      </c>
    </row>
    <row r="717" spans="1:55" s="15" customFormat="1" x14ac:dyDescent="0.25">
      <c r="A717" s="15">
        <v>2032634844</v>
      </c>
      <c r="B717" s="15" t="s">
        <v>892</v>
      </c>
      <c r="C717" s="15" t="s">
        <v>195</v>
      </c>
      <c r="D717" s="15" t="str">
        <f>CONCATENATE(C717," ",B717)</f>
        <v>CAROL MAYBIN</v>
      </c>
      <c r="E717" s="15" t="s">
        <v>170</v>
      </c>
      <c r="F717" s="15" t="s">
        <v>363</v>
      </c>
      <c r="G717" s="15" t="s">
        <v>364</v>
      </c>
      <c r="H717" s="15" t="s">
        <v>364</v>
      </c>
      <c r="I717" s="21">
        <v>17516272</v>
      </c>
      <c r="J717" s="15" t="s">
        <v>880</v>
      </c>
      <c r="K717" s="15" t="s">
        <v>881</v>
      </c>
      <c r="L717" s="15" t="str">
        <f>CONCATENATE(K717," ",J717)</f>
        <v>Kenneth Weitzman</v>
      </c>
      <c r="M717" s="15" t="s">
        <v>57</v>
      </c>
      <c r="N717" s="16">
        <v>46003</v>
      </c>
      <c r="O717" s="16">
        <v>46093</v>
      </c>
      <c r="P717" s="24">
        <f>DATEDIF(N717,O717,"M")</f>
        <v>3</v>
      </c>
      <c r="Q717" s="24" t="s">
        <v>157</v>
      </c>
      <c r="R717" s="24" t="s">
        <v>1391</v>
      </c>
      <c r="S717" s="17">
        <v>73.17</v>
      </c>
      <c r="T717" s="25">
        <v>0.375</v>
      </c>
      <c r="U717" s="15" t="s">
        <v>60</v>
      </c>
      <c r="V717" s="15" t="s">
        <v>135</v>
      </c>
      <c r="W717" s="17">
        <v>27.44</v>
      </c>
    </row>
    <row r="718" spans="1:55" s="15" customFormat="1" x14ac:dyDescent="0.25">
      <c r="A718" s="6">
        <v>2030954164</v>
      </c>
      <c r="B718" s="6" t="s">
        <v>1281</v>
      </c>
      <c r="C718" s="6" t="s">
        <v>1282</v>
      </c>
      <c r="D718" s="6" t="str">
        <f>CONCATENATE(C718," ",B718)</f>
        <v>TERRICA HENDRIX</v>
      </c>
      <c r="E718" s="6" t="s">
        <v>90</v>
      </c>
      <c r="F718" s="6" t="s">
        <v>383</v>
      </c>
      <c r="G718" s="6" t="s">
        <v>384</v>
      </c>
      <c r="H718" s="6" t="s">
        <v>384</v>
      </c>
      <c r="I718" s="20" t="s">
        <v>1371</v>
      </c>
      <c r="J718" s="6" t="s">
        <v>691</v>
      </c>
      <c r="K718" s="6" t="s">
        <v>692</v>
      </c>
      <c r="L718" s="6" t="str">
        <f>CONCATENATE(K718," ",J718)</f>
        <v>Kirk Tigue</v>
      </c>
      <c r="M718" s="6" t="s">
        <v>57</v>
      </c>
      <c r="N718" s="5">
        <v>45911</v>
      </c>
      <c r="O718" s="5">
        <v>46092</v>
      </c>
      <c r="P718" s="23">
        <f>DATEDIF(N718,O718,"M")</f>
        <v>6</v>
      </c>
      <c r="Q718" s="23" t="s">
        <v>157</v>
      </c>
      <c r="R718" s="23" t="s">
        <v>1390</v>
      </c>
      <c r="S718" s="7">
        <v>28.38</v>
      </c>
      <c r="T718" s="13">
        <v>0.7</v>
      </c>
      <c r="U718" s="6" t="s">
        <v>60</v>
      </c>
      <c r="V718" s="6" t="s">
        <v>135</v>
      </c>
      <c r="W718" s="7">
        <v>19.87</v>
      </c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</row>
    <row r="719" spans="1:55" s="15" customFormat="1" x14ac:dyDescent="0.25">
      <c r="A719" s="6">
        <v>2030404321</v>
      </c>
      <c r="B719" s="6" t="s">
        <v>766</v>
      </c>
      <c r="C719" s="6" t="s">
        <v>767</v>
      </c>
      <c r="D719" s="6" t="str">
        <f>CONCATENATE(C719," ",B719)</f>
        <v>LUNDY SIDNEY</v>
      </c>
      <c r="E719" s="6" t="s">
        <v>309</v>
      </c>
      <c r="F719" s="6" t="s">
        <v>383</v>
      </c>
      <c r="G719" s="6" t="s">
        <v>384</v>
      </c>
      <c r="H719" s="6" t="s">
        <v>384</v>
      </c>
      <c r="I719" s="20" t="s">
        <v>1371</v>
      </c>
      <c r="J719" s="6" t="s">
        <v>691</v>
      </c>
      <c r="K719" s="6" t="s">
        <v>692</v>
      </c>
      <c r="L719" s="6" t="str">
        <f>CONCATENATE(K719," ",J719)</f>
        <v>Kirk Tigue</v>
      </c>
      <c r="M719" s="6" t="s">
        <v>57</v>
      </c>
      <c r="N719" s="5">
        <v>45878</v>
      </c>
      <c r="O719" s="5">
        <v>46090</v>
      </c>
      <c r="P719" s="23">
        <f>DATEDIF(N719,O719,"M")</f>
        <v>7</v>
      </c>
      <c r="Q719" s="23" t="s">
        <v>157</v>
      </c>
      <c r="R719" s="23" t="s">
        <v>1391</v>
      </c>
      <c r="S719" s="7">
        <v>11.5</v>
      </c>
      <c r="T719" s="13">
        <v>0.7</v>
      </c>
      <c r="U719" s="6" t="s">
        <v>60</v>
      </c>
      <c r="V719" s="6" t="s">
        <v>135</v>
      </c>
      <c r="W719" s="7">
        <v>8.0500000000000007</v>
      </c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</row>
    <row r="720" spans="1:55" s="15" customFormat="1" x14ac:dyDescent="0.25">
      <c r="A720" s="6">
        <v>2029694327</v>
      </c>
      <c r="B720" s="6" t="s">
        <v>744</v>
      </c>
      <c r="C720" s="6" t="s">
        <v>745</v>
      </c>
      <c r="D720" s="6" t="str">
        <f>CONCATENATE(C720," ",B720)</f>
        <v>MORROW CHARLIE</v>
      </c>
      <c r="E720" s="6" t="s">
        <v>746</v>
      </c>
      <c r="F720" s="6" t="s">
        <v>363</v>
      </c>
      <c r="G720" s="6" t="s">
        <v>364</v>
      </c>
      <c r="H720" s="6" t="s">
        <v>364</v>
      </c>
      <c r="I720" s="20">
        <v>21421111</v>
      </c>
      <c r="J720" s="6" t="s">
        <v>691</v>
      </c>
      <c r="K720" s="6" t="s">
        <v>692</v>
      </c>
      <c r="L720" s="6" t="str">
        <f>CONCATENATE(K720," ",J720)</f>
        <v>Kirk Tigue</v>
      </c>
      <c r="M720" s="6" t="s">
        <v>57</v>
      </c>
      <c r="N720" s="5">
        <v>45837</v>
      </c>
      <c r="O720" s="5">
        <v>46081</v>
      </c>
      <c r="P720" s="23">
        <f>DATEDIF(N720,O720,"M")</f>
        <v>7</v>
      </c>
      <c r="Q720" s="23" t="s">
        <v>157</v>
      </c>
      <c r="R720" s="23" t="s">
        <v>1391</v>
      </c>
      <c r="S720" s="7">
        <v>27.04</v>
      </c>
      <c r="T720" s="14">
        <v>0.375</v>
      </c>
      <c r="U720" s="6" t="s">
        <v>60</v>
      </c>
      <c r="V720" s="6" t="s">
        <v>135</v>
      </c>
      <c r="W720" s="7">
        <v>10.14</v>
      </c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</row>
    <row r="721" spans="1:55" s="15" customFormat="1" x14ac:dyDescent="0.25">
      <c r="A721" s="6">
        <v>2030404320</v>
      </c>
      <c r="B721" s="6" t="s">
        <v>766</v>
      </c>
      <c r="C721" s="6" t="s">
        <v>767</v>
      </c>
      <c r="D721" s="6" t="str">
        <f>CONCATENATE(C721," ",B721)</f>
        <v>LUNDY SIDNEY</v>
      </c>
      <c r="E721" s="6" t="s">
        <v>309</v>
      </c>
      <c r="F721" s="6" t="s">
        <v>363</v>
      </c>
      <c r="G721" s="6" t="s">
        <v>364</v>
      </c>
      <c r="H721" s="6" t="s">
        <v>364</v>
      </c>
      <c r="I721" s="20" t="s">
        <v>1371</v>
      </c>
      <c r="J721" s="6" t="s">
        <v>691</v>
      </c>
      <c r="K721" s="6" t="s">
        <v>692</v>
      </c>
      <c r="L721" s="6" t="str">
        <f>CONCATENATE(K721," ",J721)</f>
        <v>Kirk Tigue</v>
      </c>
      <c r="M721" s="6" t="s">
        <v>57</v>
      </c>
      <c r="N721" s="5">
        <v>45878</v>
      </c>
      <c r="O721" s="5">
        <v>46090</v>
      </c>
      <c r="P721" s="23">
        <f>DATEDIF(N721,O721,"M")</f>
        <v>7</v>
      </c>
      <c r="Q721" s="23" t="s">
        <v>157</v>
      </c>
      <c r="R721" s="23" t="s">
        <v>1391</v>
      </c>
      <c r="S721" s="7">
        <v>44.56</v>
      </c>
      <c r="T721" s="14">
        <v>0.375</v>
      </c>
      <c r="U721" s="6" t="s">
        <v>60</v>
      </c>
      <c r="V721" s="6" t="s">
        <v>135</v>
      </c>
      <c r="W721" s="7">
        <v>16.71</v>
      </c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</row>
    <row r="722" spans="1:55" s="15" customFormat="1" x14ac:dyDescent="0.25">
      <c r="A722" s="6">
        <v>2028379894</v>
      </c>
      <c r="B722" s="6" t="s">
        <v>710</v>
      </c>
      <c r="C722" s="6" t="s">
        <v>711</v>
      </c>
      <c r="D722" s="6" t="str">
        <f>CONCATENATE(C722," ",B722)</f>
        <v>CONNIE SHOCKLEY</v>
      </c>
      <c r="E722" s="6" t="s">
        <v>90</v>
      </c>
      <c r="F722" s="6" t="s">
        <v>72</v>
      </c>
      <c r="G722" s="6" t="s">
        <v>79</v>
      </c>
      <c r="H722" s="6" t="s">
        <v>1329</v>
      </c>
      <c r="I722" s="20" t="s">
        <v>1371</v>
      </c>
      <c r="J722" s="6" t="s">
        <v>691</v>
      </c>
      <c r="K722" s="6" t="s">
        <v>692</v>
      </c>
      <c r="L722" s="6" t="str">
        <f>CONCATENATE(K722," ",J722)</f>
        <v>Kirk Tigue</v>
      </c>
      <c r="M722" s="6" t="s">
        <v>57</v>
      </c>
      <c r="N722" s="5">
        <v>45760</v>
      </c>
      <c r="O722" s="5">
        <v>46094</v>
      </c>
      <c r="P722" s="23">
        <f>DATEDIF(N722,O722,"M")</f>
        <v>11</v>
      </c>
      <c r="Q722" s="23" t="s">
        <v>157</v>
      </c>
      <c r="R722" s="23" t="s">
        <v>1391</v>
      </c>
      <c r="S722" s="7">
        <v>81.099999999999994</v>
      </c>
      <c r="T722" s="13">
        <v>0.75</v>
      </c>
      <c r="U722" s="6" t="s">
        <v>60</v>
      </c>
      <c r="V722" s="6" t="s">
        <v>135</v>
      </c>
      <c r="W722" s="7">
        <v>60.82</v>
      </c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</row>
    <row r="723" spans="1:55" s="15" customFormat="1" x14ac:dyDescent="0.25">
      <c r="A723" s="6">
        <v>2028297704</v>
      </c>
      <c r="B723" s="6" t="s">
        <v>707</v>
      </c>
      <c r="C723" s="6" t="s">
        <v>490</v>
      </c>
      <c r="D723" s="6" t="str">
        <f>CONCATENATE(C723," ",B723)</f>
        <v>DARCY KOMEN</v>
      </c>
      <c r="E723" s="6" t="s">
        <v>397</v>
      </c>
      <c r="F723" s="6" t="s">
        <v>383</v>
      </c>
      <c r="G723" s="6" t="s">
        <v>384</v>
      </c>
      <c r="H723" s="6" t="s">
        <v>384</v>
      </c>
      <c r="I723" s="20" t="s">
        <v>1371</v>
      </c>
      <c r="J723" s="6" t="s">
        <v>691</v>
      </c>
      <c r="K723" s="6" t="s">
        <v>692</v>
      </c>
      <c r="L723" s="6" t="str">
        <f>CONCATENATE(K723," ",J723)</f>
        <v>Kirk Tigue</v>
      </c>
      <c r="M723" s="6" t="s">
        <v>57</v>
      </c>
      <c r="N723" s="5">
        <v>45756</v>
      </c>
      <c r="O723" s="5">
        <v>46090</v>
      </c>
      <c r="P723" s="23">
        <f>DATEDIF(N723,O723,"M")</f>
        <v>11</v>
      </c>
      <c r="Q723" s="23" t="s">
        <v>157</v>
      </c>
      <c r="R723" s="23" t="s">
        <v>1391</v>
      </c>
      <c r="S723" s="7">
        <v>33.54</v>
      </c>
      <c r="T723" s="13">
        <v>0.7</v>
      </c>
      <c r="U723" s="6" t="s">
        <v>60</v>
      </c>
      <c r="V723" s="6" t="s">
        <v>135</v>
      </c>
      <c r="W723" s="7">
        <v>23.48</v>
      </c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</row>
    <row r="724" spans="1:55" s="15" customFormat="1" x14ac:dyDescent="0.25">
      <c r="A724" s="6">
        <v>2028379892</v>
      </c>
      <c r="B724" s="6" t="s">
        <v>710</v>
      </c>
      <c r="C724" s="6" t="s">
        <v>711</v>
      </c>
      <c r="D724" s="6" t="str">
        <f>CONCATENATE(C724," ",B724)</f>
        <v>CONNIE SHOCKLEY</v>
      </c>
      <c r="E724" s="6" t="s">
        <v>90</v>
      </c>
      <c r="F724" s="6" t="s">
        <v>383</v>
      </c>
      <c r="G724" s="6" t="s">
        <v>384</v>
      </c>
      <c r="H724" s="6" t="s">
        <v>384</v>
      </c>
      <c r="I724" s="20" t="s">
        <v>1371</v>
      </c>
      <c r="J724" s="6" t="s">
        <v>691</v>
      </c>
      <c r="K724" s="6" t="s">
        <v>692</v>
      </c>
      <c r="L724" s="6" t="str">
        <f>CONCATENATE(K724," ",J724)</f>
        <v>Kirk Tigue</v>
      </c>
      <c r="M724" s="6" t="s">
        <v>57</v>
      </c>
      <c r="N724" s="5">
        <v>45760</v>
      </c>
      <c r="O724" s="5">
        <v>46094</v>
      </c>
      <c r="P724" s="23">
        <f>DATEDIF(N724,O724,"M")</f>
        <v>11</v>
      </c>
      <c r="Q724" s="23" t="s">
        <v>157</v>
      </c>
      <c r="R724" s="23" t="s">
        <v>1391</v>
      </c>
      <c r="S724" s="7">
        <v>129.22</v>
      </c>
      <c r="T724" s="13">
        <v>0.7</v>
      </c>
      <c r="U724" s="6" t="s">
        <v>60</v>
      </c>
      <c r="V724" s="6" t="s">
        <v>135</v>
      </c>
      <c r="W724" s="7">
        <v>90.45</v>
      </c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</row>
    <row r="725" spans="1:55" s="15" customFormat="1" x14ac:dyDescent="0.25">
      <c r="A725" s="6">
        <v>2028297703</v>
      </c>
      <c r="B725" s="6" t="s">
        <v>707</v>
      </c>
      <c r="C725" s="6" t="s">
        <v>490</v>
      </c>
      <c r="D725" s="6" t="str">
        <f>CONCATENATE(C725," ",B725)</f>
        <v>DARCY KOMEN</v>
      </c>
      <c r="E725" s="6" t="s">
        <v>397</v>
      </c>
      <c r="F725" s="6" t="s">
        <v>363</v>
      </c>
      <c r="G725" s="6" t="s">
        <v>364</v>
      </c>
      <c r="H725" s="6" t="s">
        <v>364</v>
      </c>
      <c r="I725" s="20" t="s">
        <v>1371</v>
      </c>
      <c r="J725" s="6" t="s">
        <v>691</v>
      </c>
      <c r="K725" s="6" t="s">
        <v>692</v>
      </c>
      <c r="L725" s="6" t="str">
        <f>CONCATENATE(K725," ",J725)</f>
        <v>Kirk Tigue</v>
      </c>
      <c r="M725" s="6" t="s">
        <v>57</v>
      </c>
      <c r="N725" s="5">
        <v>45756</v>
      </c>
      <c r="O725" s="5">
        <v>46090</v>
      </c>
      <c r="P725" s="23">
        <f>DATEDIF(N725,O725,"M")</f>
        <v>11</v>
      </c>
      <c r="Q725" s="23" t="s">
        <v>157</v>
      </c>
      <c r="R725" s="23" t="s">
        <v>1391</v>
      </c>
      <c r="S725" s="7">
        <v>18.62</v>
      </c>
      <c r="T725" s="14">
        <v>0.375</v>
      </c>
      <c r="U725" s="6" t="s">
        <v>60</v>
      </c>
      <c r="V725" s="6" t="s">
        <v>135</v>
      </c>
      <c r="W725" s="7">
        <v>6.98</v>
      </c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</row>
    <row r="726" spans="1:55" s="15" customFormat="1" x14ac:dyDescent="0.25">
      <c r="A726" s="6">
        <v>2028379893</v>
      </c>
      <c r="B726" s="6" t="s">
        <v>710</v>
      </c>
      <c r="C726" s="6" t="s">
        <v>711</v>
      </c>
      <c r="D726" s="6" t="str">
        <f>CONCATENATE(C726," ",B726)</f>
        <v>CONNIE SHOCKLEY</v>
      </c>
      <c r="E726" s="6" t="s">
        <v>90</v>
      </c>
      <c r="F726" s="6" t="s">
        <v>363</v>
      </c>
      <c r="G726" s="6" t="s">
        <v>364</v>
      </c>
      <c r="H726" s="6" t="s">
        <v>364</v>
      </c>
      <c r="I726" s="20" t="s">
        <v>1371</v>
      </c>
      <c r="J726" s="6" t="s">
        <v>691</v>
      </c>
      <c r="K726" s="6" t="s">
        <v>692</v>
      </c>
      <c r="L726" s="6" t="str">
        <f>CONCATENATE(K726," ",J726)</f>
        <v>Kirk Tigue</v>
      </c>
      <c r="M726" s="6" t="s">
        <v>57</v>
      </c>
      <c r="N726" s="5">
        <v>45760</v>
      </c>
      <c r="O726" s="5">
        <v>46094</v>
      </c>
      <c r="P726" s="23">
        <f>DATEDIF(N726,O726,"M")</f>
        <v>11</v>
      </c>
      <c r="Q726" s="23" t="s">
        <v>157</v>
      </c>
      <c r="R726" s="23" t="s">
        <v>1391</v>
      </c>
      <c r="S726" s="7">
        <v>27.95</v>
      </c>
      <c r="T726" s="14">
        <v>0.375</v>
      </c>
      <c r="U726" s="6" t="s">
        <v>60</v>
      </c>
      <c r="V726" s="6" t="s">
        <v>135</v>
      </c>
      <c r="W726" s="7">
        <v>10.48</v>
      </c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</row>
    <row r="727" spans="1:55" s="15" customFormat="1" x14ac:dyDescent="0.25">
      <c r="A727" s="6">
        <v>2027500015</v>
      </c>
      <c r="B727" s="6" t="s">
        <v>689</v>
      </c>
      <c r="C727" s="6" t="s">
        <v>690</v>
      </c>
      <c r="D727" s="6" t="str">
        <f>CONCATENATE(C727," ",B727)</f>
        <v>CLEE CHAVIS</v>
      </c>
      <c r="E727" s="6" t="s">
        <v>353</v>
      </c>
      <c r="F727" s="6" t="s">
        <v>363</v>
      </c>
      <c r="G727" s="6" t="s">
        <v>364</v>
      </c>
      <c r="H727" s="6" t="s">
        <v>364</v>
      </c>
      <c r="I727" s="20">
        <v>21421111</v>
      </c>
      <c r="J727" s="6" t="s">
        <v>691</v>
      </c>
      <c r="K727" s="6" t="s">
        <v>692</v>
      </c>
      <c r="L727" s="6" t="str">
        <f>CONCATENATE(K727," ",J727)</f>
        <v>Kirk Tigue</v>
      </c>
      <c r="M727" s="6" t="s">
        <v>57</v>
      </c>
      <c r="N727" s="5">
        <v>45718</v>
      </c>
      <c r="O727" s="5">
        <v>46083</v>
      </c>
      <c r="P727" s="23">
        <f>DATEDIF(N727,O727,"M")</f>
        <v>12</v>
      </c>
      <c r="Q727" s="23" t="s">
        <v>157</v>
      </c>
      <c r="R727" s="23" t="s">
        <v>1391</v>
      </c>
      <c r="S727" s="7">
        <v>-36.299999999999997</v>
      </c>
      <c r="T727" s="14">
        <v>0.375</v>
      </c>
      <c r="U727" s="6" t="s">
        <v>60</v>
      </c>
      <c r="V727" s="6" t="s">
        <v>135</v>
      </c>
      <c r="W727" s="7">
        <v>-13.61</v>
      </c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</row>
    <row r="728" spans="1:55" s="15" customFormat="1" x14ac:dyDescent="0.25">
      <c r="A728" s="6">
        <v>2032971963</v>
      </c>
      <c r="B728" s="6" t="s">
        <v>929</v>
      </c>
      <c r="C728" s="6" t="s">
        <v>930</v>
      </c>
      <c r="D728" s="6" t="str">
        <f>CONCATENATE(C728," ",B728)</f>
        <v>TASHA GUNN</v>
      </c>
      <c r="E728" s="6" t="s">
        <v>66</v>
      </c>
      <c r="F728" s="6" t="s">
        <v>383</v>
      </c>
      <c r="G728" s="6" t="s">
        <v>384</v>
      </c>
      <c r="H728" s="6" t="s">
        <v>1336</v>
      </c>
      <c r="I728" s="20" t="s">
        <v>1372</v>
      </c>
      <c r="J728" s="6" t="s">
        <v>793</v>
      </c>
      <c r="K728" s="6" t="s">
        <v>794</v>
      </c>
      <c r="L728" s="6" t="str">
        <f>CONCATENATE(K728," ",J728)</f>
        <v>Latesha Rose</v>
      </c>
      <c r="M728" s="6" t="s">
        <v>57</v>
      </c>
      <c r="N728" s="5">
        <v>46028</v>
      </c>
      <c r="O728" s="5">
        <v>46087</v>
      </c>
      <c r="P728" s="23">
        <f>DATEDIF(N728,O728,"M")</f>
        <v>2</v>
      </c>
      <c r="Q728" s="23" t="s">
        <v>157</v>
      </c>
      <c r="R728" s="23" t="s">
        <v>1390</v>
      </c>
      <c r="S728" s="7">
        <v>101.28</v>
      </c>
      <c r="T728" s="13">
        <v>0.7</v>
      </c>
      <c r="U728" s="6" t="s">
        <v>60</v>
      </c>
      <c r="V728" s="6" t="s">
        <v>135</v>
      </c>
      <c r="W728" s="7">
        <v>70.900000000000006</v>
      </c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</row>
    <row r="729" spans="1:55" s="15" customFormat="1" x14ac:dyDescent="0.25">
      <c r="A729" s="15">
        <v>2033018888</v>
      </c>
      <c r="B729" s="15" t="s">
        <v>1119</v>
      </c>
      <c r="C729" s="15" t="s">
        <v>190</v>
      </c>
      <c r="D729" s="15" t="str">
        <f>CONCATENATE(C729," ",B729)</f>
        <v>HEIDI FERGUSON</v>
      </c>
      <c r="E729" s="15" t="s">
        <v>52</v>
      </c>
      <c r="F729" s="15" t="s">
        <v>378</v>
      </c>
      <c r="G729" s="15" t="s">
        <v>380</v>
      </c>
      <c r="H729" s="15" t="s">
        <v>1334</v>
      </c>
      <c r="I729" s="21">
        <v>20411454</v>
      </c>
      <c r="J729" s="15" t="s">
        <v>1120</v>
      </c>
      <c r="K729" s="15" t="s">
        <v>466</v>
      </c>
      <c r="L729" s="15" t="s">
        <v>1388</v>
      </c>
      <c r="M729" s="15" t="s">
        <v>57</v>
      </c>
      <c r="N729" s="16">
        <v>46029</v>
      </c>
      <c r="O729" s="16">
        <v>46088</v>
      </c>
      <c r="P729" s="24">
        <f>DATEDIF(N729,O729,"M")</f>
        <v>2</v>
      </c>
      <c r="Q729" s="24" t="s">
        <v>157</v>
      </c>
      <c r="R729" s="24" t="s">
        <v>1391</v>
      </c>
      <c r="S729" s="17">
        <v>38.049999999999997</v>
      </c>
      <c r="T729" s="18">
        <v>0.08</v>
      </c>
      <c r="U729" s="15" t="s">
        <v>60</v>
      </c>
      <c r="V729" s="15" t="s">
        <v>135</v>
      </c>
      <c r="W729" s="17">
        <v>38.049999999999997</v>
      </c>
    </row>
    <row r="730" spans="1:55" s="15" customFormat="1" x14ac:dyDescent="0.25">
      <c r="A730" s="15">
        <v>2033018889</v>
      </c>
      <c r="B730" s="15" t="s">
        <v>1119</v>
      </c>
      <c r="C730" s="15" t="s">
        <v>190</v>
      </c>
      <c r="D730" s="15" t="str">
        <f>CONCATENATE(C730," ",B730)</f>
        <v>HEIDI FERGUSON</v>
      </c>
      <c r="E730" s="15" t="s">
        <v>52</v>
      </c>
      <c r="F730" s="15" t="s">
        <v>378</v>
      </c>
      <c r="G730" s="15" t="s">
        <v>381</v>
      </c>
      <c r="H730" s="15" t="s">
        <v>1334</v>
      </c>
      <c r="I730" s="21">
        <v>20411454</v>
      </c>
      <c r="J730" s="15" t="s">
        <v>1120</v>
      </c>
      <c r="K730" s="15" t="s">
        <v>466</v>
      </c>
      <c r="L730" s="15" t="s">
        <v>1388</v>
      </c>
      <c r="M730" s="15" t="s">
        <v>57</v>
      </c>
      <c r="N730" s="16">
        <v>46029</v>
      </c>
      <c r="O730" s="16">
        <v>46088</v>
      </c>
      <c r="P730" s="24">
        <f>DATEDIF(N730,O730,"M")</f>
        <v>2</v>
      </c>
      <c r="Q730" s="24" t="s">
        <v>157</v>
      </c>
      <c r="R730" s="24" t="s">
        <v>1391</v>
      </c>
      <c r="S730" s="17">
        <v>0.56999999999999995</v>
      </c>
      <c r="T730" s="18">
        <v>0.08</v>
      </c>
      <c r="U730" s="15" t="s">
        <v>60</v>
      </c>
      <c r="V730" s="15" t="s">
        <v>135</v>
      </c>
      <c r="W730" s="17">
        <v>0.56999999999999995</v>
      </c>
    </row>
    <row r="731" spans="1:55" s="15" customFormat="1" x14ac:dyDescent="0.25">
      <c r="A731" s="15">
        <v>2032018945</v>
      </c>
      <c r="B731" s="15" t="s">
        <v>437</v>
      </c>
      <c r="C731" s="15" t="s">
        <v>438</v>
      </c>
      <c r="D731" s="15" t="str">
        <f>CONCATENATE(C731," ",B731)</f>
        <v>MELINDA BERZONSKI</v>
      </c>
      <c r="E731" s="15" t="s">
        <v>52</v>
      </c>
      <c r="F731" s="15" t="s">
        <v>53</v>
      </c>
      <c r="G731" s="15" t="s">
        <v>54</v>
      </c>
      <c r="H731" s="15" t="s">
        <v>1334</v>
      </c>
      <c r="I731" s="21">
        <v>20411454</v>
      </c>
      <c r="J731" s="15" t="s">
        <v>439</v>
      </c>
      <c r="K731" s="15" t="s">
        <v>68</v>
      </c>
      <c r="L731" s="15" t="s">
        <v>1388</v>
      </c>
      <c r="M731" s="15" t="s">
        <v>57</v>
      </c>
      <c r="N731" s="16">
        <v>45968</v>
      </c>
      <c r="O731" s="16">
        <v>46088</v>
      </c>
      <c r="P731" s="24">
        <f>DATEDIF(N731,O731,"M")</f>
        <v>4</v>
      </c>
      <c r="Q731" s="24" t="s">
        <v>157</v>
      </c>
      <c r="R731" s="24" t="s">
        <v>1391</v>
      </c>
      <c r="S731" s="17">
        <v>8.49</v>
      </c>
      <c r="T731" s="18">
        <v>0.2</v>
      </c>
      <c r="U731" s="15" t="s">
        <v>60</v>
      </c>
      <c r="V731" s="15" t="s">
        <v>135</v>
      </c>
      <c r="W731" s="17">
        <v>8.49</v>
      </c>
    </row>
    <row r="732" spans="1:55" s="15" customFormat="1" x14ac:dyDescent="0.25">
      <c r="A732" s="15">
        <v>2022779367</v>
      </c>
      <c r="B732" s="15" t="s">
        <v>1142</v>
      </c>
      <c r="C732" s="15" t="s">
        <v>92</v>
      </c>
      <c r="D732" s="15" t="str">
        <f>CONCATENATE(C732," ",B732)</f>
        <v>TIMOTHY POPE</v>
      </c>
      <c r="E732" s="15" t="s">
        <v>52</v>
      </c>
      <c r="F732" s="15" t="s">
        <v>1132</v>
      </c>
      <c r="G732" s="15" t="s">
        <v>1143</v>
      </c>
      <c r="H732" s="15" t="s">
        <v>1334</v>
      </c>
      <c r="I732" s="21">
        <v>20411454</v>
      </c>
      <c r="J732" s="15" t="s">
        <v>246</v>
      </c>
      <c r="K732" s="15" t="s">
        <v>195</v>
      </c>
      <c r="L732" s="15" t="s">
        <v>1388</v>
      </c>
      <c r="M732" s="15" t="s">
        <v>57</v>
      </c>
      <c r="N732" s="16">
        <v>45474</v>
      </c>
      <c r="O732" s="16">
        <v>45717</v>
      </c>
      <c r="P732" s="24">
        <f>DATEDIF(N732,O732,"M")</f>
        <v>8</v>
      </c>
      <c r="Q732" s="24" t="s">
        <v>157</v>
      </c>
      <c r="R732" s="24" t="s">
        <v>1391</v>
      </c>
      <c r="S732" s="17">
        <v>-1.98</v>
      </c>
      <c r="T732" s="25">
        <v>1.4999999999999999E-2</v>
      </c>
      <c r="U732" s="15" t="s">
        <v>60</v>
      </c>
      <c r="V732" s="15" t="s">
        <v>135</v>
      </c>
      <c r="W732" s="17">
        <v>-1.98</v>
      </c>
    </row>
    <row r="733" spans="1:55" s="15" customFormat="1" x14ac:dyDescent="0.25">
      <c r="A733" s="15">
        <v>2028643639</v>
      </c>
      <c r="B733" s="15" t="s">
        <v>1170</v>
      </c>
      <c r="C733" s="15" t="s">
        <v>252</v>
      </c>
      <c r="D733" s="15" t="str">
        <f>CONCATENATE(C733," ",B733)</f>
        <v>COLLEEN SCHULZE</v>
      </c>
      <c r="E733" s="15" t="s">
        <v>52</v>
      </c>
      <c r="F733" s="15" t="s">
        <v>1132</v>
      </c>
      <c r="G733" s="15" t="s">
        <v>1133</v>
      </c>
      <c r="H733" s="15" t="s">
        <v>1334</v>
      </c>
      <c r="I733" s="21">
        <v>20411454</v>
      </c>
      <c r="J733" s="15" t="s">
        <v>1141</v>
      </c>
      <c r="K733" s="15" t="s">
        <v>988</v>
      </c>
      <c r="L733" s="15" t="s">
        <v>1388</v>
      </c>
      <c r="M733" s="15" t="s">
        <v>57</v>
      </c>
      <c r="N733" s="16">
        <v>45809</v>
      </c>
      <c r="O733" s="16">
        <v>46082</v>
      </c>
      <c r="P733" s="24">
        <f>DATEDIF(N733,O733,"M")</f>
        <v>9</v>
      </c>
      <c r="Q733" s="24" t="s">
        <v>157</v>
      </c>
      <c r="R733" s="24" t="s">
        <v>1391</v>
      </c>
      <c r="S733" s="17">
        <v>4.33</v>
      </c>
      <c r="T733" s="18">
        <v>0.04</v>
      </c>
      <c r="U733" s="15" t="s">
        <v>60</v>
      </c>
      <c r="V733" s="15" t="s">
        <v>135</v>
      </c>
      <c r="W733" s="17">
        <v>4.33</v>
      </c>
    </row>
    <row r="734" spans="1:55" s="15" customFormat="1" x14ac:dyDescent="0.25">
      <c r="A734" s="15">
        <v>2022559237</v>
      </c>
      <c r="B734" s="15" t="s">
        <v>1140</v>
      </c>
      <c r="C734" s="15" t="s">
        <v>510</v>
      </c>
      <c r="D734" s="15" t="str">
        <f>CONCATENATE(C734," ",B734)</f>
        <v>ROBERT LILICK</v>
      </c>
      <c r="E734" s="15" t="s">
        <v>52</v>
      </c>
      <c r="F734" s="15" t="s">
        <v>1132</v>
      </c>
      <c r="G734" s="15" t="s">
        <v>1133</v>
      </c>
      <c r="H734" s="15" t="s">
        <v>1334</v>
      </c>
      <c r="I734" s="21">
        <v>20411454</v>
      </c>
      <c r="J734" s="15" t="s">
        <v>1141</v>
      </c>
      <c r="K734" s="15" t="s">
        <v>988</v>
      </c>
      <c r="L734" s="15" t="s">
        <v>1388</v>
      </c>
      <c r="M734" s="15" t="s">
        <v>57</v>
      </c>
      <c r="N734" s="16">
        <v>45413</v>
      </c>
      <c r="O734" s="16">
        <v>45717</v>
      </c>
      <c r="P734" s="24">
        <f>DATEDIF(N734,O734,"M")</f>
        <v>10</v>
      </c>
      <c r="Q734" s="24" t="s">
        <v>157</v>
      </c>
      <c r="R734" s="24" t="s">
        <v>1391</v>
      </c>
      <c r="S734" s="17">
        <v>-5.28</v>
      </c>
      <c r="T734" s="18">
        <v>0.04</v>
      </c>
      <c r="U734" s="15" t="s">
        <v>60</v>
      </c>
      <c r="V734" s="15" t="s">
        <v>135</v>
      </c>
      <c r="W734" s="17">
        <v>-5.28</v>
      </c>
    </row>
    <row r="735" spans="1:55" s="15" customFormat="1" x14ac:dyDescent="0.25">
      <c r="A735" s="15">
        <v>2022892794</v>
      </c>
      <c r="B735" s="15" t="s">
        <v>1144</v>
      </c>
      <c r="C735" s="15" t="s">
        <v>1118</v>
      </c>
      <c r="D735" s="15" t="str">
        <f>CONCATENATE(C735," ",B735)</f>
        <v>DONNA AMBROSE</v>
      </c>
      <c r="E735" s="15" t="s">
        <v>52</v>
      </c>
      <c r="F735" s="15" t="s">
        <v>1132</v>
      </c>
      <c r="G735" s="15" t="s">
        <v>1133</v>
      </c>
      <c r="H735" s="15" t="s">
        <v>1334</v>
      </c>
      <c r="I735" s="21">
        <v>20411454</v>
      </c>
      <c r="J735" s="15" t="s">
        <v>1141</v>
      </c>
      <c r="K735" s="15" t="s">
        <v>988</v>
      </c>
      <c r="L735" s="15" t="s">
        <v>1388</v>
      </c>
      <c r="M735" s="15" t="s">
        <v>57</v>
      </c>
      <c r="N735" s="16">
        <v>45413</v>
      </c>
      <c r="O735" s="16">
        <v>45717</v>
      </c>
      <c r="P735" s="24">
        <f>DATEDIF(N735,O735,"M")</f>
        <v>10</v>
      </c>
      <c r="Q735" s="24" t="s">
        <v>157</v>
      </c>
      <c r="R735" s="24" t="s">
        <v>1391</v>
      </c>
      <c r="S735" s="17">
        <v>-4.5199999999999996</v>
      </c>
      <c r="T735" s="18">
        <v>0.04</v>
      </c>
      <c r="U735" s="15" t="s">
        <v>60</v>
      </c>
      <c r="V735" s="15" t="s">
        <v>135</v>
      </c>
      <c r="W735" s="17">
        <v>-4.5199999999999996</v>
      </c>
    </row>
    <row r="736" spans="1:55" s="15" customFormat="1" x14ac:dyDescent="0.25">
      <c r="A736" s="15">
        <v>2022559237</v>
      </c>
      <c r="B736" s="15" t="s">
        <v>1140</v>
      </c>
      <c r="C736" s="15" t="s">
        <v>510</v>
      </c>
      <c r="D736" s="15" t="str">
        <f>CONCATENATE(C736," ",B736)</f>
        <v>ROBERT LILICK</v>
      </c>
      <c r="E736" s="15" t="s">
        <v>52</v>
      </c>
      <c r="F736" s="15" t="s">
        <v>1132</v>
      </c>
      <c r="G736" s="15" t="s">
        <v>1133</v>
      </c>
      <c r="H736" s="15" t="s">
        <v>1334</v>
      </c>
      <c r="I736" s="21">
        <v>20411454</v>
      </c>
      <c r="J736" s="15" t="s">
        <v>1141</v>
      </c>
      <c r="K736" s="15" t="s">
        <v>988</v>
      </c>
      <c r="L736" s="15" t="s">
        <v>1388</v>
      </c>
      <c r="M736" s="15" t="s">
        <v>57</v>
      </c>
      <c r="N736" s="16">
        <v>45413</v>
      </c>
      <c r="O736" s="16">
        <v>45748</v>
      </c>
      <c r="P736" s="24">
        <f>DATEDIF(N736,O736,"M")</f>
        <v>11</v>
      </c>
      <c r="Q736" s="24" t="s">
        <v>157</v>
      </c>
      <c r="R736" s="24" t="s">
        <v>1391</v>
      </c>
      <c r="S736" s="17">
        <v>-5.28</v>
      </c>
      <c r="T736" s="18">
        <v>0.04</v>
      </c>
      <c r="U736" s="15" t="s">
        <v>60</v>
      </c>
      <c r="V736" s="15" t="s">
        <v>135</v>
      </c>
      <c r="W736" s="17">
        <v>-5.28</v>
      </c>
    </row>
    <row r="737" spans="1:55" s="15" customFormat="1" x14ac:dyDescent="0.25">
      <c r="A737" s="15">
        <v>2027354636</v>
      </c>
      <c r="B737" s="15" t="s">
        <v>1160</v>
      </c>
      <c r="C737" s="15" t="s">
        <v>216</v>
      </c>
      <c r="D737" s="15" t="str">
        <f>CONCATENATE(C737," ",B737)</f>
        <v>DEBORAH LANZIDELLE</v>
      </c>
      <c r="E737" s="15" t="s">
        <v>170</v>
      </c>
      <c r="F737" s="15" t="s">
        <v>1132</v>
      </c>
      <c r="G737" s="15" t="s">
        <v>1161</v>
      </c>
      <c r="H737" s="15" t="s">
        <v>1334</v>
      </c>
      <c r="I737" s="21">
        <v>20411454</v>
      </c>
      <c r="J737" s="15" t="s">
        <v>1141</v>
      </c>
      <c r="K737" s="15" t="s">
        <v>988</v>
      </c>
      <c r="L737" s="15" t="s">
        <v>1388</v>
      </c>
      <c r="M737" s="15" t="s">
        <v>57</v>
      </c>
      <c r="N737" s="16">
        <v>45748</v>
      </c>
      <c r="O737" s="16">
        <v>46082</v>
      </c>
      <c r="P737" s="24">
        <f>DATEDIF(N737,O737,"M")</f>
        <v>11</v>
      </c>
      <c r="Q737" s="24" t="s">
        <v>157</v>
      </c>
      <c r="R737" s="24" t="s">
        <v>1391</v>
      </c>
      <c r="S737" s="17">
        <v>8.52</v>
      </c>
      <c r="T737" s="18">
        <v>0.04</v>
      </c>
      <c r="U737" s="15" t="s">
        <v>60</v>
      </c>
      <c r="V737" s="15" t="s">
        <v>135</v>
      </c>
      <c r="W737" s="17">
        <v>8.52</v>
      </c>
    </row>
    <row r="738" spans="1:55" s="15" customFormat="1" x14ac:dyDescent="0.25">
      <c r="A738" s="15">
        <v>2028313186</v>
      </c>
      <c r="B738" s="15" t="s">
        <v>916</v>
      </c>
      <c r="C738" s="15" t="s">
        <v>1114</v>
      </c>
      <c r="D738" s="15" t="str">
        <f>CONCATENATE(C738," ",B738)</f>
        <v>MAGGIE KING</v>
      </c>
      <c r="E738" s="15" t="s">
        <v>52</v>
      </c>
      <c r="F738" s="15" t="s">
        <v>378</v>
      </c>
      <c r="G738" s="15" t="s">
        <v>380</v>
      </c>
      <c r="H738" s="15" t="s">
        <v>1334</v>
      </c>
      <c r="I738" s="21">
        <v>20411454</v>
      </c>
      <c r="J738" s="15" t="s">
        <v>199</v>
      </c>
      <c r="K738" s="15" t="s">
        <v>92</v>
      </c>
      <c r="L738" s="15" t="s">
        <v>1388</v>
      </c>
      <c r="M738" s="15" t="s">
        <v>57</v>
      </c>
      <c r="N738" s="16">
        <v>45757</v>
      </c>
      <c r="O738" s="16">
        <v>46091</v>
      </c>
      <c r="P738" s="24">
        <f>DATEDIF(N738,O738,"M")</f>
        <v>11</v>
      </c>
      <c r="Q738" s="24" t="s">
        <v>157</v>
      </c>
      <c r="R738" s="24" t="s">
        <v>1391</v>
      </c>
      <c r="S738" s="17">
        <v>58.33</v>
      </c>
      <c r="T738" s="18">
        <v>0.12</v>
      </c>
      <c r="U738" s="15" t="s">
        <v>60</v>
      </c>
      <c r="V738" s="15" t="s">
        <v>135</v>
      </c>
      <c r="W738" s="17">
        <v>58.33</v>
      </c>
    </row>
    <row r="739" spans="1:55" s="15" customFormat="1" x14ac:dyDescent="0.25">
      <c r="A739" s="15">
        <v>2022559237</v>
      </c>
      <c r="B739" s="15" t="s">
        <v>1140</v>
      </c>
      <c r="C739" s="15" t="s">
        <v>510</v>
      </c>
      <c r="D739" s="15" t="str">
        <f>CONCATENATE(C739," ",B739)</f>
        <v>ROBERT LILICK</v>
      </c>
      <c r="E739" s="15" t="s">
        <v>52</v>
      </c>
      <c r="F739" s="15" t="s">
        <v>1132</v>
      </c>
      <c r="G739" s="15" t="s">
        <v>1133</v>
      </c>
      <c r="H739" s="15" t="s">
        <v>1334</v>
      </c>
      <c r="I739" s="21">
        <v>20411454</v>
      </c>
      <c r="J739" s="15" t="s">
        <v>1141</v>
      </c>
      <c r="K739" s="15" t="s">
        <v>988</v>
      </c>
      <c r="L739" s="15" t="s">
        <v>1388</v>
      </c>
      <c r="M739" s="15" t="s">
        <v>57</v>
      </c>
      <c r="N739" s="16">
        <v>45413</v>
      </c>
      <c r="O739" s="16">
        <v>45778</v>
      </c>
      <c r="P739" s="24">
        <f>DATEDIF(N739,O739,"M")</f>
        <v>12</v>
      </c>
      <c r="Q739" s="24" t="s">
        <v>157</v>
      </c>
      <c r="R739" s="24" t="s">
        <v>1391</v>
      </c>
      <c r="S739" s="17">
        <v>-5.28</v>
      </c>
      <c r="T739" s="18">
        <v>0.04</v>
      </c>
      <c r="U739" s="15" t="s">
        <v>60</v>
      </c>
      <c r="V739" s="15" t="s">
        <v>135</v>
      </c>
      <c r="W739" s="17">
        <v>-5.28</v>
      </c>
    </row>
    <row r="740" spans="1:55" s="15" customFormat="1" x14ac:dyDescent="0.25">
      <c r="A740" s="15">
        <v>2025878148</v>
      </c>
      <c r="B740" s="15" t="s">
        <v>1149</v>
      </c>
      <c r="C740" s="15" t="s">
        <v>298</v>
      </c>
      <c r="D740" s="15" t="str">
        <f>CONCATENATE(C740," ",B740)</f>
        <v>JAMES REEDER</v>
      </c>
      <c r="E740" s="15" t="s">
        <v>52</v>
      </c>
      <c r="F740" s="15" t="s">
        <v>1132</v>
      </c>
      <c r="G740" s="15" t="s">
        <v>1150</v>
      </c>
      <c r="H740" s="15" t="s">
        <v>1334</v>
      </c>
      <c r="I740" s="21">
        <v>20411454</v>
      </c>
      <c r="J740" s="15" t="s">
        <v>1151</v>
      </c>
      <c r="K740" s="15" t="s">
        <v>1152</v>
      </c>
      <c r="L740" s="15" t="s">
        <v>1388</v>
      </c>
      <c r="M740" s="15" t="s">
        <v>57</v>
      </c>
      <c r="N740" s="16">
        <v>45658</v>
      </c>
      <c r="O740" s="16">
        <v>46082</v>
      </c>
      <c r="P740" s="24">
        <f>DATEDIF(N740,O740,"M")</f>
        <v>14</v>
      </c>
      <c r="Q740" s="24" t="s">
        <v>157</v>
      </c>
      <c r="R740" s="24" t="s">
        <v>1391</v>
      </c>
      <c r="S740" s="17">
        <v>6.41</v>
      </c>
      <c r="T740" s="18">
        <v>0.04</v>
      </c>
      <c r="U740" s="15" t="s">
        <v>157</v>
      </c>
      <c r="V740" s="15" t="s">
        <v>135</v>
      </c>
      <c r="W740" s="17">
        <v>6.41</v>
      </c>
    </row>
    <row r="741" spans="1:55" s="15" customFormat="1" x14ac:dyDescent="0.25">
      <c r="A741" s="15">
        <v>2026023535</v>
      </c>
      <c r="B741" s="15" t="s">
        <v>264</v>
      </c>
      <c r="C741" s="15" t="s">
        <v>265</v>
      </c>
      <c r="D741" s="15" t="str">
        <f>CONCATENATE(C741," ",B741)</f>
        <v>PEDRO JAQUEZ</v>
      </c>
      <c r="E741" s="15" t="s">
        <v>52</v>
      </c>
      <c r="F741" s="15" t="s">
        <v>152</v>
      </c>
      <c r="G741" s="15" t="s">
        <v>153</v>
      </c>
      <c r="H741" s="15" t="s">
        <v>1334</v>
      </c>
      <c r="I741" s="21">
        <v>20411454</v>
      </c>
      <c r="J741" s="15" t="s">
        <v>266</v>
      </c>
      <c r="K741" s="15" t="s">
        <v>267</v>
      </c>
      <c r="L741" s="15" t="s">
        <v>1388</v>
      </c>
      <c r="M741" s="15" t="s">
        <v>57</v>
      </c>
      <c r="N741" s="16">
        <v>45630</v>
      </c>
      <c r="O741" s="16">
        <v>46085</v>
      </c>
      <c r="P741" s="24">
        <f>DATEDIF(N741,O741,"M")</f>
        <v>15</v>
      </c>
      <c r="Q741" s="24" t="s">
        <v>157</v>
      </c>
      <c r="R741" s="24" t="s">
        <v>1391</v>
      </c>
      <c r="S741" s="17">
        <v>0.38</v>
      </c>
      <c r="T741" s="18">
        <v>0</v>
      </c>
      <c r="U741" s="15" t="s">
        <v>157</v>
      </c>
      <c r="V741" s="15" t="s">
        <v>135</v>
      </c>
      <c r="W741" s="17">
        <v>0.38</v>
      </c>
    </row>
    <row r="742" spans="1:55" s="15" customFormat="1" x14ac:dyDescent="0.25">
      <c r="A742" s="15">
        <v>2022779367</v>
      </c>
      <c r="B742" s="15" t="s">
        <v>1142</v>
      </c>
      <c r="C742" s="15" t="s">
        <v>92</v>
      </c>
      <c r="D742" s="15" t="str">
        <f>CONCATENATE(C742," ",B742)</f>
        <v>TIMOTHY POPE</v>
      </c>
      <c r="E742" s="15" t="s">
        <v>52</v>
      </c>
      <c r="F742" s="15" t="s">
        <v>1132</v>
      </c>
      <c r="G742" s="15" t="s">
        <v>1143</v>
      </c>
      <c r="H742" s="15" t="s">
        <v>1334</v>
      </c>
      <c r="I742" s="21">
        <v>20411454</v>
      </c>
      <c r="J742" s="15" t="s">
        <v>246</v>
      </c>
      <c r="K742" s="15" t="s">
        <v>195</v>
      </c>
      <c r="L742" s="15" t="s">
        <v>1388</v>
      </c>
      <c r="M742" s="15" t="s">
        <v>57</v>
      </c>
      <c r="N742" s="16">
        <v>45474</v>
      </c>
      <c r="O742" s="16">
        <v>46082</v>
      </c>
      <c r="P742" s="24">
        <f>DATEDIF(N742,O742,"M")</f>
        <v>20</v>
      </c>
      <c r="Q742" s="24" t="s">
        <v>157</v>
      </c>
      <c r="R742" s="24" t="s">
        <v>1391</v>
      </c>
      <c r="S742" s="17">
        <v>1.98</v>
      </c>
      <c r="T742" s="25">
        <v>1.4999999999999999E-2</v>
      </c>
      <c r="U742" s="15" t="s">
        <v>157</v>
      </c>
      <c r="V742" s="15" t="s">
        <v>135</v>
      </c>
      <c r="W742" s="17">
        <v>1.98</v>
      </c>
    </row>
    <row r="743" spans="1:55" s="15" customFormat="1" x14ac:dyDescent="0.25">
      <c r="A743" s="15">
        <v>2022559237</v>
      </c>
      <c r="B743" s="15" t="s">
        <v>1140</v>
      </c>
      <c r="C743" s="15" t="s">
        <v>510</v>
      </c>
      <c r="D743" s="15" t="str">
        <f>CONCATENATE(C743," ",B743)</f>
        <v>ROBERT LILICK</v>
      </c>
      <c r="E743" s="15" t="s">
        <v>52</v>
      </c>
      <c r="F743" s="15" t="s">
        <v>1132</v>
      </c>
      <c r="G743" s="15" t="s">
        <v>1133</v>
      </c>
      <c r="H743" s="15" t="s">
        <v>1334</v>
      </c>
      <c r="I743" s="21">
        <v>20411454</v>
      </c>
      <c r="J743" s="15" t="s">
        <v>1141</v>
      </c>
      <c r="K743" s="15" t="s">
        <v>988</v>
      </c>
      <c r="L743" s="15" t="s">
        <v>1388</v>
      </c>
      <c r="M743" s="15" t="s">
        <v>57</v>
      </c>
      <c r="N743" s="16">
        <v>45413</v>
      </c>
      <c r="O743" s="16">
        <v>46082</v>
      </c>
      <c r="P743" s="24">
        <f>DATEDIF(N743,O743,"M")</f>
        <v>22</v>
      </c>
      <c r="Q743" s="24" t="s">
        <v>157</v>
      </c>
      <c r="R743" s="24" t="s">
        <v>1391</v>
      </c>
      <c r="S743" s="17">
        <v>5.28</v>
      </c>
      <c r="T743" s="18">
        <v>0.04</v>
      </c>
      <c r="U743" s="15" t="s">
        <v>157</v>
      </c>
      <c r="V743" s="15" t="s">
        <v>135</v>
      </c>
      <c r="W743" s="17">
        <v>5.28</v>
      </c>
    </row>
    <row r="744" spans="1:55" s="15" customFormat="1" x14ac:dyDescent="0.25">
      <c r="A744" s="15">
        <v>2022892790</v>
      </c>
      <c r="B744" s="15" t="s">
        <v>1144</v>
      </c>
      <c r="C744" s="15" t="s">
        <v>311</v>
      </c>
      <c r="D744" s="15" t="str">
        <f>CONCATENATE(C744," ",B744)</f>
        <v>THOMAS AMBROSE</v>
      </c>
      <c r="E744" s="15" t="s">
        <v>52</v>
      </c>
      <c r="F744" s="15" t="s">
        <v>1132</v>
      </c>
      <c r="G744" s="15" t="s">
        <v>1133</v>
      </c>
      <c r="H744" s="15" t="s">
        <v>1334</v>
      </c>
      <c r="I744" s="21">
        <v>20411454</v>
      </c>
      <c r="J744" s="15" t="s">
        <v>1141</v>
      </c>
      <c r="K744" s="15" t="s">
        <v>988</v>
      </c>
      <c r="L744" s="15" t="s">
        <v>1388</v>
      </c>
      <c r="M744" s="15" t="s">
        <v>57</v>
      </c>
      <c r="N744" s="16">
        <v>45413</v>
      </c>
      <c r="O744" s="16">
        <v>46082</v>
      </c>
      <c r="P744" s="24">
        <f>DATEDIF(N744,O744,"M")</f>
        <v>22</v>
      </c>
      <c r="Q744" s="24" t="s">
        <v>157</v>
      </c>
      <c r="R744" s="24" t="s">
        <v>1391</v>
      </c>
      <c r="S744" s="17">
        <v>5.1100000000000003</v>
      </c>
      <c r="T744" s="18">
        <v>0.04</v>
      </c>
      <c r="U744" s="15" t="s">
        <v>157</v>
      </c>
      <c r="V744" s="15" t="s">
        <v>135</v>
      </c>
      <c r="W744" s="17">
        <v>5.1100000000000003</v>
      </c>
    </row>
    <row r="745" spans="1:55" s="15" customFormat="1" x14ac:dyDescent="0.25">
      <c r="A745" s="15">
        <v>2022892794</v>
      </c>
      <c r="B745" s="15" t="s">
        <v>1144</v>
      </c>
      <c r="C745" s="15" t="s">
        <v>1118</v>
      </c>
      <c r="D745" s="15" t="str">
        <f>CONCATENATE(C745," ",B745)</f>
        <v>DONNA AMBROSE</v>
      </c>
      <c r="E745" s="15" t="s">
        <v>52</v>
      </c>
      <c r="F745" s="15" t="s">
        <v>1132</v>
      </c>
      <c r="G745" s="15" t="s">
        <v>1133</v>
      </c>
      <c r="H745" s="15" t="s">
        <v>1334</v>
      </c>
      <c r="I745" s="21">
        <v>20411454</v>
      </c>
      <c r="J745" s="15" t="s">
        <v>1141</v>
      </c>
      <c r="K745" s="15" t="s">
        <v>988</v>
      </c>
      <c r="L745" s="15" t="s">
        <v>1388</v>
      </c>
      <c r="M745" s="15" t="s">
        <v>57</v>
      </c>
      <c r="N745" s="16">
        <v>45413</v>
      </c>
      <c r="O745" s="16">
        <v>46082</v>
      </c>
      <c r="P745" s="24">
        <f>DATEDIF(N745,O745,"M")</f>
        <v>22</v>
      </c>
      <c r="Q745" s="24" t="s">
        <v>157</v>
      </c>
      <c r="R745" s="24" t="s">
        <v>1391</v>
      </c>
      <c r="S745" s="17">
        <v>4.5199999999999996</v>
      </c>
      <c r="T745" s="18">
        <v>0.04</v>
      </c>
      <c r="U745" s="15" t="s">
        <v>157</v>
      </c>
      <c r="V745" s="15" t="s">
        <v>135</v>
      </c>
      <c r="W745" s="17">
        <v>4.5199999999999996</v>
      </c>
    </row>
    <row r="746" spans="1:55" s="15" customFormat="1" x14ac:dyDescent="0.25">
      <c r="A746" s="15">
        <v>2022559237</v>
      </c>
      <c r="B746" s="15" t="s">
        <v>1140</v>
      </c>
      <c r="C746" s="15" t="s">
        <v>510</v>
      </c>
      <c r="D746" s="15" t="str">
        <f>CONCATENATE(C746," ",B746)</f>
        <v>ROBERT LILICK</v>
      </c>
      <c r="E746" s="15" t="s">
        <v>52</v>
      </c>
      <c r="F746" s="15" t="s">
        <v>1132</v>
      </c>
      <c r="G746" s="15" t="s">
        <v>1133</v>
      </c>
      <c r="H746" s="15" t="s">
        <v>1334</v>
      </c>
      <c r="I746" s="21">
        <v>20411454</v>
      </c>
      <c r="J746" s="15" t="s">
        <v>1141</v>
      </c>
      <c r="K746" s="15" t="s">
        <v>988</v>
      </c>
      <c r="L746" s="15" t="s">
        <v>1388</v>
      </c>
      <c r="M746" s="15" t="s">
        <v>57</v>
      </c>
      <c r="N746" s="16">
        <v>45413</v>
      </c>
      <c r="O746" s="16">
        <v>46113</v>
      </c>
      <c r="P746" s="24">
        <f>DATEDIF(N746,O746,"M")</f>
        <v>23</v>
      </c>
      <c r="Q746" s="24" t="s">
        <v>157</v>
      </c>
      <c r="R746" s="24" t="s">
        <v>1391</v>
      </c>
      <c r="S746" s="17">
        <v>5.28</v>
      </c>
      <c r="T746" s="18">
        <v>0.04</v>
      </c>
      <c r="U746" s="15" t="s">
        <v>157</v>
      </c>
      <c r="V746" s="15" t="s">
        <v>135</v>
      </c>
      <c r="W746" s="17">
        <v>5.28</v>
      </c>
    </row>
    <row r="747" spans="1:55" s="15" customFormat="1" x14ac:dyDescent="0.25">
      <c r="A747" s="15">
        <v>2022559237</v>
      </c>
      <c r="B747" s="15" t="s">
        <v>1140</v>
      </c>
      <c r="C747" s="15" t="s">
        <v>510</v>
      </c>
      <c r="D747" s="15" t="str">
        <f>CONCATENATE(C747," ",B747)</f>
        <v>ROBERT LILICK</v>
      </c>
      <c r="E747" s="15" t="s">
        <v>52</v>
      </c>
      <c r="F747" s="15" t="s">
        <v>1132</v>
      </c>
      <c r="G747" s="15" t="s">
        <v>1133</v>
      </c>
      <c r="H747" s="15" t="s">
        <v>1334</v>
      </c>
      <c r="I747" s="21">
        <v>20411454</v>
      </c>
      <c r="J747" s="15" t="s">
        <v>1141</v>
      </c>
      <c r="K747" s="15" t="s">
        <v>988</v>
      </c>
      <c r="L747" s="15" t="s">
        <v>1388</v>
      </c>
      <c r="M747" s="15" t="s">
        <v>57</v>
      </c>
      <c r="N747" s="16">
        <v>45413</v>
      </c>
      <c r="O747" s="16">
        <v>46143</v>
      </c>
      <c r="P747" s="24">
        <f>DATEDIF(N747,O747,"M")</f>
        <v>24</v>
      </c>
      <c r="Q747" s="24" t="s">
        <v>157</v>
      </c>
      <c r="R747" s="24" t="s">
        <v>1391</v>
      </c>
      <c r="S747" s="17">
        <v>5.28</v>
      </c>
      <c r="T747" s="18">
        <v>0.04</v>
      </c>
      <c r="U747" s="15" t="s">
        <v>157</v>
      </c>
      <c r="V747" s="15" t="s">
        <v>135</v>
      </c>
      <c r="W747" s="17">
        <v>5.28</v>
      </c>
    </row>
    <row r="748" spans="1:55" s="15" customFormat="1" x14ac:dyDescent="0.25">
      <c r="A748" s="15">
        <v>2019602458</v>
      </c>
      <c r="B748" s="15" t="s">
        <v>94</v>
      </c>
      <c r="C748" s="15" t="s">
        <v>198</v>
      </c>
      <c r="D748" s="15" t="str">
        <f>CONCATENATE(C748," ",B748)</f>
        <v>LORRIE TURNER</v>
      </c>
      <c r="E748" s="15" t="s">
        <v>52</v>
      </c>
      <c r="F748" s="15" t="s">
        <v>152</v>
      </c>
      <c r="G748" s="15" t="s">
        <v>153</v>
      </c>
      <c r="H748" s="15" t="s">
        <v>1334</v>
      </c>
      <c r="I748" s="21">
        <v>20411454</v>
      </c>
      <c r="J748" s="15" t="s">
        <v>199</v>
      </c>
      <c r="K748" s="15" t="s">
        <v>92</v>
      </c>
      <c r="L748" s="15" t="s">
        <v>1388</v>
      </c>
      <c r="M748" s="15" t="s">
        <v>57</v>
      </c>
      <c r="N748" s="16">
        <v>45170</v>
      </c>
      <c r="O748" s="16">
        <v>46082</v>
      </c>
      <c r="P748" s="24">
        <f>DATEDIF(N748,O748,"M")</f>
        <v>30</v>
      </c>
      <c r="Q748" s="24" t="s">
        <v>157</v>
      </c>
      <c r="R748" s="24" t="s">
        <v>1391</v>
      </c>
      <c r="S748" s="17">
        <v>0.38</v>
      </c>
      <c r="T748" s="18">
        <v>0</v>
      </c>
      <c r="U748" s="15" t="s">
        <v>157</v>
      </c>
      <c r="V748" s="15" t="s">
        <v>135</v>
      </c>
      <c r="W748" s="17">
        <v>0.38</v>
      </c>
    </row>
    <row r="749" spans="1:55" s="15" customFormat="1" x14ac:dyDescent="0.25">
      <c r="A749" s="6">
        <v>2033064523</v>
      </c>
      <c r="B749" s="6" t="s">
        <v>136</v>
      </c>
      <c r="C749" s="6" t="s">
        <v>137</v>
      </c>
      <c r="D749" s="6" t="str">
        <f>CONCATENATE(C749," ",B749)</f>
        <v>FRANKLIN CRIST</v>
      </c>
      <c r="E749" s="6" t="s">
        <v>116</v>
      </c>
      <c r="F749" s="6" t="s">
        <v>383</v>
      </c>
      <c r="G749" s="6" t="s">
        <v>384</v>
      </c>
      <c r="H749" s="6" t="s">
        <v>1336</v>
      </c>
      <c r="I749" s="20" t="s">
        <v>1373</v>
      </c>
      <c r="J749" s="6" t="s">
        <v>132</v>
      </c>
      <c r="K749" s="6" t="s">
        <v>133</v>
      </c>
      <c r="L749" s="6" t="str">
        <f>CONCATENATE(K749," ",J749)</f>
        <v>Marsha Sanderock</v>
      </c>
      <c r="M749" s="6" t="s">
        <v>57</v>
      </c>
      <c r="N749" s="5">
        <v>46032</v>
      </c>
      <c r="O749" s="5">
        <v>46091</v>
      </c>
      <c r="P749" s="23">
        <f>DATEDIF(N749,O749,"M")</f>
        <v>2</v>
      </c>
      <c r="Q749" s="23" t="s">
        <v>157</v>
      </c>
      <c r="R749" s="23" t="s">
        <v>1390</v>
      </c>
      <c r="S749" s="7">
        <v>10.18</v>
      </c>
      <c r="T749" s="13">
        <v>0.7</v>
      </c>
      <c r="U749" s="6" t="s">
        <v>60</v>
      </c>
      <c r="V749" s="6" t="s">
        <v>135</v>
      </c>
      <c r="W749" s="7">
        <v>7.13</v>
      </c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</row>
    <row r="750" spans="1:55" s="15" customFormat="1" x14ac:dyDescent="0.25">
      <c r="A750" s="6">
        <v>2033055172</v>
      </c>
      <c r="B750" s="6" t="s">
        <v>128</v>
      </c>
      <c r="C750" s="6" t="s">
        <v>129</v>
      </c>
      <c r="D750" s="6" t="str">
        <f>CONCATENATE(C750," ",B750)</f>
        <v>ANESA ABDALLA</v>
      </c>
      <c r="E750" s="6" t="s">
        <v>116</v>
      </c>
      <c r="F750" s="6" t="s">
        <v>130</v>
      </c>
      <c r="G750" s="6" t="s">
        <v>131</v>
      </c>
      <c r="H750" s="6" t="s">
        <v>351</v>
      </c>
      <c r="I750" s="20">
        <v>20724564</v>
      </c>
      <c r="J750" s="6" t="s">
        <v>132</v>
      </c>
      <c r="K750" s="6" t="s">
        <v>133</v>
      </c>
      <c r="L750" s="6" t="str">
        <f>CONCATENATE(K750," ",J750)</f>
        <v>Marsha Sanderock</v>
      </c>
      <c r="M750" s="6" t="s">
        <v>57</v>
      </c>
      <c r="N750" s="5">
        <v>46031</v>
      </c>
      <c r="O750" s="5">
        <v>46090</v>
      </c>
      <c r="P750" s="23">
        <f>DATEDIF(N750,O750,"M")</f>
        <v>2</v>
      </c>
      <c r="Q750" s="23" t="s">
        <v>157</v>
      </c>
      <c r="R750" s="23" t="s">
        <v>1390</v>
      </c>
      <c r="S750" s="7">
        <v>289.45999999999998</v>
      </c>
      <c r="T750" s="13">
        <v>0.19</v>
      </c>
      <c r="U750" s="6" t="s">
        <v>60</v>
      </c>
      <c r="V750" s="6" t="s">
        <v>135</v>
      </c>
      <c r="W750" s="7">
        <v>55</v>
      </c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</row>
    <row r="751" spans="1:55" s="15" customFormat="1" x14ac:dyDescent="0.25">
      <c r="A751" s="6">
        <v>2033064524</v>
      </c>
      <c r="B751" s="6" t="s">
        <v>136</v>
      </c>
      <c r="C751" s="6" t="s">
        <v>137</v>
      </c>
      <c r="D751" s="6" t="str">
        <f>CONCATENATE(C751," ",B751)</f>
        <v>FRANKLIN CRIST</v>
      </c>
      <c r="E751" s="6" t="s">
        <v>116</v>
      </c>
      <c r="F751" s="6" t="s">
        <v>130</v>
      </c>
      <c r="G751" s="6" t="s">
        <v>131</v>
      </c>
      <c r="H751" s="6" t="s">
        <v>351</v>
      </c>
      <c r="I751" s="20">
        <v>20724564</v>
      </c>
      <c r="J751" s="6" t="s">
        <v>132</v>
      </c>
      <c r="K751" s="6" t="s">
        <v>133</v>
      </c>
      <c r="L751" s="6" t="str">
        <f>CONCATENATE(K751," ",J751)</f>
        <v>Marsha Sanderock</v>
      </c>
      <c r="M751" s="6" t="s">
        <v>57</v>
      </c>
      <c r="N751" s="5">
        <v>46032</v>
      </c>
      <c r="O751" s="5">
        <v>46091</v>
      </c>
      <c r="P751" s="23">
        <f>DATEDIF(N751,O751,"M")</f>
        <v>2</v>
      </c>
      <c r="Q751" s="23" t="s">
        <v>157</v>
      </c>
      <c r="R751" s="23" t="s">
        <v>1390</v>
      </c>
      <c r="S751" s="7">
        <v>210.54</v>
      </c>
      <c r="T751" s="13">
        <v>0.19</v>
      </c>
      <c r="U751" s="6" t="s">
        <v>60</v>
      </c>
      <c r="V751" s="6" t="s">
        <v>135</v>
      </c>
      <c r="W751" s="7">
        <v>40</v>
      </c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</row>
    <row r="752" spans="1:55" s="15" customFormat="1" x14ac:dyDescent="0.25">
      <c r="A752" s="6">
        <v>2033011866</v>
      </c>
      <c r="B752" s="6" t="s">
        <v>615</v>
      </c>
      <c r="C752" s="6" t="s">
        <v>250</v>
      </c>
      <c r="D752" s="6" t="str">
        <f>CONCATENATE(C752," ",B752)</f>
        <v>DAVID LAIR</v>
      </c>
      <c r="E752" s="6" t="s">
        <v>116</v>
      </c>
      <c r="F752" s="6" t="s">
        <v>130</v>
      </c>
      <c r="G752" s="6" t="s">
        <v>982</v>
      </c>
      <c r="H752" s="6" t="s">
        <v>351</v>
      </c>
      <c r="I752" s="20">
        <v>20724564</v>
      </c>
      <c r="J752" s="6" t="s">
        <v>132</v>
      </c>
      <c r="K752" s="6" t="s">
        <v>133</v>
      </c>
      <c r="L752" s="6" t="str">
        <f>CONCATENATE(K752," ",J752)</f>
        <v>Marsha Sanderock</v>
      </c>
      <c r="M752" s="6" t="s">
        <v>57</v>
      </c>
      <c r="N752" s="5">
        <v>46029</v>
      </c>
      <c r="O752" s="5">
        <v>46088</v>
      </c>
      <c r="P752" s="23">
        <f>DATEDIF(N752,O752,"M")</f>
        <v>2</v>
      </c>
      <c r="Q752" s="23" t="s">
        <v>157</v>
      </c>
      <c r="R752" s="23" t="s">
        <v>1390</v>
      </c>
      <c r="S752" s="7">
        <v>195.4</v>
      </c>
      <c r="T752" s="13">
        <v>0.19</v>
      </c>
      <c r="U752" s="6" t="s">
        <v>60</v>
      </c>
      <c r="V752" s="6" t="s">
        <v>135</v>
      </c>
      <c r="W752" s="7">
        <v>37.130000000000003</v>
      </c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</row>
    <row r="753" spans="1:55" s="15" customFormat="1" x14ac:dyDescent="0.25">
      <c r="A753" s="6">
        <v>2033011867</v>
      </c>
      <c r="B753" s="6" t="s">
        <v>615</v>
      </c>
      <c r="C753" s="6" t="s">
        <v>250</v>
      </c>
      <c r="D753" s="6" t="str">
        <f>CONCATENATE(C753," ",B753)</f>
        <v>DAVID LAIR</v>
      </c>
      <c r="E753" s="6" t="s">
        <v>116</v>
      </c>
      <c r="F753" s="6" t="s">
        <v>350</v>
      </c>
      <c r="G753" s="6" t="s">
        <v>351</v>
      </c>
      <c r="H753" s="6" t="s">
        <v>351</v>
      </c>
      <c r="I753" s="20" t="s">
        <v>1373</v>
      </c>
      <c r="J753" s="6" t="s">
        <v>132</v>
      </c>
      <c r="K753" s="6" t="s">
        <v>133</v>
      </c>
      <c r="L753" s="6" t="str">
        <f>CONCATENATE(K753," ",J753)</f>
        <v>Marsha Sanderock</v>
      </c>
      <c r="M753" s="6" t="s">
        <v>57</v>
      </c>
      <c r="N753" s="5">
        <v>46029</v>
      </c>
      <c r="O753" s="5">
        <v>46088</v>
      </c>
      <c r="P753" s="23">
        <f>DATEDIF(N753,O753,"M")</f>
        <v>2</v>
      </c>
      <c r="Q753" s="23" t="s">
        <v>157</v>
      </c>
      <c r="R753" s="23" t="s">
        <v>1390</v>
      </c>
      <c r="S753" s="7">
        <v>15</v>
      </c>
      <c r="T753" s="13">
        <v>0.19</v>
      </c>
      <c r="U753" s="6" t="s">
        <v>60</v>
      </c>
      <c r="V753" s="6" t="s">
        <v>135</v>
      </c>
      <c r="W753" s="7">
        <v>2.85</v>
      </c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</row>
    <row r="754" spans="1:55" s="15" customFormat="1" x14ac:dyDescent="0.25">
      <c r="A754" s="6">
        <v>2033055173</v>
      </c>
      <c r="B754" s="6" t="s">
        <v>128</v>
      </c>
      <c r="C754" s="6" t="s">
        <v>129</v>
      </c>
      <c r="D754" s="6" t="str">
        <f>CONCATENATE(C754," ",B754)</f>
        <v>ANESA ABDALLA</v>
      </c>
      <c r="E754" s="6" t="s">
        <v>116</v>
      </c>
      <c r="F754" s="6" t="s">
        <v>350</v>
      </c>
      <c r="G754" s="6" t="s">
        <v>351</v>
      </c>
      <c r="H754" s="6" t="s">
        <v>351</v>
      </c>
      <c r="I754" s="20" t="s">
        <v>1373</v>
      </c>
      <c r="J754" s="6" t="s">
        <v>132</v>
      </c>
      <c r="K754" s="6" t="s">
        <v>133</v>
      </c>
      <c r="L754" s="6" t="str">
        <f>CONCATENATE(K754," ",J754)</f>
        <v>Marsha Sanderock</v>
      </c>
      <c r="M754" s="6" t="s">
        <v>57</v>
      </c>
      <c r="N754" s="5">
        <v>46031</v>
      </c>
      <c r="O754" s="5">
        <v>46090</v>
      </c>
      <c r="P754" s="23">
        <f>DATEDIF(N754,O754,"M")</f>
        <v>2</v>
      </c>
      <c r="Q754" s="23" t="s">
        <v>157</v>
      </c>
      <c r="R754" s="23" t="s">
        <v>1390</v>
      </c>
      <c r="S754" s="7">
        <v>15</v>
      </c>
      <c r="T754" s="13">
        <v>0.19</v>
      </c>
      <c r="U754" s="6" t="s">
        <v>60</v>
      </c>
      <c r="V754" s="6" t="s">
        <v>135</v>
      </c>
      <c r="W754" s="7">
        <v>2.85</v>
      </c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</row>
    <row r="755" spans="1:55" s="15" customFormat="1" x14ac:dyDescent="0.25">
      <c r="A755" s="6">
        <v>2033064525</v>
      </c>
      <c r="B755" s="6" t="s">
        <v>136</v>
      </c>
      <c r="C755" s="6" t="s">
        <v>137</v>
      </c>
      <c r="D755" s="6" t="str">
        <f>CONCATENATE(C755," ",B755)</f>
        <v>FRANKLIN CRIST</v>
      </c>
      <c r="E755" s="6" t="s">
        <v>116</v>
      </c>
      <c r="F755" s="6" t="s">
        <v>350</v>
      </c>
      <c r="G755" s="6" t="s">
        <v>351</v>
      </c>
      <c r="H755" s="6" t="s">
        <v>351</v>
      </c>
      <c r="I755" s="20" t="s">
        <v>1373</v>
      </c>
      <c r="J755" s="6" t="s">
        <v>132</v>
      </c>
      <c r="K755" s="6" t="s">
        <v>133</v>
      </c>
      <c r="L755" s="6" t="str">
        <f>CONCATENATE(K755," ",J755)</f>
        <v>Marsha Sanderock</v>
      </c>
      <c r="M755" s="6" t="s">
        <v>57</v>
      </c>
      <c r="N755" s="5">
        <v>46032</v>
      </c>
      <c r="O755" s="5">
        <v>46091</v>
      </c>
      <c r="P755" s="23">
        <f>DATEDIF(N755,O755,"M")</f>
        <v>2</v>
      </c>
      <c r="Q755" s="23" t="s">
        <v>157</v>
      </c>
      <c r="R755" s="23" t="s">
        <v>1390</v>
      </c>
      <c r="S755" s="7">
        <v>15</v>
      </c>
      <c r="T755" s="13">
        <v>0.19</v>
      </c>
      <c r="U755" s="6" t="s">
        <v>60</v>
      </c>
      <c r="V755" s="6" t="s">
        <v>135</v>
      </c>
      <c r="W755" s="7">
        <v>2.85</v>
      </c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</row>
    <row r="756" spans="1:55" s="15" customFormat="1" x14ac:dyDescent="0.25">
      <c r="A756" s="6">
        <v>2031410719</v>
      </c>
      <c r="B756" s="6" t="s">
        <v>321</v>
      </c>
      <c r="C756" s="6" t="s">
        <v>75</v>
      </c>
      <c r="D756" s="6" t="str">
        <f>CONCATENATE(C756," ",B756)</f>
        <v>MATTHEW GOOTEE</v>
      </c>
      <c r="E756" s="6" t="s">
        <v>116</v>
      </c>
      <c r="F756" s="6" t="s">
        <v>152</v>
      </c>
      <c r="G756" s="6" t="s">
        <v>153</v>
      </c>
      <c r="H756" s="6" t="s">
        <v>153</v>
      </c>
      <c r="I756" s="20" t="s">
        <v>1373</v>
      </c>
      <c r="J756" s="6" t="s">
        <v>132</v>
      </c>
      <c r="K756" s="6" t="s">
        <v>133</v>
      </c>
      <c r="L756" s="6" t="str">
        <f>CONCATENATE(K756," ",J756)</f>
        <v>Marsha Sanderock</v>
      </c>
      <c r="M756" s="6" t="s">
        <v>57</v>
      </c>
      <c r="N756" s="5">
        <v>45933</v>
      </c>
      <c r="O756" s="5">
        <v>46084</v>
      </c>
      <c r="P756" s="23">
        <f>DATEDIF(N756,O756,"M")</f>
        <v>5</v>
      </c>
      <c r="Q756" s="23" t="s">
        <v>157</v>
      </c>
      <c r="R756" s="23" t="s">
        <v>1390</v>
      </c>
      <c r="S756" s="7">
        <v>59.02</v>
      </c>
      <c r="T756" s="13">
        <v>0.47</v>
      </c>
      <c r="U756" s="6" t="s">
        <v>60</v>
      </c>
      <c r="V756" s="6" t="s">
        <v>135</v>
      </c>
      <c r="W756" s="7">
        <v>27.74</v>
      </c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</row>
    <row r="757" spans="1:55" s="15" customFormat="1" x14ac:dyDescent="0.25">
      <c r="A757" s="6">
        <v>2031526094</v>
      </c>
      <c r="B757" s="6" t="s">
        <v>788</v>
      </c>
      <c r="C757" s="6" t="s">
        <v>734</v>
      </c>
      <c r="D757" s="6" t="str">
        <f>CONCATENATE(C757," ",B757)</f>
        <v>JENNIFER BRATTON</v>
      </c>
      <c r="E757" s="6" t="s">
        <v>116</v>
      </c>
      <c r="F757" s="6" t="s">
        <v>383</v>
      </c>
      <c r="G757" s="6" t="s">
        <v>384</v>
      </c>
      <c r="H757" s="6" t="s">
        <v>384</v>
      </c>
      <c r="I757" s="20" t="s">
        <v>1373</v>
      </c>
      <c r="J757" s="6" t="s">
        <v>132</v>
      </c>
      <c r="K757" s="6" t="s">
        <v>133</v>
      </c>
      <c r="L757" s="6" t="str">
        <f>CONCATENATE(K757," ",J757)</f>
        <v>Marsha Sanderock</v>
      </c>
      <c r="M757" s="6" t="s">
        <v>57</v>
      </c>
      <c r="N757" s="5">
        <v>45939</v>
      </c>
      <c r="O757" s="5">
        <v>46090</v>
      </c>
      <c r="P757" s="23">
        <f>DATEDIF(N757,O757,"M")</f>
        <v>5</v>
      </c>
      <c r="Q757" s="23" t="s">
        <v>157</v>
      </c>
      <c r="R757" s="23" t="s">
        <v>1390</v>
      </c>
      <c r="S757" s="7">
        <v>3.52</v>
      </c>
      <c r="T757" s="13">
        <v>0.7</v>
      </c>
      <c r="U757" s="6" t="s">
        <v>60</v>
      </c>
      <c r="V757" s="6" t="s">
        <v>135</v>
      </c>
      <c r="W757" s="7">
        <v>2.46</v>
      </c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</row>
    <row r="758" spans="1:55" s="15" customFormat="1" x14ac:dyDescent="0.25">
      <c r="A758" s="6">
        <v>2031526095</v>
      </c>
      <c r="B758" s="6" t="s">
        <v>788</v>
      </c>
      <c r="C758" s="6" t="s">
        <v>734</v>
      </c>
      <c r="D758" s="6" t="str">
        <f>CONCATENATE(C758," ",B758)</f>
        <v>JENNIFER BRATTON</v>
      </c>
      <c r="E758" s="6" t="s">
        <v>116</v>
      </c>
      <c r="F758" s="6" t="s">
        <v>363</v>
      </c>
      <c r="G758" s="6" t="s">
        <v>364</v>
      </c>
      <c r="H758" s="6" t="s">
        <v>364</v>
      </c>
      <c r="I758" s="20" t="s">
        <v>1373</v>
      </c>
      <c r="J758" s="6" t="s">
        <v>132</v>
      </c>
      <c r="K758" s="6" t="s">
        <v>133</v>
      </c>
      <c r="L758" s="6" t="str">
        <f>CONCATENATE(K758," ",J758)</f>
        <v>Marsha Sanderock</v>
      </c>
      <c r="M758" s="6" t="s">
        <v>57</v>
      </c>
      <c r="N758" s="5">
        <v>45939</v>
      </c>
      <c r="O758" s="5">
        <v>46090</v>
      </c>
      <c r="P758" s="23">
        <f>DATEDIF(N758,O758,"M")</f>
        <v>5</v>
      </c>
      <c r="Q758" s="23" t="s">
        <v>157</v>
      </c>
      <c r="R758" s="23" t="s">
        <v>1390</v>
      </c>
      <c r="S758" s="7">
        <v>48.15</v>
      </c>
      <c r="T758" s="14">
        <v>0.375</v>
      </c>
      <c r="U758" s="6" t="s">
        <v>60</v>
      </c>
      <c r="V758" s="6" t="s">
        <v>135</v>
      </c>
      <c r="W758" s="7">
        <v>18.059999999999999</v>
      </c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</row>
    <row r="759" spans="1:55" s="15" customFormat="1" x14ac:dyDescent="0.25">
      <c r="A759" s="6">
        <v>2031017069</v>
      </c>
      <c r="B759" s="6" t="s">
        <v>583</v>
      </c>
      <c r="C759" s="6" t="s">
        <v>188</v>
      </c>
      <c r="D759" s="6" t="str">
        <f>CONCATENATE(C759," ",B759)</f>
        <v>MICHAEL DECKARD</v>
      </c>
      <c r="E759" s="6" t="s">
        <v>116</v>
      </c>
      <c r="F759" s="6" t="s">
        <v>72</v>
      </c>
      <c r="G759" s="6" t="s">
        <v>93</v>
      </c>
      <c r="H759" s="6" t="s">
        <v>1332</v>
      </c>
      <c r="I759" s="20" t="s">
        <v>1373</v>
      </c>
      <c r="J759" s="6" t="s">
        <v>132</v>
      </c>
      <c r="K759" s="6" t="s">
        <v>133</v>
      </c>
      <c r="L759" s="6" t="str">
        <f>CONCATENATE(K759," ",J759)</f>
        <v>Marsha Sanderock</v>
      </c>
      <c r="M759" s="6" t="s">
        <v>57</v>
      </c>
      <c r="N759" s="5">
        <v>45913</v>
      </c>
      <c r="O759" s="5">
        <v>46094</v>
      </c>
      <c r="P759" s="23">
        <f>DATEDIF(N759,O759,"M")</f>
        <v>6</v>
      </c>
      <c r="Q759" s="23" t="s">
        <v>157</v>
      </c>
      <c r="R759" s="23" t="s">
        <v>1390</v>
      </c>
      <c r="S759" s="7">
        <v>55</v>
      </c>
      <c r="T759" s="13">
        <v>0.9</v>
      </c>
      <c r="U759" s="6" t="s">
        <v>60</v>
      </c>
      <c r="V759" s="6" t="s">
        <v>135</v>
      </c>
      <c r="W759" s="7">
        <v>49.5</v>
      </c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</row>
    <row r="760" spans="1:55" s="15" customFormat="1" x14ac:dyDescent="0.25">
      <c r="A760" s="6">
        <v>2031017071</v>
      </c>
      <c r="B760" s="6" t="s">
        <v>583</v>
      </c>
      <c r="C760" s="6" t="s">
        <v>188</v>
      </c>
      <c r="D760" s="6" t="str">
        <f>CONCATENATE(C760," ",B760)</f>
        <v>MICHAEL DECKARD</v>
      </c>
      <c r="E760" s="6" t="s">
        <v>116</v>
      </c>
      <c r="F760" s="6" t="s">
        <v>350</v>
      </c>
      <c r="G760" s="6" t="s">
        <v>351</v>
      </c>
      <c r="H760" s="6" t="s">
        <v>566</v>
      </c>
      <c r="I760" s="20" t="s">
        <v>1373</v>
      </c>
      <c r="J760" s="6" t="s">
        <v>132</v>
      </c>
      <c r="K760" s="6" t="s">
        <v>133</v>
      </c>
      <c r="L760" s="6" t="str">
        <f>CONCATENATE(K760," ",J760)</f>
        <v>Marsha Sanderock</v>
      </c>
      <c r="M760" s="6" t="s">
        <v>57</v>
      </c>
      <c r="N760" s="5">
        <v>45913</v>
      </c>
      <c r="O760" s="5">
        <v>46094</v>
      </c>
      <c r="P760" s="23">
        <f>DATEDIF(N760,O760,"M")</f>
        <v>6</v>
      </c>
      <c r="Q760" s="23" t="s">
        <v>157</v>
      </c>
      <c r="R760" s="23" t="s">
        <v>1390</v>
      </c>
      <c r="S760" s="7">
        <v>15</v>
      </c>
      <c r="T760" s="13">
        <v>0.19</v>
      </c>
      <c r="U760" s="6" t="s">
        <v>60</v>
      </c>
      <c r="V760" s="6" t="s">
        <v>135</v>
      </c>
      <c r="W760" s="7">
        <v>2.85</v>
      </c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</row>
    <row r="761" spans="1:55" s="15" customFormat="1" x14ac:dyDescent="0.25">
      <c r="A761" s="6">
        <v>2031017070</v>
      </c>
      <c r="B761" s="6" t="s">
        <v>583</v>
      </c>
      <c r="C761" s="6" t="s">
        <v>188</v>
      </c>
      <c r="D761" s="6" t="str">
        <f>CONCATENATE(C761," ",B761)</f>
        <v>MICHAEL DECKARD</v>
      </c>
      <c r="E761" s="6" t="s">
        <v>116</v>
      </c>
      <c r="F761" s="6" t="s">
        <v>130</v>
      </c>
      <c r="G761" s="6" t="s">
        <v>977</v>
      </c>
      <c r="H761" s="6" t="s">
        <v>141</v>
      </c>
      <c r="I761" s="20" t="s">
        <v>1373</v>
      </c>
      <c r="J761" s="6" t="s">
        <v>132</v>
      </c>
      <c r="K761" s="6" t="s">
        <v>133</v>
      </c>
      <c r="L761" s="6" t="str">
        <f>CONCATENATE(K761," ",J761)</f>
        <v>Marsha Sanderock</v>
      </c>
      <c r="M761" s="6" t="s">
        <v>57</v>
      </c>
      <c r="N761" s="5">
        <v>45913</v>
      </c>
      <c r="O761" s="5">
        <v>46094</v>
      </c>
      <c r="P761" s="23">
        <f>DATEDIF(N761,O761,"M")</f>
        <v>6</v>
      </c>
      <c r="Q761" s="23" t="s">
        <v>157</v>
      </c>
      <c r="R761" s="23" t="s">
        <v>1390</v>
      </c>
      <c r="S761" s="7">
        <v>262.94</v>
      </c>
      <c r="T761" s="13">
        <v>0.19</v>
      </c>
      <c r="U761" s="6" t="s">
        <v>60</v>
      </c>
      <c r="V761" s="6" t="s">
        <v>135</v>
      </c>
      <c r="W761" s="7">
        <v>49.96</v>
      </c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</row>
    <row r="762" spans="1:55" s="15" customFormat="1" x14ac:dyDescent="0.25">
      <c r="A762" s="6">
        <v>2031017068</v>
      </c>
      <c r="B762" s="6" t="s">
        <v>583</v>
      </c>
      <c r="C762" s="6" t="s">
        <v>188</v>
      </c>
      <c r="D762" s="6" t="str">
        <f>CONCATENATE(C762," ",B762)</f>
        <v>MICHAEL DECKARD</v>
      </c>
      <c r="E762" s="6" t="s">
        <v>116</v>
      </c>
      <c r="F762" s="6" t="s">
        <v>383</v>
      </c>
      <c r="G762" s="6" t="s">
        <v>384</v>
      </c>
      <c r="H762" s="6" t="s">
        <v>384</v>
      </c>
      <c r="I762" s="20" t="s">
        <v>1373</v>
      </c>
      <c r="J762" s="6" t="s">
        <v>132</v>
      </c>
      <c r="K762" s="6" t="s">
        <v>133</v>
      </c>
      <c r="L762" s="6" t="str">
        <f>CONCATENATE(K762," ",J762)</f>
        <v>Marsha Sanderock</v>
      </c>
      <c r="M762" s="6" t="s">
        <v>57</v>
      </c>
      <c r="N762" s="5">
        <v>45913</v>
      </c>
      <c r="O762" s="5">
        <v>46094</v>
      </c>
      <c r="P762" s="23">
        <f>DATEDIF(N762,O762,"M")</f>
        <v>6</v>
      </c>
      <c r="Q762" s="23" t="s">
        <v>157</v>
      </c>
      <c r="R762" s="23" t="s">
        <v>1390</v>
      </c>
      <c r="S762" s="7">
        <v>14.92</v>
      </c>
      <c r="T762" s="13">
        <v>0.7</v>
      </c>
      <c r="U762" s="6" t="s">
        <v>60</v>
      </c>
      <c r="V762" s="6" t="s">
        <v>135</v>
      </c>
      <c r="W762" s="7">
        <v>10.44</v>
      </c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</row>
    <row r="763" spans="1:55" s="15" customFormat="1" x14ac:dyDescent="0.25">
      <c r="A763" s="6">
        <v>2031017067</v>
      </c>
      <c r="B763" s="6" t="s">
        <v>583</v>
      </c>
      <c r="C763" s="6" t="s">
        <v>188</v>
      </c>
      <c r="D763" s="6" t="str">
        <f>CONCATENATE(C763," ",B763)</f>
        <v>MICHAEL DECKARD</v>
      </c>
      <c r="E763" s="6" t="s">
        <v>116</v>
      </c>
      <c r="F763" s="6" t="s">
        <v>363</v>
      </c>
      <c r="G763" s="6" t="s">
        <v>364</v>
      </c>
      <c r="H763" s="6" t="s">
        <v>364</v>
      </c>
      <c r="I763" s="20" t="s">
        <v>1373</v>
      </c>
      <c r="J763" s="6" t="s">
        <v>132</v>
      </c>
      <c r="K763" s="6" t="s">
        <v>133</v>
      </c>
      <c r="L763" s="6" t="str">
        <f>CONCATENATE(K763," ",J763)</f>
        <v>Marsha Sanderock</v>
      </c>
      <c r="M763" s="6" t="s">
        <v>57</v>
      </c>
      <c r="N763" s="5">
        <v>45913</v>
      </c>
      <c r="O763" s="5">
        <v>46094</v>
      </c>
      <c r="P763" s="23">
        <f>DATEDIF(N763,O763,"M")</f>
        <v>6</v>
      </c>
      <c r="Q763" s="23" t="s">
        <v>157</v>
      </c>
      <c r="R763" s="23" t="s">
        <v>1390</v>
      </c>
      <c r="S763" s="7">
        <v>58.15</v>
      </c>
      <c r="T763" s="14">
        <v>0.375</v>
      </c>
      <c r="U763" s="6" t="s">
        <v>60</v>
      </c>
      <c r="V763" s="6" t="s">
        <v>135</v>
      </c>
      <c r="W763" s="7">
        <v>21.81</v>
      </c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</row>
    <row r="764" spans="1:55" s="15" customFormat="1" x14ac:dyDescent="0.25">
      <c r="A764" s="6">
        <v>2030375984</v>
      </c>
      <c r="B764" s="6" t="s">
        <v>302</v>
      </c>
      <c r="C764" s="6" t="s">
        <v>567</v>
      </c>
      <c r="D764" s="6" t="str">
        <f>CONCATENATE(C764," ",B764)</f>
        <v>MOENKHAUS ERIC</v>
      </c>
      <c r="E764" s="6" t="s">
        <v>116</v>
      </c>
      <c r="F764" s="6" t="s">
        <v>350</v>
      </c>
      <c r="G764" s="6" t="s">
        <v>351</v>
      </c>
      <c r="H764" s="6" t="s">
        <v>351</v>
      </c>
      <c r="I764" s="20" t="s">
        <v>1373</v>
      </c>
      <c r="J764" s="6" t="s">
        <v>132</v>
      </c>
      <c r="K764" s="6" t="s">
        <v>133</v>
      </c>
      <c r="L764" s="6" t="str">
        <f>CONCATENATE(K764," ",J764)</f>
        <v>Marsha Sanderock</v>
      </c>
      <c r="M764" s="6" t="s">
        <v>57</v>
      </c>
      <c r="N764" s="5">
        <v>45877</v>
      </c>
      <c r="O764" s="5">
        <v>46089</v>
      </c>
      <c r="P764" s="23">
        <f>DATEDIF(N764,O764,"M")</f>
        <v>7</v>
      </c>
      <c r="Q764" s="23" t="s">
        <v>157</v>
      </c>
      <c r="R764" s="23" t="s">
        <v>1391</v>
      </c>
      <c r="S764" s="7">
        <v>15</v>
      </c>
      <c r="T764" s="13">
        <v>0.19</v>
      </c>
      <c r="U764" s="6" t="s">
        <v>60</v>
      </c>
      <c r="V764" s="6" t="s">
        <v>135</v>
      </c>
      <c r="W764" s="7">
        <v>2.85</v>
      </c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</row>
    <row r="765" spans="1:55" s="15" customFormat="1" x14ac:dyDescent="0.25">
      <c r="A765" s="6">
        <v>2030107691</v>
      </c>
      <c r="B765" s="6" t="s">
        <v>176</v>
      </c>
      <c r="C765" s="6" t="s">
        <v>307</v>
      </c>
      <c r="D765" s="6" t="str">
        <f>CONCATENATE(C765," ",B765)</f>
        <v>WALLS KIMBERLY</v>
      </c>
      <c r="E765" s="6" t="s">
        <v>116</v>
      </c>
      <c r="F765" s="6" t="s">
        <v>152</v>
      </c>
      <c r="G765" s="6" t="s">
        <v>153</v>
      </c>
      <c r="H765" s="6" t="s">
        <v>153</v>
      </c>
      <c r="I765" s="20" t="s">
        <v>1373</v>
      </c>
      <c r="J765" s="6" t="s">
        <v>132</v>
      </c>
      <c r="K765" s="6" t="s">
        <v>133</v>
      </c>
      <c r="L765" s="6" t="str">
        <f>CONCATENATE(K765," ",J765)</f>
        <v>Marsha Sanderock</v>
      </c>
      <c r="M765" s="6" t="s">
        <v>57</v>
      </c>
      <c r="N765" s="5">
        <v>45870</v>
      </c>
      <c r="O765" s="5">
        <v>46082</v>
      </c>
      <c r="P765" s="23">
        <f>DATEDIF(N765,O765,"M")</f>
        <v>7</v>
      </c>
      <c r="Q765" s="23" t="s">
        <v>157</v>
      </c>
      <c r="R765" s="23" t="s">
        <v>1391</v>
      </c>
      <c r="S765" s="7">
        <v>133.13</v>
      </c>
      <c r="T765" s="13">
        <v>0.47</v>
      </c>
      <c r="U765" s="6" t="s">
        <v>60</v>
      </c>
      <c r="V765" s="6" t="s">
        <v>135</v>
      </c>
      <c r="W765" s="7">
        <v>62.57</v>
      </c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</row>
    <row r="766" spans="1:55" s="15" customFormat="1" x14ac:dyDescent="0.25">
      <c r="A766" s="6">
        <v>2029894409</v>
      </c>
      <c r="B766" s="6" t="s">
        <v>240</v>
      </c>
      <c r="C766" s="6" t="s">
        <v>754</v>
      </c>
      <c r="D766" s="6" t="str">
        <f>CONCATENATE(C766," ",B766)</f>
        <v>DEBELLIS JOHN</v>
      </c>
      <c r="E766" s="6" t="s">
        <v>116</v>
      </c>
      <c r="F766" s="6" t="s">
        <v>383</v>
      </c>
      <c r="G766" s="6" t="s">
        <v>384</v>
      </c>
      <c r="H766" s="6" t="s">
        <v>384</v>
      </c>
      <c r="I766" s="20" t="s">
        <v>1373</v>
      </c>
      <c r="J766" s="6" t="s">
        <v>132</v>
      </c>
      <c r="K766" s="6" t="s">
        <v>133</v>
      </c>
      <c r="L766" s="6" t="str">
        <f>CONCATENATE(K766," ",J766)</f>
        <v>Marsha Sanderock</v>
      </c>
      <c r="M766" s="6" t="s">
        <v>57</v>
      </c>
      <c r="N766" s="5">
        <v>45849</v>
      </c>
      <c r="O766" s="5">
        <v>46092</v>
      </c>
      <c r="P766" s="23">
        <f>DATEDIF(N766,O766,"M")</f>
        <v>8</v>
      </c>
      <c r="Q766" s="23" t="s">
        <v>157</v>
      </c>
      <c r="R766" s="23" t="s">
        <v>1391</v>
      </c>
      <c r="S766" s="7">
        <v>4.7699999999999996</v>
      </c>
      <c r="T766" s="13">
        <v>0.7</v>
      </c>
      <c r="U766" s="6" t="s">
        <v>60</v>
      </c>
      <c r="V766" s="6" t="s">
        <v>135</v>
      </c>
      <c r="W766" s="7">
        <v>3.34</v>
      </c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</row>
    <row r="767" spans="1:55" s="15" customFormat="1" x14ac:dyDescent="0.25">
      <c r="A767" s="6">
        <v>2029894410</v>
      </c>
      <c r="B767" s="6" t="s">
        <v>240</v>
      </c>
      <c r="C767" s="6" t="s">
        <v>754</v>
      </c>
      <c r="D767" s="6" t="str">
        <f>CONCATENATE(C767," ",B767)</f>
        <v>DEBELLIS JOHN</v>
      </c>
      <c r="E767" s="6" t="s">
        <v>116</v>
      </c>
      <c r="F767" s="6" t="s">
        <v>363</v>
      </c>
      <c r="G767" s="6" t="s">
        <v>364</v>
      </c>
      <c r="H767" s="6" t="s">
        <v>364</v>
      </c>
      <c r="I767" s="20" t="s">
        <v>1373</v>
      </c>
      <c r="J767" s="6" t="s">
        <v>132</v>
      </c>
      <c r="K767" s="6" t="s">
        <v>133</v>
      </c>
      <c r="L767" s="6" t="str">
        <f>CONCATENATE(K767," ",J767)</f>
        <v>Marsha Sanderock</v>
      </c>
      <c r="M767" s="6" t="s">
        <v>57</v>
      </c>
      <c r="N767" s="5">
        <v>45849</v>
      </c>
      <c r="O767" s="5">
        <v>46092</v>
      </c>
      <c r="P767" s="23">
        <f>DATEDIF(N767,O767,"M")</f>
        <v>8</v>
      </c>
      <c r="Q767" s="23" t="s">
        <v>157</v>
      </c>
      <c r="R767" s="23" t="s">
        <v>1391</v>
      </c>
      <c r="S767" s="7">
        <v>189.28</v>
      </c>
      <c r="T767" s="14">
        <v>0.375</v>
      </c>
      <c r="U767" s="6" t="s">
        <v>60</v>
      </c>
      <c r="V767" s="6" t="s">
        <v>135</v>
      </c>
      <c r="W767" s="7">
        <v>70.98</v>
      </c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</row>
    <row r="768" spans="1:55" s="15" customFormat="1" x14ac:dyDescent="0.25">
      <c r="A768" s="6">
        <v>2029907849</v>
      </c>
      <c r="B768" s="6" t="s">
        <v>477</v>
      </c>
      <c r="C768" s="6" t="s">
        <v>1268</v>
      </c>
      <c r="D768" s="6" t="str">
        <f>CONCATENATE(C768," ",B768)</f>
        <v>JENSEN JULIE</v>
      </c>
      <c r="E768" s="6" t="s">
        <v>116</v>
      </c>
      <c r="F768" s="6" t="s">
        <v>383</v>
      </c>
      <c r="G768" s="6" t="s">
        <v>385</v>
      </c>
      <c r="H768" s="6" t="s">
        <v>385</v>
      </c>
      <c r="I768" s="20" t="s">
        <v>1373</v>
      </c>
      <c r="J768" s="6" t="s">
        <v>132</v>
      </c>
      <c r="K768" s="6" t="s">
        <v>133</v>
      </c>
      <c r="L768" s="6" t="str">
        <f>CONCATENATE(K768," ",J768)</f>
        <v>Marsha Sanderock</v>
      </c>
      <c r="M768" s="6" t="s">
        <v>57</v>
      </c>
      <c r="N768" s="5">
        <v>45850</v>
      </c>
      <c r="O768" s="5">
        <v>46093</v>
      </c>
      <c r="P768" s="23">
        <f>DATEDIF(N768,O768,"M")</f>
        <v>8</v>
      </c>
      <c r="Q768" s="23" t="s">
        <v>157</v>
      </c>
      <c r="R768" s="23" t="s">
        <v>1391</v>
      </c>
      <c r="S768" s="7">
        <v>14.75</v>
      </c>
      <c r="T768" s="13">
        <v>0.9</v>
      </c>
      <c r="U768" s="6" t="s">
        <v>60</v>
      </c>
      <c r="V768" s="6" t="s">
        <v>135</v>
      </c>
      <c r="W768" s="7">
        <v>13.28</v>
      </c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</row>
    <row r="769" spans="1:23" s="15" customFormat="1" x14ac:dyDescent="0.25">
      <c r="A769" s="15">
        <v>2032913540</v>
      </c>
      <c r="B769" s="15" t="s">
        <v>925</v>
      </c>
      <c r="C769" s="15" t="s">
        <v>926</v>
      </c>
      <c r="D769" s="15" t="str">
        <f>CONCATENATE(C769," ",B769)</f>
        <v>ALAN DARRINGTON</v>
      </c>
      <c r="E769" s="15" t="s">
        <v>274</v>
      </c>
      <c r="F769" s="15" t="s">
        <v>383</v>
      </c>
      <c r="G769" s="15" t="s">
        <v>384</v>
      </c>
      <c r="H769" s="15" t="s">
        <v>1336</v>
      </c>
      <c r="I769" s="21">
        <v>1706194</v>
      </c>
      <c r="J769" s="15" t="s">
        <v>74</v>
      </c>
      <c r="K769" s="15" t="s">
        <v>75</v>
      </c>
      <c r="L769" s="15" t="str">
        <f>CONCATENATE(K769," ",J769)</f>
        <v>MATTHEW DAUGHERTY</v>
      </c>
      <c r="M769" s="15" t="s">
        <v>57</v>
      </c>
      <c r="N769" s="16">
        <v>46034</v>
      </c>
      <c r="O769" s="16">
        <v>46093</v>
      </c>
      <c r="P769" s="24">
        <f>DATEDIF(N769,O769,"M")</f>
        <v>2</v>
      </c>
      <c r="Q769" s="24" t="s">
        <v>157</v>
      </c>
      <c r="R769" s="24" t="s">
        <v>1391</v>
      </c>
      <c r="S769" s="17">
        <v>29.2</v>
      </c>
      <c r="T769" s="18">
        <v>0.7</v>
      </c>
      <c r="U769" s="15" t="s">
        <v>60</v>
      </c>
      <c r="V769" s="15" t="s">
        <v>135</v>
      </c>
      <c r="W769" s="17">
        <v>20.440000000000001</v>
      </c>
    </row>
    <row r="770" spans="1:23" s="15" customFormat="1" x14ac:dyDescent="0.25">
      <c r="A770" s="15">
        <v>2032913541</v>
      </c>
      <c r="B770" s="15" t="s">
        <v>925</v>
      </c>
      <c r="C770" s="15" t="s">
        <v>926</v>
      </c>
      <c r="D770" s="15" t="str">
        <f>CONCATENATE(C770," ",B770)</f>
        <v>ALAN DARRINGTON</v>
      </c>
      <c r="E770" s="15" t="s">
        <v>274</v>
      </c>
      <c r="F770" s="15" t="s">
        <v>363</v>
      </c>
      <c r="G770" s="15" t="s">
        <v>364</v>
      </c>
      <c r="H770" s="15" t="s">
        <v>1338</v>
      </c>
      <c r="I770" s="21">
        <v>1706194</v>
      </c>
      <c r="J770" s="15" t="s">
        <v>74</v>
      </c>
      <c r="K770" s="15" t="s">
        <v>75</v>
      </c>
      <c r="L770" s="15" t="str">
        <f>CONCATENATE(K770," ",J770)</f>
        <v>MATTHEW DAUGHERTY</v>
      </c>
      <c r="M770" s="15" t="s">
        <v>57</v>
      </c>
      <c r="N770" s="16">
        <v>46034</v>
      </c>
      <c r="O770" s="16">
        <v>46093</v>
      </c>
      <c r="P770" s="24">
        <f>DATEDIF(N770,O770,"M")</f>
        <v>2</v>
      </c>
      <c r="Q770" s="24" t="s">
        <v>157</v>
      </c>
      <c r="R770" s="24" t="s">
        <v>1391</v>
      </c>
      <c r="S770" s="17">
        <v>85.94</v>
      </c>
      <c r="T770" s="25">
        <v>0.375</v>
      </c>
      <c r="U770" s="15" t="s">
        <v>60</v>
      </c>
      <c r="V770" s="15" t="s">
        <v>135</v>
      </c>
      <c r="W770" s="17">
        <v>32.229999999999997</v>
      </c>
    </row>
    <row r="771" spans="1:23" s="15" customFormat="1" x14ac:dyDescent="0.25">
      <c r="A771" s="15">
        <v>2032913539</v>
      </c>
      <c r="B771" s="15" t="s">
        <v>925</v>
      </c>
      <c r="C771" s="15" t="s">
        <v>926</v>
      </c>
      <c r="D771" s="15" t="str">
        <f>CONCATENATE(C771," ",B771)</f>
        <v>ALAN DARRINGTON</v>
      </c>
      <c r="E771" s="15" t="s">
        <v>274</v>
      </c>
      <c r="F771" s="15" t="s">
        <v>72</v>
      </c>
      <c r="G771" s="15" t="s">
        <v>73</v>
      </c>
      <c r="H771" s="15" t="s">
        <v>1329</v>
      </c>
      <c r="I771" s="21">
        <v>1706194</v>
      </c>
      <c r="J771" s="15" t="s">
        <v>74</v>
      </c>
      <c r="K771" s="15" t="s">
        <v>75</v>
      </c>
      <c r="L771" s="15" t="str">
        <f>CONCATENATE(K771," ",J771)</f>
        <v>MATTHEW DAUGHERTY</v>
      </c>
      <c r="M771" s="15" t="s">
        <v>57</v>
      </c>
      <c r="N771" s="16">
        <v>46034</v>
      </c>
      <c r="O771" s="16">
        <v>46093</v>
      </c>
      <c r="P771" s="24">
        <f>DATEDIF(N771,O771,"M")</f>
        <v>2</v>
      </c>
      <c r="Q771" s="24" t="s">
        <v>157</v>
      </c>
      <c r="R771" s="24" t="s">
        <v>1391</v>
      </c>
      <c r="S771" s="17">
        <v>101.2</v>
      </c>
      <c r="T771" s="18">
        <v>0.75</v>
      </c>
      <c r="U771" s="15" t="s">
        <v>60</v>
      </c>
      <c r="V771" s="15" t="s">
        <v>135</v>
      </c>
      <c r="W771" s="17">
        <v>75.900000000000006</v>
      </c>
    </row>
    <row r="772" spans="1:23" s="15" customFormat="1" x14ac:dyDescent="0.25">
      <c r="A772" s="15">
        <v>2032703288</v>
      </c>
      <c r="B772" s="15" t="s">
        <v>913</v>
      </c>
      <c r="C772" s="15" t="s">
        <v>466</v>
      </c>
      <c r="D772" s="15" t="str">
        <f>CONCATENATE(C772," ",B772)</f>
        <v>BRYAN GIBSON</v>
      </c>
      <c r="E772" s="15" t="s">
        <v>90</v>
      </c>
      <c r="F772" s="15" t="s">
        <v>72</v>
      </c>
      <c r="G772" s="15" t="s">
        <v>73</v>
      </c>
      <c r="H772" s="15" t="s">
        <v>1329</v>
      </c>
      <c r="I772" s="21">
        <v>1706194</v>
      </c>
      <c r="J772" s="15" t="s">
        <v>74</v>
      </c>
      <c r="K772" s="15" t="s">
        <v>75</v>
      </c>
      <c r="L772" s="15" t="str">
        <f>CONCATENATE(K772," ",J772)</f>
        <v>MATTHEW DAUGHERTY</v>
      </c>
      <c r="M772" s="15" t="s">
        <v>57</v>
      </c>
      <c r="N772" s="16">
        <v>46023</v>
      </c>
      <c r="O772" s="16">
        <v>46082</v>
      </c>
      <c r="P772" s="24">
        <f>DATEDIF(N772,O772,"M")</f>
        <v>2</v>
      </c>
      <c r="Q772" s="24" t="s">
        <v>157</v>
      </c>
      <c r="R772" s="24" t="s">
        <v>1391</v>
      </c>
      <c r="S772" s="17">
        <v>74.11</v>
      </c>
      <c r="T772" s="18">
        <v>0.75</v>
      </c>
      <c r="U772" s="15" t="s">
        <v>60</v>
      </c>
      <c r="V772" s="15" t="s">
        <v>135</v>
      </c>
      <c r="W772" s="17">
        <v>55.58</v>
      </c>
    </row>
    <row r="773" spans="1:23" s="15" customFormat="1" x14ac:dyDescent="0.25">
      <c r="A773" s="15">
        <v>2033115853</v>
      </c>
      <c r="B773" s="15" t="s">
        <v>145</v>
      </c>
      <c r="C773" s="15" t="s">
        <v>146</v>
      </c>
      <c r="D773" s="15" t="str">
        <f>CONCATENATE(C773," ",B773)</f>
        <v>FELICIA SMITH</v>
      </c>
      <c r="E773" s="15" t="s">
        <v>147</v>
      </c>
      <c r="F773" s="15" t="s">
        <v>72</v>
      </c>
      <c r="G773" s="15" t="s">
        <v>73</v>
      </c>
      <c r="H773" s="15" t="s">
        <v>1329</v>
      </c>
      <c r="I773" s="21">
        <v>1706194</v>
      </c>
      <c r="J773" s="15" t="s">
        <v>74</v>
      </c>
      <c r="K773" s="15" t="s">
        <v>75</v>
      </c>
      <c r="L773" s="15" t="str">
        <f>CONCATENATE(K773," ",J773)</f>
        <v>MATTHEW DAUGHERTY</v>
      </c>
      <c r="M773" s="15" t="s">
        <v>57</v>
      </c>
      <c r="N773" s="16">
        <v>46035</v>
      </c>
      <c r="O773" s="16">
        <v>46094</v>
      </c>
      <c r="P773" s="24">
        <f>DATEDIF(N773,O773,"M")</f>
        <v>2</v>
      </c>
      <c r="Q773" s="24" t="s">
        <v>157</v>
      </c>
      <c r="R773" s="24" t="s">
        <v>1391</v>
      </c>
      <c r="S773" s="17">
        <v>58.93</v>
      </c>
      <c r="T773" s="18">
        <v>0.75</v>
      </c>
      <c r="U773" s="15" t="s">
        <v>60</v>
      </c>
      <c r="V773" s="15" t="s">
        <v>135</v>
      </c>
      <c r="W773" s="17">
        <v>44.2</v>
      </c>
    </row>
    <row r="774" spans="1:23" s="15" customFormat="1" x14ac:dyDescent="0.25">
      <c r="A774" s="15">
        <v>2032349265</v>
      </c>
      <c r="B774" s="15" t="s">
        <v>839</v>
      </c>
      <c r="C774" s="15" t="s">
        <v>840</v>
      </c>
      <c r="D774" s="15" t="str">
        <f>CONCATENATE(C774," ",B774)</f>
        <v>ANNIE GUTIERREZ</v>
      </c>
      <c r="E774" s="15" t="s">
        <v>90</v>
      </c>
      <c r="F774" s="15" t="s">
        <v>72</v>
      </c>
      <c r="G774" s="15" t="s">
        <v>73</v>
      </c>
      <c r="H774" s="15" t="s">
        <v>1329</v>
      </c>
      <c r="I774" s="21">
        <v>1706194</v>
      </c>
      <c r="J774" s="15" t="s">
        <v>74</v>
      </c>
      <c r="K774" s="15" t="s">
        <v>75</v>
      </c>
      <c r="L774" s="15" t="str">
        <f>CONCATENATE(K774," ",J774)</f>
        <v>MATTHEW DAUGHERTY</v>
      </c>
      <c r="M774" s="15" t="s">
        <v>57</v>
      </c>
      <c r="N774" s="16">
        <v>46023</v>
      </c>
      <c r="O774" s="16">
        <v>46082</v>
      </c>
      <c r="P774" s="24">
        <f>DATEDIF(N774,O774,"M")</f>
        <v>2</v>
      </c>
      <c r="Q774" s="24" t="s">
        <v>157</v>
      </c>
      <c r="R774" s="24" t="s">
        <v>1391</v>
      </c>
      <c r="S774" s="17">
        <v>49.93</v>
      </c>
      <c r="T774" s="18">
        <v>0.75</v>
      </c>
      <c r="U774" s="15" t="s">
        <v>60</v>
      </c>
      <c r="V774" s="15" t="s">
        <v>135</v>
      </c>
      <c r="W774" s="17">
        <v>37.450000000000003</v>
      </c>
    </row>
    <row r="775" spans="1:23" s="15" customFormat="1" x14ac:dyDescent="0.25">
      <c r="A775" s="15">
        <v>2033106166</v>
      </c>
      <c r="B775" s="15" t="s">
        <v>1079</v>
      </c>
      <c r="C775" s="15" t="s">
        <v>1080</v>
      </c>
      <c r="D775" s="15" t="str">
        <f>CONCATENATE(C775," ",B775)</f>
        <v>VALENTIN BACHVAROV</v>
      </c>
      <c r="E775" s="15" t="s">
        <v>71</v>
      </c>
      <c r="F775" s="15" t="s">
        <v>72</v>
      </c>
      <c r="G775" s="15" t="s">
        <v>93</v>
      </c>
      <c r="H775" s="15" t="s">
        <v>1332</v>
      </c>
      <c r="I775" s="21">
        <v>1706194</v>
      </c>
      <c r="J775" s="15" t="s">
        <v>74</v>
      </c>
      <c r="K775" s="15" t="s">
        <v>75</v>
      </c>
      <c r="L775" s="15" t="str">
        <f>CONCATENATE(K775," ",J775)</f>
        <v>MATTHEW DAUGHERTY</v>
      </c>
      <c r="M775" s="15" t="s">
        <v>57</v>
      </c>
      <c r="N775" s="16">
        <v>46035</v>
      </c>
      <c r="O775" s="16">
        <v>46094</v>
      </c>
      <c r="P775" s="24">
        <f>DATEDIF(N775,O775,"M")</f>
        <v>2</v>
      </c>
      <c r="Q775" s="24" t="s">
        <v>157</v>
      </c>
      <c r="R775" s="24" t="s">
        <v>1391</v>
      </c>
      <c r="S775" s="17">
        <v>152.33000000000001</v>
      </c>
      <c r="T775" s="18">
        <v>0.9</v>
      </c>
      <c r="U775" s="15" t="s">
        <v>60</v>
      </c>
      <c r="V775" s="15" t="s">
        <v>135</v>
      </c>
      <c r="W775" s="17">
        <v>137.1</v>
      </c>
    </row>
    <row r="776" spans="1:23" s="15" customFormat="1" x14ac:dyDescent="0.25">
      <c r="A776" s="15">
        <v>2033115852</v>
      </c>
      <c r="B776" s="15" t="s">
        <v>145</v>
      </c>
      <c r="C776" s="15" t="s">
        <v>146</v>
      </c>
      <c r="D776" s="15" t="str">
        <f>CONCATENATE(C776," ",B776)</f>
        <v>FELICIA SMITH</v>
      </c>
      <c r="E776" s="15" t="s">
        <v>147</v>
      </c>
      <c r="F776" s="15" t="s">
        <v>130</v>
      </c>
      <c r="G776" s="15" t="s">
        <v>148</v>
      </c>
      <c r="H776" s="15" t="s">
        <v>148</v>
      </c>
      <c r="I776" s="21">
        <v>1706194</v>
      </c>
      <c r="J776" s="15" t="s">
        <v>74</v>
      </c>
      <c r="K776" s="15" t="s">
        <v>75</v>
      </c>
      <c r="L776" s="15" t="str">
        <f>CONCATENATE(K776," ",J776)</f>
        <v>MATTHEW DAUGHERTY</v>
      </c>
      <c r="M776" s="15" t="s">
        <v>57</v>
      </c>
      <c r="N776" s="16">
        <v>46035</v>
      </c>
      <c r="O776" s="16">
        <v>46094</v>
      </c>
      <c r="P776" s="24">
        <f>DATEDIF(N776,O776,"M")</f>
        <v>2</v>
      </c>
      <c r="Q776" s="24" t="s">
        <v>157</v>
      </c>
      <c r="R776" s="24" t="s">
        <v>1391</v>
      </c>
      <c r="S776" s="17">
        <v>422.96</v>
      </c>
      <c r="T776" s="18">
        <v>0.28999999999999998</v>
      </c>
      <c r="U776" s="15" t="s">
        <v>60</v>
      </c>
      <c r="V776" s="15" t="s">
        <v>135</v>
      </c>
      <c r="W776" s="17">
        <v>122.66</v>
      </c>
    </row>
    <row r="777" spans="1:23" s="15" customFormat="1" x14ac:dyDescent="0.25">
      <c r="A777" s="15">
        <v>2033115854</v>
      </c>
      <c r="B777" s="15" t="s">
        <v>145</v>
      </c>
      <c r="C777" s="15" t="s">
        <v>146</v>
      </c>
      <c r="D777" s="15" t="str">
        <f>CONCATENATE(C777," ",B777)</f>
        <v>FELICIA SMITH</v>
      </c>
      <c r="E777" s="15" t="s">
        <v>147</v>
      </c>
      <c r="F777" s="15" t="s">
        <v>350</v>
      </c>
      <c r="G777" s="15" t="s">
        <v>574</v>
      </c>
      <c r="H777" s="15" t="s">
        <v>148</v>
      </c>
      <c r="I777" s="21">
        <v>1706194</v>
      </c>
      <c r="J777" s="15" t="s">
        <v>74</v>
      </c>
      <c r="K777" s="15" t="s">
        <v>75</v>
      </c>
      <c r="L777" s="15" t="str">
        <f>CONCATENATE(K777," ",J777)</f>
        <v>MATTHEW DAUGHERTY</v>
      </c>
      <c r="M777" s="15" t="s">
        <v>57</v>
      </c>
      <c r="N777" s="16">
        <v>46035</v>
      </c>
      <c r="O777" s="16">
        <v>46094</v>
      </c>
      <c r="P777" s="24">
        <f>DATEDIF(N777,O777,"M")</f>
        <v>2</v>
      </c>
      <c r="Q777" s="24" t="s">
        <v>157</v>
      </c>
      <c r="R777" s="24" t="s">
        <v>1391</v>
      </c>
      <c r="S777" s="17">
        <v>15</v>
      </c>
      <c r="T777" s="18">
        <v>0.28999999999999998</v>
      </c>
      <c r="U777" s="15" t="s">
        <v>60</v>
      </c>
      <c r="V777" s="15" t="s">
        <v>135</v>
      </c>
      <c r="W777" s="17">
        <v>4.3499999999999996</v>
      </c>
    </row>
    <row r="778" spans="1:23" s="15" customFormat="1" x14ac:dyDescent="0.25">
      <c r="A778" s="15">
        <v>2032703289</v>
      </c>
      <c r="B778" s="15" t="s">
        <v>913</v>
      </c>
      <c r="C778" s="15" t="s">
        <v>466</v>
      </c>
      <c r="D778" s="15" t="str">
        <f>CONCATENATE(C778," ",B778)</f>
        <v>BRYAN GIBSON</v>
      </c>
      <c r="E778" s="15" t="s">
        <v>90</v>
      </c>
      <c r="F778" s="15" t="s">
        <v>383</v>
      </c>
      <c r="G778" s="15" t="s">
        <v>384</v>
      </c>
      <c r="H778" s="15" t="s">
        <v>384</v>
      </c>
      <c r="I778" s="21">
        <v>1706194</v>
      </c>
      <c r="J778" s="15" t="s">
        <v>74</v>
      </c>
      <c r="K778" s="15" t="s">
        <v>75</v>
      </c>
      <c r="L778" s="15" t="str">
        <f>CONCATENATE(K778," ",J778)</f>
        <v>MATTHEW DAUGHERTY</v>
      </c>
      <c r="M778" s="15" t="s">
        <v>57</v>
      </c>
      <c r="N778" s="16">
        <v>46023</v>
      </c>
      <c r="O778" s="16">
        <v>46082</v>
      </c>
      <c r="P778" s="24">
        <f>DATEDIF(N778,O778,"M")</f>
        <v>2</v>
      </c>
      <c r="Q778" s="24" t="s">
        <v>157</v>
      </c>
      <c r="R778" s="24" t="s">
        <v>1391</v>
      </c>
      <c r="S778" s="17">
        <v>172.75</v>
      </c>
      <c r="T778" s="18">
        <v>0.7</v>
      </c>
      <c r="U778" s="15" t="s">
        <v>60</v>
      </c>
      <c r="V778" s="15" t="s">
        <v>135</v>
      </c>
      <c r="W778" s="17">
        <v>120.92</v>
      </c>
    </row>
    <row r="779" spans="1:23" s="15" customFormat="1" x14ac:dyDescent="0.25">
      <c r="A779" s="15">
        <v>2032349264</v>
      </c>
      <c r="B779" s="15" t="s">
        <v>839</v>
      </c>
      <c r="C779" s="15" t="s">
        <v>840</v>
      </c>
      <c r="D779" s="15" t="str">
        <f>CONCATENATE(C779," ",B779)</f>
        <v>ANNIE GUTIERREZ</v>
      </c>
      <c r="E779" s="15" t="s">
        <v>90</v>
      </c>
      <c r="F779" s="15" t="s">
        <v>383</v>
      </c>
      <c r="G779" s="15" t="s">
        <v>384</v>
      </c>
      <c r="H779" s="15" t="s">
        <v>384</v>
      </c>
      <c r="I779" s="21">
        <v>1706194</v>
      </c>
      <c r="J779" s="15" t="s">
        <v>74</v>
      </c>
      <c r="K779" s="15" t="s">
        <v>75</v>
      </c>
      <c r="L779" s="15" t="str">
        <f>CONCATENATE(K779," ",J779)</f>
        <v>MATTHEW DAUGHERTY</v>
      </c>
      <c r="M779" s="15" t="s">
        <v>57</v>
      </c>
      <c r="N779" s="16">
        <v>46023</v>
      </c>
      <c r="O779" s="16">
        <v>46082</v>
      </c>
      <c r="P779" s="24">
        <f>DATEDIF(N779,O779,"M")</f>
        <v>2</v>
      </c>
      <c r="Q779" s="24" t="s">
        <v>157</v>
      </c>
      <c r="R779" s="24" t="s">
        <v>1391</v>
      </c>
      <c r="S779" s="17">
        <v>56.91</v>
      </c>
      <c r="T779" s="18">
        <v>0.7</v>
      </c>
      <c r="U779" s="15" t="s">
        <v>60</v>
      </c>
      <c r="V779" s="15" t="s">
        <v>135</v>
      </c>
      <c r="W779" s="17">
        <v>39.840000000000003</v>
      </c>
    </row>
    <row r="780" spans="1:23" s="15" customFormat="1" x14ac:dyDescent="0.25">
      <c r="A780" s="15">
        <v>2033106167</v>
      </c>
      <c r="B780" s="15" t="s">
        <v>1079</v>
      </c>
      <c r="C780" s="15" t="s">
        <v>1080</v>
      </c>
      <c r="D780" s="15" t="str">
        <f>CONCATENATE(C780," ",B780)</f>
        <v>VALENTIN BACHVAROV</v>
      </c>
      <c r="E780" s="15" t="s">
        <v>71</v>
      </c>
      <c r="F780" s="15" t="s">
        <v>363</v>
      </c>
      <c r="G780" s="15" t="s">
        <v>364</v>
      </c>
      <c r="H780" s="15" t="s">
        <v>364</v>
      </c>
      <c r="I780" s="21">
        <v>1706194</v>
      </c>
      <c r="J780" s="15" t="s">
        <v>74</v>
      </c>
      <c r="K780" s="15" t="s">
        <v>75</v>
      </c>
      <c r="L780" s="15" t="str">
        <f>CONCATENATE(K780," ",J780)</f>
        <v>MATTHEW DAUGHERTY</v>
      </c>
      <c r="M780" s="15" t="s">
        <v>57</v>
      </c>
      <c r="N780" s="16">
        <v>46035</v>
      </c>
      <c r="O780" s="16">
        <v>46094</v>
      </c>
      <c r="P780" s="24">
        <f>DATEDIF(N780,O780,"M")</f>
        <v>2</v>
      </c>
      <c r="Q780" s="24" t="s">
        <v>157</v>
      </c>
      <c r="R780" s="24" t="s">
        <v>1391</v>
      </c>
      <c r="S780" s="17">
        <v>71.22</v>
      </c>
      <c r="T780" s="25">
        <v>0.375</v>
      </c>
      <c r="U780" s="15" t="s">
        <v>60</v>
      </c>
      <c r="V780" s="15" t="s">
        <v>135</v>
      </c>
      <c r="W780" s="17">
        <v>26.71</v>
      </c>
    </row>
    <row r="781" spans="1:23" s="15" customFormat="1" x14ac:dyDescent="0.25">
      <c r="A781" s="15">
        <v>2030905165</v>
      </c>
      <c r="B781" s="15" t="s">
        <v>572</v>
      </c>
      <c r="C781" s="15" t="s">
        <v>573</v>
      </c>
      <c r="D781" s="15" t="str">
        <f>CONCATENATE(C781," ",B781)</f>
        <v>BARRETT JASO</v>
      </c>
      <c r="E781" s="15" t="s">
        <v>90</v>
      </c>
      <c r="F781" s="15" t="s">
        <v>350</v>
      </c>
      <c r="G781" s="15" t="s">
        <v>574</v>
      </c>
      <c r="H781" s="15" t="s">
        <v>148</v>
      </c>
      <c r="I781" s="21">
        <v>1706194</v>
      </c>
      <c r="J781" s="15" t="s">
        <v>74</v>
      </c>
      <c r="K781" s="15" t="s">
        <v>75</v>
      </c>
      <c r="L781" s="15" t="str">
        <f>CONCATENATE(K781," ",J781)</f>
        <v>MATTHEW DAUGHERTY</v>
      </c>
      <c r="M781" s="15" t="s">
        <v>57</v>
      </c>
      <c r="N781" s="16">
        <v>45906</v>
      </c>
      <c r="O781" s="16">
        <v>46087</v>
      </c>
      <c r="P781" s="24">
        <f>DATEDIF(N781,O781,"M")</f>
        <v>6</v>
      </c>
      <c r="Q781" s="24" t="s">
        <v>157</v>
      </c>
      <c r="R781" s="24" t="s">
        <v>1391</v>
      </c>
      <c r="S781" s="17">
        <v>15</v>
      </c>
      <c r="T781" s="18">
        <v>0.28999999999999998</v>
      </c>
      <c r="U781" s="15" t="s">
        <v>60</v>
      </c>
      <c r="V781" s="15" t="s">
        <v>135</v>
      </c>
      <c r="W781" s="17">
        <v>4.3499999999999996</v>
      </c>
    </row>
    <row r="782" spans="1:23" s="15" customFormat="1" x14ac:dyDescent="0.25">
      <c r="A782" s="15">
        <v>2030447483</v>
      </c>
      <c r="B782" s="15" t="s">
        <v>772</v>
      </c>
      <c r="C782" s="15" t="s">
        <v>773</v>
      </c>
      <c r="D782" s="15" t="str">
        <f>CONCATENATE(C782," ",B782)</f>
        <v>SANDRA MANSFIELD</v>
      </c>
      <c r="E782" s="15" t="s">
        <v>170</v>
      </c>
      <c r="F782" s="15" t="s">
        <v>383</v>
      </c>
      <c r="G782" s="15" t="s">
        <v>384</v>
      </c>
      <c r="H782" s="15" t="s">
        <v>384</v>
      </c>
      <c r="I782" s="21">
        <v>1706194</v>
      </c>
      <c r="J782" s="15" t="s">
        <v>74</v>
      </c>
      <c r="K782" s="15" t="s">
        <v>75</v>
      </c>
      <c r="L782" s="15" t="str">
        <f>CONCATENATE(K782," ",J782)</f>
        <v>MATTHEW DAUGHERTY</v>
      </c>
      <c r="M782" s="15" t="s">
        <v>57</v>
      </c>
      <c r="N782" s="16">
        <v>45882</v>
      </c>
      <c r="O782" s="16">
        <v>46094</v>
      </c>
      <c r="P782" s="24">
        <f>DATEDIF(N782,O782,"M")</f>
        <v>7</v>
      </c>
      <c r="Q782" s="24" t="s">
        <v>157</v>
      </c>
      <c r="R782" s="24" t="s">
        <v>1391</v>
      </c>
      <c r="S782" s="17">
        <v>10.53</v>
      </c>
      <c r="T782" s="18">
        <v>0.7</v>
      </c>
      <c r="U782" s="15" t="s">
        <v>60</v>
      </c>
      <c r="V782" s="15" t="s">
        <v>135</v>
      </c>
      <c r="W782" s="17">
        <v>7.36</v>
      </c>
    </row>
    <row r="783" spans="1:23" s="15" customFormat="1" x14ac:dyDescent="0.25">
      <c r="A783" s="15">
        <v>2030447484</v>
      </c>
      <c r="B783" s="15" t="s">
        <v>772</v>
      </c>
      <c r="C783" s="15" t="s">
        <v>773</v>
      </c>
      <c r="D783" s="15" t="str">
        <f>CONCATENATE(C783," ",B783)</f>
        <v>SANDRA MANSFIELD</v>
      </c>
      <c r="E783" s="15" t="s">
        <v>170</v>
      </c>
      <c r="F783" s="15" t="s">
        <v>363</v>
      </c>
      <c r="G783" s="15" t="s">
        <v>364</v>
      </c>
      <c r="H783" s="15" t="s">
        <v>364</v>
      </c>
      <c r="I783" s="21">
        <v>1706194</v>
      </c>
      <c r="J783" s="15" t="s">
        <v>74</v>
      </c>
      <c r="K783" s="15" t="s">
        <v>75</v>
      </c>
      <c r="L783" s="15" t="str">
        <f>CONCATENATE(K783," ",J783)</f>
        <v>MATTHEW DAUGHERTY</v>
      </c>
      <c r="M783" s="15" t="s">
        <v>57</v>
      </c>
      <c r="N783" s="16">
        <v>45882</v>
      </c>
      <c r="O783" s="16">
        <v>46094</v>
      </c>
      <c r="P783" s="24">
        <f>DATEDIF(N783,O783,"M")</f>
        <v>7</v>
      </c>
      <c r="Q783" s="24" t="s">
        <v>157</v>
      </c>
      <c r="R783" s="24" t="s">
        <v>1391</v>
      </c>
      <c r="S783" s="17">
        <v>73.17</v>
      </c>
      <c r="T783" s="25">
        <v>0.375</v>
      </c>
      <c r="U783" s="15" t="s">
        <v>60</v>
      </c>
      <c r="V783" s="15" t="s">
        <v>135</v>
      </c>
      <c r="W783" s="17">
        <v>27.44</v>
      </c>
    </row>
    <row r="784" spans="1:23" s="15" customFormat="1" x14ac:dyDescent="0.25">
      <c r="A784" s="15">
        <v>2025973879</v>
      </c>
      <c r="B784" s="15" t="s">
        <v>1206</v>
      </c>
      <c r="C784" s="15" t="s">
        <v>1207</v>
      </c>
      <c r="D784" s="15" t="str">
        <f>CONCATENATE(C784," ",B784)</f>
        <v>JIMMY EAVES</v>
      </c>
      <c r="E784" s="15" t="s">
        <v>112</v>
      </c>
      <c r="F784" s="15" t="s">
        <v>383</v>
      </c>
      <c r="G784" s="15" t="s">
        <v>385</v>
      </c>
      <c r="H784" s="15" t="s">
        <v>385</v>
      </c>
      <c r="I784" s="21">
        <v>1706194</v>
      </c>
      <c r="J784" s="15" t="s">
        <v>74</v>
      </c>
      <c r="K784" s="15" t="s">
        <v>75</v>
      </c>
      <c r="L784" s="15" t="str">
        <f>CONCATENATE(K784," ",J784)</f>
        <v>MATTHEW DAUGHERTY</v>
      </c>
      <c r="M784" s="15" t="s">
        <v>57</v>
      </c>
      <c r="N784" s="16">
        <v>45658</v>
      </c>
      <c r="O784" s="16">
        <v>46082</v>
      </c>
      <c r="P784" s="24">
        <f>DATEDIF(N784,O784,"M")</f>
        <v>14</v>
      </c>
      <c r="Q784" s="24" t="s">
        <v>157</v>
      </c>
      <c r="R784" s="24" t="s">
        <v>1391</v>
      </c>
      <c r="S784" s="17">
        <v>83.63</v>
      </c>
      <c r="T784" s="18">
        <v>0.1</v>
      </c>
      <c r="U784" s="15" t="s">
        <v>157</v>
      </c>
      <c r="V784" s="15" t="s">
        <v>135</v>
      </c>
      <c r="W784" s="17">
        <v>8.36</v>
      </c>
    </row>
    <row r="785" spans="1:55" s="15" customFormat="1" x14ac:dyDescent="0.25">
      <c r="A785" s="6">
        <v>2032629846</v>
      </c>
      <c r="B785" s="6" t="s">
        <v>601</v>
      </c>
      <c r="C785" s="6" t="s">
        <v>602</v>
      </c>
      <c r="D785" s="6" t="str">
        <f>CONCATENATE(C785," ",B785)</f>
        <v>REBECCA BYRD</v>
      </c>
      <c r="E785" s="6" t="s">
        <v>66</v>
      </c>
      <c r="F785" s="6" t="s">
        <v>350</v>
      </c>
      <c r="G785" s="6" t="s">
        <v>354</v>
      </c>
      <c r="H785" s="6" t="s">
        <v>354</v>
      </c>
      <c r="I785" s="20" t="s">
        <v>1374</v>
      </c>
      <c r="J785" s="6" t="s">
        <v>67</v>
      </c>
      <c r="K785" s="6" t="s">
        <v>68</v>
      </c>
      <c r="L785" s="6" t="str">
        <f>CONCATENATE(K785," ",J785)</f>
        <v>Matthew Sherman</v>
      </c>
      <c r="M785" s="6" t="s">
        <v>57</v>
      </c>
      <c r="N785" s="5">
        <v>46023</v>
      </c>
      <c r="O785" s="5">
        <v>46082</v>
      </c>
      <c r="P785" s="23">
        <f>DATEDIF(N785,O785,"M")</f>
        <v>2</v>
      </c>
      <c r="Q785" s="23" t="s">
        <v>157</v>
      </c>
      <c r="R785" s="23" t="s">
        <v>1390</v>
      </c>
      <c r="S785" s="7">
        <v>-15</v>
      </c>
      <c r="T785" s="13">
        <v>0.38</v>
      </c>
      <c r="U785" s="6" t="s">
        <v>60</v>
      </c>
      <c r="V785" s="6" t="s">
        <v>135</v>
      </c>
      <c r="W785" s="7">
        <v>-5.7</v>
      </c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</row>
    <row r="786" spans="1:55" s="15" customFormat="1" x14ac:dyDescent="0.25">
      <c r="A786" s="6">
        <v>2032114519</v>
      </c>
      <c r="B786" s="6" t="s">
        <v>818</v>
      </c>
      <c r="C786" s="6" t="s">
        <v>65</v>
      </c>
      <c r="D786" s="6" t="str">
        <f>CONCATENATE(C786," ",B786)</f>
        <v>SCOTT WILLSTEAD</v>
      </c>
      <c r="E786" s="6" t="s">
        <v>66</v>
      </c>
      <c r="F786" s="6" t="s">
        <v>383</v>
      </c>
      <c r="G786" s="6" t="s">
        <v>385</v>
      </c>
      <c r="H786" s="6" t="s">
        <v>385</v>
      </c>
      <c r="I786" s="20" t="s">
        <v>1374</v>
      </c>
      <c r="J786" s="6" t="s">
        <v>67</v>
      </c>
      <c r="K786" s="6" t="s">
        <v>68</v>
      </c>
      <c r="L786" s="6" t="str">
        <f>CONCATENATE(K786," ",J786)</f>
        <v>Matthew Sherman</v>
      </c>
      <c r="M786" s="6" t="s">
        <v>57</v>
      </c>
      <c r="N786" s="5">
        <v>45973</v>
      </c>
      <c r="O786" s="5">
        <v>46093</v>
      </c>
      <c r="P786" s="23">
        <f>DATEDIF(N786,O786,"M")</f>
        <v>4</v>
      </c>
      <c r="Q786" s="23" t="s">
        <v>157</v>
      </c>
      <c r="R786" s="23" t="s">
        <v>1390</v>
      </c>
      <c r="S786" s="7">
        <v>56.75</v>
      </c>
      <c r="T786" s="13">
        <v>0.9</v>
      </c>
      <c r="U786" s="6" t="s">
        <v>60</v>
      </c>
      <c r="V786" s="6" t="s">
        <v>135</v>
      </c>
      <c r="W786" s="7">
        <v>51.08</v>
      </c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</row>
    <row r="787" spans="1:55" s="15" customFormat="1" x14ac:dyDescent="0.25">
      <c r="A787" s="6">
        <v>2032114433</v>
      </c>
      <c r="B787" s="6" t="s">
        <v>818</v>
      </c>
      <c r="C787" s="6" t="s">
        <v>819</v>
      </c>
      <c r="D787" s="6" t="str">
        <f>CONCATENATE(C787," ",B787)</f>
        <v>KRISTY WILLSTEAD</v>
      </c>
      <c r="E787" s="6" t="s">
        <v>66</v>
      </c>
      <c r="F787" s="6" t="s">
        <v>383</v>
      </c>
      <c r="G787" s="6" t="s">
        <v>385</v>
      </c>
      <c r="H787" s="6" t="s">
        <v>385</v>
      </c>
      <c r="I787" s="20" t="s">
        <v>1374</v>
      </c>
      <c r="J787" s="6" t="s">
        <v>67</v>
      </c>
      <c r="K787" s="6" t="s">
        <v>68</v>
      </c>
      <c r="L787" s="6" t="str">
        <f>CONCATENATE(K787," ",J787)</f>
        <v>Matthew Sherman</v>
      </c>
      <c r="M787" s="6" t="s">
        <v>57</v>
      </c>
      <c r="N787" s="5">
        <v>45973</v>
      </c>
      <c r="O787" s="5">
        <v>46093</v>
      </c>
      <c r="P787" s="23">
        <f>DATEDIF(N787,O787,"M")</f>
        <v>4</v>
      </c>
      <c r="Q787" s="23" t="s">
        <v>157</v>
      </c>
      <c r="R787" s="23" t="s">
        <v>1390</v>
      </c>
      <c r="S787" s="7">
        <v>41.75</v>
      </c>
      <c r="T787" s="13">
        <v>0.9</v>
      </c>
      <c r="U787" s="6" t="s">
        <v>60</v>
      </c>
      <c r="V787" s="6" t="s">
        <v>135</v>
      </c>
      <c r="W787" s="7">
        <v>37.58</v>
      </c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</row>
    <row r="788" spans="1:55" s="15" customFormat="1" x14ac:dyDescent="0.25">
      <c r="A788" s="6">
        <v>2028792969</v>
      </c>
      <c r="B788" s="6" t="s">
        <v>645</v>
      </c>
      <c r="C788" s="6" t="s">
        <v>188</v>
      </c>
      <c r="D788" s="6" t="str">
        <f>CONCATENATE(C788," ",B788)</f>
        <v>MICHAEL DUNAVANT</v>
      </c>
      <c r="E788" s="6" t="s">
        <v>66</v>
      </c>
      <c r="F788" s="6" t="s">
        <v>72</v>
      </c>
      <c r="G788" s="6" t="s">
        <v>79</v>
      </c>
      <c r="H788" s="6" t="s">
        <v>1329</v>
      </c>
      <c r="I788" s="20" t="s">
        <v>1375</v>
      </c>
      <c r="J788" s="6" t="s">
        <v>645</v>
      </c>
      <c r="K788" s="6" t="s">
        <v>188</v>
      </c>
      <c r="L788" s="6" t="str">
        <f>CONCATENATE(K788," ",J788)</f>
        <v>MICHAEL DUNAVANT</v>
      </c>
      <c r="M788" s="6" t="s">
        <v>57</v>
      </c>
      <c r="N788" s="5">
        <v>45784</v>
      </c>
      <c r="O788" s="5">
        <v>46088</v>
      </c>
      <c r="P788" s="23">
        <f>DATEDIF(N788,O788,"M")</f>
        <v>10</v>
      </c>
      <c r="Q788" s="23" t="s">
        <v>157</v>
      </c>
      <c r="R788" s="23" t="s">
        <v>1391</v>
      </c>
      <c r="S788" s="7">
        <v>18.05</v>
      </c>
      <c r="T788" s="13">
        <v>0.75</v>
      </c>
      <c r="U788" s="6" t="s">
        <v>60</v>
      </c>
      <c r="V788" s="6" t="s">
        <v>135</v>
      </c>
      <c r="W788" s="7">
        <v>13.54</v>
      </c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</row>
    <row r="789" spans="1:55" s="15" customFormat="1" x14ac:dyDescent="0.25">
      <c r="A789" s="6">
        <v>2028792968</v>
      </c>
      <c r="B789" s="6" t="s">
        <v>645</v>
      </c>
      <c r="C789" s="6" t="s">
        <v>188</v>
      </c>
      <c r="D789" s="6" t="str">
        <f>CONCATENATE(C789," ",B789)</f>
        <v>MICHAEL DUNAVANT</v>
      </c>
      <c r="E789" s="6" t="s">
        <v>66</v>
      </c>
      <c r="F789" s="6" t="s">
        <v>383</v>
      </c>
      <c r="G789" s="6" t="s">
        <v>384</v>
      </c>
      <c r="H789" s="6" t="s">
        <v>384</v>
      </c>
      <c r="I789" s="20" t="s">
        <v>1375</v>
      </c>
      <c r="J789" s="6" t="s">
        <v>645</v>
      </c>
      <c r="K789" s="6" t="s">
        <v>188</v>
      </c>
      <c r="L789" s="6" t="str">
        <f>CONCATENATE(K789," ",J789)</f>
        <v>MICHAEL DUNAVANT</v>
      </c>
      <c r="M789" s="6" t="s">
        <v>57</v>
      </c>
      <c r="N789" s="5">
        <v>45784</v>
      </c>
      <c r="O789" s="5">
        <v>46088</v>
      </c>
      <c r="P789" s="23">
        <f>DATEDIF(N789,O789,"M")</f>
        <v>10</v>
      </c>
      <c r="Q789" s="23" t="s">
        <v>157</v>
      </c>
      <c r="R789" s="23" t="s">
        <v>1391</v>
      </c>
      <c r="S789" s="7">
        <v>33.119999999999997</v>
      </c>
      <c r="T789" s="13">
        <v>0.7</v>
      </c>
      <c r="U789" s="6" t="s">
        <v>60</v>
      </c>
      <c r="V789" s="6" t="s">
        <v>135</v>
      </c>
      <c r="W789" s="7">
        <v>23.18</v>
      </c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</row>
    <row r="790" spans="1:55" s="15" customFormat="1" x14ac:dyDescent="0.25">
      <c r="A790" s="6">
        <v>2027052528</v>
      </c>
      <c r="B790" s="6" t="s">
        <v>682</v>
      </c>
      <c r="C790" s="6" t="s">
        <v>683</v>
      </c>
      <c r="D790" s="6" t="str">
        <f>CONCATENATE(C790," ",B790)</f>
        <v>ANDREW RECTOR</v>
      </c>
      <c r="E790" s="6" t="s">
        <v>66</v>
      </c>
      <c r="F790" s="6" t="s">
        <v>383</v>
      </c>
      <c r="G790" s="6" t="s">
        <v>384</v>
      </c>
      <c r="H790" s="6" t="s">
        <v>384</v>
      </c>
      <c r="I790" s="20">
        <v>18828278</v>
      </c>
      <c r="J790" s="6" t="s">
        <v>645</v>
      </c>
      <c r="K790" s="6" t="s">
        <v>188</v>
      </c>
      <c r="L790" s="6" t="str">
        <f>CONCATENATE(K790," ",J790)</f>
        <v>MICHAEL DUNAVANT</v>
      </c>
      <c r="M790" s="6" t="s">
        <v>57</v>
      </c>
      <c r="N790" s="5">
        <v>45699</v>
      </c>
      <c r="O790" s="5">
        <v>46092</v>
      </c>
      <c r="P790" s="23">
        <f>DATEDIF(N790,O790,"M")</f>
        <v>13</v>
      </c>
      <c r="Q790" s="23" t="s">
        <v>157</v>
      </c>
      <c r="R790" s="23" t="s">
        <v>1391</v>
      </c>
      <c r="S790" s="7">
        <v>11.5</v>
      </c>
      <c r="T790" s="13">
        <v>0.15</v>
      </c>
      <c r="U790" s="6" t="s">
        <v>157</v>
      </c>
      <c r="V790" s="6" t="s">
        <v>135</v>
      </c>
      <c r="W790" s="7">
        <v>1.72</v>
      </c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</row>
    <row r="791" spans="1:55" s="15" customFormat="1" x14ac:dyDescent="0.25">
      <c r="A791" s="6">
        <v>2027052527</v>
      </c>
      <c r="B791" s="6" t="s">
        <v>682</v>
      </c>
      <c r="C791" s="6" t="s">
        <v>683</v>
      </c>
      <c r="D791" s="6" t="str">
        <f>CONCATENATE(C791," ",B791)</f>
        <v>ANDREW RECTOR</v>
      </c>
      <c r="E791" s="6" t="s">
        <v>66</v>
      </c>
      <c r="F791" s="6" t="s">
        <v>363</v>
      </c>
      <c r="G791" s="6" t="s">
        <v>364</v>
      </c>
      <c r="H791" s="6" t="s">
        <v>364</v>
      </c>
      <c r="I791" s="20">
        <v>18828278</v>
      </c>
      <c r="J791" s="6" t="s">
        <v>645</v>
      </c>
      <c r="K791" s="6" t="s">
        <v>188</v>
      </c>
      <c r="L791" s="6" t="str">
        <f>CONCATENATE(K791," ",J791)</f>
        <v>MICHAEL DUNAVANT</v>
      </c>
      <c r="M791" s="6" t="s">
        <v>57</v>
      </c>
      <c r="N791" s="5">
        <v>45699</v>
      </c>
      <c r="O791" s="5">
        <v>46092</v>
      </c>
      <c r="P791" s="23">
        <f>DATEDIF(N791,O791,"M")</f>
        <v>13</v>
      </c>
      <c r="Q791" s="23" t="s">
        <v>157</v>
      </c>
      <c r="R791" s="23" t="s">
        <v>1391</v>
      </c>
      <c r="S791" s="7">
        <v>48.61</v>
      </c>
      <c r="T791" s="13">
        <v>0.06</v>
      </c>
      <c r="U791" s="6" t="s">
        <v>157</v>
      </c>
      <c r="V791" s="6" t="s">
        <v>135</v>
      </c>
      <c r="W791" s="7">
        <v>2.92</v>
      </c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</row>
    <row r="792" spans="1:55" s="15" customFormat="1" x14ac:dyDescent="0.25">
      <c r="A792" s="6">
        <v>2024197970</v>
      </c>
      <c r="B792" s="6" t="s">
        <v>643</v>
      </c>
      <c r="C792" s="6" t="s">
        <v>644</v>
      </c>
      <c r="D792" s="6" t="str">
        <f>CONCATENATE(C792," ",B792)</f>
        <v>BREE ABBOTT</v>
      </c>
      <c r="E792" s="6" t="s">
        <v>66</v>
      </c>
      <c r="F792" s="6" t="s">
        <v>383</v>
      </c>
      <c r="G792" s="6" t="s">
        <v>384</v>
      </c>
      <c r="H792" s="6" t="s">
        <v>384</v>
      </c>
      <c r="I792" s="20">
        <v>18828278</v>
      </c>
      <c r="J792" s="6" t="s">
        <v>645</v>
      </c>
      <c r="K792" s="6" t="s">
        <v>188</v>
      </c>
      <c r="L792" s="6" t="str">
        <f>CONCATENATE(K792," ",J792)</f>
        <v>MICHAEL DUNAVANT</v>
      </c>
      <c r="M792" s="6" t="s">
        <v>57</v>
      </c>
      <c r="N792" s="5">
        <v>45541</v>
      </c>
      <c r="O792" s="5">
        <v>46087</v>
      </c>
      <c r="P792" s="23">
        <f>DATEDIF(N792,O792,"M")</f>
        <v>18</v>
      </c>
      <c r="Q792" s="23" t="s">
        <v>157</v>
      </c>
      <c r="R792" s="23" t="s">
        <v>1391</v>
      </c>
      <c r="S792" s="7">
        <v>11.5</v>
      </c>
      <c r="T792" s="13">
        <v>0.15</v>
      </c>
      <c r="U792" s="6" t="s">
        <v>157</v>
      </c>
      <c r="V792" s="6" t="s">
        <v>135</v>
      </c>
      <c r="W792" s="7">
        <v>1.72</v>
      </c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</row>
    <row r="793" spans="1:55" s="15" customFormat="1" x14ac:dyDescent="0.25">
      <c r="A793" s="6">
        <v>2024202345</v>
      </c>
      <c r="B793" s="6" t="s">
        <v>1190</v>
      </c>
      <c r="C793" s="6" t="s">
        <v>250</v>
      </c>
      <c r="D793" s="6" t="str">
        <f>CONCATENATE(C793," ",B793)</f>
        <v>DAVID HAMM</v>
      </c>
      <c r="E793" s="6" t="s">
        <v>66</v>
      </c>
      <c r="F793" s="6" t="s">
        <v>383</v>
      </c>
      <c r="G793" s="6" t="s">
        <v>384</v>
      </c>
      <c r="H793" s="6" t="s">
        <v>384</v>
      </c>
      <c r="I793" s="20">
        <v>18828278</v>
      </c>
      <c r="J793" s="6" t="s">
        <v>645</v>
      </c>
      <c r="K793" s="6" t="s">
        <v>188</v>
      </c>
      <c r="L793" s="6" t="str">
        <f>CONCATENATE(K793," ",J793)</f>
        <v>MICHAEL DUNAVANT</v>
      </c>
      <c r="M793" s="6" t="s">
        <v>57</v>
      </c>
      <c r="N793" s="5">
        <v>45541</v>
      </c>
      <c r="O793" s="5">
        <v>46087</v>
      </c>
      <c r="P793" s="23">
        <f>DATEDIF(N793,O793,"M")</f>
        <v>18</v>
      </c>
      <c r="Q793" s="23" t="s">
        <v>157</v>
      </c>
      <c r="R793" s="23" t="s">
        <v>1391</v>
      </c>
      <c r="S793" s="7">
        <v>130.72</v>
      </c>
      <c r="T793" s="13">
        <v>0.15</v>
      </c>
      <c r="U793" s="6" t="s">
        <v>157</v>
      </c>
      <c r="V793" s="6" t="s">
        <v>135</v>
      </c>
      <c r="W793" s="7">
        <v>19.61</v>
      </c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</row>
    <row r="794" spans="1:55" s="15" customFormat="1" x14ac:dyDescent="0.25">
      <c r="A794" s="6">
        <v>2024197969</v>
      </c>
      <c r="B794" s="6" t="s">
        <v>643</v>
      </c>
      <c r="C794" s="6" t="s">
        <v>644</v>
      </c>
      <c r="D794" s="6" t="str">
        <f>CONCATENATE(C794," ",B794)</f>
        <v>BREE ABBOTT</v>
      </c>
      <c r="E794" s="6" t="s">
        <v>66</v>
      </c>
      <c r="F794" s="6" t="s">
        <v>363</v>
      </c>
      <c r="G794" s="6" t="s">
        <v>364</v>
      </c>
      <c r="H794" s="6" t="s">
        <v>364</v>
      </c>
      <c r="I794" s="20">
        <v>18828278</v>
      </c>
      <c r="J794" s="6" t="s">
        <v>645</v>
      </c>
      <c r="K794" s="6" t="s">
        <v>188</v>
      </c>
      <c r="L794" s="6" t="str">
        <f>CONCATENATE(K794," ",J794)</f>
        <v>MICHAEL DUNAVANT</v>
      </c>
      <c r="M794" s="6" t="s">
        <v>57</v>
      </c>
      <c r="N794" s="5">
        <v>45541</v>
      </c>
      <c r="O794" s="5">
        <v>46087</v>
      </c>
      <c r="P794" s="23">
        <f>DATEDIF(N794,O794,"M")</f>
        <v>18</v>
      </c>
      <c r="Q794" s="23" t="s">
        <v>157</v>
      </c>
      <c r="R794" s="23" t="s">
        <v>1391</v>
      </c>
      <c r="S794" s="7">
        <v>18.72</v>
      </c>
      <c r="T794" s="13">
        <v>0.06</v>
      </c>
      <c r="U794" s="6" t="s">
        <v>157</v>
      </c>
      <c r="V794" s="6" t="s">
        <v>135</v>
      </c>
      <c r="W794" s="7">
        <v>1.1200000000000001</v>
      </c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</row>
    <row r="795" spans="1:55" s="15" customFormat="1" x14ac:dyDescent="0.25">
      <c r="A795" s="15">
        <v>2031195331</v>
      </c>
      <c r="B795" s="15" t="s">
        <v>305</v>
      </c>
      <c r="C795" s="15" t="s">
        <v>240</v>
      </c>
      <c r="D795" s="15" t="str">
        <f>CONCATENATE(C795," ",B795)</f>
        <v>JOHN HARPER</v>
      </c>
      <c r="E795" s="15" t="s">
        <v>90</v>
      </c>
      <c r="F795" s="15" t="s">
        <v>383</v>
      </c>
      <c r="G795" s="15" t="s">
        <v>400</v>
      </c>
      <c r="H795" s="15" t="s">
        <v>1172</v>
      </c>
      <c r="I795" s="21">
        <v>21222981</v>
      </c>
      <c r="J795" s="15" t="s">
        <v>435</v>
      </c>
      <c r="K795" s="15" t="s">
        <v>436</v>
      </c>
      <c r="L795" s="15" t="str">
        <f>CONCATENATE(K795," ",J795)</f>
        <v>Michael Garnett</v>
      </c>
      <c r="M795" s="15" t="s">
        <v>57</v>
      </c>
      <c r="N795" s="16">
        <v>45939</v>
      </c>
      <c r="O795" s="16">
        <v>46090</v>
      </c>
      <c r="P795" s="24">
        <f>DATEDIF(N795,O795,"M")</f>
        <v>5</v>
      </c>
      <c r="Q795" s="24" t="s">
        <v>157</v>
      </c>
      <c r="R795" s="24" t="s">
        <v>1391</v>
      </c>
      <c r="S795" s="17">
        <v>25.73</v>
      </c>
      <c r="T795" s="18">
        <v>0.7</v>
      </c>
      <c r="U795" s="15" t="s">
        <v>60</v>
      </c>
      <c r="V795" s="15" t="s">
        <v>135</v>
      </c>
      <c r="W795" s="17">
        <v>18.010000000000002</v>
      </c>
    </row>
    <row r="796" spans="1:55" s="15" customFormat="1" x14ac:dyDescent="0.25">
      <c r="A796" s="15">
        <v>2031106899</v>
      </c>
      <c r="B796" s="15" t="s">
        <v>433</v>
      </c>
      <c r="C796" s="15" t="s">
        <v>434</v>
      </c>
      <c r="D796" s="15" t="str">
        <f>CONCATENATE(C796," ",B796)</f>
        <v>HOLLY MOREN</v>
      </c>
      <c r="E796" s="15" t="s">
        <v>90</v>
      </c>
      <c r="F796" s="15" t="s">
        <v>363</v>
      </c>
      <c r="G796" s="15" t="s">
        <v>364</v>
      </c>
      <c r="H796" s="15" t="s">
        <v>364</v>
      </c>
      <c r="I796" s="21">
        <v>21222981</v>
      </c>
      <c r="J796" s="15" t="s">
        <v>435</v>
      </c>
      <c r="K796" s="15" t="s">
        <v>436</v>
      </c>
      <c r="L796" s="15" t="str">
        <f>CONCATENATE(K796," ",J796)</f>
        <v>Michael Garnett</v>
      </c>
      <c r="M796" s="15" t="s">
        <v>57</v>
      </c>
      <c r="N796" s="16">
        <v>45931</v>
      </c>
      <c r="O796" s="16">
        <v>46082</v>
      </c>
      <c r="P796" s="24">
        <f>DATEDIF(N796,O796,"M")</f>
        <v>5</v>
      </c>
      <c r="Q796" s="24" t="s">
        <v>157</v>
      </c>
      <c r="R796" s="24" t="s">
        <v>1391</v>
      </c>
      <c r="S796" s="17">
        <v>28.38</v>
      </c>
      <c r="T796" s="25">
        <v>0.375</v>
      </c>
      <c r="U796" s="15" t="s">
        <v>60</v>
      </c>
      <c r="V796" s="15" t="s">
        <v>135</v>
      </c>
      <c r="W796" s="17">
        <v>10.64</v>
      </c>
    </row>
    <row r="797" spans="1:55" s="15" customFormat="1" x14ac:dyDescent="0.25">
      <c r="A797" s="15">
        <v>2031195330</v>
      </c>
      <c r="B797" s="15" t="s">
        <v>305</v>
      </c>
      <c r="C797" s="15" t="s">
        <v>240</v>
      </c>
      <c r="D797" s="15" t="str">
        <f>CONCATENATE(C797," ",B797)</f>
        <v>JOHN HARPER</v>
      </c>
      <c r="E797" s="15" t="s">
        <v>90</v>
      </c>
      <c r="F797" s="15" t="s">
        <v>363</v>
      </c>
      <c r="G797" s="15" t="s">
        <v>364</v>
      </c>
      <c r="H797" s="15" t="s">
        <v>364</v>
      </c>
      <c r="I797" s="21">
        <v>21222981</v>
      </c>
      <c r="J797" s="15" t="s">
        <v>435</v>
      </c>
      <c r="K797" s="15" t="s">
        <v>436</v>
      </c>
      <c r="L797" s="15" t="str">
        <f>CONCATENATE(K797," ",J797)</f>
        <v>Michael Garnett</v>
      </c>
      <c r="M797" s="15" t="s">
        <v>57</v>
      </c>
      <c r="N797" s="16">
        <v>45939</v>
      </c>
      <c r="O797" s="16">
        <v>46090</v>
      </c>
      <c r="P797" s="24">
        <f>DATEDIF(N797,O797,"M")</f>
        <v>5</v>
      </c>
      <c r="Q797" s="24" t="s">
        <v>157</v>
      </c>
      <c r="R797" s="24" t="s">
        <v>1391</v>
      </c>
      <c r="S797" s="17">
        <v>28.38</v>
      </c>
      <c r="T797" s="25">
        <v>0.375</v>
      </c>
      <c r="U797" s="15" t="s">
        <v>60</v>
      </c>
      <c r="V797" s="15" t="s">
        <v>135</v>
      </c>
      <c r="W797" s="17">
        <v>10.64</v>
      </c>
    </row>
    <row r="798" spans="1:55" s="15" customFormat="1" x14ac:dyDescent="0.25">
      <c r="A798" s="15">
        <v>2031106900</v>
      </c>
      <c r="B798" s="15" t="s">
        <v>433</v>
      </c>
      <c r="C798" s="15" t="s">
        <v>434</v>
      </c>
      <c r="D798" s="15" t="str">
        <f>CONCATENATE(C798," ",B798)</f>
        <v>HOLLY MOREN</v>
      </c>
      <c r="E798" s="15" t="s">
        <v>90</v>
      </c>
      <c r="F798" s="15" t="s">
        <v>53</v>
      </c>
      <c r="G798" s="15" t="s">
        <v>415</v>
      </c>
      <c r="H798" s="15" t="s">
        <v>415</v>
      </c>
      <c r="I798" s="21">
        <v>21222981</v>
      </c>
      <c r="J798" s="15" t="s">
        <v>435</v>
      </c>
      <c r="K798" s="15" t="s">
        <v>436</v>
      </c>
      <c r="L798" s="15" t="str">
        <f>CONCATENATE(K798," ",J798)</f>
        <v>Michael Garnett</v>
      </c>
      <c r="M798" s="15" t="s">
        <v>57</v>
      </c>
      <c r="N798" s="16">
        <v>45931</v>
      </c>
      <c r="O798" s="16">
        <v>46082</v>
      </c>
      <c r="P798" s="24">
        <f>DATEDIF(N798,O798,"M")</f>
        <v>5</v>
      </c>
      <c r="Q798" s="24" t="s">
        <v>157</v>
      </c>
      <c r="R798" s="24" t="s">
        <v>1391</v>
      </c>
      <c r="S798" s="17">
        <v>64.510000000000005</v>
      </c>
      <c r="T798" s="18">
        <v>0.6</v>
      </c>
      <c r="U798" s="15" t="s">
        <v>60</v>
      </c>
      <c r="V798" s="15" t="s">
        <v>135</v>
      </c>
      <c r="W798" s="17">
        <v>38.71</v>
      </c>
    </row>
    <row r="799" spans="1:55" s="15" customFormat="1" x14ac:dyDescent="0.25">
      <c r="A799" s="6">
        <v>2033039874</v>
      </c>
      <c r="B799" s="6" t="s">
        <v>938</v>
      </c>
      <c r="C799" s="6" t="s">
        <v>939</v>
      </c>
      <c r="D799" s="6" t="str">
        <f>CONCATENATE(C799," ",B799)</f>
        <v>MUNKHJARGAL GANKHUYAG</v>
      </c>
      <c r="E799" s="6" t="s">
        <v>66</v>
      </c>
      <c r="F799" s="6" t="s">
        <v>383</v>
      </c>
      <c r="G799" s="6" t="s">
        <v>384</v>
      </c>
      <c r="H799" s="6" t="s">
        <v>1336</v>
      </c>
      <c r="I799" s="20" t="s">
        <v>1376</v>
      </c>
      <c r="J799" s="6" t="s">
        <v>801</v>
      </c>
      <c r="K799" s="6" t="s">
        <v>802</v>
      </c>
      <c r="L799" s="6" t="str">
        <f>CONCATENATE(K799," ",J799)</f>
        <v>NASANDELGER ZANA</v>
      </c>
      <c r="M799" s="6" t="s">
        <v>57</v>
      </c>
      <c r="N799" s="5">
        <v>46030</v>
      </c>
      <c r="O799" s="5">
        <v>46089</v>
      </c>
      <c r="P799" s="23">
        <f>DATEDIF(N799,O799,"M")</f>
        <v>2</v>
      </c>
      <c r="Q799" s="23" t="s">
        <v>157</v>
      </c>
      <c r="R799" s="23" t="s">
        <v>1390</v>
      </c>
      <c r="S799" s="7">
        <v>95.92</v>
      </c>
      <c r="T799" s="13">
        <v>0.7</v>
      </c>
      <c r="U799" s="6" t="s">
        <v>60</v>
      </c>
      <c r="V799" s="6" t="s">
        <v>135</v>
      </c>
      <c r="W799" s="7">
        <v>67.14</v>
      </c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</row>
    <row r="800" spans="1:55" s="15" customFormat="1" x14ac:dyDescent="0.25">
      <c r="A800" s="6">
        <v>2033086829</v>
      </c>
      <c r="B800" s="6" t="s">
        <v>955</v>
      </c>
      <c r="C800" s="6" t="s">
        <v>956</v>
      </c>
      <c r="D800" s="6" t="str">
        <f>CONCATENATE(C800," ",B800)</f>
        <v>MUNKHTUUL DASHNYAM</v>
      </c>
      <c r="E800" s="6" t="s">
        <v>66</v>
      </c>
      <c r="F800" s="6" t="s">
        <v>383</v>
      </c>
      <c r="G800" s="6" t="s">
        <v>385</v>
      </c>
      <c r="H800" s="6" t="s">
        <v>385</v>
      </c>
      <c r="I800" s="20" t="s">
        <v>1376</v>
      </c>
      <c r="J800" s="6" t="s">
        <v>801</v>
      </c>
      <c r="K800" s="6" t="s">
        <v>802</v>
      </c>
      <c r="L800" s="6" t="str">
        <f>CONCATENATE(K800," ",J800)</f>
        <v>NASANDELGER ZANA</v>
      </c>
      <c r="M800" s="6" t="s">
        <v>57</v>
      </c>
      <c r="N800" s="5">
        <v>46033</v>
      </c>
      <c r="O800" s="5">
        <v>46092</v>
      </c>
      <c r="P800" s="23">
        <f>DATEDIF(N800,O800,"M")</f>
        <v>2</v>
      </c>
      <c r="Q800" s="23" t="s">
        <v>157</v>
      </c>
      <c r="R800" s="23" t="s">
        <v>1390</v>
      </c>
      <c r="S800" s="7">
        <v>16.73</v>
      </c>
      <c r="T800" s="13">
        <v>0.9</v>
      </c>
      <c r="U800" s="6" t="s">
        <v>60</v>
      </c>
      <c r="V800" s="6" t="s">
        <v>135</v>
      </c>
      <c r="W800" s="7">
        <v>15.06</v>
      </c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</row>
    <row r="801" spans="1:55" s="15" customFormat="1" x14ac:dyDescent="0.25">
      <c r="A801" s="6">
        <v>2032595799</v>
      </c>
      <c r="B801" s="6" t="s">
        <v>870</v>
      </c>
      <c r="C801" s="6" t="s">
        <v>871</v>
      </c>
      <c r="D801" s="6" t="str">
        <f>CONCATENATE(C801," ",B801)</f>
        <v>NASANTUMEN DESHIGJAV</v>
      </c>
      <c r="E801" s="6" t="s">
        <v>66</v>
      </c>
      <c r="F801" s="6" t="s">
        <v>383</v>
      </c>
      <c r="G801" s="6" t="s">
        <v>384</v>
      </c>
      <c r="H801" s="6" t="s">
        <v>384</v>
      </c>
      <c r="I801" s="20" t="s">
        <v>1376</v>
      </c>
      <c r="J801" s="6" t="s">
        <v>801</v>
      </c>
      <c r="K801" s="6" t="s">
        <v>802</v>
      </c>
      <c r="L801" s="6" t="str">
        <f>CONCATENATE(K801," ",J801)</f>
        <v>NASANDELGER ZANA</v>
      </c>
      <c r="M801" s="6" t="s">
        <v>57</v>
      </c>
      <c r="N801" s="5">
        <v>46001</v>
      </c>
      <c r="O801" s="5">
        <v>46091</v>
      </c>
      <c r="P801" s="23">
        <f>DATEDIF(N801,O801,"M")</f>
        <v>3</v>
      </c>
      <c r="Q801" s="23" t="s">
        <v>157</v>
      </c>
      <c r="R801" s="23" t="s">
        <v>1390</v>
      </c>
      <c r="S801" s="7">
        <v>27.5</v>
      </c>
      <c r="T801" s="13">
        <v>0.7</v>
      </c>
      <c r="U801" s="6" t="s">
        <v>60</v>
      </c>
      <c r="V801" s="6" t="s">
        <v>135</v>
      </c>
      <c r="W801" s="7">
        <v>19.25</v>
      </c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</row>
    <row r="802" spans="1:55" s="15" customFormat="1" x14ac:dyDescent="0.25">
      <c r="A802" s="6">
        <v>2032078149</v>
      </c>
      <c r="B802" s="6" t="s">
        <v>809</v>
      </c>
      <c r="C802" s="6" t="s">
        <v>810</v>
      </c>
      <c r="D802" s="6" t="str">
        <f>CONCATENATE(C802," ",B802)</f>
        <v>TSOGZOLMAA NURZED</v>
      </c>
      <c r="E802" s="6" t="s">
        <v>66</v>
      </c>
      <c r="F802" s="6" t="s">
        <v>383</v>
      </c>
      <c r="G802" s="6" t="s">
        <v>384</v>
      </c>
      <c r="H802" s="6" t="s">
        <v>384</v>
      </c>
      <c r="I802" s="20" t="s">
        <v>1376</v>
      </c>
      <c r="J802" s="6" t="s">
        <v>801</v>
      </c>
      <c r="K802" s="6" t="s">
        <v>802</v>
      </c>
      <c r="L802" s="6" t="str">
        <f>CONCATENATE(K802," ",J802)</f>
        <v>NASANDELGER ZANA</v>
      </c>
      <c r="M802" s="6" t="s">
        <v>57</v>
      </c>
      <c r="N802" s="5">
        <v>45971</v>
      </c>
      <c r="O802" s="5">
        <v>46091</v>
      </c>
      <c r="P802" s="23">
        <f>DATEDIF(N802,O802,"M")</f>
        <v>4</v>
      </c>
      <c r="Q802" s="23" t="s">
        <v>157</v>
      </c>
      <c r="R802" s="23" t="s">
        <v>1390</v>
      </c>
      <c r="S802" s="7">
        <v>27.5</v>
      </c>
      <c r="T802" s="13">
        <v>0.7</v>
      </c>
      <c r="U802" s="6" t="s">
        <v>60</v>
      </c>
      <c r="V802" s="6" t="s">
        <v>135</v>
      </c>
      <c r="W802" s="7">
        <v>19.25</v>
      </c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</row>
    <row r="803" spans="1:55" s="15" customFormat="1" x14ac:dyDescent="0.25">
      <c r="A803" s="6">
        <v>2032073740</v>
      </c>
      <c r="B803" s="6" t="s">
        <v>803</v>
      </c>
      <c r="C803" s="6" t="s">
        <v>804</v>
      </c>
      <c r="D803" s="6" t="str">
        <f>CONCATENATE(C803," ",B803)</f>
        <v>VALERII LUBSANOV</v>
      </c>
      <c r="E803" s="6" t="s">
        <v>66</v>
      </c>
      <c r="F803" s="6" t="s">
        <v>383</v>
      </c>
      <c r="G803" s="6" t="s">
        <v>384</v>
      </c>
      <c r="H803" s="6" t="s">
        <v>384</v>
      </c>
      <c r="I803" s="20" t="s">
        <v>1376</v>
      </c>
      <c r="J803" s="6" t="s">
        <v>801</v>
      </c>
      <c r="K803" s="6" t="s">
        <v>802</v>
      </c>
      <c r="L803" s="6" t="str">
        <f>CONCATENATE(K803," ",J803)</f>
        <v>NASANDELGER ZANA</v>
      </c>
      <c r="M803" s="6" t="s">
        <v>57</v>
      </c>
      <c r="N803" s="5">
        <v>45970</v>
      </c>
      <c r="O803" s="5">
        <v>46090</v>
      </c>
      <c r="P803" s="23">
        <f>DATEDIF(N803,O803,"M")</f>
        <v>4</v>
      </c>
      <c r="Q803" s="23" t="s">
        <v>157</v>
      </c>
      <c r="R803" s="23" t="s">
        <v>1390</v>
      </c>
      <c r="S803" s="7">
        <v>24.65</v>
      </c>
      <c r="T803" s="13">
        <v>0.7</v>
      </c>
      <c r="U803" s="6" t="s">
        <v>60</v>
      </c>
      <c r="V803" s="6" t="s">
        <v>135</v>
      </c>
      <c r="W803" s="7">
        <v>17.260000000000002</v>
      </c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</row>
    <row r="804" spans="1:55" s="15" customFormat="1" x14ac:dyDescent="0.25">
      <c r="A804" s="6">
        <v>2032063752</v>
      </c>
      <c r="B804" s="6" t="s">
        <v>799</v>
      </c>
      <c r="C804" s="6" t="s">
        <v>800</v>
      </c>
      <c r="D804" s="6" t="str">
        <f>CONCATENATE(C804," ",B804)</f>
        <v>ERDENE NINA</v>
      </c>
      <c r="E804" s="6" t="s">
        <v>66</v>
      </c>
      <c r="F804" s="6" t="s">
        <v>383</v>
      </c>
      <c r="G804" s="6" t="s">
        <v>384</v>
      </c>
      <c r="H804" s="6" t="s">
        <v>384</v>
      </c>
      <c r="I804" s="20" t="s">
        <v>1376</v>
      </c>
      <c r="J804" s="6" t="s">
        <v>801</v>
      </c>
      <c r="K804" s="6" t="s">
        <v>802</v>
      </c>
      <c r="L804" s="6" t="str">
        <f>CONCATENATE(K804," ",J804)</f>
        <v>NASANDELGER ZANA</v>
      </c>
      <c r="M804" s="6" t="s">
        <v>57</v>
      </c>
      <c r="N804" s="5">
        <v>45969</v>
      </c>
      <c r="O804" s="5">
        <v>46089</v>
      </c>
      <c r="P804" s="23">
        <f>DATEDIF(N804,O804,"M")</f>
        <v>4</v>
      </c>
      <c r="Q804" s="23" t="s">
        <v>157</v>
      </c>
      <c r="R804" s="23" t="s">
        <v>1390</v>
      </c>
      <c r="S804" s="7">
        <v>19</v>
      </c>
      <c r="T804" s="13">
        <v>0.7</v>
      </c>
      <c r="U804" s="6" t="s">
        <v>60</v>
      </c>
      <c r="V804" s="6" t="s">
        <v>135</v>
      </c>
      <c r="W804" s="7">
        <v>13.3</v>
      </c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</row>
    <row r="805" spans="1:55" s="15" customFormat="1" x14ac:dyDescent="0.25">
      <c r="A805" s="6">
        <v>2032075678</v>
      </c>
      <c r="B805" s="6" t="s">
        <v>805</v>
      </c>
      <c r="C805" s="6" t="s">
        <v>806</v>
      </c>
      <c r="D805" s="6" t="str">
        <f>CONCATENATE(C805," ",B805)</f>
        <v>ENKHBOLORMAA SEDBAZAR</v>
      </c>
      <c r="E805" s="6" t="s">
        <v>66</v>
      </c>
      <c r="F805" s="6" t="s">
        <v>383</v>
      </c>
      <c r="G805" s="6" t="s">
        <v>384</v>
      </c>
      <c r="H805" s="6" t="s">
        <v>384</v>
      </c>
      <c r="I805" s="20" t="s">
        <v>1376</v>
      </c>
      <c r="J805" s="6" t="s">
        <v>801</v>
      </c>
      <c r="K805" s="6" t="s">
        <v>802</v>
      </c>
      <c r="L805" s="6" t="str">
        <f>CONCATENATE(K805," ",J805)</f>
        <v>NASANDELGER ZANA</v>
      </c>
      <c r="M805" s="6" t="s">
        <v>57</v>
      </c>
      <c r="N805" s="5">
        <v>45970</v>
      </c>
      <c r="O805" s="5">
        <v>46090</v>
      </c>
      <c r="P805" s="23">
        <f>DATEDIF(N805,O805,"M")</f>
        <v>4</v>
      </c>
      <c r="Q805" s="23" t="s">
        <v>157</v>
      </c>
      <c r="R805" s="23" t="s">
        <v>1390</v>
      </c>
      <c r="S805" s="7">
        <v>11.5</v>
      </c>
      <c r="T805" s="13">
        <v>0.7</v>
      </c>
      <c r="U805" s="6" t="s">
        <v>60</v>
      </c>
      <c r="V805" s="6" t="s">
        <v>135</v>
      </c>
      <c r="W805" s="7">
        <v>8.0500000000000007</v>
      </c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</row>
    <row r="806" spans="1:55" s="15" customFormat="1" x14ac:dyDescent="0.25">
      <c r="A806" s="6">
        <v>2031568599</v>
      </c>
      <c r="B806" s="6" t="s">
        <v>1290</v>
      </c>
      <c r="C806" s="6" t="s">
        <v>1291</v>
      </c>
      <c r="D806" s="6" t="str">
        <f>CONCATENATE(C806," ",B806)</f>
        <v>KHATANBAATAR OTGON</v>
      </c>
      <c r="E806" s="6" t="s">
        <v>66</v>
      </c>
      <c r="F806" s="6" t="s">
        <v>383</v>
      </c>
      <c r="G806" s="6" t="s">
        <v>384</v>
      </c>
      <c r="H806" s="6" t="s">
        <v>384</v>
      </c>
      <c r="I806" s="20" t="s">
        <v>1376</v>
      </c>
      <c r="J806" s="6" t="s">
        <v>801</v>
      </c>
      <c r="K806" s="6" t="s">
        <v>802</v>
      </c>
      <c r="L806" s="6" t="str">
        <f>CONCATENATE(K806," ",J806)</f>
        <v>NASANDELGER ZANA</v>
      </c>
      <c r="M806" s="6" t="s">
        <v>57</v>
      </c>
      <c r="N806" s="5">
        <v>45941</v>
      </c>
      <c r="O806" s="5">
        <v>46092</v>
      </c>
      <c r="P806" s="23">
        <f>DATEDIF(N806,O806,"M")</f>
        <v>5</v>
      </c>
      <c r="Q806" s="23" t="s">
        <v>157</v>
      </c>
      <c r="R806" s="23" t="s">
        <v>1390</v>
      </c>
      <c r="S806" s="7">
        <v>95.92</v>
      </c>
      <c r="T806" s="13">
        <v>0.7</v>
      </c>
      <c r="U806" s="6" t="s">
        <v>60</v>
      </c>
      <c r="V806" s="6" t="s">
        <v>135</v>
      </c>
      <c r="W806" s="7">
        <v>67.14</v>
      </c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</row>
    <row r="807" spans="1:55" s="15" customFormat="1" x14ac:dyDescent="0.25">
      <c r="A807" s="6">
        <v>2031574197</v>
      </c>
      <c r="B807" s="6" t="s">
        <v>1294</v>
      </c>
      <c r="C807" s="6" t="s">
        <v>1295</v>
      </c>
      <c r="D807" s="6" t="str">
        <f>CONCATENATE(C807," ",B807)</f>
        <v>NARMANDAKH BATTULGA</v>
      </c>
      <c r="E807" s="6" t="s">
        <v>66</v>
      </c>
      <c r="F807" s="6" t="s">
        <v>383</v>
      </c>
      <c r="G807" s="6" t="s">
        <v>384</v>
      </c>
      <c r="H807" s="6" t="s">
        <v>384</v>
      </c>
      <c r="I807" s="20" t="s">
        <v>1376</v>
      </c>
      <c r="J807" s="6" t="s">
        <v>801</v>
      </c>
      <c r="K807" s="6" t="s">
        <v>802</v>
      </c>
      <c r="L807" s="6" t="str">
        <f>CONCATENATE(K807," ",J807)</f>
        <v>NASANDELGER ZANA</v>
      </c>
      <c r="M807" s="6" t="s">
        <v>57</v>
      </c>
      <c r="N807" s="5">
        <v>45941</v>
      </c>
      <c r="O807" s="5">
        <v>46092</v>
      </c>
      <c r="P807" s="23">
        <f>DATEDIF(N807,O807,"M")</f>
        <v>5</v>
      </c>
      <c r="Q807" s="23" t="s">
        <v>157</v>
      </c>
      <c r="R807" s="23" t="s">
        <v>1390</v>
      </c>
      <c r="S807" s="7">
        <v>42.36</v>
      </c>
      <c r="T807" s="13">
        <v>0.7</v>
      </c>
      <c r="U807" s="6" t="s">
        <v>60</v>
      </c>
      <c r="V807" s="6" t="s">
        <v>135</v>
      </c>
      <c r="W807" s="7">
        <v>29.65</v>
      </c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</row>
    <row r="808" spans="1:55" s="15" customFormat="1" x14ac:dyDescent="0.25">
      <c r="A808" s="6">
        <v>2030339441</v>
      </c>
      <c r="B808" s="6" t="s">
        <v>1271</v>
      </c>
      <c r="C808" s="6" t="s">
        <v>1272</v>
      </c>
      <c r="D808" s="6" t="str">
        <f>CONCATENATE(C808," ",B808)</f>
        <v>NYAMBAATAR ALTANSOR</v>
      </c>
      <c r="E808" s="6" t="s">
        <v>66</v>
      </c>
      <c r="F808" s="6" t="s">
        <v>383</v>
      </c>
      <c r="G808" s="6" t="s">
        <v>384</v>
      </c>
      <c r="H808" s="6" t="s">
        <v>384</v>
      </c>
      <c r="I808" s="20" t="s">
        <v>1376</v>
      </c>
      <c r="J808" s="6" t="s">
        <v>801</v>
      </c>
      <c r="K808" s="6" t="s">
        <v>802</v>
      </c>
      <c r="L808" s="6" t="str">
        <f>CONCATENATE(K808," ",J808)</f>
        <v>NASANDELGER ZANA</v>
      </c>
      <c r="M808" s="6" t="s">
        <v>57</v>
      </c>
      <c r="N808" s="5">
        <v>45875</v>
      </c>
      <c r="O808" s="5">
        <v>46087</v>
      </c>
      <c r="P808" s="23">
        <f>DATEDIF(N808,O808,"M")</f>
        <v>7</v>
      </c>
      <c r="Q808" s="23" t="s">
        <v>157</v>
      </c>
      <c r="R808" s="23" t="s">
        <v>1391</v>
      </c>
      <c r="S808" s="7">
        <v>49.8</v>
      </c>
      <c r="T808" s="13">
        <v>0.7</v>
      </c>
      <c r="U808" s="6" t="s">
        <v>60</v>
      </c>
      <c r="V808" s="6" t="s">
        <v>135</v>
      </c>
      <c r="W808" s="7">
        <v>34.86</v>
      </c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</row>
    <row r="809" spans="1:55" s="15" customFormat="1" x14ac:dyDescent="0.25">
      <c r="A809" s="6">
        <v>2030359699</v>
      </c>
      <c r="B809" s="6" t="s">
        <v>1273</v>
      </c>
      <c r="C809" s="6" t="s">
        <v>1274</v>
      </c>
      <c r="D809" s="6" t="str">
        <f>CONCATENATE(C809," ",B809)</f>
        <v>GERELTOGTOKH CHOINDONJAMTS</v>
      </c>
      <c r="E809" s="6" t="s">
        <v>66</v>
      </c>
      <c r="F809" s="6" t="s">
        <v>383</v>
      </c>
      <c r="G809" s="6" t="s">
        <v>384</v>
      </c>
      <c r="H809" s="6" t="s">
        <v>384</v>
      </c>
      <c r="I809" s="20" t="s">
        <v>1376</v>
      </c>
      <c r="J809" s="6" t="s">
        <v>801</v>
      </c>
      <c r="K809" s="6" t="s">
        <v>802</v>
      </c>
      <c r="L809" s="6" t="str">
        <f>CONCATENATE(K809," ",J809)</f>
        <v>NASANDELGER ZANA</v>
      </c>
      <c r="M809" s="6" t="s">
        <v>57</v>
      </c>
      <c r="N809" s="5">
        <v>45876</v>
      </c>
      <c r="O809" s="5">
        <v>46088</v>
      </c>
      <c r="P809" s="23">
        <f>DATEDIF(N809,O809,"M")</f>
        <v>7</v>
      </c>
      <c r="Q809" s="23" t="s">
        <v>157</v>
      </c>
      <c r="R809" s="23" t="s">
        <v>1391</v>
      </c>
      <c r="S809" s="7">
        <v>58.24</v>
      </c>
      <c r="T809" s="13">
        <v>0.7</v>
      </c>
      <c r="U809" s="6" t="s">
        <v>60</v>
      </c>
      <c r="V809" s="6" t="s">
        <v>135</v>
      </c>
      <c r="W809" s="7">
        <v>40.770000000000003</v>
      </c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</row>
    <row r="810" spans="1:55" s="15" customFormat="1" x14ac:dyDescent="0.25">
      <c r="A810" s="6">
        <v>2029432398</v>
      </c>
      <c r="B810" s="6" t="s">
        <v>1264</v>
      </c>
      <c r="C810" s="6" t="s">
        <v>1265</v>
      </c>
      <c r="D810" s="6" t="str">
        <f>CONCATENATE(C810," ",B810)</f>
        <v>TSENGELMAA DORJKHAND</v>
      </c>
      <c r="E810" s="6" t="s">
        <v>66</v>
      </c>
      <c r="F810" s="6" t="s">
        <v>383</v>
      </c>
      <c r="G810" s="6" t="s">
        <v>384</v>
      </c>
      <c r="H810" s="6" t="s">
        <v>1336</v>
      </c>
      <c r="I810" s="20" t="s">
        <v>1376</v>
      </c>
      <c r="J810" s="6" t="s">
        <v>801</v>
      </c>
      <c r="K810" s="6" t="s">
        <v>802</v>
      </c>
      <c r="L810" s="6" t="str">
        <f>CONCATENATE(K810," ",J810)</f>
        <v>NASANDELGER ZANA</v>
      </c>
      <c r="M810" s="6" t="s">
        <v>57</v>
      </c>
      <c r="N810" s="5">
        <v>45821</v>
      </c>
      <c r="O810" s="5">
        <v>46094</v>
      </c>
      <c r="P810" s="23">
        <f>DATEDIF(N810,O810,"M")</f>
        <v>9</v>
      </c>
      <c r="Q810" s="23" t="s">
        <v>157</v>
      </c>
      <c r="R810" s="23" t="s">
        <v>1391</v>
      </c>
      <c r="S810" s="7">
        <v>19</v>
      </c>
      <c r="T810" s="13">
        <v>0.7</v>
      </c>
      <c r="U810" s="6" t="s">
        <v>60</v>
      </c>
      <c r="V810" s="6" t="s">
        <v>135</v>
      </c>
      <c r="W810" s="7">
        <v>13.3</v>
      </c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</row>
    <row r="811" spans="1:55" s="15" customFormat="1" x14ac:dyDescent="0.25">
      <c r="A811" s="6">
        <v>2029319950</v>
      </c>
      <c r="B811" s="6" t="s">
        <v>1257</v>
      </c>
      <c r="C811" s="6" t="s">
        <v>1258</v>
      </c>
      <c r="D811" s="6" t="str">
        <f>CONCATENATE(C811," ",B811)</f>
        <v>OYUNCHIMEG BALDAN</v>
      </c>
      <c r="E811" s="6" t="s">
        <v>66</v>
      </c>
      <c r="F811" s="6" t="s">
        <v>383</v>
      </c>
      <c r="G811" s="6" t="s">
        <v>384</v>
      </c>
      <c r="H811" s="6" t="s">
        <v>384</v>
      </c>
      <c r="I811" s="20" t="s">
        <v>1376</v>
      </c>
      <c r="J811" s="6" t="s">
        <v>801</v>
      </c>
      <c r="K811" s="6" t="s">
        <v>802</v>
      </c>
      <c r="L811" s="6" t="str">
        <f>CONCATENATE(K811," ",J811)</f>
        <v>NASANDELGER ZANA</v>
      </c>
      <c r="M811" s="6" t="s">
        <v>57</v>
      </c>
      <c r="N811" s="5">
        <v>45814</v>
      </c>
      <c r="O811" s="5">
        <v>46087</v>
      </c>
      <c r="P811" s="23">
        <f>DATEDIF(N811,O811,"M")</f>
        <v>9</v>
      </c>
      <c r="Q811" s="23" t="s">
        <v>157</v>
      </c>
      <c r="R811" s="23" t="s">
        <v>1391</v>
      </c>
      <c r="S811" s="7">
        <v>37.18</v>
      </c>
      <c r="T811" s="13">
        <v>0.7</v>
      </c>
      <c r="U811" s="6" t="s">
        <v>60</v>
      </c>
      <c r="V811" s="6" t="s">
        <v>135</v>
      </c>
      <c r="W811" s="7">
        <v>26.03</v>
      </c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</row>
    <row r="812" spans="1:55" s="15" customFormat="1" x14ac:dyDescent="0.25">
      <c r="A812" s="6">
        <v>2028890707</v>
      </c>
      <c r="B812" s="6" t="s">
        <v>1252</v>
      </c>
      <c r="C812" s="6" t="s">
        <v>1253</v>
      </c>
      <c r="D812" s="6" t="str">
        <f>CONCATENATE(C812," ",B812)</f>
        <v>ERDENECHIMEG BAASANJAV</v>
      </c>
      <c r="E812" s="6" t="s">
        <v>66</v>
      </c>
      <c r="F812" s="6" t="s">
        <v>383</v>
      </c>
      <c r="G812" s="6" t="s">
        <v>384</v>
      </c>
      <c r="H812" s="6" t="s">
        <v>384</v>
      </c>
      <c r="I812" s="20" t="s">
        <v>1376</v>
      </c>
      <c r="J812" s="6" t="s">
        <v>801</v>
      </c>
      <c r="K812" s="6" t="s">
        <v>802</v>
      </c>
      <c r="L812" s="6" t="str">
        <f>CONCATENATE(K812," ",J812)</f>
        <v>NASANDELGER ZANA</v>
      </c>
      <c r="M812" s="6" t="s">
        <v>57</v>
      </c>
      <c r="N812" s="5">
        <v>45790</v>
      </c>
      <c r="O812" s="5">
        <v>46094</v>
      </c>
      <c r="P812" s="23">
        <f>DATEDIF(N812,O812,"M")</f>
        <v>10</v>
      </c>
      <c r="Q812" s="23" t="s">
        <v>157</v>
      </c>
      <c r="R812" s="23" t="s">
        <v>1391</v>
      </c>
      <c r="S812" s="7">
        <v>95.68</v>
      </c>
      <c r="T812" s="13">
        <v>0.7</v>
      </c>
      <c r="U812" s="6" t="s">
        <v>60</v>
      </c>
      <c r="V812" s="6" t="s">
        <v>135</v>
      </c>
      <c r="W812" s="7">
        <v>66.98</v>
      </c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</row>
    <row r="813" spans="1:55" s="15" customFormat="1" x14ac:dyDescent="0.25">
      <c r="A813" s="6">
        <v>2028781143</v>
      </c>
      <c r="B813" s="6" t="s">
        <v>1250</v>
      </c>
      <c r="C813" s="6" t="s">
        <v>1251</v>
      </c>
      <c r="D813" s="6" t="str">
        <f>CONCATENATE(C813," ",B813)</f>
        <v>TSERENBAT BATDELGER</v>
      </c>
      <c r="E813" s="6" t="s">
        <v>66</v>
      </c>
      <c r="F813" s="6" t="s">
        <v>383</v>
      </c>
      <c r="G813" s="6" t="s">
        <v>385</v>
      </c>
      <c r="H813" s="6" t="s">
        <v>385</v>
      </c>
      <c r="I813" s="20" t="s">
        <v>1376</v>
      </c>
      <c r="J813" s="6" t="s">
        <v>801</v>
      </c>
      <c r="K813" s="6" t="s">
        <v>802</v>
      </c>
      <c r="L813" s="6" t="str">
        <f>CONCATENATE(K813," ",J813)</f>
        <v>NASANDELGER ZANA</v>
      </c>
      <c r="M813" s="6" t="s">
        <v>57</v>
      </c>
      <c r="N813" s="5">
        <v>45783</v>
      </c>
      <c r="O813" s="5">
        <v>46087</v>
      </c>
      <c r="P813" s="23">
        <f>DATEDIF(N813,O813,"M")</f>
        <v>10</v>
      </c>
      <c r="Q813" s="23" t="s">
        <v>157</v>
      </c>
      <c r="R813" s="23" t="s">
        <v>1391</v>
      </c>
      <c r="S813" s="7">
        <v>25.29</v>
      </c>
      <c r="T813" s="13">
        <v>0.9</v>
      </c>
      <c r="U813" s="6" t="s">
        <v>60</v>
      </c>
      <c r="V813" s="6" t="s">
        <v>135</v>
      </c>
      <c r="W813" s="7">
        <v>22.76</v>
      </c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</row>
    <row r="814" spans="1:55" s="15" customFormat="1" x14ac:dyDescent="0.25">
      <c r="A814" s="6">
        <v>2028890708</v>
      </c>
      <c r="B814" s="6" t="s">
        <v>1252</v>
      </c>
      <c r="C814" s="6" t="s">
        <v>1253</v>
      </c>
      <c r="D814" s="6" t="str">
        <f>CONCATENATE(C814," ",B814)</f>
        <v>ERDENECHIMEG BAASANJAV</v>
      </c>
      <c r="E814" s="6" t="s">
        <v>66</v>
      </c>
      <c r="F814" s="6" t="s">
        <v>383</v>
      </c>
      <c r="G814" s="6" t="s">
        <v>385</v>
      </c>
      <c r="H814" s="6" t="s">
        <v>385</v>
      </c>
      <c r="I814" s="20" t="s">
        <v>1376</v>
      </c>
      <c r="J814" s="6" t="s">
        <v>801</v>
      </c>
      <c r="K814" s="6" t="s">
        <v>802</v>
      </c>
      <c r="L814" s="6" t="str">
        <f>CONCATENATE(K814," ",J814)</f>
        <v>NASANDELGER ZANA</v>
      </c>
      <c r="M814" s="6" t="s">
        <v>57</v>
      </c>
      <c r="N814" s="5">
        <v>45790</v>
      </c>
      <c r="O814" s="5">
        <v>46094</v>
      </c>
      <c r="P814" s="23">
        <f>DATEDIF(N814,O814,"M")</f>
        <v>10</v>
      </c>
      <c r="Q814" s="23" t="s">
        <v>157</v>
      </c>
      <c r="R814" s="23" t="s">
        <v>1391</v>
      </c>
      <c r="S814" s="7">
        <v>23.05</v>
      </c>
      <c r="T814" s="13">
        <v>0.9</v>
      </c>
      <c r="U814" s="6" t="s">
        <v>60</v>
      </c>
      <c r="V814" s="6" t="s">
        <v>135</v>
      </c>
      <c r="W814" s="7">
        <v>20.74</v>
      </c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</row>
    <row r="815" spans="1:55" s="15" customFormat="1" x14ac:dyDescent="0.25">
      <c r="A815" s="6">
        <v>2028286563</v>
      </c>
      <c r="B815" s="6" t="s">
        <v>1246</v>
      </c>
      <c r="C815" s="6" t="s">
        <v>1247</v>
      </c>
      <c r="D815" s="6" t="str">
        <f>CONCATENATE(C815," ",B815)</f>
        <v>NARANZUL BUYANTOGTOKH</v>
      </c>
      <c r="E815" s="6" t="s">
        <v>66</v>
      </c>
      <c r="F815" s="6" t="s">
        <v>383</v>
      </c>
      <c r="G815" s="6" t="s">
        <v>384</v>
      </c>
      <c r="H815" s="6" t="s">
        <v>384</v>
      </c>
      <c r="I815" s="20" t="s">
        <v>1376</v>
      </c>
      <c r="J815" s="6" t="s">
        <v>801</v>
      </c>
      <c r="K815" s="6" t="s">
        <v>802</v>
      </c>
      <c r="L815" s="6" t="str">
        <f>CONCATENATE(K815," ",J815)</f>
        <v>NASANDELGER ZANA</v>
      </c>
      <c r="M815" s="6" t="s">
        <v>57</v>
      </c>
      <c r="N815" s="5">
        <v>45755</v>
      </c>
      <c r="O815" s="5">
        <v>46089</v>
      </c>
      <c r="P815" s="23">
        <f>DATEDIF(N815,O815,"M")</f>
        <v>11</v>
      </c>
      <c r="Q815" s="23" t="s">
        <v>157</v>
      </c>
      <c r="R815" s="23" t="s">
        <v>1391</v>
      </c>
      <c r="S815" s="7">
        <v>56.5</v>
      </c>
      <c r="T815" s="13">
        <v>0.7</v>
      </c>
      <c r="U815" s="6" t="s">
        <v>60</v>
      </c>
      <c r="V815" s="6" t="s">
        <v>135</v>
      </c>
      <c r="W815" s="7">
        <v>39.549999999999997</v>
      </c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</row>
    <row r="816" spans="1:55" s="15" customFormat="1" x14ac:dyDescent="0.25">
      <c r="A816" s="15">
        <v>2032489609</v>
      </c>
      <c r="B816" s="15" t="s">
        <v>846</v>
      </c>
      <c r="C816" s="15" t="s">
        <v>847</v>
      </c>
      <c r="D816" s="15" t="str">
        <f>CONCATENATE(C816," ",B816)</f>
        <v>NOAH DIONESOTES</v>
      </c>
      <c r="E816" s="15" t="s">
        <v>66</v>
      </c>
      <c r="F816" s="15" t="s">
        <v>383</v>
      </c>
      <c r="G816" s="15" t="s">
        <v>384</v>
      </c>
      <c r="H816" s="15" t="s">
        <v>384</v>
      </c>
      <c r="I816" s="21" t="s">
        <v>1377</v>
      </c>
      <c r="J816" s="15" t="s">
        <v>848</v>
      </c>
      <c r="K816" s="15" t="s">
        <v>849</v>
      </c>
      <c r="L816" s="15" t="str">
        <f>CONCATENATE(K816," ",J816)</f>
        <v>Noah Dionesotes</v>
      </c>
      <c r="M816" s="15" t="s">
        <v>57</v>
      </c>
      <c r="N816" s="16">
        <v>45999</v>
      </c>
      <c r="O816" s="16">
        <v>46089</v>
      </c>
      <c r="P816" s="24">
        <f>DATEDIF(N816,O816,"M")</f>
        <v>3</v>
      </c>
      <c r="Q816" s="24" t="s">
        <v>157</v>
      </c>
      <c r="R816" s="24" t="s">
        <v>1391</v>
      </c>
      <c r="S816" s="17">
        <v>41.29</v>
      </c>
      <c r="T816" s="18">
        <v>0.7</v>
      </c>
      <c r="U816" s="15" t="s">
        <v>60</v>
      </c>
      <c r="V816" s="15" t="s">
        <v>135</v>
      </c>
      <c r="W816" s="17">
        <v>28.9</v>
      </c>
    </row>
    <row r="817" spans="1:55" s="15" customFormat="1" x14ac:dyDescent="0.25">
      <c r="A817" s="15">
        <v>2032489610</v>
      </c>
      <c r="B817" s="15" t="s">
        <v>846</v>
      </c>
      <c r="C817" s="15" t="s">
        <v>847</v>
      </c>
      <c r="D817" s="15" t="str">
        <f>CONCATENATE(C817," ",B817)</f>
        <v>NOAH DIONESOTES</v>
      </c>
      <c r="E817" s="15" t="s">
        <v>66</v>
      </c>
      <c r="F817" s="15" t="s">
        <v>363</v>
      </c>
      <c r="G817" s="15" t="s">
        <v>364</v>
      </c>
      <c r="H817" s="15" t="s">
        <v>364</v>
      </c>
      <c r="I817" s="21" t="s">
        <v>1377</v>
      </c>
      <c r="J817" s="15" t="s">
        <v>848</v>
      </c>
      <c r="K817" s="15" t="s">
        <v>849</v>
      </c>
      <c r="L817" s="15" t="str">
        <f>CONCATENATE(K817," ",J817)</f>
        <v>Noah Dionesotes</v>
      </c>
      <c r="M817" s="15" t="s">
        <v>57</v>
      </c>
      <c r="N817" s="16">
        <v>45999</v>
      </c>
      <c r="O817" s="16">
        <v>46089</v>
      </c>
      <c r="P817" s="24">
        <f>DATEDIF(N817,O817,"M")</f>
        <v>3</v>
      </c>
      <c r="Q817" s="24" t="s">
        <v>157</v>
      </c>
      <c r="R817" s="24" t="s">
        <v>1391</v>
      </c>
      <c r="S817" s="17">
        <v>77.48</v>
      </c>
      <c r="T817" s="25">
        <v>0.375</v>
      </c>
      <c r="U817" s="15" t="s">
        <v>60</v>
      </c>
      <c r="V817" s="15" t="s">
        <v>135</v>
      </c>
      <c r="W817" s="17">
        <v>29.06</v>
      </c>
    </row>
    <row r="818" spans="1:55" s="15" customFormat="1" x14ac:dyDescent="0.25">
      <c r="A818" s="6">
        <v>2027625564</v>
      </c>
      <c r="B818" s="6" t="s">
        <v>1233</v>
      </c>
      <c r="C818" s="6" t="s">
        <v>1234</v>
      </c>
      <c r="D818" s="6" t="str">
        <f>CONCATENATE(C818," ",B818)</f>
        <v>TUNGALAG AYUSH</v>
      </c>
      <c r="E818" s="6" t="s">
        <v>66</v>
      </c>
      <c r="F818" s="6" t="s">
        <v>383</v>
      </c>
      <c r="G818" s="6" t="s">
        <v>384</v>
      </c>
      <c r="H818" s="6" t="s">
        <v>384</v>
      </c>
      <c r="I818" s="20">
        <v>20999157</v>
      </c>
      <c r="J818" s="6" t="s">
        <v>1235</v>
      </c>
      <c r="K818" s="6" t="s">
        <v>1236</v>
      </c>
      <c r="L818" s="6" t="str">
        <f>CONCATENATE(K818," ",J818)</f>
        <v>ODMAA ENKHTUR</v>
      </c>
      <c r="M818" s="6" t="s">
        <v>57</v>
      </c>
      <c r="N818" s="5">
        <v>45725</v>
      </c>
      <c r="O818" s="5">
        <v>46090</v>
      </c>
      <c r="P818" s="23">
        <f>DATEDIF(N818,O818,"M")</f>
        <v>12</v>
      </c>
      <c r="Q818" s="23" t="s">
        <v>157</v>
      </c>
      <c r="R818" s="23" t="s">
        <v>1391</v>
      </c>
      <c r="S818" s="7">
        <v>19</v>
      </c>
      <c r="T818" s="13">
        <v>0.7</v>
      </c>
      <c r="U818" s="6" t="s">
        <v>60</v>
      </c>
      <c r="V818" s="6" t="s">
        <v>135</v>
      </c>
      <c r="W818" s="7">
        <v>13.3</v>
      </c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</row>
    <row r="819" spans="1:55" s="15" customFormat="1" x14ac:dyDescent="0.25">
      <c r="A819" s="6">
        <v>2026978414</v>
      </c>
      <c r="B819" s="6" t="s">
        <v>1230</v>
      </c>
      <c r="C819" s="6" t="s">
        <v>1231</v>
      </c>
      <c r="D819" s="6" t="str">
        <f>CONCATENATE(C819," ",B819)</f>
        <v>EVAN GARRETSON</v>
      </c>
      <c r="E819" s="6" t="s">
        <v>66</v>
      </c>
      <c r="F819" s="6" t="s">
        <v>383</v>
      </c>
      <c r="G819" s="6" t="s">
        <v>384</v>
      </c>
      <c r="H819" s="6" t="s">
        <v>384</v>
      </c>
      <c r="I819" s="20">
        <v>8244481</v>
      </c>
      <c r="J819" s="6" t="s">
        <v>1232</v>
      </c>
      <c r="K819" s="6" t="s">
        <v>107</v>
      </c>
      <c r="L819" s="6" t="str">
        <f>CONCATENATE(K819," ",J819)</f>
        <v>PAMELA DEATON</v>
      </c>
      <c r="M819" s="6" t="s">
        <v>57</v>
      </c>
      <c r="N819" s="5">
        <v>45695</v>
      </c>
      <c r="O819" s="5">
        <v>46088</v>
      </c>
      <c r="P819" s="23">
        <f>DATEDIF(N819,O819,"M")</f>
        <v>13</v>
      </c>
      <c r="Q819" s="23" t="s">
        <v>157</v>
      </c>
      <c r="R819" s="23" t="s">
        <v>1391</v>
      </c>
      <c r="S819" s="7">
        <v>56.5</v>
      </c>
      <c r="T819" s="13">
        <v>0.15</v>
      </c>
      <c r="U819" s="6" t="s">
        <v>157</v>
      </c>
      <c r="V819" s="6" t="s">
        <v>135</v>
      </c>
      <c r="W819" s="7">
        <v>8.48</v>
      </c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</row>
    <row r="820" spans="1:55" s="15" customFormat="1" x14ac:dyDescent="0.25">
      <c r="A820" s="15">
        <v>2032547838</v>
      </c>
      <c r="B820" s="15" t="s">
        <v>856</v>
      </c>
      <c r="C820" s="15" t="s">
        <v>857</v>
      </c>
      <c r="D820" s="15" t="str">
        <f>CONCATENATE(C820," ",B820)</f>
        <v>DESIREE REGGI</v>
      </c>
      <c r="E820" s="15" t="s">
        <v>66</v>
      </c>
      <c r="F820" s="15" t="s">
        <v>383</v>
      </c>
      <c r="G820" s="15" t="s">
        <v>384</v>
      </c>
      <c r="H820" s="15" t="s">
        <v>384</v>
      </c>
      <c r="I820" s="21">
        <v>21726248</v>
      </c>
      <c r="J820" s="15" t="s">
        <v>275</v>
      </c>
      <c r="K820" s="15" t="s">
        <v>858</v>
      </c>
      <c r="L820" s="15" t="str">
        <f>CONCATENATE(K820," ",J820)</f>
        <v>Patrick Geske</v>
      </c>
      <c r="M820" s="15" t="s">
        <v>57</v>
      </c>
      <c r="N820" s="16">
        <v>45999</v>
      </c>
      <c r="O820" s="16">
        <v>46089</v>
      </c>
      <c r="P820" s="24">
        <f>DATEDIF(N820,O820,"M")</f>
        <v>3</v>
      </c>
      <c r="Q820" s="24" t="s">
        <v>157</v>
      </c>
      <c r="R820" s="24" t="s">
        <v>1391</v>
      </c>
      <c r="S820" s="17">
        <v>34</v>
      </c>
      <c r="T820" s="18">
        <v>0.7</v>
      </c>
      <c r="U820" s="15" t="s">
        <v>60</v>
      </c>
      <c r="V820" s="15" t="s">
        <v>135</v>
      </c>
      <c r="W820" s="17">
        <v>23.8</v>
      </c>
    </row>
    <row r="821" spans="1:55" s="15" customFormat="1" x14ac:dyDescent="0.25">
      <c r="A821" s="6">
        <v>2026898523</v>
      </c>
      <c r="B821" s="6" t="s">
        <v>1121</v>
      </c>
      <c r="C821" s="6" t="s">
        <v>1122</v>
      </c>
      <c r="D821" s="6" t="str">
        <f>CONCATENATE(C821," ",B821)</f>
        <v>KHANTHONG PHOOSRISOM</v>
      </c>
      <c r="E821" s="6" t="s">
        <v>66</v>
      </c>
      <c r="F821" s="6" t="s">
        <v>1123</v>
      </c>
      <c r="G821" s="6" t="s">
        <v>1124</v>
      </c>
      <c r="H821" s="6" t="s">
        <v>1341</v>
      </c>
      <c r="I821" s="20">
        <v>8405446</v>
      </c>
      <c r="J821" s="6" t="s">
        <v>1125</v>
      </c>
      <c r="K821" s="6" t="s">
        <v>1126</v>
      </c>
      <c r="L821" s="6" t="str">
        <f>CONCATENATE(K821," ",J821)</f>
        <v>PATSAMON THANADABOUTH</v>
      </c>
      <c r="M821" s="6" t="s">
        <v>57</v>
      </c>
      <c r="N821" s="5">
        <v>45691</v>
      </c>
      <c r="O821" s="5">
        <v>46084</v>
      </c>
      <c r="P821" s="23">
        <f>DATEDIF(N821,O821,"M")</f>
        <v>13</v>
      </c>
      <c r="Q821" s="23" t="s">
        <v>157</v>
      </c>
      <c r="R821" s="23" t="s">
        <v>1391</v>
      </c>
      <c r="S821" s="7">
        <v>289.33</v>
      </c>
      <c r="T821" s="13">
        <v>0.08</v>
      </c>
      <c r="U821" s="6" t="s">
        <v>157</v>
      </c>
      <c r="V821" s="6" t="s">
        <v>135</v>
      </c>
      <c r="W821" s="7">
        <v>23.15</v>
      </c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</row>
    <row r="822" spans="1:55" s="15" customFormat="1" x14ac:dyDescent="0.25">
      <c r="A822" s="6">
        <v>2017624589</v>
      </c>
      <c r="B822" s="6" t="s">
        <v>414</v>
      </c>
      <c r="C822" s="6" t="s">
        <v>298</v>
      </c>
      <c r="D822" s="6" t="str">
        <f>CONCATENATE(C822," ",B822)</f>
        <v>JAMES LIPPOLIS</v>
      </c>
      <c r="E822" s="6" t="s">
        <v>52</v>
      </c>
      <c r="F822" s="6" t="s">
        <v>363</v>
      </c>
      <c r="G822" s="6" t="s">
        <v>364</v>
      </c>
      <c r="H822" s="6" t="s">
        <v>364</v>
      </c>
      <c r="I822" s="20">
        <v>16509456</v>
      </c>
      <c r="J822" s="6" t="s">
        <v>171</v>
      </c>
      <c r="K822" s="6" t="s">
        <v>220</v>
      </c>
      <c r="L822" s="6" t="str">
        <f>CONCATENATE(K822," ",J822)</f>
        <v>PETER RICHTER</v>
      </c>
      <c r="M822" s="6" t="s">
        <v>57</v>
      </c>
      <c r="N822" s="5">
        <v>44967</v>
      </c>
      <c r="O822" s="5">
        <v>46091</v>
      </c>
      <c r="P822" s="23">
        <f>DATEDIF(N822,O822,"M")</f>
        <v>37</v>
      </c>
      <c r="Q822" s="23" t="s">
        <v>157</v>
      </c>
      <c r="R822" s="23" t="s">
        <v>1391</v>
      </c>
      <c r="S822" s="7">
        <v>53.08</v>
      </c>
      <c r="T822" s="13">
        <v>0.06</v>
      </c>
      <c r="U822" s="6" t="s">
        <v>157</v>
      </c>
      <c r="V822" s="6" t="s">
        <v>135</v>
      </c>
      <c r="W822" s="7">
        <v>3.18</v>
      </c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</row>
    <row r="823" spans="1:55" s="15" customFormat="1" x14ac:dyDescent="0.25">
      <c r="A823" s="6">
        <v>2017624587</v>
      </c>
      <c r="B823" s="6" t="s">
        <v>414</v>
      </c>
      <c r="C823" s="6" t="s">
        <v>298</v>
      </c>
      <c r="D823" s="6" t="str">
        <f>CONCATENATE(C823," ",B823)</f>
        <v>JAMES LIPPOLIS</v>
      </c>
      <c r="E823" s="6" t="s">
        <v>52</v>
      </c>
      <c r="F823" s="6" t="s">
        <v>53</v>
      </c>
      <c r="G823" s="6" t="s">
        <v>415</v>
      </c>
      <c r="H823" s="6" t="s">
        <v>415</v>
      </c>
      <c r="I823" s="20">
        <v>16509456</v>
      </c>
      <c r="J823" s="6" t="s">
        <v>171</v>
      </c>
      <c r="K823" s="6" t="s">
        <v>220</v>
      </c>
      <c r="L823" s="6" t="str">
        <f>CONCATENATE(K823," ",J823)</f>
        <v>PETER RICHTER</v>
      </c>
      <c r="M823" s="6" t="s">
        <v>57</v>
      </c>
      <c r="N823" s="5">
        <v>44967</v>
      </c>
      <c r="O823" s="5">
        <v>46091</v>
      </c>
      <c r="P823" s="23">
        <f>DATEDIF(N823,O823,"M")</f>
        <v>37</v>
      </c>
      <c r="Q823" s="23" t="s">
        <v>157</v>
      </c>
      <c r="R823" s="23" t="s">
        <v>1391</v>
      </c>
      <c r="S823" s="7">
        <v>61.81</v>
      </c>
      <c r="T823" s="14">
        <v>6.5000000000000002E-2</v>
      </c>
      <c r="U823" s="6" t="s">
        <v>157</v>
      </c>
      <c r="V823" s="6" t="s">
        <v>135</v>
      </c>
      <c r="W823" s="7">
        <v>4.0199999999999996</v>
      </c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</row>
    <row r="824" spans="1:55" s="15" customFormat="1" x14ac:dyDescent="0.25">
      <c r="A824" s="6">
        <v>2017003447</v>
      </c>
      <c r="B824" s="6" t="s">
        <v>621</v>
      </c>
      <c r="C824" s="6" t="s">
        <v>240</v>
      </c>
      <c r="D824" s="6" t="str">
        <f>CONCATENATE(C824," ",B824)</f>
        <v>JOHN ROGALSKY</v>
      </c>
      <c r="E824" s="6" t="s">
        <v>52</v>
      </c>
      <c r="F824" s="6" t="s">
        <v>363</v>
      </c>
      <c r="G824" s="6" t="s">
        <v>364</v>
      </c>
      <c r="H824" s="6" t="s">
        <v>364</v>
      </c>
      <c r="I824" s="20">
        <v>16509456</v>
      </c>
      <c r="J824" s="6" t="s">
        <v>171</v>
      </c>
      <c r="K824" s="6" t="s">
        <v>220</v>
      </c>
      <c r="L824" s="6" t="str">
        <f>CONCATENATE(K824," ",J824)</f>
        <v>PETER RICHTER</v>
      </c>
      <c r="M824" s="6" t="s">
        <v>57</v>
      </c>
      <c r="N824" s="5">
        <v>44902</v>
      </c>
      <c r="O824" s="5">
        <v>46088</v>
      </c>
      <c r="P824" s="23">
        <f>DATEDIF(N824,O824,"M")</f>
        <v>39</v>
      </c>
      <c r="Q824" s="23" t="s">
        <v>157</v>
      </c>
      <c r="R824" s="23" t="s">
        <v>1391</v>
      </c>
      <c r="S824" s="7">
        <v>39.979999999999997</v>
      </c>
      <c r="T824" s="13">
        <v>0.06</v>
      </c>
      <c r="U824" s="6" t="s">
        <v>157</v>
      </c>
      <c r="V824" s="6" t="s">
        <v>135</v>
      </c>
      <c r="W824" s="7">
        <v>2.4</v>
      </c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</row>
    <row r="825" spans="1:55" s="15" customFormat="1" x14ac:dyDescent="0.25">
      <c r="A825" s="6">
        <v>2033057659</v>
      </c>
      <c r="B825" s="6" t="s">
        <v>951</v>
      </c>
      <c r="C825" s="6" t="s">
        <v>492</v>
      </c>
      <c r="D825" s="6" t="str">
        <f>CONCATENATE(C825," ",B825)</f>
        <v>WILLIAM HUST</v>
      </c>
      <c r="E825" s="6" t="s">
        <v>71</v>
      </c>
      <c r="F825" s="6" t="s">
        <v>383</v>
      </c>
      <c r="G825" s="6" t="s">
        <v>384</v>
      </c>
      <c r="H825" s="6" t="s">
        <v>1336</v>
      </c>
      <c r="I825" s="20" t="s">
        <v>1378</v>
      </c>
      <c r="J825" s="6" t="s">
        <v>599</v>
      </c>
      <c r="K825" s="6" t="s">
        <v>600</v>
      </c>
      <c r="L825" s="6" t="str">
        <f>CONCATENATE(K825," ",J825)</f>
        <v>Raluca Cheregi</v>
      </c>
      <c r="M825" s="6" t="s">
        <v>57</v>
      </c>
      <c r="N825" s="5">
        <v>46031</v>
      </c>
      <c r="O825" s="5">
        <v>46090</v>
      </c>
      <c r="P825" s="23">
        <f>DATEDIF(N825,O825,"M")</f>
        <v>2</v>
      </c>
      <c r="Q825" s="23" t="s">
        <v>157</v>
      </c>
      <c r="R825" s="23" t="s">
        <v>1390</v>
      </c>
      <c r="S825" s="7">
        <v>71.05</v>
      </c>
      <c r="T825" s="13">
        <v>0.7</v>
      </c>
      <c r="U825" s="6" t="s">
        <v>60</v>
      </c>
      <c r="V825" s="6" t="s">
        <v>135</v>
      </c>
      <c r="W825" s="7">
        <v>49.74</v>
      </c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</row>
    <row r="826" spans="1:55" s="15" customFormat="1" x14ac:dyDescent="0.25">
      <c r="A826" s="6">
        <v>2032925641</v>
      </c>
      <c r="B826" s="6" t="s">
        <v>865</v>
      </c>
      <c r="C826" s="6" t="s">
        <v>927</v>
      </c>
      <c r="D826" s="6" t="str">
        <f>CONCATENATE(C826," ",B826)</f>
        <v>SERETE CLARK</v>
      </c>
      <c r="E826" s="6" t="s">
        <v>66</v>
      </c>
      <c r="F826" s="6" t="s">
        <v>383</v>
      </c>
      <c r="G826" s="6" t="s">
        <v>384</v>
      </c>
      <c r="H826" s="6" t="s">
        <v>384</v>
      </c>
      <c r="I826" s="20">
        <v>21648482</v>
      </c>
      <c r="J826" s="6" t="s">
        <v>599</v>
      </c>
      <c r="K826" s="6" t="s">
        <v>600</v>
      </c>
      <c r="L826" s="6" t="str">
        <f>CONCATENATE(K826," ",J826)</f>
        <v>Raluca Cheregi</v>
      </c>
      <c r="M826" s="6" t="s">
        <v>57</v>
      </c>
      <c r="N826" s="5">
        <v>46023</v>
      </c>
      <c r="O826" s="5">
        <v>46082</v>
      </c>
      <c r="P826" s="23">
        <f>DATEDIF(N826,O826,"M")</f>
        <v>2</v>
      </c>
      <c r="Q826" s="23" t="s">
        <v>157</v>
      </c>
      <c r="R826" s="23" t="s">
        <v>1390</v>
      </c>
      <c r="S826" s="7">
        <v>124.72</v>
      </c>
      <c r="T826" s="13">
        <v>0.7</v>
      </c>
      <c r="U826" s="6" t="s">
        <v>60</v>
      </c>
      <c r="V826" s="6" t="s">
        <v>135</v>
      </c>
      <c r="W826" s="7">
        <v>87.3</v>
      </c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</row>
    <row r="827" spans="1:55" s="15" customFormat="1" x14ac:dyDescent="0.25">
      <c r="A827" s="6">
        <v>2032604914</v>
      </c>
      <c r="B827" s="6" t="s">
        <v>597</v>
      </c>
      <c r="C827" s="6" t="s">
        <v>598</v>
      </c>
      <c r="D827" s="6" t="str">
        <f>CONCATENATE(C827," ",B827)</f>
        <v>GJON GJIDODA</v>
      </c>
      <c r="E827" s="6" t="s">
        <v>193</v>
      </c>
      <c r="F827" s="6" t="s">
        <v>350</v>
      </c>
      <c r="G827" s="6" t="s">
        <v>582</v>
      </c>
      <c r="H827" s="6" t="s">
        <v>582</v>
      </c>
      <c r="I827" s="20" t="s">
        <v>1378</v>
      </c>
      <c r="J827" s="6" t="s">
        <v>599</v>
      </c>
      <c r="K827" s="6" t="s">
        <v>600</v>
      </c>
      <c r="L827" s="6" t="str">
        <f>CONCATENATE(K827," ",J827)</f>
        <v>Raluca Cheregi</v>
      </c>
      <c r="M827" s="6" t="s">
        <v>57</v>
      </c>
      <c r="N827" s="5">
        <v>46002</v>
      </c>
      <c r="O827" s="5">
        <v>46092</v>
      </c>
      <c r="P827" s="23">
        <f>DATEDIF(N827,O827,"M")</f>
        <v>3</v>
      </c>
      <c r="Q827" s="23" t="s">
        <v>157</v>
      </c>
      <c r="R827" s="23" t="s">
        <v>1390</v>
      </c>
      <c r="S827" s="7">
        <v>15</v>
      </c>
      <c r="T827" s="13">
        <v>0.38</v>
      </c>
      <c r="U827" s="6" t="s">
        <v>60</v>
      </c>
      <c r="V827" s="6" t="s">
        <v>135</v>
      </c>
      <c r="W827" s="7">
        <v>5.7</v>
      </c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</row>
    <row r="828" spans="1:55" s="15" customFormat="1" x14ac:dyDescent="0.25">
      <c r="A828" s="6">
        <v>2032604913</v>
      </c>
      <c r="B828" s="6" t="s">
        <v>597</v>
      </c>
      <c r="C828" s="6" t="s">
        <v>598</v>
      </c>
      <c r="D828" s="6" t="str">
        <f>CONCATENATE(C828," ",B828)</f>
        <v>GJON GJIDODA</v>
      </c>
      <c r="E828" s="6" t="s">
        <v>193</v>
      </c>
      <c r="F828" s="6" t="s">
        <v>378</v>
      </c>
      <c r="G828" s="6" t="s">
        <v>379</v>
      </c>
      <c r="H828" s="6" t="s">
        <v>379</v>
      </c>
      <c r="I828" s="20" t="s">
        <v>1378</v>
      </c>
      <c r="J828" s="6" t="s">
        <v>599</v>
      </c>
      <c r="K828" s="6" t="s">
        <v>600</v>
      </c>
      <c r="L828" s="6" t="str">
        <f>CONCATENATE(K828," ",J828)</f>
        <v>Raluca Cheregi</v>
      </c>
      <c r="M828" s="6" t="s">
        <v>57</v>
      </c>
      <c r="N828" s="5">
        <v>46002</v>
      </c>
      <c r="O828" s="5">
        <v>46092</v>
      </c>
      <c r="P828" s="23">
        <f>DATEDIF(N828,O828,"M")</f>
        <v>3</v>
      </c>
      <c r="Q828" s="23" t="s">
        <v>157</v>
      </c>
      <c r="R828" s="23" t="s">
        <v>1390</v>
      </c>
      <c r="S828" s="7">
        <v>47.51</v>
      </c>
      <c r="T828" s="13">
        <v>0.38</v>
      </c>
      <c r="U828" s="6" t="s">
        <v>60</v>
      </c>
      <c r="V828" s="6" t="s">
        <v>135</v>
      </c>
      <c r="W828" s="7">
        <v>18.05</v>
      </c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</row>
    <row r="829" spans="1:55" s="15" customFormat="1" x14ac:dyDescent="0.25">
      <c r="A829" s="6">
        <v>2032571351</v>
      </c>
      <c r="B829" s="6" t="s">
        <v>164</v>
      </c>
      <c r="C829" s="6" t="s">
        <v>862</v>
      </c>
      <c r="D829" s="6" t="str">
        <f>CONCATENATE(C829," ",B829)</f>
        <v>VIOLETA MARCUS</v>
      </c>
      <c r="E829" s="6" t="s">
        <v>66</v>
      </c>
      <c r="F829" s="6" t="s">
        <v>383</v>
      </c>
      <c r="G829" s="6" t="s">
        <v>384</v>
      </c>
      <c r="H829" s="6" t="s">
        <v>384</v>
      </c>
      <c r="I829" s="20" t="s">
        <v>1378</v>
      </c>
      <c r="J829" s="6" t="s">
        <v>599</v>
      </c>
      <c r="K829" s="6" t="s">
        <v>600</v>
      </c>
      <c r="L829" s="6" t="str">
        <f>CONCATENATE(K829," ",J829)</f>
        <v>Raluca Cheregi</v>
      </c>
      <c r="M829" s="6" t="s">
        <v>57</v>
      </c>
      <c r="N829" s="5">
        <v>46000</v>
      </c>
      <c r="O829" s="5">
        <v>46090</v>
      </c>
      <c r="P829" s="23">
        <f>DATEDIF(N829,O829,"M")</f>
        <v>3</v>
      </c>
      <c r="Q829" s="23" t="s">
        <v>157</v>
      </c>
      <c r="R829" s="23" t="s">
        <v>1390</v>
      </c>
      <c r="S829" s="7">
        <v>102.7</v>
      </c>
      <c r="T829" s="13">
        <v>0.7</v>
      </c>
      <c r="U829" s="6" t="s">
        <v>60</v>
      </c>
      <c r="V829" s="6" t="s">
        <v>135</v>
      </c>
      <c r="W829" s="7">
        <v>71.89</v>
      </c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</row>
    <row r="830" spans="1:55" s="15" customFormat="1" x14ac:dyDescent="0.25">
      <c r="A830" s="6">
        <v>2032647790</v>
      </c>
      <c r="B830" s="6" t="s">
        <v>896</v>
      </c>
      <c r="C830" s="6" t="s">
        <v>897</v>
      </c>
      <c r="D830" s="6" t="str">
        <f>CONCATENATE(C830," ",B830)</f>
        <v>WADE BAUNE</v>
      </c>
      <c r="E830" s="6" t="s">
        <v>71</v>
      </c>
      <c r="F830" s="6" t="s">
        <v>383</v>
      </c>
      <c r="G830" s="6" t="s">
        <v>384</v>
      </c>
      <c r="H830" s="6" t="s">
        <v>384</v>
      </c>
      <c r="I830" s="20" t="s">
        <v>1378</v>
      </c>
      <c r="J830" s="6" t="s">
        <v>599</v>
      </c>
      <c r="K830" s="6" t="s">
        <v>600</v>
      </c>
      <c r="L830" s="6" t="str">
        <f>CONCATENATE(K830," ",J830)</f>
        <v>Raluca Cheregi</v>
      </c>
      <c r="M830" s="6" t="s">
        <v>57</v>
      </c>
      <c r="N830" s="5">
        <v>46004</v>
      </c>
      <c r="O830" s="5">
        <v>46094</v>
      </c>
      <c r="P830" s="23">
        <f>DATEDIF(N830,O830,"M")</f>
        <v>3</v>
      </c>
      <c r="Q830" s="23" t="s">
        <v>157</v>
      </c>
      <c r="R830" s="23" t="s">
        <v>1390</v>
      </c>
      <c r="S830" s="7">
        <v>79.17</v>
      </c>
      <c r="T830" s="13">
        <v>0.7</v>
      </c>
      <c r="U830" s="6" t="s">
        <v>60</v>
      </c>
      <c r="V830" s="6" t="s">
        <v>135</v>
      </c>
      <c r="W830" s="7">
        <v>55.42</v>
      </c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</row>
    <row r="831" spans="1:55" s="15" customFormat="1" x14ac:dyDescent="0.25">
      <c r="A831" s="6">
        <v>2032592390</v>
      </c>
      <c r="B831" s="6" t="s">
        <v>868</v>
      </c>
      <c r="C831" s="6" t="s">
        <v>869</v>
      </c>
      <c r="D831" s="6" t="str">
        <f>CONCATENATE(C831," ",B831)</f>
        <v>NALLELY HERRERA</v>
      </c>
      <c r="E831" s="6" t="s">
        <v>66</v>
      </c>
      <c r="F831" s="6" t="s">
        <v>383</v>
      </c>
      <c r="G831" s="6" t="s">
        <v>384</v>
      </c>
      <c r="H831" s="6" t="s">
        <v>384</v>
      </c>
      <c r="I831" s="20" t="s">
        <v>1378</v>
      </c>
      <c r="J831" s="6" t="s">
        <v>599</v>
      </c>
      <c r="K831" s="6" t="s">
        <v>600</v>
      </c>
      <c r="L831" s="6" t="str">
        <f>CONCATENATE(K831," ",J831)</f>
        <v>Raluca Cheregi</v>
      </c>
      <c r="M831" s="6" t="s">
        <v>57</v>
      </c>
      <c r="N831" s="5">
        <v>46001</v>
      </c>
      <c r="O831" s="5">
        <v>46091</v>
      </c>
      <c r="P831" s="23">
        <f>DATEDIF(N831,O831,"M")</f>
        <v>3</v>
      </c>
      <c r="Q831" s="23" t="s">
        <v>157</v>
      </c>
      <c r="R831" s="23" t="s">
        <v>1390</v>
      </c>
      <c r="S831" s="7">
        <v>59.4</v>
      </c>
      <c r="T831" s="13">
        <v>0.7</v>
      </c>
      <c r="U831" s="6" t="s">
        <v>60</v>
      </c>
      <c r="V831" s="6" t="s">
        <v>135</v>
      </c>
      <c r="W831" s="7">
        <v>41.58</v>
      </c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</row>
    <row r="832" spans="1:55" s="15" customFormat="1" x14ac:dyDescent="0.25">
      <c r="A832" s="6">
        <v>2032665457</v>
      </c>
      <c r="B832" s="6" t="s">
        <v>466</v>
      </c>
      <c r="C832" s="6" t="s">
        <v>722</v>
      </c>
      <c r="D832" s="6" t="str">
        <f>CONCATENATE(C832," ",B832)</f>
        <v>JEREMY BRYAN</v>
      </c>
      <c r="E832" s="6" t="s">
        <v>90</v>
      </c>
      <c r="F832" s="6" t="s">
        <v>383</v>
      </c>
      <c r="G832" s="6" t="s">
        <v>384</v>
      </c>
      <c r="H832" s="6" t="s">
        <v>384</v>
      </c>
      <c r="I832" s="20" t="s">
        <v>1378</v>
      </c>
      <c r="J832" s="6" t="s">
        <v>599</v>
      </c>
      <c r="K832" s="6" t="s">
        <v>600</v>
      </c>
      <c r="L832" s="6" t="str">
        <f>CONCATENATE(K832," ",J832)</f>
        <v>Raluca Cheregi</v>
      </c>
      <c r="M832" s="6" t="s">
        <v>57</v>
      </c>
      <c r="N832" s="5">
        <v>46004</v>
      </c>
      <c r="O832" s="5">
        <v>46094</v>
      </c>
      <c r="P832" s="23">
        <f>DATEDIF(N832,O832,"M")</f>
        <v>3</v>
      </c>
      <c r="Q832" s="23" t="s">
        <v>157</v>
      </c>
      <c r="R832" s="23" t="s">
        <v>1390</v>
      </c>
      <c r="S832" s="7">
        <v>48.76</v>
      </c>
      <c r="T832" s="13">
        <v>0.7</v>
      </c>
      <c r="U832" s="6" t="s">
        <v>60</v>
      </c>
      <c r="V832" s="6" t="s">
        <v>135</v>
      </c>
      <c r="W832" s="7">
        <v>34.130000000000003</v>
      </c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</row>
    <row r="833" spans="1:55" s="15" customFormat="1" x14ac:dyDescent="0.25">
      <c r="A833" s="6">
        <v>2032571352</v>
      </c>
      <c r="B833" s="6" t="s">
        <v>164</v>
      </c>
      <c r="C833" s="6" t="s">
        <v>862</v>
      </c>
      <c r="D833" s="6" t="str">
        <f>CONCATENATE(C833," ",B833)</f>
        <v>VIOLETA MARCUS</v>
      </c>
      <c r="E833" s="6" t="s">
        <v>66</v>
      </c>
      <c r="F833" s="6" t="s">
        <v>363</v>
      </c>
      <c r="G833" s="6" t="s">
        <v>364</v>
      </c>
      <c r="H833" s="6" t="s">
        <v>364</v>
      </c>
      <c r="I833" s="20" t="s">
        <v>1378</v>
      </c>
      <c r="J833" s="6" t="s">
        <v>599</v>
      </c>
      <c r="K833" s="6" t="s">
        <v>600</v>
      </c>
      <c r="L833" s="6" t="str">
        <f>CONCATENATE(K833," ",J833)</f>
        <v>Raluca Cheregi</v>
      </c>
      <c r="M833" s="6" t="s">
        <v>57</v>
      </c>
      <c r="N833" s="5">
        <v>46000</v>
      </c>
      <c r="O833" s="5">
        <v>46090</v>
      </c>
      <c r="P833" s="23">
        <f>DATEDIF(N833,O833,"M")</f>
        <v>3</v>
      </c>
      <c r="Q833" s="23" t="s">
        <v>157</v>
      </c>
      <c r="R833" s="23" t="s">
        <v>1390</v>
      </c>
      <c r="S833" s="7">
        <v>77.48</v>
      </c>
      <c r="T833" s="14">
        <v>0.375</v>
      </c>
      <c r="U833" s="6" t="s">
        <v>60</v>
      </c>
      <c r="V833" s="6" t="s">
        <v>135</v>
      </c>
      <c r="W833" s="7">
        <v>29.06</v>
      </c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</row>
    <row r="834" spans="1:55" s="15" customFormat="1" x14ac:dyDescent="0.25">
      <c r="A834" s="6">
        <v>2032592389</v>
      </c>
      <c r="B834" s="6" t="s">
        <v>868</v>
      </c>
      <c r="C834" s="6" t="s">
        <v>869</v>
      </c>
      <c r="D834" s="6" t="str">
        <f>CONCATENATE(C834," ",B834)</f>
        <v>NALLELY HERRERA</v>
      </c>
      <c r="E834" s="6" t="s">
        <v>66</v>
      </c>
      <c r="F834" s="6" t="s">
        <v>363</v>
      </c>
      <c r="G834" s="6" t="s">
        <v>364</v>
      </c>
      <c r="H834" s="6" t="s">
        <v>364</v>
      </c>
      <c r="I834" s="20" t="s">
        <v>1378</v>
      </c>
      <c r="J834" s="6" t="s">
        <v>599</v>
      </c>
      <c r="K834" s="6" t="s">
        <v>600</v>
      </c>
      <c r="L834" s="6" t="str">
        <f>CONCATENATE(K834," ",J834)</f>
        <v>Raluca Cheregi</v>
      </c>
      <c r="M834" s="6" t="s">
        <v>57</v>
      </c>
      <c r="N834" s="5">
        <v>46001</v>
      </c>
      <c r="O834" s="5">
        <v>46091</v>
      </c>
      <c r="P834" s="23">
        <f>DATEDIF(N834,O834,"M")</f>
        <v>3</v>
      </c>
      <c r="Q834" s="23" t="s">
        <v>157</v>
      </c>
      <c r="R834" s="23" t="s">
        <v>1390</v>
      </c>
      <c r="S834" s="7">
        <v>77.48</v>
      </c>
      <c r="T834" s="14">
        <v>0.375</v>
      </c>
      <c r="U834" s="6" t="s">
        <v>60</v>
      </c>
      <c r="V834" s="6" t="s">
        <v>135</v>
      </c>
      <c r="W834" s="7">
        <v>29.06</v>
      </c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</row>
    <row r="835" spans="1:55" s="15" customFormat="1" x14ac:dyDescent="0.25">
      <c r="A835" s="6">
        <v>2032604912</v>
      </c>
      <c r="B835" s="6" t="s">
        <v>597</v>
      </c>
      <c r="C835" s="6" t="s">
        <v>598</v>
      </c>
      <c r="D835" s="6" t="str">
        <f>CONCATENATE(C835," ",B835)</f>
        <v>GJON GJIDODA</v>
      </c>
      <c r="E835" s="6" t="s">
        <v>193</v>
      </c>
      <c r="F835" s="6" t="s">
        <v>383</v>
      </c>
      <c r="G835" s="6" t="s">
        <v>385</v>
      </c>
      <c r="H835" s="6" t="s">
        <v>385</v>
      </c>
      <c r="I835" s="20" t="s">
        <v>1378</v>
      </c>
      <c r="J835" s="6" t="s">
        <v>599</v>
      </c>
      <c r="K835" s="6" t="s">
        <v>600</v>
      </c>
      <c r="L835" s="6" t="str">
        <f>CONCATENATE(K835," ",J835)</f>
        <v>Raluca Cheregi</v>
      </c>
      <c r="M835" s="6" t="s">
        <v>57</v>
      </c>
      <c r="N835" s="5">
        <v>46002</v>
      </c>
      <c r="O835" s="5">
        <v>46092</v>
      </c>
      <c r="P835" s="23">
        <f>DATEDIF(N835,O835,"M")</f>
        <v>3</v>
      </c>
      <c r="Q835" s="23" t="s">
        <v>157</v>
      </c>
      <c r="R835" s="23" t="s">
        <v>1390</v>
      </c>
      <c r="S835" s="7">
        <v>38.69</v>
      </c>
      <c r="T835" s="13">
        <v>0.9</v>
      </c>
      <c r="U835" s="6" t="s">
        <v>60</v>
      </c>
      <c r="V835" s="6" t="s">
        <v>135</v>
      </c>
      <c r="W835" s="7">
        <v>34.82</v>
      </c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</row>
    <row r="836" spans="1:55" s="15" customFormat="1" x14ac:dyDescent="0.25">
      <c r="A836" s="6">
        <v>2033118932</v>
      </c>
      <c r="B836" s="6" t="s">
        <v>963</v>
      </c>
      <c r="C836" s="6" t="s">
        <v>964</v>
      </c>
      <c r="D836" s="6" t="str">
        <f>CONCATENATE(C836," ",B836)</f>
        <v>BRAYDEN HARTIGAN</v>
      </c>
      <c r="E836" s="6" t="s">
        <v>71</v>
      </c>
      <c r="F836" s="6" t="s">
        <v>383</v>
      </c>
      <c r="G836" s="6" t="s">
        <v>384</v>
      </c>
      <c r="H836" s="6" t="s">
        <v>384</v>
      </c>
      <c r="I836" s="20" t="s">
        <v>1379</v>
      </c>
      <c r="J836" s="6" t="s">
        <v>730</v>
      </c>
      <c r="K836" s="6" t="s">
        <v>731</v>
      </c>
      <c r="L836" s="6" t="str">
        <f>CONCATENATE(K836," ",J836)</f>
        <v>RICARDO SANTOS</v>
      </c>
      <c r="M836" s="6" t="s">
        <v>57</v>
      </c>
      <c r="N836" s="5">
        <v>46035</v>
      </c>
      <c r="O836" s="5">
        <v>46094</v>
      </c>
      <c r="P836" s="23">
        <f>DATEDIF(N836,O836,"M")</f>
        <v>2</v>
      </c>
      <c r="Q836" s="23" t="s">
        <v>157</v>
      </c>
      <c r="R836" s="23" t="s">
        <v>1390</v>
      </c>
      <c r="S836" s="7">
        <v>45.46</v>
      </c>
      <c r="T836" s="13">
        <v>0.7</v>
      </c>
      <c r="U836" s="6" t="s">
        <v>60</v>
      </c>
      <c r="V836" s="6" t="s">
        <v>135</v>
      </c>
      <c r="W836" s="7">
        <v>31.82</v>
      </c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</row>
    <row r="837" spans="1:55" s="15" customFormat="1" x14ac:dyDescent="0.25">
      <c r="A837" s="6">
        <v>2033118931</v>
      </c>
      <c r="B837" s="6" t="s">
        <v>963</v>
      </c>
      <c r="C837" s="6" t="s">
        <v>964</v>
      </c>
      <c r="D837" s="6" t="str">
        <f>CONCATENATE(C837," ",B837)</f>
        <v>BRAYDEN HARTIGAN</v>
      </c>
      <c r="E837" s="6" t="s">
        <v>71</v>
      </c>
      <c r="F837" s="6" t="s">
        <v>363</v>
      </c>
      <c r="G837" s="6" t="s">
        <v>364</v>
      </c>
      <c r="H837" s="6" t="s">
        <v>364</v>
      </c>
      <c r="I837" s="20" t="s">
        <v>1379</v>
      </c>
      <c r="J837" s="6" t="s">
        <v>730</v>
      </c>
      <c r="K837" s="6" t="s">
        <v>731</v>
      </c>
      <c r="L837" s="6" t="str">
        <f>CONCATENATE(K837," ",J837)</f>
        <v>RICARDO SANTOS</v>
      </c>
      <c r="M837" s="6" t="s">
        <v>57</v>
      </c>
      <c r="N837" s="5">
        <v>46035</v>
      </c>
      <c r="O837" s="5">
        <v>46094</v>
      </c>
      <c r="P837" s="23">
        <f>DATEDIF(N837,O837,"M")</f>
        <v>2</v>
      </c>
      <c r="Q837" s="23" t="s">
        <v>157</v>
      </c>
      <c r="R837" s="23" t="s">
        <v>1390</v>
      </c>
      <c r="S837" s="7">
        <v>81.22</v>
      </c>
      <c r="T837" s="14">
        <v>0.375</v>
      </c>
      <c r="U837" s="6" t="s">
        <v>60</v>
      </c>
      <c r="V837" s="6" t="s">
        <v>135</v>
      </c>
      <c r="W837" s="7">
        <v>30.46</v>
      </c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</row>
    <row r="838" spans="1:55" s="15" customFormat="1" x14ac:dyDescent="0.25">
      <c r="A838" s="6">
        <v>2029872568</v>
      </c>
      <c r="B838" s="6" t="s">
        <v>1267</v>
      </c>
      <c r="C838" s="6" t="s">
        <v>726</v>
      </c>
      <c r="D838" s="6" t="str">
        <f>CONCATENATE(C838," ",B838)</f>
        <v>MARIA FUSILERO</v>
      </c>
      <c r="E838" s="6" t="s">
        <v>66</v>
      </c>
      <c r="F838" s="6" t="s">
        <v>383</v>
      </c>
      <c r="G838" s="6" t="s">
        <v>384</v>
      </c>
      <c r="H838" s="6" t="s">
        <v>384</v>
      </c>
      <c r="I838" s="20" t="s">
        <v>1379</v>
      </c>
      <c r="J838" s="6" t="s">
        <v>730</v>
      </c>
      <c r="K838" s="6" t="s">
        <v>731</v>
      </c>
      <c r="L838" s="6" t="str">
        <f>CONCATENATE(K838," ",J838)</f>
        <v>RICARDO SANTOS</v>
      </c>
      <c r="M838" s="6" t="s">
        <v>57</v>
      </c>
      <c r="N838" s="5">
        <v>45848</v>
      </c>
      <c r="O838" s="5">
        <v>46091</v>
      </c>
      <c r="P838" s="23">
        <f>DATEDIF(N838,O838,"M")</f>
        <v>8</v>
      </c>
      <c r="Q838" s="23" t="s">
        <v>157</v>
      </c>
      <c r="R838" s="23" t="s">
        <v>1391</v>
      </c>
      <c r="S838" s="7">
        <v>30</v>
      </c>
      <c r="T838" s="13">
        <v>0.7</v>
      </c>
      <c r="U838" s="6" t="s">
        <v>60</v>
      </c>
      <c r="V838" s="6" t="s">
        <v>135</v>
      </c>
      <c r="W838" s="7">
        <v>21</v>
      </c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</row>
    <row r="839" spans="1:55" s="15" customFormat="1" x14ac:dyDescent="0.25">
      <c r="A839" s="6">
        <v>2029880677</v>
      </c>
      <c r="B839" s="6" t="s">
        <v>753</v>
      </c>
      <c r="C839" s="6" t="s">
        <v>324</v>
      </c>
      <c r="D839" s="6" t="str">
        <f>CONCATENATE(C839," ",B839)</f>
        <v>GARCIA FLORDELIZA</v>
      </c>
      <c r="E839" s="6" t="s">
        <v>66</v>
      </c>
      <c r="F839" s="6" t="s">
        <v>383</v>
      </c>
      <c r="G839" s="6" t="s">
        <v>384</v>
      </c>
      <c r="H839" s="6" t="s">
        <v>384</v>
      </c>
      <c r="I839" s="20" t="s">
        <v>1379</v>
      </c>
      <c r="J839" s="6" t="s">
        <v>730</v>
      </c>
      <c r="K839" s="6" t="s">
        <v>731</v>
      </c>
      <c r="L839" s="6" t="str">
        <f>CONCATENATE(K839," ",J839)</f>
        <v>RICARDO SANTOS</v>
      </c>
      <c r="M839" s="6" t="s">
        <v>57</v>
      </c>
      <c r="N839" s="5">
        <v>45848</v>
      </c>
      <c r="O839" s="5">
        <v>46091</v>
      </c>
      <c r="P839" s="23">
        <f>DATEDIF(N839,O839,"M")</f>
        <v>8</v>
      </c>
      <c r="Q839" s="23" t="s">
        <v>157</v>
      </c>
      <c r="R839" s="23" t="s">
        <v>1391</v>
      </c>
      <c r="S839" s="7">
        <v>88.96</v>
      </c>
      <c r="T839" s="13">
        <v>0.7</v>
      </c>
      <c r="U839" s="6" t="s">
        <v>60</v>
      </c>
      <c r="V839" s="6" t="s">
        <v>135</v>
      </c>
      <c r="W839" s="7">
        <v>62.27</v>
      </c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</row>
    <row r="840" spans="1:55" s="15" customFormat="1" x14ac:dyDescent="0.25">
      <c r="A840" s="6">
        <v>2029880676</v>
      </c>
      <c r="B840" s="6" t="s">
        <v>753</v>
      </c>
      <c r="C840" s="6" t="s">
        <v>324</v>
      </c>
      <c r="D840" s="6" t="str">
        <f>CONCATENATE(C840," ",B840)</f>
        <v>GARCIA FLORDELIZA</v>
      </c>
      <c r="E840" s="6" t="s">
        <v>66</v>
      </c>
      <c r="F840" s="6" t="s">
        <v>363</v>
      </c>
      <c r="G840" s="6" t="s">
        <v>364</v>
      </c>
      <c r="H840" s="6" t="s">
        <v>364</v>
      </c>
      <c r="I840" s="20" t="s">
        <v>1379</v>
      </c>
      <c r="J840" s="6" t="s">
        <v>730</v>
      </c>
      <c r="K840" s="6" t="s">
        <v>731</v>
      </c>
      <c r="L840" s="6" t="str">
        <f>CONCATENATE(K840," ",J840)</f>
        <v>RICARDO SANTOS</v>
      </c>
      <c r="M840" s="6" t="s">
        <v>57</v>
      </c>
      <c r="N840" s="5">
        <v>45848</v>
      </c>
      <c r="O840" s="5">
        <v>46091</v>
      </c>
      <c r="P840" s="23">
        <f>DATEDIF(N840,O840,"M")</f>
        <v>8</v>
      </c>
      <c r="Q840" s="23" t="s">
        <v>157</v>
      </c>
      <c r="R840" s="23" t="s">
        <v>1391</v>
      </c>
      <c r="S840" s="7">
        <v>77.48</v>
      </c>
      <c r="T840" s="14">
        <v>0.375</v>
      </c>
      <c r="U840" s="6" t="s">
        <v>60</v>
      </c>
      <c r="V840" s="6" t="s">
        <v>135</v>
      </c>
      <c r="W840" s="7">
        <v>29.06</v>
      </c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</row>
    <row r="841" spans="1:55" s="15" customFormat="1" x14ac:dyDescent="0.25">
      <c r="A841" s="6">
        <v>2033010309</v>
      </c>
      <c r="B841" s="6" t="s">
        <v>935</v>
      </c>
      <c r="C841" s="6" t="s">
        <v>936</v>
      </c>
      <c r="D841" s="6" t="str">
        <f>CONCATENATE(C841," ",B841)</f>
        <v>IVANA KORALIJA</v>
      </c>
      <c r="E841" s="6" t="s">
        <v>66</v>
      </c>
      <c r="F841" s="6" t="s">
        <v>383</v>
      </c>
      <c r="G841" s="6" t="s">
        <v>384</v>
      </c>
      <c r="H841" s="6" t="s">
        <v>1336</v>
      </c>
      <c r="I841" s="20" t="s">
        <v>1380</v>
      </c>
      <c r="J841" s="6" t="s">
        <v>108</v>
      </c>
      <c r="K841" s="6" t="s">
        <v>394</v>
      </c>
      <c r="L841" s="6" t="str">
        <f>CONCATENATE(K841," ",J841)</f>
        <v>Richard Yale</v>
      </c>
      <c r="M841" s="6" t="s">
        <v>57</v>
      </c>
      <c r="N841" s="5">
        <v>46032</v>
      </c>
      <c r="O841" s="5">
        <v>46091</v>
      </c>
      <c r="P841" s="23">
        <f>DATEDIF(N841,O841,"M")</f>
        <v>2</v>
      </c>
      <c r="Q841" s="23" t="s">
        <v>157</v>
      </c>
      <c r="R841" s="23" t="s">
        <v>1390</v>
      </c>
      <c r="S841" s="7">
        <v>61.25</v>
      </c>
      <c r="T841" s="13">
        <v>0.7</v>
      </c>
      <c r="U841" s="6" t="s">
        <v>60</v>
      </c>
      <c r="V841" s="6" t="s">
        <v>135</v>
      </c>
      <c r="W841" s="7">
        <v>42.88</v>
      </c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</row>
    <row r="842" spans="1:55" s="15" customFormat="1" x14ac:dyDescent="0.25">
      <c r="A842" s="6">
        <v>2033010308</v>
      </c>
      <c r="B842" s="6" t="s">
        <v>935</v>
      </c>
      <c r="C842" s="6" t="s">
        <v>936</v>
      </c>
      <c r="D842" s="6" t="str">
        <f>CONCATENATE(C842," ",B842)</f>
        <v>IVANA KORALIJA</v>
      </c>
      <c r="E842" s="6" t="s">
        <v>66</v>
      </c>
      <c r="F842" s="6" t="s">
        <v>363</v>
      </c>
      <c r="G842" s="6" t="s">
        <v>364</v>
      </c>
      <c r="H842" s="6" t="s">
        <v>1338</v>
      </c>
      <c r="I842" s="20" t="s">
        <v>1380</v>
      </c>
      <c r="J842" s="6" t="s">
        <v>108</v>
      </c>
      <c r="K842" s="6" t="s">
        <v>394</v>
      </c>
      <c r="L842" s="6" t="str">
        <f>CONCATENATE(K842," ",J842)</f>
        <v>Richard Yale</v>
      </c>
      <c r="M842" s="6" t="s">
        <v>57</v>
      </c>
      <c r="N842" s="5">
        <v>46032</v>
      </c>
      <c r="O842" s="5">
        <v>46091</v>
      </c>
      <c r="P842" s="23">
        <f>DATEDIF(N842,O842,"M")</f>
        <v>2</v>
      </c>
      <c r="Q842" s="23" t="s">
        <v>157</v>
      </c>
      <c r="R842" s="23" t="s">
        <v>1390</v>
      </c>
      <c r="S842" s="7">
        <v>78.760000000000005</v>
      </c>
      <c r="T842" s="14">
        <v>0.375</v>
      </c>
      <c r="U842" s="6" t="s">
        <v>60</v>
      </c>
      <c r="V842" s="6" t="s">
        <v>135</v>
      </c>
      <c r="W842" s="7">
        <v>29.54</v>
      </c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</row>
    <row r="843" spans="1:55" s="15" customFormat="1" x14ac:dyDescent="0.25">
      <c r="A843" s="6">
        <v>2033010311</v>
      </c>
      <c r="B843" s="6" t="s">
        <v>935</v>
      </c>
      <c r="C843" s="6" t="s">
        <v>936</v>
      </c>
      <c r="D843" s="6" t="str">
        <f>CONCATENATE(C843," ",B843)</f>
        <v>IVANA KORALIJA</v>
      </c>
      <c r="E843" s="6" t="s">
        <v>66</v>
      </c>
      <c r="F843" s="6" t="s">
        <v>72</v>
      </c>
      <c r="G843" s="6" t="s">
        <v>73</v>
      </c>
      <c r="H843" s="6" t="s">
        <v>1329</v>
      </c>
      <c r="I843" s="20" t="s">
        <v>1380</v>
      </c>
      <c r="J843" s="6" t="s">
        <v>108</v>
      </c>
      <c r="K843" s="6" t="s">
        <v>394</v>
      </c>
      <c r="L843" s="6" t="str">
        <f>CONCATENATE(K843," ",J843)</f>
        <v>Richard Yale</v>
      </c>
      <c r="M843" s="6" t="s">
        <v>57</v>
      </c>
      <c r="N843" s="5">
        <v>46032</v>
      </c>
      <c r="O843" s="5">
        <v>46091</v>
      </c>
      <c r="P843" s="23">
        <f>DATEDIF(N843,O843,"M")</f>
        <v>2</v>
      </c>
      <c r="Q843" s="23" t="s">
        <v>157</v>
      </c>
      <c r="R843" s="23" t="s">
        <v>1390</v>
      </c>
      <c r="S843" s="7">
        <v>17.41</v>
      </c>
      <c r="T843" s="13">
        <v>0.75</v>
      </c>
      <c r="U843" s="6" t="s">
        <v>60</v>
      </c>
      <c r="V843" s="6" t="s">
        <v>135</v>
      </c>
      <c r="W843" s="7">
        <v>13.06</v>
      </c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</row>
    <row r="844" spans="1:55" s="15" customFormat="1" x14ac:dyDescent="0.25">
      <c r="A844" s="6">
        <v>2033010310</v>
      </c>
      <c r="B844" s="6" t="s">
        <v>935</v>
      </c>
      <c r="C844" s="6" t="s">
        <v>936</v>
      </c>
      <c r="D844" s="6" t="str">
        <f>CONCATENATE(C844," ",B844)</f>
        <v>IVANA KORALIJA</v>
      </c>
      <c r="E844" s="6" t="s">
        <v>66</v>
      </c>
      <c r="F844" s="6" t="s">
        <v>383</v>
      </c>
      <c r="G844" s="6" t="s">
        <v>385</v>
      </c>
      <c r="H844" s="6" t="s">
        <v>385</v>
      </c>
      <c r="I844" s="20" t="s">
        <v>1380</v>
      </c>
      <c r="J844" s="6" t="s">
        <v>108</v>
      </c>
      <c r="K844" s="6" t="s">
        <v>394</v>
      </c>
      <c r="L844" s="6" t="str">
        <f>CONCATENATE(K844," ",J844)</f>
        <v>Richard Yale</v>
      </c>
      <c r="M844" s="6" t="s">
        <v>57</v>
      </c>
      <c r="N844" s="5">
        <v>46032</v>
      </c>
      <c r="O844" s="5">
        <v>46091</v>
      </c>
      <c r="P844" s="23">
        <f>DATEDIF(N844,O844,"M")</f>
        <v>2</v>
      </c>
      <c r="Q844" s="23" t="s">
        <v>157</v>
      </c>
      <c r="R844" s="23" t="s">
        <v>1390</v>
      </c>
      <c r="S844" s="7">
        <v>33.75</v>
      </c>
      <c r="T844" s="13">
        <v>0.9</v>
      </c>
      <c r="U844" s="6" t="s">
        <v>60</v>
      </c>
      <c r="V844" s="6" t="s">
        <v>135</v>
      </c>
      <c r="W844" s="7">
        <v>30.38</v>
      </c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</row>
    <row r="845" spans="1:55" s="15" customFormat="1" x14ac:dyDescent="0.25">
      <c r="A845" s="6">
        <v>2031492464</v>
      </c>
      <c r="B845" s="6" t="s">
        <v>787</v>
      </c>
      <c r="C845" s="6" t="s">
        <v>201</v>
      </c>
      <c r="D845" s="6" t="str">
        <f>CONCATENATE(C845," ",B845)</f>
        <v>SHARON MULLOY</v>
      </c>
      <c r="E845" s="6" t="s">
        <v>71</v>
      </c>
      <c r="F845" s="6" t="s">
        <v>72</v>
      </c>
      <c r="G845" s="6" t="s">
        <v>73</v>
      </c>
      <c r="H845" s="6" t="s">
        <v>1329</v>
      </c>
      <c r="I845" s="20" t="s">
        <v>1380</v>
      </c>
      <c r="J845" s="6" t="s">
        <v>108</v>
      </c>
      <c r="K845" s="6" t="s">
        <v>394</v>
      </c>
      <c r="L845" s="6" t="str">
        <f>CONCATENATE(K845," ",J845)</f>
        <v>Richard Yale</v>
      </c>
      <c r="M845" s="6" t="s">
        <v>57</v>
      </c>
      <c r="N845" s="5">
        <v>45938</v>
      </c>
      <c r="O845" s="5">
        <v>46089</v>
      </c>
      <c r="P845" s="23">
        <f>DATEDIF(N845,O845,"M")</f>
        <v>5</v>
      </c>
      <c r="Q845" s="23" t="s">
        <v>157</v>
      </c>
      <c r="R845" s="23" t="s">
        <v>1390</v>
      </c>
      <c r="S845" s="7">
        <v>71.63</v>
      </c>
      <c r="T845" s="13">
        <v>0.75</v>
      </c>
      <c r="U845" s="6" t="s">
        <v>60</v>
      </c>
      <c r="V845" s="6" t="s">
        <v>135</v>
      </c>
      <c r="W845" s="7">
        <v>53.72</v>
      </c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</row>
    <row r="846" spans="1:55" s="15" customFormat="1" x14ac:dyDescent="0.25">
      <c r="A846" s="6">
        <v>2031492463</v>
      </c>
      <c r="B846" s="6" t="s">
        <v>787</v>
      </c>
      <c r="C846" s="6" t="s">
        <v>201</v>
      </c>
      <c r="D846" s="6" t="str">
        <f>CONCATENATE(C846," ",B846)</f>
        <v>SHARON MULLOY</v>
      </c>
      <c r="E846" s="6" t="s">
        <v>71</v>
      </c>
      <c r="F846" s="6" t="s">
        <v>383</v>
      </c>
      <c r="G846" s="6" t="s">
        <v>384</v>
      </c>
      <c r="H846" s="6" t="s">
        <v>384</v>
      </c>
      <c r="I846" s="20" t="s">
        <v>1380</v>
      </c>
      <c r="J846" s="6" t="s">
        <v>108</v>
      </c>
      <c r="K846" s="6" t="s">
        <v>394</v>
      </c>
      <c r="L846" s="6" t="str">
        <f>CONCATENATE(K846," ",J846)</f>
        <v>Richard Yale</v>
      </c>
      <c r="M846" s="6" t="s">
        <v>57</v>
      </c>
      <c r="N846" s="5">
        <v>45938</v>
      </c>
      <c r="O846" s="5">
        <v>46089</v>
      </c>
      <c r="P846" s="23">
        <f>DATEDIF(N846,O846,"M")</f>
        <v>5</v>
      </c>
      <c r="Q846" s="23" t="s">
        <v>157</v>
      </c>
      <c r="R846" s="23" t="s">
        <v>1390</v>
      </c>
      <c r="S846" s="7">
        <v>101.99</v>
      </c>
      <c r="T846" s="13">
        <v>0.7</v>
      </c>
      <c r="U846" s="6" t="s">
        <v>60</v>
      </c>
      <c r="V846" s="6" t="s">
        <v>135</v>
      </c>
      <c r="W846" s="7">
        <v>71.39</v>
      </c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</row>
    <row r="847" spans="1:55" s="15" customFormat="1" x14ac:dyDescent="0.25">
      <c r="A847" s="6">
        <v>2031492462</v>
      </c>
      <c r="B847" s="6" t="s">
        <v>787</v>
      </c>
      <c r="C847" s="6" t="s">
        <v>201</v>
      </c>
      <c r="D847" s="6" t="str">
        <f>CONCATENATE(C847," ",B847)</f>
        <v>SHARON MULLOY</v>
      </c>
      <c r="E847" s="6" t="s">
        <v>71</v>
      </c>
      <c r="F847" s="6" t="s">
        <v>363</v>
      </c>
      <c r="G847" s="6" t="s">
        <v>364</v>
      </c>
      <c r="H847" s="6" t="s">
        <v>364</v>
      </c>
      <c r="I847" s="20" t="s">
        <v>1380</v>
      </c>
      <c r="J847" s="6" t="s">
        <v>108</v>
      </c>
      <c r="K847" s="6" t="s">
        <v>394</v>
      </c>
      <c r="L847" s="6" t="str">
        <f>CONCATENATE(K847," ",J847)</f>
        <v>Richard Yale</v>
      </c>
      <c r="M847" s="6" t="s">
        <v>57</v>
      </c>
      <c r="N847" s="5">
        <v>45938</v>
      </c>
      <c r="O847" s="5">
        <v>46089</v>
      </c>
      <c r="P847" s="23">
        <f>DATEDIF(N847,O847,"M")</f>
        <v>5</v>
      </c>
      <c r="Q847" s="23" t="s">
        <v>157</v>
      </c>
      <c r="R847" s="23" t="s">
        <v>1390</v>
      </c>
      <c r="S847" s="7">
        <v>88.69</v>
      </c>
      <c r="T847" s="14">
        <v>0.375</v>
      </c>
      <c r="U847" s="6" t="s">
        <v>60</v>
      </c>
      <c r="V847" s="6" t="s">
        <v>135</v>
      </c>
      <c r="W847" s="7">
        <v>33.26</v>
      </c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</row>
    <row r="848" spans="1:55" s="15" customFormat="1" x14ac:dyDescent="0.25">
      <c r="A848" s="6">
        <v>2031190209</v>
      </c>
      <c r="B848" s="6" t="s">
        <v>785</v>
      </c>
      <c r="C848" s="6" t="s">
        <v>337</v>
      </c>
      <c r="D848" s="6" t="str">
        <f>CONCATENATE(C848," ",B848)</f>
        <v>JANICE SEMPRINI</v>
      </c>
      <c r="E848" s="6" t="s">
        <v>209</v>
      </c>
      <c r="F848" s="6" t="s">
        <v>72</v>
      </c>
      <c r="G848" s="6" t="s">
        <v>73</v>
      </c>
      <c r="H848" s="6" t="s">
        <v>1329</v>
      </c>
      <c r="I848" s="20">
        <v>16633294</v>
      </c>
      <c r="J848" s="6" t="s">
        <v>108</v>
      </c>
      <c r="K848" s="6" t="s">
        <v>394</v>
      </c>
      <c r="L848" s="6" t="str">
        <f>CONCATENATE(K848," ",J848)</f>
        <v>Richard Yale</v>
      </c>
      <c r="M848" s="6" t="s">
        <v>57</v>
      </c>
      <c r="N848" s="5">
        <v>45925</v>
      </c>
      <c r="O848" s="5">
        <v>46106</v>
      </c>
      <c r="P848" s="23">
        <f>DATEDIF(N848,O848,"M")</f>
        <v>6</v>
      </c>
      <c r="Q848" s="23" t="s">
        <v>157</v>
      </c>
      <c r="R848" s="23" t="s">
        <v>1390</v>
      </c>
      <c r="S848" s="7">
        <v>80.8</v>
      </c>
      <c r="T848" s="13">
        <v>0.75</v>
      </c>
      <c r="U848" s="6" t="s">
        <v>60</v>
      </c>
      <c r="V848" s="6" t="s">
        <v>135</v>
      </c>
      <c r="W848" s="7">
        <v>60.6</v>
      </c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</row>
    <row r="849" spans="1:55" s="15" customFormat="1" x14ac:dyDescent="0.25">
      <c r="A849" s="6">
        <v>2030699504</v>
      </c>
      <c r="B849" s="6" t="s">
        <v>1278</v>
      </c>
      <c r="C849" s="6" t="s">
        <v>1279</v>
      </c>
      <c r="D849" s="6" t="str">
        <f>CONCATENATE(C849," ",B849)</f>
        <v>CONLIN WYNNE</v>
      </c>
      <c r="E849" s="6" t="s">
        <v>66</v>
      </c>
      <c r="F849" s="6" t="s">
        <v>383</v>
      </c>
      <c r="G849" s="6" t="s">
        <v>384</v>
      </c>
      <c r="H849" s="6" t="s">
        <v>384</v>
      </c>
      <c r="I849" s="20" t="s">
        <v>1380</v>
      </c>
      <c r="J849" s="6" t="s">
        <v>108</v>
      </c>
      <c r="K849" s="6" t="s">
        <v>394</v>
      </c>
      <c r="L849" s="6" t="str">
        <f>CONCATENATE(K849," ",J849)</f>
        <v>Richard Yale</v>
      </c>
      <c r="M849" s="6" t="s">
        <v>57</v>
      </c>
      <c r="N849" s="5">
        <v>45909</v>
      </c>
      <c r="O849" s="5">
        <v>46090</v>
      </c>
      <c r="P849" s="23">
        <f>DATEDIF(N849,O849,"M")</f>
        <v>6</v>
      </c>
      <c r="Q849" s="23" t="s">
        <v>157</v>
      </c>
      <c r="R849" s="23" t="s">
        <v>1390</v>
      </c>
      <c r="S849" s="7">
        <v>212.26</v>
      </c>
      <c r="T849" s="13">
        <v>0.7</v>
      </c>
      <c r="U849" s="6" t="s">
        <v>60</v>
      </c>
      <c r="V849" s="6" t="s">
        <v>135</v>
      </c>
      <c r="W849" s="7">
        <v>148.58000000000001</v>
      </c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</row>
    <row r="850" spans="1:55" s="15" customFormat="1" x14ac:dyDescent="0.25">
      <c r="A850" s="6">
        <v>2031190208</v>
      </c>
      <c r="B850" s="6" t="s">
        <v>785</v>
      </c>
      <c r="C850" s="6" t="s">
        <v>337</v>
      </c>
      <c r="D850" s="6" t="str">
        <f>CONCATENATE(C850," ",B850)</f>
        <v>JANICE SEMPRINI</v>
      </c>
      <c r="E850" s="6" t="s">
        <v>209</v>
      </c>
      <c r="F850" s="6" t="s">
        <v>383</v>
      </c>
      <c r="G850" s="6" t="s">
        <v>384</v>
      </c>
      <c r="H850" s="6" t="s">
        <v>384</v>
      </c>
      <c r="I850" s="20">
        <v>16633294</v>
      </c>
      <c r="J850" s="6" t="s">
        <v>108</v>
      </c>
      <c r="K850" s="6" t="s">
        <v>394</v>
      </c>
      <c r="L850" s="6" t="str">
        <f>CONCATENATE(K850," ",J850)</f>
        <v>Richard Yale</v>
      </c>
      <c r="M850" s="6" t="s">
        <v>57</v>
      </c>
      <c r="N850" s="5">
        <v>45925</v>
      </c>
      <c r="O850" s="5">
        <v>46106</v>
      </c>
      <c r="P850" s="23">
        <f>DATEDIF(N850,O850,"M")</f>
        <v>6</v>
      </c>
      <c r="Q850" s="23" t="s">
        <v>157</v>
      </c>
      <c r="R850" s="23" t="s">
        <v>1390</v>
      </c>
      <c r="S850" s="7">
        <v>194.05</v>
      </c>
      <c r="T850" s="13">
        <v>0.7</v>
      </c>
      <c r="U850" s="6" t="s">
        <v>60</v>
      </c>
      <c r="V850" s="6" t="s">
        <v>135</v>
      </c>
      <c r="W850" s="7">
        <v>135.84</v>
      </c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</row>
    <row r="851" spans="1:55" s="15" customFormat="1" x14ac:dyDescent="0.25">
      <c r="A851" s="6">
        <v>2030966818</v>
      </c>
      <c r="B851" s="6" t="s">
        <v>782</v>
      </c>
      <c r="C851" s="6" t="s">
        <v>683</v>
      </c>
      <c r="D851" s="6" t="str">
        <f>CONCATENATE(C851," ",B851)</f>
        <v>ANDREW BURLEY</v>
      </c>
      <c r="E851" s="6" t="s">
        <v>193</v>
      </c>
      <c r="F851" s="6" t="s">
        <v>383</v>
      </c>
      <c r="G851" s="6" t="s">
        <v>384</v>
      </c>
      <c r="H851" s="6" t="s">
        <v>384</v>
      </c>
      <c r="I851" s="20" t="s">
        <v>1380</v>
      </c>
      <c r="J851" s="6" t="s">
        <v>108</v>
      </c>
      <c r="K851" s="6" t="s">
        <v>394</v>
      </c>
      <c r="L851" s="6" t="str">
        <f>CONCATENATE(K851," ",J851)</f>
        <v>Richard Yale</v>
      </c>
      <c r="M851" s="6" t="s">
        <v>57</v>
      </c>
      <c r="N851" s="5">
        <v>45910</v>
      </c>
      <c r="O851" s="5">
        <v>46091</v>
      </c>
      <c r="P851" s="23">
        <f>DATEDIF(N851,O851,"M")</f>
        <v>6</v>
      </c>
      <c r="Q851" s="23" t="s">
        <v>157</v>
      </c>
      <c r="R851" s="23" t="s">
        <v>1390</v>
      </c>
      <c r="S851" s="7">
        <v>18.57</v>
      </c>
      <c r="T851" s="13">
        <v>0.7</v>
      </c>
      <c r="U851" s="6" t="s">
        <v>60</v>
      </c>
      <c r="V851" s="6" t="s">
        <v>135</v>
      </c>
      <c r="W851" s="7">
        <v>13</v>
      </c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</row>
    <row r="852" spans="1:55" s="15" customFormat="1" x14ac:dyDescent="0.25">
      <c r="A852" s="6">
        <v>2031190207</v>
      </c>
      <c r="B852" s="6" t="s">
        <v>785</v>
      </c>
      <c r="C852" s="6" t="s">
        <v>337</v>
      </c>
      <c r="D852" s="6" t="str">
        <f>CONCATENATE(C852," ",B852)</f>
        <v>JANICE SEMPRINI</v>
      </c>
      <c r="E852" s="6" t="s">
        <v>209</v>
      </c>
      <c r="F852" s="6" t="s">
        <v>363</v>
      </c>
      <c r="G852" s="6" t="s">
        <v>364</v>
      </c>
      <c r="H852" s="6" t="s">
        <v>364</v>
      </c>
      <c r="I852" s="20">
        <v>16633294</v>
      </c>
      <c r="J852" s="6" t="s">
        <v>108</v>
      </c>
      <c r="K852" s="6" t="s">
        <v>394</v>
      </c>
      <c r="L852" s="6" t="str">
        <f>CONCATENATE(K852," ",J852)</f>
        <v>Richard Yale</v>
      </c>
      <c r="M852" s="6" t="s">
        <v>57</v>
      </c>
      <c r="N852" s="5">
        <v>45925</v>
      </c>
      <c r="O852" s="5">
        <v>46106</v>
      </c>
      <c r="P852" s="23">
        <f>DATEDIF(N852,O852,"M")</f>
        <v>6</v>
      </c>
      <c r="Q852" s="23" t="s">
        <v>157</v>
      </c>
      <c r="R852" s="23" t="s">
        <v>1390</v>
      </c>
      <c r="S852" s="7">
        <v>63.74</v>
      </c>
      <c r="T852" s="14">
        <v>0.375</v>
      </c>
      <c r="U852" s="6" t="s">
        <v>60</v>
      </c>
      <c r="V852" s="6" t="s">
        <v>135</v>
      </c>
      <c r="W852" s="7">
        <v>23.9</v>
      </c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</row>
    <row r="853" spans="1:55" s="15" customFormat="1" x14ac:dyDescent="0.25">
      <c r="A853" s="6">
        <v>2030966817</v>
      </c>
      <c r="B853" s="6" t="s">
        <v>782</v>
      </c>
      <c r="C853" s="6" t="s">
        <v>683</v>
      </c>
      <c r="D853" s="6" t="str">
        <f>CONCATENATE(C853," ",B853)</f>
        <v>ANDREW BURLEY</v>
      </c>
      <c r="E853" s="6" t="s">
        <v>193</v>
      </c>
      <c r="F853" s="6" t="s">
        <v>363</v>
      </c>
      <c r="G853" s="6" t="s">
        <v>364</v>
      </c>
      <c r="H853" s="6" t="s">
        <v>364</v>
      </c>
      <c r="I853" s="20" t="s">
        <v>1380</v>
      </c>
      <c r="J853" s="6" t="s">
        <v>108</v>
      </c>
      <c r="K853" s="6" t="s">
        <v>394</v>
      </c>
      <c r="L853" s="6" t="str">
        <f>CONCATENATE(K853," ",J853)</f>
        <v>Richard Yale</v>
      </c>
      <c r="M853" s="6" t="s">
        <v>57</v>
      </c>
      <c r="N853" s="5">
        <v>45910</v>
      </c>
      <c r="O853" s="5">
        <v>46091</v>
      </c>
      <c r="P853" s="23">
        <f>DATEDIF(N853,O853,"M")</f>
        <v>6</v>
      </c>
      <c r="Q853" s="23" t="s">
        <v>157</v>
      </c>
      <c r="R853" s="23" t="s">
        <v>1390</v>
      </c>
      <c r="S853" s="7">
        <v>61.74</v>
      </c>
      <c r="T853" s="14">
        <v>0.375</v>
      </c>
      <c r="U853" s="6" t="s">
        <v>60</v>
      </c>
      <c r="V853" s="6" t="s">
        <v>135</v>
      </c>
      <c r="W853" s="7">
        <v>23.15</v>
      </c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</row>
    <row r="854" spans="1:55" s="15" customFormat="1" x14ac:dyDescent="0.25">
      <c r="A854" s="6">
        <v>2029378057</v>
      </c>
      <c r="B854" s="6" t="s">
        <v>737</v>
      </c>
      <c r="C854" s="6" t="s">
        <v>738</v>
      </c>
      <c r="D854" s="6" t="str">
        <f>CONCATENATE(C854," ",B854)</f>
        <v>CLIFTON THOMPSON</v>
      </c>
      <c r="E854" s="6" t="s">
        <v>90</v>
      </c>
      <c r="F854" s="6" t="s">
        <v>383</v>
      </c>
      <c r="G854" s="6" t="s">
        <v>384</v>
      </c>
      <c r="H854" s="6" t="s">
        <v>384</v>
      </c>
      <c r="I854" s="20" t="s">
        <v>1380</v>
      </c>
      <c r="J854" s="6" t="s">
        <v>108</v>
      </c>
      <c r="K854" s="6" t="s">
        <v>394</v>
      </c>
      <c r="L854" s="6" t="str">
        <f>CONCATENATE(K854," ",J854)</f>
        <v>Richard Yale</v>
      </c>
      <c r="M854" s="6" t="s">
        <v>57</v>
      </c>
      <c r="N854" s="5">
        <v>45820</v>
      </c>
      <c r="O854" s="5">
        <v>46093</v>
      </c>
      <c r="P854" s="23">
        <f>DATEDIF(N854,O854,"M")</f>
        <v>9</v>
      </c>
      <c r="Q854" s="23" t="s">
        <v>157</v>
      </c>
      <c r="R854" s="23" t="s">
        <v>1391</v>
      </c>
      <c r="S854" s="7">
        <v>261</v>
      </c>
      <c r="T854" s="13">
        <v>0.7</v>
      </c>
      <c r="U854" s="6" t="s">
        <v>60</v>
      </c>
      <c r="V854" s="6" t="s">
        <v>135</v>
      </c>
      <c r="W854" s="7">
        <v>182.7</v>
      </c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</row>
    <row r="855" spans="1:55" s="15" customFormat="1" x14ac:dyDescent="0.25">
      <c r="A855" s="6">
        <v>2029413864</v>
      </c>
      <c r="B855" s="6" t="s">
        <v>390</v>
      </c>
      <c r="C855" s="6" t="s">
        <v>743</v>
      </c>
      <c r="D855" s="6" t="str">
        <f>CONCATENATE(C855," ",B855)</f>
        <v>MARTHA HERNANDEZ</v>
      </c>
      <c r="E855" s="6" t="s">
        <v>90</v>
      </c>
      <c r="F855" s="6" t="s">
        <v>383</v>
      </c>
      <c r="G855" s="6" t="s">
        <v>384</v>
      </c>
      <c r="H855" s="6" t="s">
        <v>384</v>
      </c>
      <c r="I855" s="20" t="s">
        <v>1380</v>
      </c>
      <c r="J855" s="6" t="s">
        <v>108</v>
      </c>
      <c r="K855" s="6" t="s">
        <v>394</v>
      </c>
      <c r="L855" s="6" t="str">
        <f>CONCATENATE(K855," ",J855)</f>
        <v>Richard Yale</v>
      </c>
      <c r="M855" s="6" t="s">
        <v>57</v>
      </c>
      <c r="N855" s="5">
        <v>45820</v>
      </c>
      <c r="O855" s="5">
        <v>46093</v>
      </c>
      <c r="P855" s="23">
        <f>DATEDIF(N855,O855,"M")</f>
        <v>9</v>
      </c>
      <c r="Q855" s="23" t="s">
        <v>157</v>
      </c>
      <c r="R855" s="23" t="s">
        <v>1391</v>
      </c>
      <c r="S855" s="7">
        <v>13</v>
      </c>
      <c r="T855" s="13">
        <v>0.7</v>
      </c>
      <c r="U855" s="6" t="s">
        <v>60</v>
      </c>
      <c r="V855" s="6" t="s">
        <v>135</v>
      </c>
      <c r="W855" s="7">
        <v>9.1</v>
      </c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</row>
    <row r="856" spans="1:55" s="15" customFormat="1" x14ac:dyDescent="0.25">
      <c r="A856" s="6">
        <v>2029378056</v>
      </c>
      <c r="B856" s="6" t="s">
        <v>737</v>
      </c>
      <c r="C856" s="6" t="s">
        <v>738</v>
      </c>
      <c r="D856" s="6" t="str">
        <f>CONCATENATE(C856," ",B856)</f>
        <v>CLIFTON THOMPSON</v>
      </c>
      <c r="E856" s="6" t="s">
        <v>90</v>
      </c>
      <c r="F856" s="6" t="s">
        <v>363</v>
      </c>
      <c r="G856" s="6" t="s">
        <v>364</v>
      </c>
      <c r="H856" s="6" t="s">
        <v>364</v>
      </c>
      <c r="I856" s="20" t="s">
        <v>1380</v>
      </c>
      <c r="J856" s="6" t="s">
        <v>108</v>
      </c>
      <c r="K856" s="6" t="s">
        <v>394</v>
      </c>
      <c r="L856" s="6" t="str">
        <f>CONCATENATE(K856," ",J856)</f>
        <v>Richard Yale</v>
      </c>
      <c r="M856" s="6" t="s">
        <v>57</v>
      </c>
      <c r="N856" s="5">
        <v>45820</v>
      </c>
      <c r="O856" s="5">
        <v>46093</v>
      </c>
      <c r="P856" s="23">
        <f>DATEDIF(N856,O856,"M")</f>
        <v>9</v>
      </c>
      <c r="Q856" s="23" t="s">
        <v>157</v>
      </c>
      <c r="R856" s="23" t="s">
        <v>1391</v>
      </c>
      <c r="S856" s="7">
        <v>117.83</v>
      </c>
      <c r="T856" s="14">
        <v>0.375</v>
      </c>
      <c r="U856" s="6" t="s">
        <v>60</v>
      </c>
      <c r="V856" s="6" t="s">
        <v>135</v>
      </c>
      <c r="W856" s="7">
        <v>44.19</v>
      </c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</row>
    <row r="857" spans="1:55" s="15" customFormat="1" x14ac:dyDescent="0.25">
      <c r="A857" s="6">
        <v>2029413863</v>
      </c>
      <c r="B857" s="6" t="s">
        <v>390</v>
      </c>
      <c r="C857" s="6" t="s">
        <v>743</v>
      </c>
      <c r="D857" s="6" t="str">
        <f>CONCATENATE(C857," ",B857)</f>
        <v>MARTHA HERNANDEZ</v>
      </c>
      <c r="E857" s="6" t="s">
        <v>90</v>
      </c>
      <c r="F857" s="6" t="s">
        <v>363</v>
      </c>
      <c r="G857" s="6" t="s">
        <v>364</v>
      </c>
      <c r="H857" s="6" t="s">
        <v>364</v>
      </c>
      <c r="I857" s="20" t="s">
        <v>1380</v>
      </c>
      <c r="J857" s="6" t="s">
        <v>108</v>
      </c>
      <c r="K857" s="6" t="s">
        <v>394</v>
      </c>
      <c r="L857" s="6" t="str">
        <f>CONCATENATE(K857," ",J857)</f>
        <v>Richard Yale</v>
      </c>
      <c r="M857" s="6" t="s">
        <v>57</v>
      </c>
      <c r="N857" s="5">
        <v>45820</v>
      </c>
      <c r="O857" s="5">
        <v>46093</v>
      </c>
      <c r="P857" s="23">
        <f>DATEDIF(N857,O857,"M")</f>
        <v>9</v>
      </c>
      <c r="Q857" s="23" t="s">
        <v>157</v>
      </c>
      <c r="R857" s="23" t="s">
        <v>1391</v>
      </c>
      <c r="S857" s="7">
        <v>68.19</v>
      </c>
      <c r="T857" s="14">
        <v>0.375</v>
      </c>
      <c r="U857" s="6" t="s">
        <v>60</v>
      </c>
      <c r="V857" s="6" t="s">
        <v>135</v>
      </c>
      <c r="W857" s="7">
        <v>25.57</v>
      </c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</row>
    <row r="858" spans="1:55" s="15" customFormat="1" x14ac:dyDescent="0.25">
      <c r="A858" s="6">
        <v>2029378058</v>
      </c>
      <c r="B858" s="6" t="s">
        <v>737</v>
      </c>
      <c r="C858" s="6" t="s">
        <v>738</v>
      </c>
      <c r="D858" s="6" t="str">
        <f>CONCATENATE(C858," ",B858)</f>
        <v>CLIFTON THOMPSON</v>
      </c>
      <c r="E858" s="6" t="s">
        <v>90</v>
      </c>
      <c r="F858" s="6" t="s">
        <v>383</v>
      </c>
      <c r="G858" s="6" t="s">
        <v>385</v>
      </c>
      <c r="H858" s="6" t="s">
        <v>385</v>
      </c>
      <c r="I858" s="20" t="s">
        <v>1380</v>
      </c>
      <c r="J858" s="6" t="s">
        <v>108</v>
      </c>
      <c r="K858" s="6" t="s">
        <v>394</v>
      </c>
      <c r="L858" s="6" t="str">
        <f>CONCATENATE(K858," ",J858)</f>
        <v>Richard Yale</v>
      </c>
      <c r="M858" s="6" t="s">
        <v>57</v>
      </c>
      <c r="N858" s="5">
        <v>45820</v>
      </c>
      <c r="O858" s="5">
        <v>46093</v>
      </c>
      <c r="P858" s="23">
        <f>DATEDIF(N858,O858,"M")</f>
        <v>9</v>
      </c>
      <c r="Q858" s="23" t="s">
        <v>157</v>
      </c>
      <c r="R858" s="23" t="s">
        <v>1391</v>
      </c>
      <c r="S858" s="7">
        <v>103.75</v>
      </c>
      <c r="T858" s="13">
        <v>0.9</v>
      </c>
      <c r="U858" s="6" t="s">
        <v>60</v>
      </c>
      <c r="V858" s="6" t="s">
        <v>135</v>
      </c>
      <c r="W858" s="7">
        <v>93.38</v>
      </c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</row>
    <row r="859" spans="1:55" s="15" customFormat="1" x14ac:dyDescent="0.25">
      <c r="A859" s="15">
        <v>2033089935</v>
      </c>
      <c r="B859" s="15" t="s">
        <v>958</v>
      </c>
      <c r="C859" s="15" t="s">
        <v>240</v>
      </c>
      <c r="D859" s="15" t="str">
        <f>CONCATENATE(C859," ",B859)</f>
        <v>JOHN STAVLAS</v>
      </c>
      <c r="E859" s="15" t="s">
        <v>392</v>
      </c>
      <c r="F859" s="15" t="s">
        <v>383</v>
      </c>
      <c r="G859" s="15" t="s">
        <v>400</v>
      </c>
      <c r="H859" s="15" t="s">
        <v>1172</v>
      </c>
      <c r="I859" s="21">
        <v>5442438</v>
      </c>
      <c r="J859" s="15" t="s">
        <v>355</v>
      </c>
      <c r="K859" s="15" t="s">
        <v>356</v>
      </c>
      <c r="L859" s="15" t="str">
        <f>CONCATENATE(K859," ",J859)</f>
        <v>Ronald Max</v>
      </c>
      <c r="M859" s="15" t="s">
        <v>57</v>
      </c>
      <c r="N859" s="16">
        <v>46035</v>
      </c>
      <c r="O859" s="16">
        <v>46094</v>
      </c>
      <c r="P859" s="24">
        <f>DATEDIF(N859,O859,"M")</f>
        <v>2</v>
      </c>
      <c r="Q859" s="24" t="s">
        <v>157</v>
      </c>
      <c r="R859" s="24" t="s">
        <v>1391</v>
      </c>
      <c r="S859" s="17">
        <v>24.61</v>
      </c>
      <c r="T859" s="18">
        <v>0.7</v>
      </c>
      <c r="U859" s="15" t="s">
        <v>60</v>
      </c>
      <c r="V859" s="15" t="s">
        <v>135</v>
      </c>
      <c r="W859" s="17">
        <v>17.23</v>
      </c>
    </row>
    <row r="860" spans="1:55" s="15" customFormat="1" x14ac:dyDescent="0.25">
      <c r="A860" s="15">
        <v>2033089936</v>
      </c>
      <c r="B860" s="15" t="s">
        <v>958</v>
      </c>
      <c r="C860" s="15" t="s">
        <v>240</v>
      </c>
      <c r="D860" s="15" t="str">
        <f>CONCATENATE(C860," ",B860)</f>
        <v>JOHN STAVLAS</v>
      </c>
      <c r="E860" s="15" t="s">
        <v>392</v>
      </c>
      <c r="F860" s="15" t="s">
        <v>72</v>
      </c>
      <c r="G860" s="15" t="s">
        <v>93</v>
      </c>
      <c r="H860" s="15" t="s">
        <v>1332</v>
      </c>
      <c r="I860" s="21">
        <v>5442438</v>
      </c>
      <c r="J860" s="15" t="s">
        <v>355</v>
      </c>
      <c r="K860" s="15" t="s">
        <v>356</v>
      </c>
      <c r="L860" s="15" t="str">
        <f>CONCATENATE(K860," ",J860)</f>
        <v>Ronald Max</v>
      </c>
      <c r="M860" s="15" t="s">
        <v>57</v>
      </c>
      <c r="N860" s="16">
        <v>46035</v>
      </c>
      <c r="O860" s="16">
        <v>46094</v>
      </c>
      <c r="P860" s="24">
        <f>DATEDIF(N860,O860,"M")</f>
        <v>2</v>
      </c>
      <c r="Q860" s="24" t="s">
        <v>157</v>
      </c>
      <c r="R860" s="24" t="s">
        <v>1391</v>
      </c>
      <c r="S860" s="17">
        <v>165.12</v>
      </c>
      <c r="T860" s="18">
        <v>0.9</v>
      </c>
      <c r="U860" s="15" t="s">
        <v>60</v>
      </c>
      <c r="V860" s="15" t="s">
        <v>135</v>
      </c>
      <c r="W860" s="17">
        <v>148.61000000000001</v>
      </c>
    </row>
    <row r="861" spans="1:55" s="15" customFormat="1" x14ac:dyDescent="0.25">
      <c r="A861" s="15">
        <v>2032480604</v>
      </c>
      <c r="B861" s="15" t="s">
        <v>509</v>
      </c>
      <c r="C861" s="15" t="s">
        <v>492</v>
      </c>
      <c r="D861" s="15" t="str">
        <f>CONCATENATE(C861," ",B861)</f>
        <v>WILLIAM WHITE</v>
      </c>
      <c r="E861" s="15" t="s">
        <v>392</v>
      </c>
      <c r="F861" s="15" t="s">
        <v>383</v>
      </c>
      <c r="G861" s="15" t="s">
        <v>400</v>
      </c>
      <c r="H861" s="15" t="s">
        <v>1172</v>
      </c>
      <c r="I861" s="21">
        <v>5442438</v>
      </c>
      <c r="J861" s="15" t="s">
        <v>355</v>
      </c>
      <c r="K861" s="15" t="s">
        <v>356</v>
      </c>
      <c r="L861" s="15" t="str">
        <f>CONCATENATE(K861," ",J861)</f>
        <v>Ronald Max</v>
      </c>
      <c r="M861" s="15" t="s">
        <v>57</v>
      </c>
      <c r="N861" s="16">
        <v>45995</v>
      </c>
      <c r="O861" s="16">
        <v>46085</v>
      </c>
      <c r="P861" s="24">
        <f>DATEDIF(N861,O861,"M")</f>
        <v>3</v>
      </c>
      <c r="Q861" s="24" t="s">
        <v>157</v>
      </c>
      <c r="R861" s="24" t="s">
        <v>1391</v>
      </c>
      <c r="S861" s="17">
        <v>24.61</v>
      </c>
      <c r="T861" s="18">
        <v>0.7</v>
      </c>
      <c r="U861" s="15" t="s">
        <v>60</v>
      </c>
      <c r="V861" s="15" t="s">
        <v>135</v>
      </c>
      <c r="W861" s="17">
        <v>17.23</v>
      </c>
    </row>
    <row r="862" spans="1:55" s="15" customFormat="1" x14ac:dyDescent="0.25">
      <c r="A862" s="15">
        <v>2032621540</v>
      </c>
      <c r="B862" s="15" t="s">
        <v>887</v>
      </c>
      <c r="C862" s="15" t="s">
        <v>888</v>
      </c>
      <c r="D862" s="15" t="str">
        <f>CONCATENATE(C862," ",B862)</f>
        <v>RONALD MAX</v>
      </c>
      <c r="E862" s="15" t="s">
        <v>392</v>
      </c>
      <c r="F862" s="15" t="s">
        <v>383</v>
      </c>
      <c r="G862" s="15" t="s">
        <v>400</v>
      </c>
      <c r="H862" s="15" t="s">
        <v>1172</v>
      </c>
      <c r="I862" s="21">
        <v>5442438</v>
      </c>
      <c r="J862" s="15" t="s">
        <v>355</v>
      </c>
      <c r="K862" s="15" t="s">
        <v>356</v>
      </c>
      <c r="L862" s="15" t="str">
        <f>CONCATENATE(K862," ",J862)</f>
        <v>Ronald Max</v>
      </c>
      <c r="M862" s="15" t="s">
        <v>57</v>
      </c>
      <c r="N862" s="16">
        <v>46003</v>
      </c>
      <c r="O862" s="16">
        <v>46093</v>
      </c>
      <c r="P862" s="24">
        <f>DATEDIF(N862,O862,"M")</f>
        <v>3</v>
      </c>
      <c r="Q862" s="24" t="s">
        <v>157</v>
      </c>
      <c r="R862" s="24" t="s">
        <v>1391</v>
      </c>
      <c r="S862" s="17">
        <v>24.61</v>
      </c>
      <c r="T862" s="18">
        <v>0.7</v>
      </c>
      <c r="U862" s="15" t="s">
        <v>60</v>
      </c>
      <c r="V862" s="15" t="s">
        <v>135</v>
      </c>
      <c r="W862" s="17">
        <v>17.23</v>
      </c>
    </row>
    <row r="863" spans="1:55" s="15" customFormat="1" x14ac:dyDescent="0.25">
      <c r="A863" s="15">
        <v>2032480605</v>
      </c>
      <c r="B863" s="15" t="s">
        <v>509</v>
      </c>
      <c r="C863" s="15" t="s">
        <v>492</v>
      </c>
      <c r="D863" s="15" t="str">
        <f>CONCATENATE(C863," ",B863)</f>
        <v>WILLIAM WHITE</v>
      </c>
      <c r="E863" s="15" t="s">
        <v>392</v>
      </c>
      <c r="F863" s="15" t="s">
        <v>72</v>
      </c>
      <c r="G863" s="15" t="s">
        <v>93</v>
      </c>
      <c r="H863" s="15" t="s">
        <v>1332</v>
      </c>
      <c r="I863" s="21">
        <v>5442438</v>
      </c>
      <c r="J863" s="15" t="s">
        <v>355</v>
      </c>
      <c r="K863" s="15" t="s">
        <v>356</v>
      </c>
      <c r="L863" s="15" t="str">
        <f>CONCATENATE(K863," ",J863)</f>
        <v>Ronald Max</v>
      </c>
      <c r="M863" s="15" t="s">
        <v>57</v>
      </c>
      <c r="N863" s="16">
        <v>45995</v>
      </c>
      <c r="O863" s="16">
        <v>46085</v>
      </c>
      <c r="P863" s="24">
        <f>DATEDIF(N863,O863,"M")</f>
        <v>3</v>
      </c>
      <c r="Q863" s="24" t="s">
        <v>157</v>
      </c>
      <c r="R863" s="24" t="s">
        <v>1391</v>
      </c>
      <c r="S863" s="17">
        <v>41.03</v>
      </c>
      <c r="T863" s="18">
        <v>0.9</v>
      </c>
      <c r="U863" s="15" t="s">
        <v>60</v>
      </c>
      <c r="V863" s="15" t="s">
        <v>135</v>
      </c>
      <c r="W863" s="17">
        <v>36.93</v>
      </c>
    </row>
    <row r="864" spans="1:55" s="15" customFormat="1" x14ac:dyDescent="0.25">
      <c r="A864" s="15">
        <v>2032480606</v>
      </c>
      <c r="B864" s="15" t="s">
        <v>509</v>
      </c>
      <c r="C864" s="15" t="s">
        <v>492</v>
      </c>
      <c r="D864" s="15" t="str">
        <f>CONCATENATE(C864," ",B864)</f>
        <v>WILLIAM WHITE</v>
      </c>
      <c r="E864" s="15" t="s">
        <v>392</v>
      </c>
      <c r="F864" s="15" t="s">
        <v>383</v>
      </c>
      <c r="G864" s="15" t="s">
        <v>843</v>
      </c>
      <c r="H864" s="15" t="s">
        <v>843</v>
      </c>
      <c r="I864" s="21">
        <v>5442438</v>
      </c>
      <c r="J864" s="15" t="s">
        <v>355</v>
      </c>
      <c r="K864" s="15" t="s">
        <v>356</v>
      </c>
      <c r="L864" s="15" t="str">
        <f>CONCATENATE(K864," ",J864)</f>
        <v>Ronald Max</v>
      </c>
      <c r="M864" s="15" t="s">
        <v>57</v>
      </c>
      <c r="N864" s="16">
        <v>45995</v>
      </c>
      <c r="O864" s="16">
        <v>46085</v>
      </c>
      <c r="P864" s="24">
        <f>DATEDIF(N864,O864,"M")</f>
        <v>3</v>
      </c>
      <c r="Q864" s="24" t="s">
        <v>157</v>
      </c>
      <c r="R864" s="24" t="s">
        <v>1391</v>
      </c>
      <c r="S864" s="17">
        <v>38.85</v>
      </c>
      <c r="T864" s="18">
        <v>0.42</v>
      </c>
      <c r="U864" s="15" t="s">
        <v>60</v>
      </c>
      <c r="V864" s="15" t="s">
        <v>135</v>
      </c>
      <c r="W864" s="17">
        <v>16.32</v>
      </c>
    </row>
    <row r="865" spans="1:23" s="15" customFormat="1" x14ac:dyDescent="0.25">
      <c r="A865" s="15">
        <v>2031713685</v>
      </c>
      <c r="B865" s="15" t="s">
        <v>1062</v>
      </c>
      <c r="C865" s="15" t="s">
        <v>1063</v>
      </c>
      <c r="D865" s="15" t="str">
        <f>CONCATENATE(C865," ",B865)</f>
        <v>JA'NET RANDALL</v>
      </c>
      <c r="E865" s="15" t="s">
        <v>392</v>
      </c>
      <c r="F865" s="15" t="s">
        <v>383</v>
      </c>
      <c r="G865" s="15" t="s">
        <v>400</v>
      </c>
      <c r="H865" s="15" t="s">
        <v>1172</v>
      </c>
      <c r="I865" s="21">
        <v>5442438</v>
      </c>
      <c r="J865" s="15" t="s">
        <v>355</v>
      </c>
      <c r="K865" s="15" t="s">
        <v>356</v>
      </c>
      <c r="L865" s="15" t="str">
        <f>CONCATENATE(K865," ",J865)</f>
        <v>Ronald Max</v>
      </c>
      <c r="M865" s="15" t="s">
        <v>57</v>
      </c>
      <c r="N865" s="16">
        <v>45969</v>
      </c>
      <c r="O865" s="16">
        <v>46089</v>
      </c>
      <c r="P865" s="24">
        <f>DATEDIF(N865,O865,"M")</f>
        <v>4</v>
      </c>
      <c r="Q865" s="24" t="s">
        <v>157</v>
      </c>
      <c r="R865" s="24" t="s">
        <v>1391</v>
      </c>
      <c r="S865" s="17">
        <v>24.61</v>
      </c>
      <c r="T865" s="18">
        <v>0.7</v>
      </c>
      <c r="U865" s="15" t="s">
        <v>60</v>
      </c>
      <c r="V865" s="15" t="s">
        <v>135</v>
      </c>
      <c r="W865" s="17">
        <v>17.23</v>
      </c>
    </row>
    <row r="866" spans="1:23" s="15" customFormat="1" x14ac:dyDescent="0.25">
      <c r="A866" s="15">
        <v>2031713686</v>
      </c>
      <c r="B866" s="15" t="s">
        <v>1062</v>
      </c>
      <c r="C866" s="15" t="s">
        <v>1063</v>
      </c>
      <c r="D866" s="15" t="str">
        <f>CONCATENATE(C866," ",B866)</f>
        <v>JA'NET RANDALL</v>
      </c>
      <c r="E866" s="15" t="s">
        <v>392</v>
      </c>
      <c r="F866" s="15" t="s">
        <v>72</v>
      </c>
      <c r="G866" s="15" t="s">
        <v>93</v>
      </c>
      <c r="H866" s="15" t="s">
        <v>1332</v>
      </c>
      <c r="I866" s="21">
        <v>5442438</v>
      </c>
      <c r="J866" s="15" t="s">
        <v>355</v>
      </c>
      <c r="K866" s="15" t="s">
        <v>356</v>
      </c>
      <c r="L866" s="15" t="str">
        <f>CONCATENATE(K866," ",J866)</f>
        <v>Ronald Max</v>
      </c>
      <c r="M866" s="15" t="s">
        <v>57</v>
      </c>
      <c r="N866" s="16">
        <v>45969</v>
      </c>
      <c r="O866" s="16">
        <v>46089</v>
      </c>
      <c r="P866" s="24">
        <f>DATEDIF(N866,O866,"M")</f>
        <v>4</v>
      </c>
      <c r="Q866" s="24" t="s">
        <v>157</v>
      </c>
      <c r="R866" s="24" t="s">
        <v>1391</v>
      </c>
      <c r="S866" s="17">
        <v>119.44</v>
      </c>
      <c r="T866" s="18">
        <v>0.9</v>
      </c>
      <c r="U866" s="15" t="s">
        <v>60</v>
      </c>
      <c r="V866" s="15" t="s">
        <v>135</v>
      </c>
      <c r="W866" s="17">
        <v>107.5</v>
      </c>
    </row>
    <row r="867" spans="1:23" s="15" customFormat="1" x14ac:dyDescent="0.25">
      <c r="A867" s="15">
        <v>2031713984</v>
      </c>
      <c r="B867" s="15" t="s">
        <v>1296</v>
      </c>
      <c r="C867" s="15" t="s">
        <v>1297</v>
      </c>
      <c r="D867" s="15" t="str">
        <f>CONCATENATE(C867," ",B867)</f>
        <v>DWAYNE WILLAMS</v>
      </c>
      <c r="E867" s="15" t="s">
        <v>392</v>
      </c>
      <c r="F867" s="15" t="s">
        <v>383</v>
      </c>
      <c r="G867" s="15" t="s">
        <v>385</v>
      </c>
      <c r="H867" s="15" t="s">
        <v>385</v>
      </c>
      <c r="I867" s="21">
        <v>5442438</v>
      </c>
      <c r="J867" s="15" t="s">
        <v>355</v>
      </c>
      <c r="K867" s="15" t="s">
        <v>356</v>
      </c>
      <c r="L867" s="15" t="str">
        <f>CONCATENATE(K867," ",J867)</f>
        <v>Ronald Max</v>
      </c>
      <c r="M867" s="15" t="s">
        <v>57</v>
      </c>
      <c r="N867" s="16">
        <v>45969</v>
      </c>
      <c r="O867" s="16">
        <v>46089</v>
      </c>
      <c r="P867" s="24">
        <f>DATEDIF(N867,O867,"M")</f>
        <v>4</v>
      </c>
      <c r="Q867" s="24" t="s">
        <v>157</v>
      </c>
      <c r="R867" s="24" t="s">
        <v>1391</v>
      </c>
      <c r="S867" s="17">
        <v>80.83</v>
      </c>
      <c r="T867" s="18">
        <v>0.9</v>
      </c>
      <c r="U867" s="15" t="s">
        <v>60</v>
      </c>
      <c r="V867" s="15" t="s">
        <v>135</v>
      </c>
      <c r="W867" s="17">
        <v>72.75</v>
      </c>
    </row>
    <row r="868" spans="1:23" s="15" customFormat="1" x14ac:dyDescent="0.25">
      <c r="A868" s="15">
        <v>2031346768</v>
      </c>
      <c r="B868" s="15" t="s">
        <v>1056</v>
      </c>
      <c r="C868" s="15" t="s">
        <v>1057</v>
      </c>
      <c r="D868" s="15" t="str">
        <f>CONCATENATE(C868," ",B868)</f>
        <v>KAITLIN CULBERTSON</v>
      </c>
      <c r="E868" s="15" t="s">
        <v>392</v>
      </c>
      <c r="F868" s="15" t="s">
        <v>383</v>
      </c>
      <c r="G868" s="15" t="s">
        <v>400</v>
      </c>
      <c r="H868" s="15" t="s">
        <v>1172</v>
      </c>
      <c r="I868" s="21">
        <v>5442438</v>
      </c>
      <c r="J868" s="15" t="s">
        <v>355</v>
      </c>
      <c r="K868" s="15" t="s">
        <v>356</v>
      </c>
      <c r="L868" s="15" t="str">
        <f>CONCATENATE(K868," ",J868)</f>
        <v>Ronald Max</v>
      </c>
      <c r="M868" s="15" t="s">
        <v>57</v>
      </c>
      <c r="N868" s="16">
        <v>45931</v>
      </c>
      <c r="O868" s="16">
        <v>46082</v>
      </c>
      <c r="P868" s="24">
        <f>DATEDIF(N868,O868,"M")</f>
        <v>5</v>
      </c>
      <c r="Q868" s="24" t="s">
        <v>157</v>
      </c>
      <c r="R868" s="24" t="s">
        <v>1391</v>
      </c>
      <c r="S868" s="17">
        <v>24.61</v>
      </c>
      <c r="T868" s="18">
        <v>0.7</v>
      </c>
      <c r="U868" s="15" t="s">
        <v>60</v>
      </c>
      <c r="V868" s="15" t="s">
        <v>135</v>
      </c>
      <c r="W868" s="17">
        <v>17.23</v>
      </c>
    </row>
    <row r="869" spans="1:23" s="15" customFormat="1" x14ac:dyDescent="0.25">
      <c r="A869" s="15">
        <v>2031346769</v>
      </c>
      <c r="B869" s="15" t="s">
        <v>1056</v>
      </c>
      <c r="C869" s="15" t="s">
        <v>1057</v>
      </c>
      <c r="D869" s="15" t="str">
        <f>CONCATENATE(C869," ",B869)</f>
        <v>KAITLIN CULBERTSON</v>
      </c>
      <c r="E869" s="15" t="s">
        <v>392</v>
      </c>
      <c r="F869" s="15" t="s">
        <v>72</v>
      </c>
      <c r="G869" s="15" t="s">
        <v>93</v>
      </c>
      <c r="H869" s="15" t="s">
        <v>1332</v>
      </c>
      <c r="I869" s="21">
        <v>5442438</v>
      </c>
      <c r="J869" s="15" t="s">
        <v>355</v>
      </c>
      <c r="K869" s="15" t="s">
        <v>356</v>
      </c>
      <c r="L869" s="15" t="str">
        <f>CONCATENATE(K869," ",J869)</f>
        <v>Ronald Max</v>
      </c>
      <c r="M869" s="15" t="s">
        <v>57</v>
      </c>
      <c r="N869" s="16">
        <v>45931</v>
      </c>
      <c r="O869" s="16">
        <v>46082</v>
      </c>
      <c r="P869" s="24">
        <f>DATEDIF(N869,O869,"M")</f>
        <v>5</v>
      </c>
      <c r="Q869" s="24" t="s">
        <v>157</v>
      </c>
      <c r="R869" s="24" t="s">
        <v>1391</v>
      </c>
      <c r="S869" s="17">
        <v>28.88</v>
      </c>
      <c r="T869" s="18">
        <v>0.9</v>
      </c>
      <c r="U869" s="15" t="s">
        <v>60</v>
      </c>
      <c r="V869" s="15" t="s">
        <v>135</v>
      </c>
      <c r="W869" s="17">
        <v>25.99</v>
      </c>
    </row>
    <row r="870" spans="1:23" s="15" customFormat="1" x14ac:dyDescent="0.25">
      <c r="A870" s="15">
        <v>2031346770</v>
      </c>
      <c r="B870" s="15" t="s">
        <v>1056</v>
      </c>
      <c r="C870" s="15" t="s">
        <v>1057</v>
      </c>
      <c r="D870" s="15" t="str">
        <f>CONCATENATE(C870," ",B870)</f>
        <v>KAITLIN CULBERTSON</v>
      </c>
      <c r="E870" s="15" t="s">
        <v>392</v>
      </c>
      <c r="F870" s="15" t="s">
        <v>383</v>
      </c>
      <c r="G870" s="15" t="s">
        <v>843</v>
      </c>
      <c r="H870" s="15" t="s">
        <v>843</v>
      </c>
      <c r="I870" s="21">
        <v>5442438</v>
      </c>
      <c r="J870" s="15" t="s">
        <v>355</v>
      </c>
      <c r="K870" s="15" t="s">
        <v>356</v>
      </c>
      <c r="L870" s="15" t="str">
        <f>CONCATENATE(K870," ",J870)</f>
        <v>Ronald Max</v>
      </c>
      <c r="M870" s="15" t="s">
        <v>57</v>
      </c>
      <c r="N870" s="16">
        <v>45931</v>
      </c>
      <c r="O870" s="16">
        <v>46082</v>
      </c>
      <c r="P870" s="24">
        <f>DATEDIF(N870,O870,"M")</f>
        <v>5</v>
      </c>
      <c r="Q870" s="24" t="s">
        <v>157</v>
      </c>
      <c r="R870" s="24" t="s">
        <v>1391</v>
      </c>
      <c r="S870" s="17">
        <v>27.8</v>
      </c>
      <c r="T870" s="18">
        <v>0.42</v>
      </c>
      <c r="U870" s="15" t="s">
        <v>60</v>
      </c>
      <c r="V870" s="15" t="s">
        <v>135</v>
      </c>
      <c r="W870" s="17">
        <v>11.68</v>
      </c>
    </row>
    <row r="871" spans="1:23" s="15" customFormat="1" x14ac:dyDescent="0.25">
      <c r="A871" s="15">
        <v>2030933672</v>
      </c>
      <c r="B871" s="15" t="s">
        <v>577</v>
      </c>
      <c r="C871" s="15" t="s">
        <v>578</v>
      </c>
      <c r="D871" s="15" t="str">
        <f>CONCATENATE(C871," ",B871)</f>
        <v>NATALIA GORSKI</v>
      </c>
      <c r="E871" s="15" t="s">
        <v>392</v>
      </c>
      <c r="F871" s="15" t="s">
        <v>383</v>
      </c>
      <c r="G871" s="15" t="s">
        <v>400</v>
      </c>
      <c r="H871" s="15" t="s">
        <v>1172</v>
      </c>
      <c r="I871" s="21">
        <v>5442438</v>
      </c>
      <c r="J871" s="15" t="s">
        <v>355</v>
      </c>
      <c r="K871" s="15" t="s">
        <v>356</v>
      </c>
      <c r="L871" s="15" t="str">
        <f>CONCATENATE(K871," ",J871)</f>
        <v>Ronald Max</v>
      </c>
      <c r="M871" s="15" t="s">
        <v>57</v>
      </c>
      <c r="N871" s="16">
        <v>45909</v>
      </c>
      <c r="O871" s="16">
        <v>46090</v>
      </c>
      <c r="P871" s="24">
        <f>DATEDIF(N871,O871,"M")</f>
        <v>6</v>
      </c>
      <c r="Q871" s="24" t="s">
        <v>157</v>
      </c>
      <c r="R871" s="24" t="s">
        <v>1391</v>
      </c>
      <c r="S871" s="17">
        <v>24.61</v>
      </c>
      <c r="T871" s="18">
        <v>0.7</v>
      </c>
      <c r="U871" s="15" t="s">
        <v>60</v>
      </c>
      <c r="V871" s="15" t="s">
        <v>135</v>
      </c>
      <c r="W871" s="17">
        <v>17.23</v>
      </c>
    </row>
    <row r="872" spans="1:23" s="15" customFormat="1" x14ac:dyDescent="0.25">
      <c r="A872" s="15">
        <v>2030933673</v>
      </c>
      <c r="B872" s="15" t="s">
        <v>577</v>
      </c>
      <c r="C872" s="15" t="s">
        <v>578</v>
      </c>
      <c r="D872" s="15" t="str">
        <f>CONCATENATE(C872," ",B872)</f>
        <v>NATALIA GORSKI</v>
      </c>
      <c r="E872" s="15" t="s">
        <v>392</v>
      </c>
      <c r="F872" s="15" t="s">
        <v>72</v>
      </c>
      <c r="G872" s="15" t="s">
        <v>93</v>
      </c>
      <c r="H872" s="15" t="s">
        <v>1332</v>
      </c>
      <c r="I872" s="21">
        <v>5442438</v>
      </c>
      <c r="J872" s="15" t="s">
        <v>355</v>
      </c>
      <c r="K872" s="15" t="s">
        <v>356</v>
      </c>
      <c r="L872" s="15" t="str">
        <f>CONCATENATE(K872," ",J872)</f>
        <v>Ronald Max</v>
      </c>
      <c r="M872" s="15" t="s">
        <v>57</v>
      </c>
      <c r="N872" s="16">
        <v>45909</v>
      </c>
      <c r="O872" s="16">
        <v>46090</v>
      </c>
      <c r="P872" s="24">
        <f>DATEDIF(N872,O872,"M")</f>
        <v>6</v>
      </c>
      <c r="Q872" s="24" t="s">
        <v>157</v>
      </c>
      <c r="R872" s="24" t="s">
        <v>1391</v>
      </c>
      <c r="S872" s="17">
        <v>76.5</v>
      </c>
      <c r="T872" s="18">
        <v>0.9</v>
      </c>
      <c r="U872" s="15" t="s">
        <v>60</v>
      </c>
      <c r="V872" s="15" t="s">
        <v>135</v>
      </c>
      <c r="W872" s="17">
        <v>68.849999999999994</v>
      </c>
    </row>
    <row r="873" spans="1:23" s="15" customFormat="1" x14ac:dyDescent="0.25">
      <c r="A873" s="15">
        <v>2030933671</v>
      </c>
      <c r="B873" s="15" t="s">
        <v>577</v>
      </c>
      <c r="C873" s="15" t="s">
        <v>578</v>
      </c>
      <c r="D873" s="15" t="str">
        <f>CONCATENATE(C873," ",B873)</f>
        <v>NATALIA GORSKI</v>
      </c>
      <c r="E873" s="15" t="s">
        <v>392</v>
      </c>
      <c r="F873" s="15" t="s">
        <v>383</v>
      </c>
      <c r="G873" s="15" t="s">
        <v>843</v>
      </c>
      <c r="H873" s="15" t="s">
        <v>843</v>
      </c>
      <c r="I873" s="21">
        <v>5442438</v>
      </c>
      <c r="J873" s="15" t="s">
        <v>355</v>
      </c>
      <c r="K873" s="15" t="s">
        <v>356</v>
      </c>
      <c r="L873" s="15" t="str">
        <f>CONCATENATE(K873," ",J873)</f>
        <v>Ronald Max</v>
      </c>
      <c r="M873" s="15" t="s">
        <v>57</v>
      </c>
      <c r="N873" s="16">
        <v>45909</v>
      </c>
      <c r="O873" s="16">
        <v>46090</v>
      </c>
      <c r="P873" s="24">
        <f>DATEDIF(N873,O873,"M")</f>
        <v>6</v>
      </c>
      <c r="Q873" s="24" t="s">
        <v>157</v>
      </c>
      <c r="R873" s="24" t="s">
        <v>1391</v>
      </c>
      <c r="S873" s="17">
        <v>27.8</v>
      </c>
      <c r="T873" s="18">
        <v>0.42</v>
      </c>
      <c r="U873" s="15" t="s">
        <v>60</v>
      </c>
      <c r="V873" s="15" t="s">
        <v>135</v>
      </c>
      <c r="W873" s="17">
        <v>11.68</v>
      </c>
    </row>
    <row r="874" spans="1:23" s="15" customFormat="1" x14ac:dyDescent="0.25">
      <c r="A874" s="15">
        <v>2030933674</v>
      </c>
      <c r="B874" s="15" t="s">
        <v>577</v>
      </c>
      <c r="C874" s="15" t="s">
        <v>578</v>
      </c>
      <c r="D874" s="15" t="str">
        <f>CONCATENATE(C874," ",B874)</f>
        <v>NATALIA GORSKI</v>
      </c>
      <c r="E874" s="15" t="s">
        <v>392</v>
      </c>
      <c r="F874" s="15" t="s">
        <v>350</v>
      </c>
      <c r="G874" s="15" t="s">
        <v>579</v>
      </c>
      <c r="H874" s="15" t="s">
        <v>1335</v>
      </c>
      <c r="I874" s="21">
        <v>5442438</v>
      </c>
      <c r="J874" s="15" t="s">
        <v>355</v>
      </c>
      <c r="K874" s="15" t="s">
        <v>356</v>
      </c>
      <c r="L874" s="15" t="str">
        <f>CONCATENATE(K874," ",J874)</f>
        <v>Ronald Max</v>
      </c>
      <c r="M874" s="15" t="s">
        <v>57</v>
      </c>
      <c r="N874" s="16">
        <v>45909</v>
      </c>
      <c r="O874" s="16">
        <v>46090</v>
      </c>
      <c r="P874" s="24">
        <f>DATEDIF(N874,O874,"M")</f>
        <v>6</v>
      </c>
      <c r="Q874" s="24" t="s">
        <v>157</v>
      </c>
      <c r="R874" s="24" t="s">
        <v>1391</v>
      </c>
      <c r="S874" s="17">
        <v>19.5</v>
      </c>
      <c r="T874" s="18">
        <v>0.39</v>
      </c>
      <c r="U874" s="15" t="s">
        <v>60</v>
      </c>
      <c r="V874" s="15" t="s">
        <v>135</v>
      </c>
      <c r="W874" s="17">
        <v>7.6</v>
      </c>
    </row>
    <row r="875" spans="1:23" s="15" customFormat="1" x14ac:dyDescent="0.25">
      <c r="A875" s="15">
        <v>2030329364</v>
      </c>
      <c r="B875" s="15" t="s">
        <v>460</v>
      </c>
      <c r="C875" s="15" t="s">
        <v>1028</v>
      </c>
      <c r="D875" s="15" t="str">
        <f>CONCATENATE(C875," ",B875)</f>
        <v>HEDGESPETH KENNETH</v>
      </c>
      <c r="E875" s="15" t="s">
        <v>392</v>
      </c>
      <c r="F875" s="15" t="s">
        <v>383</v>
      </c>
      <c r="G875" s="15" t="s">
        <v>1172</v>
      </c>
      <c r="H875" s="15" t="s">
        <v>1172</v>
      </c>
      <c r="I875" s="21">
        <v>5442438</v>
      </c>
      <c r="J875" s="15" t="s">
        <v>355</v>
      </c>
      <c r="K875" s="15" t="s">
        <v>356</v>
      </c>
      <c r="L875" s="15" t="str">
        <f>CONCATENATE(K875," ",J875)</f>
        <v>Ronald Max</v>
      </c>
      <c r="M875" s="15" t="s">
        <v>57</v>
      </c>
      <c r="N875" s="16">
        <v>45878</v>
      </c>
      <c r="O875" s="16">
        <v>46090</v>
      </c>
      <c r="P875" s="24">
        <f>DATEDIF(N875,O875,"M")</f>
        <v>7</v>
      </c>
      <c r="Q875" s="24" t="s">
        <v>157</v>
      </c>
      <c r="R875" s="24" t="s">
        <v>1391</v>
      </c>
      <c r="S875" s="17">
        <v>24.61</v>
      </c>
      <c r="T875" s="18">
        <v>0.7</v>
      </c>
      <c r="U875" s="15" t="s">
        <v>60</v>
      </c>
      <c r="V875" s="15" t="s">
        <v>135</v>
      </c>
      <c r="W875" s="17">
        <v>17.23</v>
      </c>
    </row>
    <row r="876" spans="1:23" s="15" customFormat="1" x14ac:dyDescent="0.25">
      <c r="A876" s="15">
        <v>2030345986</v>
      </c>
      <c r="B876" s="15" t="s">
        <v>302</v>
      </c>
      <c r="C876" s="15" t="s">
        <v>1031</v>
      </c>
      <c r="D876" s="15" t="str">
        <f>CONCATENATE(C876," ",B876)</f>
        <v>DOMAROTSKY ERIC</v>
      </c>
      <c r="E876" s="15" t="s">
        <v>392</v>
      </c>
      <c r="F876" s="15" t="s">
        <v>383</v>
      </c>
      <c r="G876" s="15" t="s">
        <v>1172</v>
      </c>
      <c r="H876" s="15" t="s">
        <v>1172</v>
      </c>
      <c r="I876" s="21">
        <v>5442438</v>
      </c>
      <c r="J876" s="15" t="s">
        <v>355</v>
      </c>
      <c r="K876" s="15" t="s">
        <v>356</v>
      </c>
      <c r="L876" s="15" t="str">
        <f>CONCATENATE(K876," ",J876)</f>
        <v>Ronald Max</v>
      </c>
      <c r="M876" s="15" t="s">
        <v>57</v>
      </c>
      <c r="N876" s="16">
        <v>45876</v>
      </c>
      <c r="O876" s="16">
        <v>46088</v>
      </c>
      <c r="P876" s="24">
        <f>DATEDIF(N876,O876,"M")</f>
        <v>7</v>
      </c>
      <c r="Q876" s="24" t="s">
        <v>157</v>
      </c>
      <c r="R876" s="24" t="s">
        <v>1391</v>
      </c>
      <c r="S876" s="17">
        <v>24.61</v>
      </c>
      <c r="T876" s="18">
        <v>0.7</v>
      </c>
      <c r="U876" s="15" t="s">
        <v>60</v>
      </c>
      <c r="V876" s="15" t="s">
        <v>135</v>
      </c>
      <c r="W876" s="17">
        <v>17.23</v>
      </c>
    </row>
    <row r="877" spans="1:23" s="15" customFormat="1" x14ac:dyDescent="0.25">
      <c r="A877" s="15">
        <v>2030329365</v>
      </c>
      <c r="B877" s="15" t="s">
        <v>460</v>
      </c>
      <c r="C877" s="15" t="s">
        <v>1028</v>
      </c>
      <c r="D877" s="15" t="str">
        <f>CONCATENATE(C877," ",B877)</f>
        <v>HEDGESPETH KENNETH</v>
      </c>
      <c r="E877" s="15" t="s">
        <v>392</v>
      </c>
      <c r="F877" s="15" t="s">
        <v>72</v>
      </c>
      <c r="G877" s="15" t="s">
        <v>93</v>
      </c>
      <c r="H877" s="15" t="s">
        <v>1332</v>
      </c>
      <c r="I877" s="21">
        <v>5442438</v>
      </c>
      <c r="J877" s="15" t="s">
        <v>355</v>
      </c>
      <c r="K877" s="15" t="s">
        <v>356</v>
      </c>
      <c r="L877" s="15" t="str">
        <f>CONCATENATE(K877," ",J877)</f>
        <v>Ronald Max</v>
      </c>
      <c r="M877" s="15" t="s">
        <v>57</v>
      </c>
      <c r="N877" s="16">
        <v>45878</v>
      </c>
      <c r="O877" s="16">
        <v>46090</v>
      </c>
      <c r="P877" s="24">
        <f>DATEDIF(N877,O877,"M")</f>
        <v>7</v>
      </c>
      <c r="Q877" s="24" t="s">
        <v>157</v>
      </c>
      <c r="R877" s="24" t="s">
        <v>1391</v>
      </c>
      <c r="S877" s="17">
        <v>84.56</v>
      </c>
      <c r="T877" s="18">
        <v>0.9</v>
      </c>
      <c r="U877" s="15" t="s">
        <v>60</v>
      </c>
      <c r="V877" s="15" t="s">
        <v>135</v>
      </c>
      <c r="W877" s="17">
        <v>76.08</v>
      </c>
    </row>
    <row r="878" spans="1:23" s="15" customFormat="1" x14ac:dyDescent="0.25">
      <c r="A878" s="15">
        <v>2030345987</v>
      </c>
      <c r="B878" s="15" t="s">
        <v>302</v>
      </c>
      <c r="C878" s="15" t="s">
        <v>1031</v>
      </c>
      <c r="D878" s="15" t="str">
        <f>CONCATENATE(C878," ",B878)</f>
        <v>DOMAROTSKY ERIC</v>
      </c>
      <c r="E878" s="15" t="s">
        <v>392</v>
      </c>
      <c r="F878" s="15" t="s">
        <v>72</v>
      </c>
      <c r="G878" s="15" t="s">
        <v>93</v>
      </c>
      <c r="H878" s="15" t="s">
        <v>1332</v>
      </c>
      <c r="I878" s="21">
        <v>5442438</v>
      </c>
      <c r="J878" s="15" t="s">
        <v>355</v>
      </c>
      <c r="K878" s="15" t="s">
        <v>356</v>
      </c>
      <c r="L878" s="15" t="str">
        <f>CONCATENATE(K878," ",J878)</f>
        <v>Ronald Max</v>
      </c>
      <c r="M878" s="15" t="s">
        <v>57</v>
      </c>
      <c r="N878" s="16">
        <v>45876</v>
      </c>
      <c r="O878" s="16">
        <v>46088</v>
      </c>
      <c r="P878" s="24">
        <f>DATEDIF(N878,O878,"M")</f>
        <v>7</v>
      </c>
      <c r="Q878" s="24" t="s">
        <v>157</v>
      </c>
      <c r="R878" s="24" t="s">
        <v>1391</v>
      </c>
      <c r="S878" s="17">
        <v>51.46</v>
      </c>
      <c r="T878" s="18">
        <v>0.9</v>
      </c>
      <c r="U878" s="15" t="s">
        <v>60</v>
      </c>
      <c r="V878" s="15" t="s">
        <v>135</v>
      </c>
      <c r="W878" s="17">
        <v>46.29</v>
      </c>
    </row>
    <row r="879" spans="1:23" s="15" customFormat="1" x14ac:dyDescent="0.25">
      <c r="A879" s="15">
        <v>2030329363</v>
      </c>
      <c r="B879" s="15" t="s">
        <v>460</v>
      </c>
      <c r="C879" s="15" t="s">
        <v>1028</v>
      </c>
      <c r="D879" s="15" t="str">
        <f>CONCATENATE(C879," ",B879)</f>
        <v>HEDGESPETH KENNETH</v>
      </c>
      <c r="E879" s="15" t="s">
        <v>392</v>
      </c>
      <c r="F879" s="15" t="s">
        <v>383</v>
      </c>
      <c r="G879" s="15" t="s">
        <v>843</v>
      </c>
      <c r="H879" s="15" t="s">
        <v>843</v>
      </c>
      <c r="I879" s="21">
        <v>5442438</v>
      </c>
      <c r="J879" s="15" t="s">
        <v>355</v>
      </c>
      <c r="K879" s="15" t="s">
        <v>356</v>
      </c>
      <c r="L879" s="15" t="str">
        <f>CONCATENATE(K879," ",J879)</f>
        <v>Ronald Max</v>
      </c>
      <c r="M879" s="15" t="s">
        <v>57</v>
      </c>
      <c r="N879" s="16">
        <v>45878</v>
      </c>
      <c r="O879" s="16">
        <v>46090</v>
      </c>
      <c r="P879" s="24">
        <f>DATEDIF(N879,O879,"M")</f>
        <v>7</v>
      </c>
      <c r="Q879" s="24" t="s">
        <v>157</v>
      </c>
      <c r="R879" s="24" t="s">
        <v>1391</v>
      </c>
      <c r="S879" s="17">
        <v>43.86</v>
      </c>
      <c r="T879" s="18">
        <v>0.42</v>
      </c>
      <c r="U879" s="15" t="s">
        <v>60</v>
      </c>
      <c r="V879" s="15" t="s">
        <v>135</v>
      </c>
      <c r="W879" s="17">
        <v>18.41</v>
      </c>
    </row>
    <row r="880" spans="1:23" s="15" customFormat="1" x14ac:dyDescent="0.25">
      <c r="A880" s="15">
        <v>2029283859</v>
      </c>
      <c r="B880" s="15" t="s">
        <v>1009</v>
      </c>
      <c r="C880" s="15" t="s">
        <v>1010</v>
      </c>
      <c r="D880" s="15" t="str">
        <f>CONCATENATE(C880," ",B880)</f>
        <v>BRETT BLIZZARD</v>
      </c>
      <c r="E880" s="15" t="s">
        <v>392</v>
      </c>
      <c r="F880" s="15" t="s">
        <v>383</v>
      </c>
      <c r="G880" s="15" t="s">
        <v>400</v>
      </c>
      <c r="H880" s="15" t="s">
        <v>1172</v>
      </c>
      <c r="I880" s="21">
        <v>5442438</v>
      </c>
      <c r="J880" s="15" t="s">
        <v>355</v>
      </c>
      <c r="K880" s="15" t="s">
        <v>356</v>
      </c>
      <c r="L880" s="15" t="str">
        <f>CONCATENATE(K880," ",J880)</f>
        <v>Ronald Max</v>
      </c>
      <c r="M880" s="15" t="s">
        <v>57</v>
      </c>
      <c r="N880" s="16">
        <v>45818</v>
      </c>
      <c r="O880" s="16">
        <v>46091</v>
      </c>
      <c r="P880" s="24">
        <f>DATEDIF(N880,O880,"M")</f>
        <v>9</v>
      </c>
      <c r="Q880" s="24" t="s">
        <v>157</v>
      </c>
      <c r="R880" s="24" t="s">
        <v>1391</v>
      </c>
      <c r="S880" s="17">
        <v>24.61</v>
      </c>
      <c r="T880" s="18">
        <v>0.7</v>
      </c>
      <c r="U880" s="15" t="s">
        <v>60</v>
      </c>
      <c r="V880" s="15" t="s">
        <v>135</v>
      </c>
      <c r="W880" s="17">
        <v>17.23</v>
      </c>
    </row>
    <row r="881" spans="1:23" s="15" customFormat="1" x14ac:dyDescent="0.25">
      <c r="A881" s="15">
        <v>2029283860</v>
      </c>
      <c r="B881" s="15" t="s">
        <v>1009</v>
      </c>
      <c r="C881" s="15" t="s">
        <v>1010</v>
      </c>
      <c r="D881" s="15" t="str">
        <f>CONCATENATE(C881," ",B881)</f>
        <v>BRETT BLIZZARD</v>
      </c>
      <c r="E881" s="15" t="s">
        <v>392</v>
      </c>
      <c r="F881" s="15" t="s">
        <v>72</v>
      </c>
      <c r="G881" s="15" t="s">
        <v>93</v>
      </c>
      <c r="H881" s="15" t="s">
        <v>1332</v>
      </c>
      <c r="I881" s="21">
        <v>5442438</v>
      </c>
      <c r="J881" s="15" t="s">
        <v>355</v>
      </c>
      <c r="K881" s="15" t="s">
        <v>356</v>
      </c>
      <c r="L881" s="15" t="str">
        <f>CONCATENATE(K881," ",J881)</f>
        <v>Ronald Max</v>
      </c>
      <c r="M881" s="15" t="s">
        <v>57</v>
      </c>
      <c r="N881" s="16">
        <v>45818</v>
      </c>
      <c r="O881" s="16">
        <v>46091</v>
      </c>
      <c r="P881" s="24">
        <f>DATEDIF(N881,O881,"M")</f>
        <v>9</v>
      </c>
      <c r="Q881" s="24" t="s">
        <v>157</v>
      </c>
      <c r="R881" s="24" t="s">
        <v>1391</v>
      </c>
      <c r="S881" s="17">
        <v>69.75</v>
      </c>
      <c r="T881" s="18">
        <v>0.9</v>
      </c>
      <c r="U881" s="15" t="s">
        <v>60</v>
      </c>
      <c r="V881" s="15" t="s">
        <v>135</v>
      </c>
      <c r="W881" s="17">
        <v>62.78</v>
      </c>
    </row>
    <row r="882" spans="1:23" s="15" customFormat="1" x14ac:dyDescent="0.25">
      <c r="A882" s="15">
        <v>2033053632</v>
      </c>
      <c r="B882" s="15" t="s">
        <v>946</v>
      </c>
      <c r="C882" s="15" t="s">
        <v>947</v>
      </c>
      <c r="D882" s="15" t="str">
        <f>CONCATENATE(C882," ",B882)</f>
        <v>TAMMIE REINHART</v>
      </c>
      <c r="E882" s="15" t="s">
        <v>140</v>
      </c>
      <c r="F882" s="15" t="s">
        <v>383</v>
      </c>
      <c r="G882" s="15" t="s">
        <v>384</v>
      </c>
      <c r="H882" s="15" t="s">
        <v>1336</v>
      </c>
      <c r="I882" s="21">
        <v>8977234</v>
      </c>
      <c r="J882" s="15" t="s">
        <v>162</v>
      </c>
      <c r="K882" s="15" t="s">
        <v>180</v>
      </c>
      <c r="L882" s="15" t="str">
        <f>CONCATENATE(K882," ",J882)</f>
        <v>RYAN CALTAGIRONE</v>
      </c>
      <c r="M882" s="15" t="s">
        <v>57</v>
      </c>
      <c r="N882" s="16">
        <v>46031</v>
      </c>
      <c r="O882" s="16">
        <v>46090</v>
      </c>
      <c r="P882" s="24">
        <f>DATEDIF(N882,O882,"M")</f>
        <v>2</v>
      </c>
      <c r="Q882" s="24" t="s">
        <v>157</v>
      </c>
      <c r="R882" s="24" t="s">
        <v>1391</v>
      </c>
      <c r="S882" s="17">
        <v>24</v>
      </c>
      <c r="T882" s="18">
        <v>0.7</v>
      </c>
      <c r="U882" s="15" t="s">
        <v>60</v>
      </c>
      <c r="V882" s="15" t="s">
        <v>135</v>
      </c>
      <c r="W882" s="17">
        <v>16.8</v>
      </c>
    </row>
    <row r="883" spans="1:23" s="15" customFormat="1" x14ac:dyDescent="0.25">
      <c r="A883" s="15">
        <v>2033053631</v>
      </c>
      <c r="B883" s="15" t="s">
        <v>946</v>
      </c>
      <c r="C883" s="15" t="s">
        <v>947</v>
      </c>
      <c r="D883" s="15" t="str">
        <f>CONCATENATE(C883," ",B883)</f>
        <v>TAMMIE REINHART</v>
      </c>
      <c r="E883" s="15" t="s">
        <v>140</v>
      </c>
      <c r="F883" s="15" t="s">
        <v>72</v>
      </c>
      <c r="G883" s="15" t="s">
        <v>73</v>
      </c>
      <c r="H883" s="15" t="s">
        <v>1329</v>
      </c>
      <c r="I883" s="21">
        <v>8977234</v>
      </c>
      <c r="J883" s="15" t="s">
        <v>162</v>
      </c>
      <c r="K883" s="15" t="s">
        <v>180</v>
      </c>
      <c r="L883" s="15" t="str">
        <f>CONCATENATE(K883," ",J883)</f>
        <v>RYAN CALTAGIRONE</v>
      </c>
      <c r="M883" s="15" t="s">
        <v>57</v>
      </c>
      <c r="N883" s="16">
        <v>46031</v>
      </c>
      <c r="O883" s="16">
        <v>46090</v>
      </c>
      <c r="P883" s="24">
        <f>DATEDIF(N883,O883,"M")</f>
        <v>2</v>
      </c>
      <c r="Q883" s="24" t="s">
        <v>157</v>
      </c>
      <c r="R883" s="24" t="s">
        <v>1391</v>
      </c>
      <c r="S883" s="17">
        <v>32.03</v>
      </c>
      <c r="T883" s="18">
        <v>0.75</v>
      </c>
      <c r="U883" s="15" t="s">
        <v>60</v>
      </c>
      <c r="V883" s="15" t="s">
        <v>135</v>
      </c>
      <c r="W883" s="17">
        <v>24.02</v>
      </c>
    </row>
    <row r="884" spans="1:23" s="15" customFormat="1" x14ac:dyDescent="0.25">
      <c r="A884" s="15">
        <v>2032462073</v>
      </c>
      <c r="B884" s="15" t="s">
        <v>444</v>
      </c>
      <c r="C884" s="15" t="s">
        <v>445</v>
      </c>
      <c r="D884" s="15" t="str">
        <f>CONCATENATE(C884," ",B884)</f>
        <v>INGA BENNETT</v>
      </c>
      <c r="E884" s="15" t="s">
        <v>237</v>
      </c>
      <c r="F884" s="15" t="s">
        <v>383</v>
      </c>
      <c r="G884" s="15" t="s">
        <v>384</v>
      </c>
      <c r="H884" s="15" t="s">
        <v>384</v>
      </c>
      <c r="I884" s="21">
        <v>8977234</v>
      </c>
      <c r="J884" s="15" t="s">
        <v>162</v>
      </c>
      <c r="K884" s="15" t="s">
        <v>180</v>
      </c>
      <c r="L884" s="15" t="str">
        <f>CONCATENATE(K884," ",J884)</f>
        <v>RYAN CALTAGIRONE</v>
      </c>
      <c r="M884" s="15" t="s">
        <v>57</v>
      </c>
      <c r="N884" s="16">
        <v>46023</v>
      </c>
      <c r="O884" s="16">
        <v>46082</v>
      </c>
      <c r="P884" s="24">
        <f>DATEDIF(N884,O884,"M")</f>
        <v>2</v>
      </c>
      <c r="Q884" s="24" t="s">
        <v>157</v>
      </c>
      <c r="R884" s="24" t="s">
        <v>1391</v>
      </c>
      <c r="S884" s="17">
        <v>-26.32</v>
      </c>
      <c r="T884" s="18">
        <v>0.7</v>
      </c>
      <c r="U884" s="15" t="s">
        <v>60</v>
      </c>
      <c r="V884" s="15" t="s">
        <v>135</v>
      </c>
      <c r="W884" s="17">
        <v>-18.420000000000002</v>
      </c>
    </row>
    <row r="885" spans="1:23" s="15" customFormat="1" x14ac:dyDescent="0.25">
      <c r="A885" s="15">
        <v>2032462075</v>
      </c>
      <c r="B885" s="15" t="s">
        <v>444</v>
      </c>
      <c r="C885" s="15" t="s">
        <v>445</v>
      </c>
      <c r="D885" s="15" t="str">
        <f>CONCATENATE(C885," ",B885)</f>
        <v>INGA BENNETT</v>
      </c>
      <c r="E885" s="15" t="s">
        <v>237</v>
      </c>
      <c r="F885" s="15" t="s">
        <v>363</v>
      </c>
      <c r="G885" s="15" t="s">
        <v>364</v>
      </c>
      <c r="H885" s="15" t="s">
        <v>364</v>
      </c>
      <c r="I885" s="21">
        <v>8977234</v>
      </c>
      <c r="J885" s="15" t="s">
        <v>162</v>
      </c>
      <c r="K885" s="15" t="s">
        <v>180</v>
      </c>
      <c r="L885" s="15" t="str">
        <f>CONCATENATE(K885," ",J885)</f>
        <v>RYAN CALTAGIRONE</v>
      </c>
      <c r="M885" s="15" t="s">
        <v>57</v>
      </c>
      <c r="N885" s="16">
        <v>46023</v>
      </c>
      <c r="O885" s="16">
        <v>46082</v>
      </c>
      <c r="P885" s="24">
        <f>DATEDIF(N885,O885,"M")</f>
        <v>2</v>
      </c>
      <c r="Q885" s="24" t="s">
        <v>157</v>
      </c>
      <c r="R885" s="24" t="s">
        <v>1391</v>
      </c>
      <c r="S885" s="17">
        <v>-37.409999999999997</v>
      </c>
      <c r="T885" s="25">
        <v>0.375</v>
      </c>
      <c r="U885" s="15" t="s">
        <v>60</v>
      </c>
      <c r="V885" s="15" t="s">
        <v>135</v>
      </c>
      <c r="W885" s="17">
        <v>-14.03</v>
      </c>
    </row>
    <row r="886" spans="1:23" s="15" customFormat="1" x14ac:dyDescent="0.25">
      <c r="A886" s="15">
        <v>2032462074</v>
      </c>
      <c r="B886" s="15" t="s">
        <v>444</v>
      </c>
      <c r="C886" s="15" t="s">
        <v>445</v>
      </c>
      <c r="D886" s="15" t="str">
        <f>CONCATENATE(C886," ",B886)</f>
        <v>INGA BENNETT</v>
      </c>
      <c r="E886" s="15" t="s">
        <v>237</v>
      </c>
      <c r="F886" s="15" t="s">
        <v>53</v>
      </c>
      <c r="G886" s="15" t="s">
        <v>54</v>
      </c>
      <c r="H886" s="15" t="s">
        <v>54</v>
      </c>
      <c r="I886" s="21">
        <v>8977234</v>
      </c>
      <c r="J886" s="15" t="s">
        <v>162</v>
      </c>
      <c r="K886" s="15" t="s">
        <v>180</v>
      </c>
      <c r="L886" s="15" t="str">
        <f>CONCATENATE(K886," ",J886)</f>
        <v>RYAN CALTAGIRONE</v>
      </c>
      <c r="M886" s="15" t="s">
        <v>57</v>
      </c>
      <c r="N886" s="16">
        <v>46023</v>
      </c>
      <c r="O886" s="16">
        <v>46082</v>
      </c>
      <c r="P886" s="24">
        <f>DATEDIF(N886,O886,"M")</f>
        <v>2</v>
      </c>
      <c r="Q886" s="24" t="s">
        <v>157</v>
      </c>
      <c r="R886" s="24" t="s">
        <v>1391</v>
      </c>
      <c r="S886" s="17">
        <v>-75.67</v>
      </c>
      <c r="T886" s="18">
        <v>0.6</v>
      </c>
      <c r="U886" s="15" t="s">
        <v>60</v>
      </c>
      <c r="V886" s="15" t="s">
        <v>135</v>
      </c>
      <c r="W886" s="17">
        <v>-45.4</v>
      </c>
    </row>
    <row r="887" spans="1:23" s="15" customFormat="1" x14ac:dyDescent="0.25">
      <c r="A887" s="15">
        <v>2032132338</v>
      </c>
      <c r="B887" s="15" t="s">
        <v>823</v>
      </c>
      <c r="C887" s="15" t="s">
        <v>537</v>
      </c>
      <c r="D887" s="15" t="str">
        <f>CONCATENATE(C887," ",B887)</f>
        <v>BRIAN BUSCHELL</v>
      </c>
      <c r="E887" s="15" t="s">
        <v>170</v>
      </c>
      <c r="F887" s="15" t="s">
        <v>383</v>
      </c>
      <c r="G887" s="15" t="s">
        <v>400</v>
      </c>
      <c r="H887" s="15" t="s">
        <v>1172</v>
      </c>
      <c r="I887" s="21">
        <v>8977234</v>
      </c>
      <c r="J887" s="15" t="s">
        <v>162</v>
      </c>
      <c r="K887" s="15" t="s">
        <v>180</v>
      </c>
      <c r="L887" s="15" t="str">
        <f>CONCATENATE(K887," ",J887)</f>
        <v>RYAN CALTAGIRONE</v>
      </c>
      <c r="M887" s="15" t="s">
        <v>57</v>
      </c>
      <c r="N887" s="16">
        <v>45992</v>
      </c>
      <c r="O887" s="16">
        <v>46082</v>
      </c>
      <c r="P887" s="24">
        <f>DATEDIF(N887,O887,"M")</f>
        <v>3</v>
      </c>
      <c r="Q887" s="24" t="s">
        <v>157</v>
      </c>
      <c r="R887" s="24" t="s">
        <v>1391</v>
      </c>
      <c r="S887" s="17">
        <v>-25.73</v>
      </c>
      <c r="T887" s="18">
        <v>0.7</v>
      </c>
      <c r="U887" s="15" t="s">
        <v>60</v>
      </c>
      <c r="V887" s="15" t="s">
        <v>135</v>
      </c>
      <c r="W887" s="17">
        <v>-18.010000000000002</v>
      </c>
    </row>
    <row r="888" spans="1:23" s="15" customFormat="1" x14ac:dyDescent="0.25">
      <c r="A888" s="15">
        <v>2032570314</v>
      </c>
      <c r="B888" s="15" t="s">
        <v>596</v>
      </c>
      <c r="C888" s="15" t="s">
        <v>176</v>
      </c>
      <c r="D888" s="15" t="str">
        <f>CONCATENATE(C888," ",B888)</f>
        <v>KIMBERLY WELLER</v>
      </c>
      <c r="E888" s="15" t="s">
        <v>66</v>
      </c>
      <c r="F888" s="15" t="s">
        <v>378</v>
      </c>
      <c r="G888" s="15" t="s">
        <v>380</v>
      </c>
      <c r="H888" s="15" t="s">
        <v>380</v>
      </c>
      <c r="I888" s="21">
        <v>8977234</v>
      </c>
      <c r="J888" s="15" t="s">
        <v>162</v>
      </c>
      <c r="K888" s="15" t="s">
        <v>180</v>
      </c>
      <c r="L888" s="15" t="str">
        <f>CONCATENATE(K888," ",J888)</f>
        <v>RYAN CALTAGIRONE</v>
      </c>
      <c r="M888" s="15" t="s">
        <v>57</v>
      </c>
      <c r="N888" s="16">
        <v>46000</v>
      </c>
      <c r="O888" s="16">
        <v>46090</v>
      </c>
      <c r="P888" s="24">
        <f>DATEDIF(N888,O888,"M")</f>
        <v>3</v>
      </c>
      <c r="Q888" s="24" t="s">
        <v>157</v>
      </c>
      <c r="R888" s="24" t="s">
        <v>1391</v>
      </c>
      <c r="S888" s="17">
        <v>293.52999999999997</v>
      </c>
      <c r="T888" s="18">
        <v>0.38</v>
      </c>
      <c r="U888" s="15" t="s">
        <v>60</v>
      </c>
      <c r="V888" s="15" t="s">
        <v>135</v>
      </c>
      <c r="W888" s="17">
        <v>111.54</v>
      </c>
    </row>
    <row r="889" spans="1:23" s="15" customFormat="1" x14ac:dyDescent="0.25">
      <c r="A889" s="15">
        <v>2032570315</v>
      </c>
      <c r="B889" s="15" t="s">
        <v>596</v>
      </c>
      <c r="C889" s="15" t="s">
        <v>176</v>
      </c>
      <c r="D889" s="15" t="str">
        <f>CONCATENATE(C889," ",B889)</f>
        <v>KIMBERLY WELLER</v>
      </c>
      <c r="E889" s="15" t="s">
        <v>66</v>
      </c>
      <c r="F889" s="15" t="s">
        <v>378</v>
      </c>
      <c r="G889" s="15" t="s">
        <v>381</v>
      </c>
      <c r="H889" s="15" t="s">
        <v>380</v>
      </c>
      <c r="I889" s="21">
        <v>8977234</v>
      </c>
      <c r="J889" s="15" t="s">
        <v>162</v>
      </c>
      <c r="K889" s="15" t="s">
        <v>180</v>
      </c>
      <c r="L889" s="15" t="str">
        <f>CONCATENATE(K889," ",J889)</f>
        <v>RYAN CALTAGIRONE</v>
      </c>
      <c r="M889" s="15" t="s">
        <v>57</v>
      </c>
      <c r="N889" s="16">
        <v>46000</v>
      </c>
      <c r="O889" s="16">
        <v>46090</v>
      </c>
      <c r="P889" s="24">
        <f>DATEDIF(N889,O889,"M")</f>
        <v>3</v>
      </c>
      <c r="Q889" s="24" t="s">
        <v>157</v>
      </c>
      <c r="R889" s="24" t="s">
        <v>1391</v>
      </c>
      <c r="S889" s="17">
        <v>7.09</v>
      </c>
      <c r="T889" s="18">
        <v>0.38</v>
      </c>
      <c r="U889" s="15" t="s">
        <v>60</v>
      </c>
      <c r="V889" s="15" t="s">
        <v>135</v>
      </c>
      <c r="W889" s="17">
        <v>2.69</v>
      </c>
    </row>
    <row r="890" spans="1:23" s="15" customFormat="1" x14ac:dyDescent="0.25">
      <c r="A890" s="15">
        <v>2032132337</v>
      </c>
      <c r="B890" s="15" t="s">
        <v>823</v>
      </c>
      <c r="C890" s="15" t="s">
        <v>537</v>
      </c>
      <c r="D890" s="15" t="str">
        <f>CONCATENATE(C890," ",B890)</f>
        <v>BRIAN BUSCHELL</v>
      </c>
      <c r="E890" s="15" t="s">
        <v>170</v>
      </c>
      <c r="F890" s="15" t="s">
        <v>72</v>
      </c>
      <c r="G890" s="15" t="s">
        <v>455</v>
      </c>
      <c r="H890" s="15" t="s">
        <v>1330</v>
      </c>
      <c r="I890" s="21">
        <v>8977234</v>
      </c>
      <c r="J890" s="15" t="s">
        <v>162</v>
      </c>
      <c r="K890" s="15" t="s">
        <v>180</v>
      </c>
      <c r="L890" s="15" t="str">
        <f>CONCATENATE(K890," ",J890)</f>
        <v>RYAN CALTAGIRONE</v>
      </c>
      <c r="M890" s="15" t="s">
        <v>57</v>
      </c>
      <c r="N890" s="16">
        <v>45992</v>
      </c>
      <c r="O890" s="16">
        <v>46082</v>
      </c>
      <c r="P890" s="24">
        <f>DATEDIF(N890,O890,"M")</f>
        <v>3</v>
      </c>
      <c r="Q890" s="24" t="s">
        <v>157</v>
      </c>
      <c r="R890" s="24" t="s">
        <v>1391</v>
      </c>
      <c r="S890" s="17">
        <v>-21.21</v>
      </c>
      <c r="T890" s="18">
        <v>0.65</v>
      </c>
      <c r="U890" s="15" t="s">
        <v>60</v>
      </c>
      <c r="V890" s="15" t="s">
        <v>135</v>
      </c>
      <c r="W890" s="17">
        <v>-13.79</v>
      </c>
    </row>
    <row r="891" spans="1:23" s="15" customFormat="1" x14ac:dyDescent="0.25">
      <c r="A891" s="15">
        <v>2032570317</v>
      </c>
      <c r="B891" s="15" t="s">
        <v>596</v>
      </c>
      <c r="C891" s="15" t="s">
        <v>176</v>
      </c>
      <c r="D891" s="15" t="str">
        <f>CONCATENATE(C891," ",B891)</f>
        <v>KIMBERLY WELLER</v>
      </c>
      <c r="E891" s="15" t="s">
        <v>66</v>
      </c>
      <c r="F891" s="15" t="s">
        <v>72</v>
      </c>
      <c r="G891" s="15" t="s">
        <v>93</v>
      </c>
      <c r="H891" s="15" t="s">
        <v>1332</v>
      </c>
      <c r="I891" s="21">
        <v>8977234</v>
      </c>
      <c r="J891" s="15" t="s">
        <v>162</v>
      </c>
      <c r="K891" s="15" t="s">
        <v>180</v>
      </c>
      <c r="L891" s="15" t="str">
        <f>CONCATENATE(K891," ",J891)</f>
        <v>RYAN CALTAGIRONE</v>
      </c>
      <c r="M891" s="15" t="s">
        <v>57</v>
      </c>
      <c r="N891" s="16">
        <v>46000</v>
      </c>
      <c r="O891" s="16">
        <v>46090</v>
      </c>
      <c r="P891" s="24">
        <f>DATEDIF(N891,O891,"M")</f>
        <v>3</v>
      </c>
      <c r="Q891" s="24" t="s">
        <v>157</v>
      </c>
      <c r="R891" s="24" t="s">
        <v>1391</v>
      </c>
      <c r="S891" s="17">
        <v>85.16</v>
      </c>
      <c r="T891" s="18">
        <v>0.9</v>
      </c>
      <c r="U891" s="15" t="s">
        <v>60</v>
      </c>
      <c r="V891" s="15" t="s">
        <v>135</v>
      </c>
      <c r="W891" s="17">
        <v>76.64</v>
      </c>
    </row>
    <row r="892" spans="1:23" s="15" customFormat="1" x14ac:dyDescent="0.25">
      <c r="A892" s="15">
        <v>2032570318</v>
      </c>
      <c r="B892" s="15" t="s">
        <v>596</v>
      </c>
      <c r="C892" s="15" t="s">
        <v>176</v>
      </c>
      <c r="D892" s="15" t="str">
        <f>CONCATENATE(C892," ",B892)</f>
        <v>KIMBERLY WELLER</v>
      </c>
      <c r="E892" s="15" t="s">
        <v>66</v>
      </c>
      <c r="F892" s="15" t="s">
        <v>350</v>
      </c>
      <c r="G892" s="15" t="s">
        <v>354</v>
      </c>
      <c r="H892" s="15" t="s">
        <v>354</v>
      </c>
      <c r="I892" s="21">
        <v>8977234</v>
      </c>
      <c r="J892" s="15" t="s">
        <v>162</v>
      </c>
      <c r="K892" s="15" t="s">
        <v>180</v>
      </c>
      <c r="L892" s="15" t="str">
        <f>CONCATENATE(K892," ",J892)</f>
        <v>RYAN CALTAGIRONE</v>
      </c>
      <c r="M892" s="15" t="s">
        <v>57</v>
      </c>
      <c r="N892" s="16">
        <v>46000</v>
      </c>
      <c r="O892" s="16">
        <v>46090</v>
      </c>
      <c r="P892" s="24">
        <f>DATEDIF(N892,O892,"M")</f>
        <v>3</v>
      </c>
      <c r="Q892" s="24" t="s">
        <v>157</v>
      </c>
      <c r="R892" s="24" t="s">
        <v>1391</v>
      </c>
      <c r="S892" s="17">
        <v>15</v>
      </c>
      <c r="T892" s="18">
        <v>0.38</v>
      </c>
      <c r="U892" s="15" t="s">
        <v>60</v>
      </c>
      <c r="V892" s="15" t="s">
        <v>135</v>
      </c>
      <c r="W892" s="17">
        <v>5.7</v>
      </c>
    </row>
    <row r="893" spans="1:23" s="15" customFormat="1" x14ac:dyDescent="0.25">
      <c r="A893" s="15">
        <v>2032570316</v>
      </c>
      <c r="B893" s="15" t="s">
        <v>596</v>
      </c>
      <c r="C893" s="15" t="s">
        <v>176</v>
      </c>
      <c r="D893" s="15" t="str">
        <f>CONCATENATE(C893," ",B893)</f>
        <v>KIMBERLY WELLER</v>
      </c>
      <c r="E893" s="15" t="s">
        <v>66</v>
      </c>
      <c r="F893" s="15" t="s">
        <v>383</v>
      </c>
      <c r="G893" s="15" t="s">
        <v>384</v>
      </c>
      <c r="H893" s="15" t="s">
        <v>384</v>
      </c>
      <c r="I893" s="21">
        <v>8977234</v>
      </c>
      <c r="J893" s="15" t="s">
        <v>162</v>
      </c>
      <c r="K893" s="15" t="s">
        <v>180</v>
      </c>
      <c r="L893" s="15" t="str">
        <f>CONCATENATE(K893," ",J893)</f>
        <v>RYAN CALTAGIRONE</v>
      </c>
      <c r="M893" s="15" t="s">
        <v>57</v>
      </c>
      <c r="N893" s="16">
        <v>46000</v>
      </c>
      <c r="O893" s="16">
        <v>46090</v>
      </c>
      <c r="P893" s="24">
        <f>DATEDIF(N893,O893,"M")</f>
        <v>3</v>
      </c>
      <c r="Q893" s="24" t="s">
        <v>157</v>
      </c>
      <c r="R893" s="24" t="s">
        <v>1391</v>
      </c>
      <c r="S893" s="17">
        <v>109.2</v>
      </c>
      <c r="T893" s="18">
        <v>0.7</v>
      </c>
      <c r="U893" s="15" t="s">
        <v>60</v>
      </c>
      <c r="V893" s="15" t="s">
        <v>135</v>
      </c>
      <c r="W893" s="17">
        <v>76.44</v>
      </c>
    </row>
    <row r="894" spans="1:23" s="15" customFormat="1" x14ac:dyDescent="0.25">
      <c r="A894" s="15">
        <v>2032132336</v>
      </c>
      <c r="B894" s="15" t="s">
        <v>823</v>
      </c>
      <c r="C894" s="15" t="s">
        <v>537</v>
      </c>
      <c r="D894" s="15" t="str">
        <f>CONCATENATE(C894," ",B894)</f>
        <v>BRIAN BUSCHELL</v>
      </c>
      <c r="E894" s="15" t="s">
        <v>170</v>
      </c>
      <c r="F894" s="15" t="s">
        <v>383</v>
      </c>
      <c r="G894" s="15" t="s">
        <v>384</v>
      </c>
      <c r="H894" s="15" t="s">
        <v>384</v>
      </c>
      <c r="I894" s="21">
        <v>8977234</v>
      </c>
      <c r="J894" s="15" t="s">
        <v>162</v>
      </c>
      <c r="K894" s="15" t="s">
        <v>180</v>
      </c>
      <c r="L894" s="15" t="str">
        <f>CONCATENATE(K894," ",J894)</f>
        <v>RYAN CALTAGIRONE</v>
      </c>
      <c r="M894" s="15" t="s">
        <v>57</v>
      </c>
      <c r="N894" s="16">
        <v>45992</v>
      </c>
      <c r="O894" s="16">
        <v>46082</v>
      </c>
      <c r="P894" s="24">
        <f>DATEDIF(N894,O894,"M")</f>
        <v>3</v>
      </c>
      <c r="Q894" s="24" t="s">
        <v>157</v>
      </c>
      <c r="R894" s="24" t="s">
        <v>1391</v>
      </c>
      <c r="S894" s="17">
        <v>-29.79</v>
      </c>
      <c r="T894" s="18">
        <v>0.7</v>
      </c>
      <c r="U894" s="15" t="s">
        <v>60</v>
      </c>
      <c r="V894" s="15" t="s">
        <v>135</v>
      </c>
      <c r="W894" s="17">
        <v>-20.85</v>
      </c>
    </row>
    <row r="895" spans="1:23" s="15" customFormat="1" x14ac:dyDescent="0.25">
      <c r="A895" s="15">
        <v>2032010096</v>
      </c>
      <c r="B895" s="15" t="s">
        <v>1067</v>
      </c>
      <c r="C895" s="15" t="s">
        <v>561</v>
      </c>
      <c r="D895" s="15" t="str">
        <f>CONCATENATE(C895," ",B895)</f>
        <v>KURT OLSZEWSKI</v>
      </c>
      <c r="E895" s="15" t="s">
        <v>66</v>
      </c>
      <c r="F895" s="15" t="s">
        <v>72</v>
      </c>
      <c r="G895" s="15" t="s">
        <v>73</v>
      </c>
      <c r="H895" s="15" t="s">
        <v>1329</v>
      </c>
      <c r="I895" s="21">
        <v>8977234</v>
      </c>
      <c r="J895" s="15" t="s">
        <v>162</v>
      </c>
      <c r="K895" s="15" t="s">
        <v>180</v>
      </c>
      <c r="L895" s="15" t="str">
        <f>CONCATENATE(K895," ",J895)</f>
        <v>RYAN CALTAGIRONE</v>
      </c>
      <c r="M895" s="15" t="s">
        <v>57</v>
      </c>
      <c r="N895" s="16">
        <v>45967</v>
      </c>
      <c r="O895" s="16">
        <v>46087</v>
      </c>
      <c r="P895" s="24">
        <f>DATEDIF(N895,O895,"M")</f>
        <v>4</v>
      </c>
      <c r="Q895" s="24" t="s">
        <v>157</v>
      </c>
      <c r="R895" s="24" t="s">
        <v>1391</v>
      </c>
      <c r="S895" s="17">
        <v>108.28</v>
      </c>
      <c r="T895" s="18">
        <v>0.75</v>
      </c>
      <c r="U895" s="15" t="s">
        <v>60</v>
      </c>
      <c r="V895" s="15" t="s">
        <v>135</v>
      </c>
      <c r="W895" s="17">
        <v>81.209999999999994</v>
      </c>
    </row>
    <row r="896" spans="1:23" s="15" customFormat="1" x14ac:dyDescent="0.25">
      <c r="A896" s="15">
        <v>2032010095</v>
      </c>
      <c r="B896" s="15" t="s">
        <v>1067</v>
      </c>
      <c r="C896" s="15" t="s">
        <v>561</v>
      </c>
      <c r="D896" s="15" t="str">
        <f>CONCATENATE(C896," ",B896)</f>
        <v>KURT OLSZEWSKI</v>
      </c>
      <c r="E896" s="15" t="s">
        <v>66</v>
      </c>
      <c r="F896" s="15" t="s">
        <v>383</v>
      </c>
      <c r="G896" s="15" t="s">
        <v>384</v>
      </c>
      <c r="H896" s="15" t="s">
        <v>384</v>
      </c>
      <c r="I896" s="21">
        <v>8977234</v>
      </c>
      <c r="J896" s="15" t="s">
        <v>162</v>
      </c>
      <c r="K896" s="15" t="s">
        <v>180</v>
      </c>
      <c r="L896" s="15" t="str">
        <f>CONCATENATE(K896," ",J896)</f>
        <v>RYAN CALTAGIRONE</v>
      </c>
      <c r="M896" s="15" t="s">
        <v>57</v>
      </c>
      <c r="N896" s="16">
        <v>45967</v>
      </c>
      <c r="O896" s="16">
        <v>46087</v>
      </c>
      <c r="P896" s="24">
        <f>DATEDIF(N896,O896,"M")</f>
        <v>4</v>
      </c>
      <c r="Q896" s="24" t="s">
        <v>157</v>
      </c>
      <c r="R896" s="24" t="s">
        <v>1391</v>
      </c>
      <c r="S896" s="17">
        <v>95.54</v>
      </c>
      <c r="T896" s="18">
        <v>0.7</v>
      </c>
      <c r="U896" s="15" t="s">
        <v>60</v>
      </c>
      <c r="V896" s="15" t="s">
        <v>135</v>
      </c>
      <c r="W896" s="17">
        <v>66.88</v>
      </c>
    </row>
    <row r="897" spans="1:23" s="15" customFormat="1" x14ac:dyDescent="0.25">
      <c r="A897" s="15">
        <v>2030963809</v>
      </c>
      <c r="B897" s="15" t="s">
        <v>534</v>
      </c>
      <c r="C897" s="15" t="s">
        <v>1051</v>
      </c>
      <c r="D897" s="15" t="str">
        <f>CONCATENATE(C897," ",B897)</f>
        <v>GLENN ALBERT</v>
      </c>
      <c r="E897" s="15" t="s">
        <v>170</v>
      </c>
      <c r="F897" s="15" t="s">
        <v>72</v>
      </c>
      <c r="G897" s="15" t="s">
        <v>73</v>
      </c>
      <c r="H897" s="15" t="s">
        <v>1329</v>
      </c>
      <c r="I897" s="21">
        <v>8977234</v>
      </c>
      <c r="J897" s="15" t="s">
        <v>162</v>
      </c>
      <c r="K897" s="15" t="s">
        <v>180</v>
      </c>
      <c r="L897" s="15" t="str">
        <f>CONCATENATE(K897," ",J897)</f>
        <v>RYAN CALTAGIRONE</v>
      </c>
      <c r="M897" s="15" t="s">
        <v>57</v>
      </c>
      <c r="N897" s="16">
        <v>45910</v>
      </c>
      <c r="O897" s="16">
        <v>46091</v>
      </c>
      <c r="P897" s="24">
        <f>DATEDIF(N897,O897,"M")</f>
        <v>6</v>
      </c>
      <c r="Q897" s="24" t="s">
        <v>157</v>
      </c>
      <c r="R897" s="24" t="s">
        <v>1391</v>
      </c>
      <c r="S897" s="17">
        <v>74.290000000000006</v>
      </c>
      <c r="T897" s="18">
        <v>0.75</v>
      </c>
      <c r="U897" s="15" t="s">
        <v>60</v>
      </c>
      <c r="V897" s="15" t="s">
        <v>135</v>
      </c>
      <c r="W897" s="17">
        <v>55.72</v>
      </c>
    </row>
    <row r="898" spans="1:23" s="15" customFormat="1" x14ac:dyDescent="0.25">
      <c r="A898" s="15">
        <v>2030963808</v>
      </c>
      <c r="B898" s="15" t="s">
        <v>534</v>
      </c>
      <c r="C898" s="15" t="s">
        <v>1051</v>
      </c>
      <c r="D898" s="15" t="str">
        <f>CONCATENATE(C898," ",B898)</f>
        <v>GLENN ALBERT</v>
      </c>
      <c r="E898" s="15" t="s">
        <v>170</v>
      </c>
      <c r="F898" s="15" t="s">
        <v>383</v>
      </c>
      <c r="G898" s="15" t="s">
        <v>384</v>
      </c>
      <c r="H898" s="15" t="s">
        <v>384</v>
      </c>
      <c r="I898" s="21">
        <v>8977234</v>
      </c>
      <c r="J898" s="15" t="s">
        <v>162</v>
      </c>
      <c r="K898" s="15" t="s">
        <v>180</v>
      </c>
      <c r="L898" s="15" t="str">
        <f>CONCATENATE(K898," ",J898)</f>
        <v>RYAN CALTAGIRONE</v>
      </c>
      <c r="M898" s="15" t="s">
        <v>57</v>
      </c>
      <c r="N898" s="16">
        <v>45910</v>
      </c>
      <c r="O898" s="16">
        <v>46091</v>
      </c>
      <c r="P898" s="24">
        <f>DATEDIF(N898,O898,"M")</f>
        <v>6</v>
      </c>
      <c r="Q898" s="24" t="s">
        <v>157</v>
      </c>
      <c r="R898" s="24" t="s">
        <v>1391</v>
      </c>
      <c r="S898" s="17">
        <v>57.27</v>
      </c>
      <c r="T898" s="18">
        <v>0.7</v>
      </c>
      <c r="U898" s="15" t="s">
        <v>60</v>
      </c>
      <c r="V898" s="15" t="s">
        <v>135</v>
      </c>
      <c r="W898" s="17">
        <v>40.090000000000003</v>
      </c>
    </row>
    <row r="899" spans="1:23" s="15" customFormat="1" x14ac:dyDescent="0.25">
      <c r="A899" s="15">
        <v>2030228488</v>
      </c>
      <c r="B899" s="15" t="s">
        <v>773</v>
      </c>
      <c r="C899" s="15" t="s">
        <v>1026</v>
      </c>
      <c r="D899" s="15" t="str">
        <f>CONCATENATE(C899," ",B899)</f>
        <v>NAMIO SANDRA</v>
      </c>
      <c r="E899" s="15" t="s">
        <v>90</v>
      </c>
      <c r="F899" s="15" t="s">
        <v>383</v>
      </c>
      <c r="G899" s="15" t="s">
        <v>1172</v>
      </c>
      <c r="H899" s="15" t="s">
        <v>1172</v>
      </c>
      <c r="I899" s="21">
        <v>8977234</v>
      </c>
      <c r="J899" s="15" t="s">
        <v>162</v>
      </c>
      <c r="K899" s="15" t="s">
        <v>180</v>
      </c>
      <c r="L899" s="15" t="str">
        <f>CONCATENATE(K899," ",J899)</f>
        <v>RYAN CALTAGIRONE</v>
      </c>
      <c r="M899" s="15" t="s">
        <v>57</v>
      </c>
      <c r="N899" s="16">
        <v>45875</v>
      </c>
      <c r="O899" s="16">
        <v>46087</v>
      </c>
      <c r="P899" s="24">
        <f>DATEDIF(N899,O899,"M")</f>
        <v>7</v>
      </c>
      <c r="Q899" s="24" t="s">
        <v>157</v>
      </c>
      <c r="R899" s="24" t="s">
        <v>1391</v>
      </c>
      <c r="S899" s="17">
        <v>25.73</v>
      </c>
      <c r="T899" s="18">
        <v>0.7</v>
      </c>
      <c r="U899" s="15" t="s">
        <v>60</v>
      </c>
      <c r="V899" s="15" t="s">
        <v>135</v>
      </c>
      <c r="W899" s="17">
        <v>18</v>
      </c>
    </row>
    <row r="900" spans="1:23" s="15" customFormat="1" x14ac:dyDescent="0.25">
      <c r="A900" s="15">
        <v>2030228486</v>
      </c>
      <c r="B900" s="15" t="s">
        <v>773</v>
      </c>
      <c r="C900" s="15" t="s">
        <v>1026</v>
      </c>
      <c r="D900" s="15" t="str">
        <f>CONCATENATE(C900," ",B900)</f>
        <v>NAMIO SANDRA</v>
      </c>
      <c r="E900" s="15" t="s">
        <v>90</v>
      </c>
      <c r="F900" s="15" t="s">
        <v>72</v>
      </c>
      <c r="G900" s="15" t="s">
        <v>73</v>
      </c>
      <c r="H900" s="15" t="s">
        <v>1329</v>
      </c>
      <c r="I900" s="21">
        <v>8977234</v>
      </c>
      <c r="J900" s="15" t="s">
        <v>162</v>
      </c>
      <c r="K900" s="15" t="s">
        <v>180</v>
      </c>
      <c r="L900" s="15" t="str">
        <f>CONCATENATE(K900," ",J900)</f>
        <v>RYAN CALTAGIRONE</v>
      </c>
      <c r="M900" s="15" t="s">
        <v>57</v>
      </c>
      <c r="N900" s="16">
        <v>45875</v>
      </c>
      <c r="O900" s="16">
        <v>46087</v>
      </c>
      <c r="P900" s="24">
        <f>DATEDIF(N900,O900,"M")</f>
        <v>7</v>
      </c>
      <c r="Q900" s="24" t="s">
        <v>157</v>
      </c>
      <c r="R900" s="24" t="s">
        <v>1391</v>
      </c>
      <c r="S900" s="17">
        <v>81.099999999999994</v>
      </c>
      <c r="T900" s="18">
        <v>0.75</v>
      </c>
      <c r="U900" s="15" t="s">
        <v>60</v>
      </c>
      <c r="V900" s="15" t="s">
        <v>135</v>
      </c>
      <c r="W900" s="17">
        <v>60.8</v>
      </c>
    </row>
    <row r="901" spans="1:23" s="15" customFormat="1" x14ac:dyDescent="0.25">
      <c r="A901" s="15">
        <v>2030228487</v>
      </c>
      <c r="B901" s="15" t="s">
        <v>773</v>
      </c>
      <c r="C901" s="15" t="s">
        <v>1026</v>
      </c>
      <c r="D901" s="15" t="str">
        <f>CONCATENATE(C901," ",B901)</f>
        <v>NAMIO SANDRA</v>
      </c>
      <c r="E901" s="15" t="s">
        <v>90</v>
      </c>
      <c r="F901" s="15" t="s">
        <v>383</v>
      </c>
      <c r="G901" s="15" t="s">
        <v>384</v>
      </c>
      <c r="H901" s="15" t="s">
        <v>384</v>
      </c>
      <c r="I901" s="21">
        <v>8977234</v>
      </c>
      <c r="J901" s="15" t="s">
        <v>162</v>
      </c>
      <c r="K901" s="15" t="s">
        <v>180</v>
      </c>
      <c r="L901" s="15" t="str">
        <f>CONCATENATE(K901," ",J901)</f>
        <v>RYAN CALTAGIRONE</v>
      </c>
      <c r="M901" s="15" t="s">
        <v>57</v>
      </c>
      <c r="N901" s="16">
        <v>45875</v>
      </c>
      <c r="O901" s="16">
        <v>46087</v>
      </c>
      <c r="P901" s="24">
        <f>DATEDIF(N901,O901,"M")</f>
        <v>7</v>
      </c>
      <c r="Q901" s="24" t="s">
        <v>157</v>
      </c>
      <c r="R901" s="24" t="s">
        <v>1391</v>
      </c>
      <c r="S901" s="17">
        <v>103.76</v>
      </c>
      <c r="T901" s="18">
        <v>0.7</v>
      </c>
      <c r="U901" s="15" t="s">
        <v>60</v>
      </c>
      <c r="V901" s="15" t="s">
        <v>135</v>
      </c>
      <c r="W901" s="17">
        <v>72.62</v>
      </c>
    </row>
    <row r="902" spans="1:23" s="15" customFormat="1" x14ac:dyDescent="0.25">
      <c r="A902" s="15">
        <v>2029531079</v>
      </c>
      <c r="B902" s="15" t="s">
        <v>1012</v>
      </c>
      <c r="C902" s="15" t="s">
        <v>1013</v>
      </c>
      <c r="D902" s="15" t="str">
        <f>CONCATENATE(C902," ",B902)</f>
        <v>SCHUTJER CISSIE</v>
      </c>
      <c r="E902" s="15" t="s">
        <v>971</v>
      </c>
      <c r="F902" s="15" t="s">
        <v>72</v>
      </c>
      <c r="G902" s="15" t="s">
        <v>73</v>
      </c>
      <c r="H902" s="15" t="s">
        <v>1329</v>
      </c>
      <c r="I902" s="21">
        <v>8977234</v>
      </c>
      <c r="J902" s="15" t="s">
        <v>162</v>
      </c>
      <c r="K902" s="15" t="s">
        <v>180</v>
      </c>
      <c r="L902" s="15" t="str">
        <f>CONCATENATE(K902," ",J902)</f>
        <v>RYAN CALTAGIRONE</v>
      </c>
      <c r="M902" s="15" t="s">
        <v>57</v>
      </c>
      <c r="N902" s="16">
        <v>45847</v>
      </c>
      <c r="O902" s="16">
        <v>46090</v>
      </c>
      <c r="P902" s="24">
        <f>DATEDIF(N902,O902,"M")</f>
        <v>8</v>
      </c>
      <c r="Q902" s="24" t="s">
        <v>157</v>
      </c>
      <c r="R902" s="24" t="s">
        <v>1391</v>
      </c>
      <c r="S902" s="17">
        <v>82.36</v>
      </c>
      <c r="T902" s="18">
        <v>0.75</v>
      </c>
      <c r="U902" s="15" t="s">
        <v>60</v>
      </c>
      <c r="V902" s="15" t="s">
        <v>135</v>
      </c>
      <c r="W902" s="17">
        <v>61.77</v>
      </c>
    </row>
    <row r="903" spans="1:23" s="15" customFormat="1" x14ac:dyDescent="0.25">
      <c r="A903" s="15">
        <v>2029531080</v>
      </c>
      <c r="B903" s="15" t="s">
        <v>1012</v>
      </c>
      <c r="C903" s="15" t="s">
        <v>1013</v>
      </c>
      <c r="D903" s="15" t="str">
        <f>CONCATENATE(C903," ",B903)</f>
        <v>SCHUTJER CISSIE</v>
      </c>
      <c r="E903" s="15" t="s">
        <v>971</v>
      </c>
      <c r="F903" s="15" t="s">
        <v>383</v>
      </c>
      <c r="G903" s="15" t="s">
        <v>384</v>
      </c>
      <c r="H903" s="15" t="s">
        <v>384</v>
      </c>
      <c r="I903" s="21">
        <v>8977234</v>
      </c>
      <c r="J903" s="15" t="s">
        <v>162</v>
      </c>
      <c r="K903" s="15" t="s">
        <v>180</v>
      </c>
      <c r="L903" s="15" t="str">
        <f>CONCATENATE(K903," ",J903)</f>
        <v>RYAN CALTAGIRONE</v>
      </c>
      <c r="M903" s="15" t="s">
        <v>57</v>
      </c>
      <c r="N903" s="16">
        <v>45847</v>
      </c>
      <c r="O903" s="16">
        <v>46090</v>
      </c>
      <c r="P903" s="24">
        <f>DATEDIF(N903,O903,"M")</f>
        <v>8</v>
      </c>
      <c r="Q903" s="24" t="s">
        <v>157</v>
      </c>
      <c r="R903" s="24" t="s">
        <v>1391</v>
      </c>
      <c r="S903" s="17">
        <v>120.5</v>
      </c>
      <c r="T903" s="18">
        <v>0.7</v>
      </c>
      <c r="U903" s="15" t="s">
        <v>60</v>
      </c>
      <c r="V903" s="15" t="s">
        <v>135</v>
      </c>
      <c r="W903" s="17">
        <v>84.35</v>
      </c>
    </row>
    <row r="904" spans="1:23" s="15" customFormat="1" x14ac:dyDescent="0.25">
      <c r="A904" s="15">
        <v>2028367118</v>
      </c>
      <c r="B904" s="15" t="s">
        <v>708</v>
      </c>
      <c r="C904" s="15" t="s">
        <v>709</v>
      </c>
      <c r="D904" s="15" t="str">
        <f>CONCATENATE(C904," ",B904)</f>
        <v>ALEXIS BRECK</v>
      </c>
      <c r="E904" s="15" t="s">
        <v>397</v>
      </c>
      <c r="F904" s="15" t="s">
        <v>378</v>
      </c>
      <c r="G904" s="15" t="s">
        <v>380</v>
      </c>
      <c r="H904" s="15" t="s">
        <v>380</v>
      </c>
      <c r="I904" s="21">
        <v>8977234</v>
      </c>
      <c r="J904" s="15" t="s">
        <v>162</v>
      </c>
      <c r="K904" s="15" t="s">
        <v>180</v>
      </c>
      <c r="L904" s="15" t="str">
        <f>CONCATENATE(K904," ",J904)</f>
        <v>RYAN CALTAGIRONE</v>
      </c>
      <c r="M904" s="15" t="s">
        <v>57</v>
      </c>
      <c r="N904" s="16">
        <v>45759</v>
      </c>
      <c r="O904" s="16">
        <v>46093</v>
      </c>
      <c r="P904" s="24">
        <f>DATEDIF(N904,O904,"M")</f>
        <v>11</v>
      </c>
      <c r="Q904" s="24" t="s">
        <v>157</v>
      </c>
      <c r="R904" s="24" t="s">
        <v>1391</v>
      </c>
      <c r="S904" s="17">
        <v>181.4</v>
      </c>
      <c r="T904" s="18">
        <v>0.38</v>
      </c>
      <c r="U904" s="15" t="s">
        <v>60</v>
      </c>
      <c r="V904" s="15" t="s">
        <v>135</v>
      </c>
      <c r="W904" s="17">
        <v>68.930000000000007</v>
      </c>
    </row>
    <row r="905" spans="1:23" s="15" customFormat="1" x14ac:dyDescent="0.25">
      <c r="A905" s="15">
        <v>2028367119</v>
      </c>
      <c r="B905" s="15" t="s">
        <v>708</v>
      </c>
      <c r="C905" s="15" t="s">
        <v>709</v>
      </c>
      <c r="D905" s="15" t="str">
        <f>CONCATENATE(C905," ",B905)</f>
        <v>ALEXIS BRECK</v>
      </c>
      <c r="E905" s="15" t="s">
        <v>397</v>
      </c>
      <c r="F905" s="15" t="s">
        <v>378</v>
      </c>
      <c r="G905" s="15" t="s">
        <v>381</v>
      </c>
      <c r="H905" s="15" t="s">
        <v>380</v>
      </c>
      <c r="I905" s="21">
        <v>8977234</v>
      </c>
      <c r="J905" s="15" t="s">
        <v>162</v>
      </c>
      <c r="K905" s="15" t="s">
        <v>180</v>
      </c>
      <c r="L905" s="15" t="str">
        <f>CONCATENATE(K905," ",J905)</f>
        <v>RYAN CALTAGIRONE</v>
      </c>
      <c r="M905" s="15" t="s">
        <v>57</v>
      </c>
      <c r="N905" s="16">
        <v>45759</v>
      </c>
      <c r="O905" s="16">
        <v>46093</v>
      </c>
      <c r="P905" s="24">
        <f>DATEDIF(N905,O905,"M")</f>
        <v>11</v>
      </c>
      <c r="Q905" s="24" t="s">
        <v>157</v>
      </c>
      <c r="R905" s="24" t="s">
        <v>1391</v>
      </c>
      <c r="S905" s="17">
        <v>7.09</v>
      </c>
      <c r="T905" s="18">
        <v>0.38</v>
      </c>
      <c r="U905" s="15" t="s">
        <v>60</v>
      </c>
      <c r="V905" s="15" t="s">
        <v>135</v>
      </c>
      <c r="W905" s="17">
        <v>2.69</v>
      </c>
    </row>
    <row r="906" spans="1:23" s="15" customFormat="1" x14ac:dyDescent="0.25">
      <c r="A906" s="15">
        <v>2028367117</v>
      </c>
      <c r="B906" s="15" t="s">
        <v>708</v>
      </c>
      <c r="C906" s="15" t="s">
        <v>709</v>
      </c>
      <c r="D906" s="15" t="str">
        <f>CONCATENATE(C906," ",B906)</f>
        <v>ALEXIS BRECK</v>
      </c>
      <c r="E906" s="15" t="s">
        <v>397</v>
      </c>
      <c r="F906" s="15" t="s">
        <v>72</v>
      </c>
      <c r="G906" s="15" t="s">
        <v>93</v>
      </c>
      <c r="H906" s="15" t="s">
        <v>1332</v>
      </c>
      <c r="I906" s="21">
        <v>8977234</v>
      </c>
      <c r="J906" s="15" t="s">
        <v>162</v>
      </c>
      <c r="K906" s="15" t="s">
        <v>180</v>
      </c>
      <c r="L906" s="15" t="str">
        <f>CONCATENATE(K906," ",J906)</f>
        <v>RYAN CALTAGIRONE</v>
      </c>
      <c r="M906" s="15" t="s">
        <v>57</v>
      </c>
      <c r="N906" s="16">
        <v>45759</v>
      </c>
      <c r="O906" s="16">
        <v>46093</v>
      </c>
      <c r="P906" s="24">
        <f>DATEDIF(N906,O906,"M")</f>
        <v>11</v>
      </c>
      <c r="Q906" s="24" t="s">
        <v>157</v>
      </c>
      <c r="R906" s="24" t="s">
        <v>1391</v>
      </c>
      <c r="S906" s="17">
        <v>27.71</v>
      </c>
      <c r="T906" s="18">
        <v>0.9</v>
      </c>
      <c r="U906" s="15" t="s">
        <v>60</v>
      </c>
      <c r="V906" s="15" t="s">
        <v>135</v>
      </c>
      <c r="W906" s="17">
        <v>24.94</v>
      </c>
    </row>
    <row r="907" spans="1:23" s="15" customFormat="1" x14ac:dyDescent="0.25">
      <c r="A907" s="15">
        <v>2028367121</v>
      </c>
      <c r="B907" s="15" t="s">
        <v>708</v>
      </c>
      <c r="C907" s="15" t="s">
        <v>709</v>
      </c>
      <c r="D907" s="15" t="str">
        <f>CONCATENATE(C907," ",B907)</f>
        <v>ALEXIS BRECK</v>
      </c>
      <c r="E907" s="15" t="s">
        <v>397</v>
      </c>
      <c r="F907" s="15" t="s">
        <v>350</v>
      </c>
      <c r="G907" s="15" t="s">
        <v>354</v>
      </c>
      <c r="H907" s="15" t="s">
        <v>354</v>
      </c>
      <c r="I907" s="21">
        <v>8977234</v>
      </c>
      <c r="J907" s="15" t="s">
        <v>162</v>
      </c>
      <c r="K907" s="15" t="s">
        <v>180</v>
      </c>
      <c r="L907" s="15" t="str">
        <f>CONCATENATE(K907," ",J907)</f>
        <v>RYAN CALTAGIRONE</v>
      </c>
      <c r="M907" s="15" t="s">
        <v>57</v>
      </c>
      <c r="N907" s="16">
        <v>45759</v>
      </c>
      <c r="O907" s="16">
        <v>46093</v>
      </c>
      <c r="P907" s="24">
        <f>DATEDIF(N907,O907,"M")</f>
        <v>11</v>
      </c>
      <c r="Q907" s="24" t="s">
        <v>157</v>
      </c>
      <c r="R907" s="24" t="s">
        <v>1391</v>
      </c>
      <c r="S907" s="17">
        <v>15</v>
      </c>
      <c r="T907" s="18">
        <v>0.38</v>
      </c>
      <c r="U907" s="15" t="s">
        <v>60</v>
      </c>
      <c r="V907" s="15" t="s">
        <v>135</v>
      </c>
      <c r="W907" s="17">
        <v>5.7</v>
      </c>
    </row>
    <row r="908" spans="1:23" s="15" customFormat="1" x14ac:dyDescent="0.25">
      <c r="A908" s="15">
        <v>2027573958</v>
      </c>
      <c r="B908" s="15" t="s">
        <v>695</v>
      </c>
      <c r="C908" s="15" t="s">
        <v>174</v>
      </c>
      <c r="D908" s="15" t="str">
        <f>CONCATENATE(C908," ",B908)</f>
        <v>LARRY WILLIS</v>
      </c>
      <c r="E908" s="15" t="s">
        <v>209</v>
      </c>
      <c r="F908" s="15" t="s">
        <v>383</v>
      </c>
      <c r="G908" s="15" t="s">
        <v>384</v>
      </c>
      <c r="H908" s="15" t="s">
        <v>384</v>
      </c>
      <c r="I908" s="21">
        <v>8977234</v>
      </c>
      <c r="J908" s="15" t="s">
        <v>162</v>
      </c>
      <c r="K908" s="15" t="s">
        <v>180</v>
      </c>
      <c r="L908" s="15" t="str">
        <f>CONCATENATE(K908," ",J908)</f>
        <v>RYAN CALTAGIRONE</v>
      </c>
      <c r="M908" s="15" t="s">
        <v>57</v>
      </c>
      <c r="N908" s="16">
        <v>45757</v>
      </c>
      <c r="O908" s="16">
        <v>46091</v>
      </c>
      <c r="P908" s="24">
        <f>DATEDIF(N908,O908,"M")</f>
        <v>11</v>
      </c>
      <c r="Q908" s="24" t="s">
        <v>157</v>
      </c>
      <c r="R908" s="24" t="s">
        <v>1391</v>
      </c>
      <c r="S908" s="17">
        <v>130.27000000000001</v>
      </c>
      <c r="T908" s="18">
        <v>0.7</v>
      </c>
      <c r="U908" s="15" t="s">
        <v>60</v>
      </c>
      <c r="V908" s="15" t="s">
        <v>135</v>
      </c>
      <c r="W908" s="17">
        <v>91.19</v>
      </c>
    </row>
    <row r="909" spans="1:23" s="15" customFormat="1" x14ac:dyDescent="0.25">
      <c r="A909" s="15">
        <v>2028367116</v>
      </c>
      <c r="B909" s="15" t="s">
        <v>708</v>
      </c>
      <c r="C909" s="15" t="s">
        <v>709</v>
      </c>
      <c r="D909" s="15" t="str">
        <f>CONCATENATE(C909," ",B909)</f>
        <v>ALEXIS BRECK</v>
      </c>
      <c r="E909" s="15" t="s">
        <v>397</v>
      </c>
      <c r="F909" s="15" t="s">
        <v>383</v>
      </c>
      <c r="G909" s="15" t="s">
        <v>384</v>
      </c>
      <c r="H909" s="15" t="s">
        <v>384</v>
      </c>
      <c r="I909" s="21">
        <v>8977234</v>
      </c>
      <c r="J909" s="15" t="s">
        <v>162</v>
      </c>
      <c r="K909" s="15" t="s">
        <v>180</v>
      </c>
      <c r="L909" s="15" t="str">
        <f>CONCATENATE(K909," ",J909)</f>
        <v>RYAN CALTAGIRONE</v>
      </c>
      <c r="M909" s="15" t="s">
        <v>57</v>
      </c>
      <c r="N909" s="16">
        <v>45759</v>
      </c>
      <c r="O909" s="16">
        <v>46093</v>
      </c>
      <c r="P909" s="24">
        <f>DATEDIF(N909,O909,"M")</f>
        <v>11</v>
      </c>
      <c r="Q909" s="24" t="s">
        <v>157</v>
      </c>
      <c r="R909" s="24" t="s">
        <v>1391</v>
      </c>
      <c r="S909" s="17">
        <v>63.95</v>
      </c>
      <c r="T909" s="18">
        <v>0.7</v>
      </c>
      <c r="U909" s="15" t="s">
        <v>60</v>
      </c>
      <c r="V909" s="15" t="s">
        <v>135</v>
      </c>
      <c r="W909" s="17">
        <v>44.76</v>
      </c>
    </row>
    <row r="910" spans="1:23" s="15" customFormat="1" x14ac:dyDescent="0.25">
      <c r="A910" s="15">
        <v>2027573959</v>
      </c>
      <c r="B910" s="15" t="s">
        <v>695</v>
      </c>
      <c r="C910" s="15" t="s">
        <v>174</v>
      </c>
      <c r="D910" s="15" t="str">
        <f>CONCATENATE(C910," ",B910)</f>
        <v>LARRY WILLIS</v>
      </c>
      <c r="E910" s="15" t="s">
        <v>209</v>
      </c>
      <c r="F910" s="15" t="s">
        <v>363</v>
      </c>
      <c r="G910" s="15" t="s">
        <v>364</v>
      </c>
      <c r="H910" s="15" t="s">
        <v>364</v>
      </c>
      <c r="I910" s="21">
        <v>8977234</v>
      </c>
      <c r="J910" s="15" t="s">
        <v>162</v>
      </c>
      <c r="K910" s="15" t="s">
        <v>180</v>
      </c>
      <c r="L910" s="15" t="str">
        <f>CONCATENATE(K910," ",J910)</f>
        <v>RYAN CALTAGIRONE</v>
      </c>
      <c r="M910" s="15" t="s">
        <v>57</v>
      </c>
      <c r="N910" s="16">
        <v>45757</v>
      </c>
      <c r="O910" s="16">
        <v>46091</v>
      </c>
      <c r="P910" s="24">
        <f>DATEDIF(N910,O910,"M")</f>
        <v>11</v>
      </c>
      <c r="Q910" s="24" t="s">
        <v>157</v>
      </c>
      <c r="R910" s="24" t="s">
        <v>1391</v>
      </c>
      <c r="S910" s="17">
        <v>23.34</v>
      </c>
      <c r="T910" s="25">
        <v>0.375</v>
      </c>
      <c r="U910" s="15" t="s">
        <v>60</v>
      </c>
      <c r="V910" s="15" t="s">
        <v>135</v>
      </c>
      <c r="W910" s="17">
        <v>8.75</v>
      </c>
    </row>
    <row r="911" spans="1:23" s="15" customFormat="1" x14ac:dyDescent="0.25">
      <c r="A911" s="15">
        <v>2028367120</v>
      </c>
      <c r="B911" s="15" t="s">
        <v>708</v>
      </c>
      <c r="C911" s="15" t="s">
        <v>709</v>
      </c>
      <c r="D911" s="15" t="str">
        <f>CONCATENATE(C911," ",B911)</f>
        <v>ALEXIS BRECK</v>
      </c>
      <c r="E911" s="15" t="s">
        <v>397</v>
      </c>
      <c r="F911" s="15" t="s">
        <v>363</v>
      </c>
      <c r="G911" s="15" t="s">
        <v>364</v>
      </c>
      <c r="H911" s="15" t="s">
        <v>364</v>
      </c>
      <c r="I911" s="21">
        <v>8977234</v>
      </c>
      <c r="J911" s="15" t="s">
        <v>162</v>
      </c>
      <c r="K911" s="15" t="s">
        <v>180</v>
      </c>
      <c r="L911" s="15" t="str">
        <f>CONCATENATE(K911," ",J911)</f>
        <v>RYAN CALTAGIRONE</v>
      </c>
      <c r="M911" s="15" t="s">
        <v>57</v>
      </c>
      <c r="N911" s="16">
        <v>45759</v>
      </c>
      <c r="O911" s="16">
        <v>46093</v>
      </c>
      <c r="P911" s="24">
        <f>DATEDIF(N911,O911,"M")</f>
        <v>11</v>
      </c>
      <c r="Q911" s="24" t="s">
        <v>157</v>
      </c>
      <c r="R911" s="24" t="s">
        <v>1391</v>
      </c>
      <c r="S911" s="17">
        <v>18.62</v>
      </c>
      <c r="T911" s="25">
        <v>0.375</v>
      </c>
      <c r="U911" s="15" t="s">
        <v>60</v>
      </c>
      <c r="V911" s="15" t="s">
        <v>135</v>
      </c>
      <c r="W911" s="17">
        <v>6.98</v>
      </c>
    </row>
    <row r="912" spans="1:23" s="15" customFormat="1" x14ac:dyDescent="0.25">
      <c r="A912" s="15">
        <v>2027064140</v>
      </c>
      <c r="B912" s="15" t="s">
        <v>983</v>
      </c>
      <c r="C912" s="15" t="s">
        <v>180</v>
      </c>
      <c r="D912" s="15" t="str">
        <f>CONCATENATE(C912," ",B912)</f>
        <v>RYAN GOOD</v>
      </c>
      <c r="E912" s="15" t="s">
        <v>209</v>
      </c>
      <c r="F912" s="15" t="s">
        <v>383</v>
      </c>
      <c r="G912" s="15" t="s">
        <v>1172</v>
      </c>
      <c r="H912" s="15" t="s">
        <v>1172</v>
      </c>
      <c r="I912" s="21">
        <v>8977234</v>
      </c>
      <c r="J912" s="15" t="s">
        <v>162</v>
      </c>
      <c r="K912" s="15" t="s">
        <v>180</v>
      </c>
      <c r="L912" s="15" t="str">
        <f>CONCATENATE(K912," ",J912)</f>
        <v>RYAN CALTAGIRONE</v>
      </c>
      <c r="M912" s="15" t="s">
        <v>57</v>
      </c>
      <c r="N912" s="16">
        <v>45700</v>
      </c>
      <c r="O912" s="16">
        <v>46093</v>
      </c>
      <c r="P912" s="24">
        <f>DATEDIF(N912,O912,"M")</f>
        <v>13</v>
      </c>
      <c r="Q912" s="24" t="s">
        <v>157</v>
      </c>
      <c r="R912" s="24" t="s">
        <v>1391</v>
      </c>
      <c r="S912" s="17">
        <v>23.39</v>
      </c>
      <c r="T912" s="18">
        <v>0.15</v>
      </c>
      <c r="U912" s="15" t="s">
        <v>157</v>
      </c>
      <c r="V912" s="15" t="s">
        <v>135</v>
      </c>
      <c r="W912" s="17">
        <v>3.51</v>
      </c>
    </row>
    <row r="913" spans="1:23" s="15" customFormat="1" x14ac:dyDescent="0.25">
      <c r="A913" s="15">
        <v>2027064141</v>
      </c>
      <c r="B913" s="15" t="s">
        <v>983</v>
      </c>
      <c r="C913" s="15" t="s">
        <v>180</v>
      </c>
      <c r="D913" s="15" t="str">
        <f>CONCATENATE(C913," ",B913)</f>
        <v>RYAN GOOD</v>
      </c>
      <c r="E913" s="15" t="s">
        <v>209</v>
      </c>
      <c r="F913" s="15" t="s">
        <v>72</v>
      </c>
      <c r="G913" s="15" t="s">
        <v>79</v>
      </c>
      <c r="H913" s="15" t="s">
        <v>1329</v>
      </c>
      <c r="I913" s="21">
        <v>8977234</v>
      </c>
      <c r="J913" s="15" t="s">
        <v>162</v>
      </c>
      <c r="K913" s="15" t="s">
        <v>180</v>
      </c>
      <c r="L913" s="15" t="str">
        <f>CONCATENATE(K913," ",J913)</f>
        <v>RYAN CALTAGIRONE</v>
      </c>
      <c r="M913" s="15" t="s">
        <v>57</v>
      </c>
      <c r="N913" s="16">
        <v>45700</v>
      </c>
      <c r="O913" s="16">
        <v>46093</v>
      </c>
      <c r="P913" s="24">
        <f>DATEDIF(N913,O913,"M")</f>
        <v>13</v>
      </c>
      <c r="Q913" s="24" t="s">
        <v>157</v>
      </c>
      <c r="R913" s="24" t="s">
        <v>1391</v>
      </c>
      <c r="S913" s="17">
        <v>94.38</v>
      </c>
      <c r="T913" s="18">
        <v>0.1</v>
      </c>
      <c r="U913" s="15" t="s">
        <v>157</v>
      </c>
      <c r="V913" s="15" t="s">
        <v>135</v>
      </c>
      <c r="W913" s="17">
        <v>9.44</v>
      </c>
    </row>
    <row r="914" spans="1:23" s="15" customFormat="1" x14ac:dyDescent="0.25">
      <c r="A914" s="15">
        <v>2027014990</v>
      </c>
      <c r="B914" s="15" t="s">
        <v>681</v>
      </c>
      <c r="C914" s="15" t="s">
        <v>592</v>
      </c>
      <c r="D914" s="15" t="str">
        <f>CONCATENATE(C914," ",B914)</f>
        <v>MONICA CRISSINGER</v>
      </c>
      <c r="E914" s="15" t="s">
        <v>397</v>
      </c>
      <c r="F914" s="15" t="s">
        <v>383</v>
      </c>
      <c r="G914" s="15" t="s">
        <v>384</v>
      </c>
      <c r="H914" s="15" t="s">
        <v>384</v>
      </c>
      <c r="I914" s="21">
        <v>8977234</v>
      </c>
      <c r="J914" s="15" t="s">
        <v>162</v>
      </c>
      <c r="K914" s="15" t="s">
        <v>180</v>
      </c>
      <c r="L914" s="15" t="str">
        <f>CONCATENATE(K914," ",J914)</f>
        <v>RYAN CALTAGIRONE</v>
      </c>
      <c r="M914" s="15" t="s">
        <v>57</v>
      </c>
      <c r="N914" s="16">
        <v>45696</v>
      </c>
      <c r="O914" s="16">
        <v>46089</v>
      </c>
      <c r="P914" s="24">
        <f>DATEDIF(N914,O914,"M")</f>
        <v>13</v>
      </c>
      <c r="Q914" s="24" t="s">
        <v>157</v>
      </c>
      <c r="R914" s="24" t="s">
        <v>1391</v>
      </c>
      <c r="S914" s="17">
        <v>10.82</v>
      </c>
      <c r="T914" s="18">
        <v>0.15</v>
      </c>
      <c r="U914" s="15" t="s">
        <v>157</v>
      </c>
      <c r="V914" s="15" t="s">
        <v>135</v>
      </c>
      <c r="W914" s="17">
        <v>1.62</v>
      </c>
    </row>
    <row r="915" spans="1:23" s="15" customFormat="1" x14ac:dyDescent="0.25">
      <c r="A915" s="15">
        <v>2027064142</v>
      </c>
      <c r="B915" s="15" t="s">
        <v>983</v>
      </c>
      <c r="C915" s="15" t="s">
        <v>180</v>
      </c>
      <c r="D915" s="15" t="str">
        <f>CONCATENATE(C915," ",B915)</f>
        <v>RYAN GOOD</v>
      </c>
      <c r="E915" s="15" t="s">
        <v>209</v>
      </c>
      <c r="F915" s="15" t="s">
        <v>383</v>
      </c>
      <c r="G915" s="15" t="s">
        <v>384</v>
      </c>
      <c r="H915" s="15" t="s">
        <v>384</v>
      </c>
      <c r="I915" s="21">
        <v>8977234</v>
      </c>
      <c r="J915" s="15" t="s">
        <v>162</v>
      </c>
      <c r="K915" s="15" t="s">
        <v>180</v>
      </c>
      <c r="L915" s="15" t="str">
        <f>CONCATENATE(K915," ",J915)</f>
        <v>RYAN CALTAGIRONE</v>
      </c>
      <c r="M915" s="15" t="s">
        <v>57</v>
      </c>
      <c r="N915" s="16">
        <v>45700</v>
      </c>
      <c r="O915" s="16">
        <v>46093</v>
      </c>
      <c r="P915" s="24">
        <f>DATEDIF(N915,O915,"M")</f>
        <v>13</v>
      </c>
      <c r="Q915" s="24" t="s">
        <v>157</v>
      </c>
      <c r="R915" s="24" t="s">
        <v>1391</v>
      </c>
      <c r="S915" s="17">
        <v>115.91</v>
      </c>
      <c r="T915" s="18">
        <v>0.15</v>
      </c>
      <c r="U915" s="15" t="s">
        <v>157</v>
      </c>
      <c r="V915" s="15" t="s">
        <v>135</v>
      </c>
      <c r="W915" s="17">
        <v>17.39</v>
      </c>
    </row>
    <row r="916" spans="1:23" s="15" customFormat="1" x14ac:dyDescent="0.25">
      <c r="A916" s="15">
        <v>2027014989</v>
      </c>
      <c r="B916" s="15" t="s">
        <v>681</v>
      </c>
      <c r="C916" s="15" t="s">
        <v>592</v>
      </c>
      <c r="D916" s="15" t="str">
        <f>CONCATENATE(C916," ",B916)</f>
        <v>MONICA CRISSINGER</v>
      </c>
      <c r="E916" s="15" t="s">
        <v>397</v>
      </c>
      <c r="F916" s="15" t="s">
        <v>363</v>
      </c>
      <c r="G916" s="15" t="s">
        <v>364</v>
      </c>
      <c r="H916" s="15" t="s">
        <v>364</v>
      </c>
      <c r="I916" s="21">
        <v>8977234</v>
      </c>
      <c r="J916" s="15" t="s">
        <v>162</v>
      </c>
      <c r="K916" s="15" t="s">
        <v>180</v>
      </c>
      <c r="L916" s="15" t="str">
        <f>CONCATENATE(K916," ",J916)</f>
        <v>RYAN CALTAGIRONE</v>
      </c>
      <c r="M916" s="15" t="s">
        <v>57</v>
      </c>
      <c r="N916" s="16">
        <v>45696</v>
      </c>
      <c r="O916" s="16">
        <v>46089</v>
      </c>
      <c r="P916" s="24">
        <f>DATEDIF(N916,O916,"M")</f>
        <v>13</v>
      </c>
      <c r="Q916" s="24" t="s">
        <v>157</v>
      </c>
      <c r="R916" s="24" t="s">
        <v>1391</v>
      </c>
      <c r="S916" s="17">
        <v>59.58</v>
      </c>
      <c r="T916" s="18">
        <v>0.06</v>
      </c>
      <c r="U916" s="15" t="s">
        <v>157</v>
      </c>
      <c r="V916" s="15" t="s">
        <v>135</v>
      </c>
      <c r="W916" s="17">
        <v>3.57</v>
      </c>
    </row>
    <row r="917" spans="1:23" s="15" customFormat="1" x14ac:dyDescent="0.25">
      <c r="A917" s="15">
        <v>2025660998</v>
      </c>
      <c r="B917" s="15" t="s">
        <v>654</v>
      </c>
      <c r="C917" s="15" t="s">
        <v>496</v>
      </c>
      <c r="D917" s="15" t="str">
        <f>CONCATENATE(C917," ",B917)</f>
        <v>TAMMY RUSH</v>
      </c>
      <c r="E917" s="15" t="s">
        <v>140</v>
      </c>
      <c r="F917" s="15" t="s">
        <v>383</v>
      </c>
      <c r="G917" s="15" t="s">
        <v>1172</v>
      </c>
      <c r="H917" s="15" t="s">
        <v>1172</v>
      </c>
      <c r="I917" s="21">
        <v>8977234</v>
      </c>
      <c r="J917" s="15" t="s">
        <v>162</v>
      </c>
      <c r="K917" s="15" t="s">
        <v>180</v>
      </c>
      <c r="L917" s="15" t="str">
        <f>CONCATENATE(K917," ",J917)</f>
        <v>RYAN CALTAGIRONE</v>
      </c>
      <c r="M917" s="15" t="s">
        <v>57</v>
      </c>
      <c r="N917" s="16">
        <v>45665</v>
      </c>
      <c r="O917" s="16">
        <v>46089</v>
      </c>
      <c r="P917" s="24">
        <f>DATEDIF(N917,O917,"M")</f>
        <v>14</v>
      </c>
      <c r="Q917" s="24" t="s">
        <v>157</v>
      </c>
      <c r="R917" s="24" t="s">
        <v>1391</v>
      </c>
      <c r="S917" s="17">
        <v>42.88</v>
      </c>
      <c r="T917" s="18">
        <v>0.15</v>
      </c>
      <c r="U917" s="15" t="s">
        <v>157</v>
      </c>
      <c r="V917" s="15" t="s">
        <v>135</v>
      </c>
      <c r="W917" s="17">
        <v>6.43</v>
      </c>
    </row>
    <row r="918" spans="1:23" s="15" customFormat="1" x14ac:dyDescent="0.25">
      <c r="A918" s="15">
        <v>2025661000</v>
      </c>
      <c r="B918" s="15" t="s">
        <v>654</v>
      </c>
      <c r="C918" s="15" t="s">
        <v>496</v>
      </c>
      <c r="D918" s="15" t="str">
        <f>CONCATENATE(C918," ",B918)</f>
        <v>TAMMY RUSH</v>
      </c>
      <c r="E918" s="15" t="s">
        <v>140</v>
      </c>
      <c r="F918" s="15" t="s">
        <v>383</v>
      </c>
      <c r="G918" s="15" t="s">
        <v>384</v>
      </c>
      <c r="H918" s="15" t="s">
        <v>384</v>
      </c>
      <c r="I918" s="21">
        <v>8977234</v>
      </c>
      <c r="J918" s="15" t="s">
        <v>162</v>
      </c>
      <c r="K918" s="15" t="s">
        <v>180</v>
      </c>
      <c r="L918" s="15" t="str">
        <f>CONCATENATE(K918," ",J918)</f>
        <v>RYAN CALTAGIRONE</v>
      </c>
      <c r="M918" s="15" t="s">
        <v>57</v>
      </c>
      <c r="N918" s="16">
        <v>45665</v>
      </c>
      <c r="O918" s="16">
        <v>46089</v>
      </c>
      <c r="P918" s="24">
        <f>DATEDIF(N918,O918,"M")</f>
        <v>14</v>
      </c>
      <c r="Q918" s="24" t="s">
        <v>157</v>
      </c>
      <c r="R918" s="24" t="s">
        <v>1391</v>
      </c>
      <c r="S918" s="17">
        <v>128.65</v>
      </c>
      <c r="T918" s="18">
        <v>0.15</v>
      </c>
      <c r="U918" s="15" t="s">
        <v>157</v>
      </c>
      <c r="V918" s="15" t="s">
        <v>135</v>
      </c>
      <c r="W918" s="17">
        <v>19.3</v>
      </c>
    </row>
    <row r="919" spans="1:23" s="15" customFormat="1" x14ac:dyDescent="0.25">
      <c r="A919" s="15">
        <v>2025660999</v>
      </c>
      <c r="B919" s="15" t="s">
        <v>654</v>
      </c>
      <c r="C919" s="15" t="s">
        <v>496</v>
      </c>
      <c r="D919" s="15" t="str">
        <f>CONCATENATE(C919," ",B919)</f>
        <v>TAMMY RUSH</v>
      </c>
      <c r="E919" s="15" t="s">
        <v>140</v>
      </c>
      <c r="F919" s="15" t="s">
        <v>363</v>
      </c>
      <c r="G919" s="15" t="s">
        <v>364</v>
      </c>
      <c r="H919" s="15" t="s">
        <v>364</v>
      </c>
      <c r="I919" s="21">
        <v>8977234</v>
      </c>
      <c r="J919" s="15" t="s">
        <v>162</v>
      </c>
      <c r="K919" s="15" t="s">
        <v>180</v>
      </c>
      <c r="L919" s="15" t="str">
        <f>CONCATENATE(K919," ",J919)</f>
        <v>RYAN CALTAGIRONE</v>
      </c>
      <c r="M919" s="15" t="s">
        <v>57</v>
      </c>
      <c r="N919" s="16">
        <v>45665</v>
      </c>
      <c r="O919" s="16">
        <v>46089</v>
      </c>
      <c r="P919" s="24">
        <f>DATEDIF(N919,O919,"M")</f>
        <v>14</v>
      </c>
      <c r="Q919" s="24" t="s">
        <v>157</v>
      </c>
      <c r="R919" s="24" t="s">
        <v>1391</v>
      </c>
      <c r="S919" s="17">
        <v>89.53</v>
      </c>
      <c r="T919" s="18">
        <v>0.06</v>
      </c>
      <c r="U919" s="15" t="s">
        <v>157</v>
      </c>
      <c r="V919" s="15" t="s">
        <v>135</v>
      </c>
      <c r="W919" s="17">
        <v>5.37</v>
      </c>
    </row>
    <row r="920" spans="1:23" s="15" customFormat="1" x14ac:dyDescent="0.25">
      <c r="A920" s="15">
        <v>2025510689</v>
      </c>
      <c r="B920" s="15" t="s">
        <v>256</v>
      </c>
      <c r="C920" s="15" t="s">
        <v>257</v>
      </c>
      <c r="D920" s="15" t="str">
        <f>CONCATENATE(C920," ",B920)</f>
        <v>JANEY MOSAKOSKI</v>
      </c>
      <c r="E920" s="15" t="s">
        <v>193</v>
      </c>
      <c r="F920" s="15" t="s">
        <v>152</v>
      </c>
      <c r="G920" s="15" t="s">
        <v>153</v>
      </c>
      <c r="H920" s="15" t="s">
        <v>153</v>
      </c>
      <c r="I920" s="21">
        <v>8977234</v>
      </c>
      <c r="J920" s="15" t="s">
        <v>162</v>
      </c>
      <c r="K920" s="15" t="s">
        <v>180</v>
      </c>
      <c r="L920" s="15" t="str">
        <f>CONCATENATE(K920," ",J920)</f>
        <v>RYAN CALTAGIRONE</v>
      </c>
      <c r="M920" s="15" t="s">
        <v>57</v>
      </c>
      <c r="N920" s="16">
        <v>45627</v>
      </c>
      <c r="O920" s="16">
        <v>46082</v>
      </c>
      <c r="P920" s="24">
        <f>DATEDIF(N920,O920,"M")</f>
        <v>15</v>
      </c>
      <c r="Q920" s="24" t="s">
        <v>157</v>
      </c>
      <c r="R920" s="24" t="s">
        <v>1391</v>
      </c>
      <c r="S920" s="17">
        <v>57.84</v>
      </c>
      <c r="T920" s="25">
        <v>5.2499999999999998E-2</v>
      </c>
      <c r="U920" s="15" t="s">
        <v>157</v>
      </c>
      <c r="V920" s="15" t="s">
        <v>135</v>
      </c>
      <c r="W920" s="17">
        <v>3.04</v>
      </c>
    </row>
    <row r="921" spans="1:23" s="15" customFormat="1" x14ac:dyDescent="0.25">
      <c r="A921" s="15">
        <v>2024984936</v>
      </c>
      <c r="B921" s="15" t="s">
        <v>652</v>
      </c>
      <c r="C921" s="15" t="s">
        <v>653</v>
      </c>
      <c r="D921" s="15" t="str">
        <f>CONCATENATE(C921," ",B921)</f>
        <v>KATHRYN COPPLE</v>
      </c>
      <c r="E921" s="15" t="s">
        <v>66</v>
      </c>
      <c r="F921" s="15" t="s">
        <v>363</v>
      </c>
      <c r="G921" s="15" t="s">
        <v>364</v>
      </c>
      <c r="H921" s="15" t="s">
        <v>364</v>
      </c>
      <c r="I921" s="21">
        <v>8977234</v>
      </c>
      <c r="J921" s="15" t="s">
        <v>162</v>
      </c>
      <c r="K921" s="15" t="s">
        <v>180</v>
      </c>
      <c r="L921" s="15" t="str">
        <f>CONCATENATE(K921," ",J921)</f>
        <v>RYAN CALTAGIRONE</v>
      </c>
      <c r="M921" s="15" t="s">
        <v>57</v>
      </c>
      <c r="N921" s="16">
        <v>45575</v>
      </c>
      <c r="O921" s="16">
        <v>46091</v>
      </c>
      <c r="P921" s="24">
        <f>DATEDIF(N921,O921,"M")</f>
        <v>17</v>
      </c>
      <c r="Q921" s="24" t="s">
        <v>157</v>
      </c>
      <c r="R921" s="24" t="s">
        <v>1391</v>
      </c>
      <c r="S921" s="17">
        <v>107.98</v>
      </c>
      <c r="T921" s="18">
        <v>0.06</v>
      </c>
      <c r="U921" s="15" t="s">
        <v>157</v>
      </c>
      <c r="V921" s="15" t="s">
        <v>135</v>
      </c>
      <c r="W921" s="17">
        <v>6.48</v>
      </c>
    </row>
    <row r="922" spans="1:23" s="15" customFormat="1" x14ac:dyDescent="0.25">
      <c r="A922" s="15">
        <v>2024815771</v>
      </c>
      <c r="B922" s="15" t="s">
        <v>1192</v>
      </c>
      <c r="C922" s="15" t="s">
        <v>1193</v>
      </c>
      <c r="D922" s="15" t="str">
        <f>CONCATENATE(C922," ",B922)</f>
        <v>BURMAN BADRAA</v>
      </c>
      <c r="E922" s="15" t="s">
        <v>66</v>
      </c>
      <c r="F922" s="15" t="s">
        <v>383</v>
      </c>
      <c r="G922" s="15" t="s">
        <v>384</v>
      </c>
      <c r="H922" s="15" t="s">
        <v>384</v>
      </c>
      <c r="I922" s="21">
        <v>8977234</v>
      </c>
      <c r="J922" s="15" t="s">
        <v>162</v>
      </c>
      <c r="K922" s="15" t="s">
        <v>180</v>
      </c>
      <c r="L922" s="15" t="str">
        <f>CONCATENATE(K922," ",J922)</f>
        <v>RYAN CALTAGIRONE</v>
      </c>
      <c r="M922" s="15" t="s">
        <v>57</v>
      </c>
      <c r="N922" s="16">
        <v>45547</v>
      </c>
      <c r="O922" s="16">
        <v>46093</v>
      </c>
      <c r="P922" s="24">
        <f>DATEDIF(N922,O922,"M")</f>
        <v>18</v>
      </c>
      <c r="Q922" s="24" t="s">
        <v>157</v>
      </c>
      <c r="R922" s="24" t="s">
        <v>1391</v>
      </c>
      <c r="S922" s="17">
        <v>51</v>
      </c>
      <c r="T922" s="18">
        <v>0.15</v>
      </c>
      <c r="U922" s="15" t="s">
        <v>157</v>
      </c>
      <c r="V922" s="15" t="s">
        <v>135</v>
      </c>
      <c r="W922" s="17">
        <v>7.65</v>
      </c>
    </row>
    <row r="923" spans="1:23" s="15" customFormat="1" x14ac:dyDescent="0.25">
      <c r="A923" s="15">
        <v>2023911658</v>
      </c>
      <c r="B923" s="15" t="s">
        <v>1188</v>
      </c>
      <c r="C923" s="15" t="s">
        <v>1189</v>
      </c>
      <c r="D923" s="15" t="str">
        <f>CONCATENATE(C923," ",B923)</f>
        <v>LOIS SHEFFIELD</v>
      </c>
      <c r="E923" s="15" t="s">
        <v>177</v>
      </c>
      <c r="F923" s="15" t="s">
        <v>383</v>
      </c>
      <c r="G923" s="15" t="s">
        <v>385</v>
      </c>
      <c r="H923" s="15" t="s">
        <v>385</v>
      </c>
      <c r="I923" s="21">
        <v>8977234</v>
      </c>
      <c r="J923" s="15" t="s">
        <v>162</v>
      </c>
      <c r="K923" s="15" t="s">
        <v>180</v>
      </c>
      <c r="L923" s="15" t="str">
        <f>CONCATENATE(K923," ",J923)</f>
        <v>RYAN CALTAGIRONE</v>
      </c>
      <c r="M923" s="15" t="s">
        <v>57</v>
      </c>
      <c r="N923" s="16">
        <v>45486</v>
      </c>
      <c r="O923" s="16">
        <v>46094</v>
      </c>
      <c r="P923" s="24">
        <f>DATEDIF(N923,O923,"M")</f>
        <v>20</v>
      </c>
      <c r="Q923" s="24" t="s">
        <v>157</v>
      </c>
      <c r="R923" s="24" t="s">
        <v>1391</v>
      </c>
      <c r="S923" s="17">
        <v>150.63</v>
      </c>
      <c r="T923" s="18">
        <v>0.1</v>
      </c>
      <c r="U923" s="15" t="s">
        <v>157</v>
      </c>
      <c r="V923" s="15" t="s">
        <v>135</v>
      </c>
      <c r="W923" s="17">
        <v>15.06</v>
      </c>
    </row>
    <row r="924" spans="1:23" s="15" customFormat="1" x14ac:dyDescent="0.25">
      <c r="A924" s="15">
        <v>2021646245</v>
      </c>
      <c r="B924" s="15" t="s">
        <v>1083</v>
      </c>
      <c r="C924" s="15" t="s">
        <v>510</v>
      </c>
      <c r="D924" s="15" t="str">
        <f>CONCATENATE(C924," ",B924)</f>
        <v>ROBERT COOK</v>
      </c>
      <c r="E924" s="15" t="s">
        <v>209</v>
      </c>
      <c r="F924" s="15" t="s">
        <v>350</v>
      </c>
      <c r="G924" s="15" t="s">
        <v>574</v>
      </c>
      <c r="H924" s="15" t="s">
        <v>148</v>
      </c>
      <c r="I924" s="21">
        <v>8977234</v>
      </c>
      <c r="J924" s="15" t="s">
        <v>162</v>
      </c>
      <c r="K924" s="15" t="s">
        <v>180</v>
      </c>
      <c r="L924" s="15" t="str">
        <f>CONCATENATE(K924," ",J924)</f>
        <v>RYAN CALTAGIRONE</v>
      </c>
      <c r="M924" s="15" t="s">
        <v>57</v>
      </c>
      <c r="N924" s="16">
        <v>45329</v>
      </c>
      <c r="O924" s="16">
        <v>46088</v>
      </c>
      <c r="P924" s="24">
        <f>DATEDIF(N924,O924,"M")</f>
        <v>25</v>
      </c>
      <c r="Q924" s="24" t="s">
        <v>157</v>
      </c>
      <c r="R924" s="24" t="s">
        <v>1391</v>
      </c>
      <c r="S924" s="17">
        <v>15</v>
      </c>
      <c r="T924" s="18">
        <v>0.28999999999999998</v>
      </c>
      <c r="U924" s="15" t="s">
        <v>157</v>
      </c>
      <c r="V924" s="15" t="s">
        <v>135</v>
      </c>
      <c r="W924" s="17">
        <v>4.3499999999999996</v>
      </c>
    </row>
    <row r="925" spans="1:23" s="15" customFormat="1" x14ac:dyDescent="0.25">
      <c r="A925" s="15">
        <v>2020953073</v>
      </c>
      <c r="B925" s="15" t="s">
        <v>634</v>
      </c>
      <c r="C925" s="15" t="s">
        <v>545</v>
      </c>
      <c r="D925" s="15" t="str">
        <f>CONCATENATE(C925," ",B925)</f>
        <v>MARY D'ORSANEO</v>
      </c>
      <c r="E925" s="15" t="s">
        <v>209</v>
      </c>
      <c r="F925" s="15" t="s">
        <v>363</v>
      </c>
      <c r="G925" s="15" t="s">
        <v>364</v>
      </c>
      <c r="H925" s="15" t="s">
        <v>364</v>
      </c>
      <c r="I925" s="21">
        <v>8977234</v>
      </c>
      <c r="J925" s="15" t="s">
        <v>162</v>
      </c>
      <c r="K925" s="15" t="s">
        <v>180</v>
      </c>
      <c r="L925" s="15" t="str">
        <f>CONCATENATE(K925," ",J925)</f>
        <v>RYAN CALTAGIRONE</v>
      </c>
      <c r="M925" s="15" t="s">
        <v>57</v>
      </c>
      <c r="N925" s="16">
        <v>45292</v>
      </c>
      <c r="O925" s="16">
        <v>46082</v>
      </c>
      <c r="P925" s="24">
        <f>DATEDIF(N925,O925,"M")</f>
        <v>26</v>
      </c>
      <c r="Q925" s="24" t="s">
        <v>157</v>
      </c>
      <c r="R925" s="24" t="s">
        <v>1391</v>
      </c>
      <c r="S925" s="17">
        <v>85.6</v>
      </c>
      <c r="T925" s="18">
        <v>0.06</v>
      </c>
      <c r="U925" s="15" t="s">
        <v>157</v>
      </c>
      <c r="V925" s="15" t="s">
        <v>135</v>
      </c>
      <c r="W925" s="17">
        <v>5.14</v>
      </c>
    </row>
    <row r="926" spans="1:23" s="15" customFormat="1" x14ac:dyDescent="0.25">
      <c r="A926" s="15">
        <v>2020639704</v>
      </c>
      <c r="B926" s="15" t="s">
        <v>207</v>
      </c>
      <c r="C926" s="15" t="s">
        <v>208</v>
      </c>
      <c r="D926" s="15" t="str">
        <f>CONCATENATE(C926," ",B926)</f>
        <v>KATHLEEN ROKES</v>
      </c>
      <c r="E926" s="15" t="s">
        <v>209</v>
      </c>
      <c r="F926" s="15" t="s">
        <v>152</v>
      </c>
      <c r="G926" s="15" t="s">
        <v>153</v>
      </c>
      <c r="H926" s="15" t="s">
        <v>153</v>
      </c>
      <c r="I926" s="21">
        <v>8977234</v>
      </c>
      <c r="J926" s="15" t="s">
        <v>162</v>
      </c>
      <c r="K926" s="15" t="s">
        <v>180</v>
      </c>
      <c r="L926" s="15" t="str">
        <f>CONCATENATE(K926," ",J926)</f>
        <v>RYAN CALTAGIRONE</v>
      </c>
      <c r="M926" s="15" t="s">
        <v>57</v>
      </c>
      <c r="N926" s="16">
        <v>45261</v>
      </c>
      <c r="O926" s="16">
        <v>46082</v>
      </c>
      <c r="P926" s="24">
        <f>DATEDIF(N926,O926,"M")</f>
        <v>27</v>
      </c>
      <c r="Q926" s="24" t="s">
        <v>157</v>
      </c>
      <c r="R926" s="24" t="s">
        <v>1391</v>
      </c>
      <c r="S926" s="17">
        <v>30.04</v>
      </c>
      <c r="T926" s="25">
        <v>5.2499999999999998E-2</v>
      </c>
      <c r="U926" s="15" t="s">
        <v>157</v>
      </c>
      <c r="V926" s="15" t="s">
        <v>135</v>
      </c>
      <c r="W926" s="17">
        <v>1.58</v>
      </c>
    </row>
    <row r="927" spans="1:23" s="15" customFormat="1" x14ac:dyDescent="0.25">
      <c r="A927" s="15">
        <v>2020039861</v>
      </c>
      <c r="B927" s="15" t="s">
        <v>509</v>
      </c>
      <c r="C927" s="15" t="s">
        <v>631</v>
      </c>
      <c r="D927" s="15" t="str">
        <f>CONCATENATE(C927," ",B927)</f>
        <v>CHANTAL WHITE</v>
      </c>
      <c r="E927" s="15" t="s">
        <v>66</v>
      </c>
      <c r="F927" s="15" t="s">
        <v>363</v>
      </c>
      <c r="G927" s="15" t="s">
        <v>364</v>
      </c>
      <c r="H927" s="15" t="s">
        <v>364</v>
      </c>
      <c r="I927" s="21">
        <v>8977234</v>
      </c>
      <c r="J927" s="15" t="s">
        <v>162</v>
      </c>
      <c r="K927" s="15" t="s">
        <v>180</v>
      </c>
      <c r="L927" s="15" t="str">
        <f>CONCATENATE(K927," ",J927)</f>
        <v>RYAN CALTAGIRONE</v>
      </c>
      <c r="M927" s="15" t="s">
        <v>57</v>
      </c>
      <c r="N927" s="16">
        <v>45182</v>
      </c>
      <c r="O927" s="16">
        <v>46094</v>
      </c>
      <c r="P927" s="24">
        <f>DATEDIF(N927,O927,"M")</f>
        <v>30</v>
      </c>
      <c r="Q927" s="24" t="s">
        <v>157</v>
      </c>
      <c r="R927" s="24" t="s">
        <v>1391</v>
      </c>
      <c r="S927" s="17">
        <v>53.57</v>
      </c>
      <c r="T927" s="18">
        <v>0.06</v>
      </c>
      <c r="U927" s="15" t="s">
        <v>157</v>
      </c>
      <c r="V927" s="15" t="s">
        <v>135</v>
      </c>
      <c r="W927" s="17">
        <v>3.21</v>
      </c>
    </row>
    <row r="928" spans="1:23" s="15" customFormat="1" x14ac:dyDescent="0.25">
      <c r="A928" s="15">
        <v>2019422323</v>
      </c>
      <c r="B928" s="15" t="s">
        <v>196</v>
      </c>
      <c r="C928" s="15" t="s">
        <v>197</v>
      </c>
      <c r="D928" s="15" t="str">
        <f>CONCATENATE(C928," ",B928)</f>
        <v>LISA CHRISTIANSEN</v>
      </c>
      <c r="E928" s="15" t="s">
        <v>177</v>
      </c>
      <c r="F928" s="15" t="s">
        <v>152</v>
      </c>
      <c r="G928" s="15" t="s">
        <v>153</v>
      </c>
      <c r="H928" s="15" t="s">
        <v>153</v>
      </c>
      <c r="I928" s="21">
        <v>8977234</v>
      </c>
      <c r="J928" s="15" t="s">
        <v>162</v>
      </c>
      <c r="K928" s="15" t="s">
        <v>180</v>
      </c>
      <c r="L928" s="15" t="str">
        <f>CONCATENATE(K928," ",J928)</f>
        <v>RYAN CALTAGIRONE</v>
      </c>
      <c r="M928" s="15" t="s">
        <v>57</v>
      </c>
      <c r="N928" s="16">
        <v>45139</v>
      </c>
      <c r="O928" s="16">
        <v>46082</v>
      </c>
      <c r="P928" s="24">
        <f>DATEDIF(N928,O928,"M")</f>
        <v>31</v>
      </c>
      <c r="Q928" s="24" t="s">
        <v>157</v>
      </c>
      <c r="R928" s="24" t="s">
        <v>1391</v>
      </c>
      <c r="S928" s="17">
        <v>42.84</v>
      </c>
      <c r="T928" s="25">
        <v>5.2499999999999998E-2</v>
      </c>
      <c r="U928" s="15" t="s">
        <v>157</v>
      </c>
      <c r="V928" s="15" t="s">
        <v>135</v>
      </c>
      <c r="W928" s="17">
        <v>2.25</v>
      </c>
    </row>
    <row r="929" spans="1:55" s="15" customFormat="1" x14ac:dyDescent="0.25">
      <c r="A929" s="15">
        <v>2019170689</v>
      </c>
      <c r="B929" s="15" t="s">
        <v>191</v>
      </c>
      <c r="C929" s="15" t="s">
        <v>192</v>
      </c>
      <c r="D929" s="15" t="str">
        <f>CONCATENATE(C929," ",B929)</f>
        <v>ROBIN LAICHALK</v>
      </c>
      <c r="E929" s="15" t="s">
        <v>193</v>
      </c>
      <c r="F929" s="15" t="s">
        <v>152</v>
      </c>
      <c r="G929" s="15" t="s">
        <v>153</v>
      </c>
      <c r="H929" s="15" t="s">
        <v>153</v>
      </c>
      <c r="I929" s="21">
        <v>8977234</v>
      </c>
      <c r="J929" s="15" t="s">
        <v>162</v>
      </c>
      <c r="K929" s="15" t="s">
        <v>180</v>
      </c>
      <c r="L929" s="15" t="str">
        <f>CONCATENATE(K929," ",J929)</f>
        <v>RYAN CALTAGIRONE</v>
      </c>
      <c r="M929" s="15" t="s">
        <v>57</v>
      </c>
      <c r="N929" s="16">
        <v>45108</v>
      </c>
      <c r="O929" s="16">
        <v>46082</v>
      </c>
      <c r="P929" s="24">
        <f>DATEDIF(N929,O929,"M")</f>
        <v>32</v>
      </c>
      <c r="Q929" s="24" t="s">
        <v>157</v>
      </c>
      <c r="R929" s="24" t="s">
        <v>1391</v>
      </c>
      <c r="S929" s="17">
        <v>32.770000000000003</v>
      </c>
      <c r="T929" s="25">
        <v>5.2499999999999998E-2</v>
      </c>
      <c r="U929" s="15" t="s">
        <v>157</v>
      </c>
      <c r="V929" s="15" t="s">
        <v>135</v>
      </c>
      <c r="W929" s="17">
        <v>1.72</v>
      </c>
    </row>
    <row r="930" spans="1:55" s="15" customFormat="1" x14ac:dyDescent="0.25">
      <c r="A930" s="15">
        <v>2019202915</v>
      </c>
      <c r="B930" s="15" t="s">
        <v>194</v>
      </c>
      <c r="C930" s="15" t="s">
        <v>195</v>
      </c>
      <c r="D930" s="15" t="str">
        <f>CONCATENATE(C930," ",B930)</f>
        <v>CAROL BOTTOMS</v>
      </c>
      <c r="E930" s="15" t="s">
        <v>140</v>
      </c>
      <c r="F930" s="15" t="s">
        <v>152</v>
      </c>
      <c r="G930" s="15" t="s">
        <v>153</v>
      </c>
      <c r="H930" s="15" t="s">
        <v>153</v>
      </c>
      <c r="I930" s="21">
        <v>8977234</v>
      </c>
      <c r="J930" s="15" t="s">
        <v>162</v>
      </c>
      <c r="K930" s="15" t="s">
        <v>180</v>
      </c>
      <c r="L930" s="15" t="str">
        <f>CONCATENATE(K930," ",J930)</f>
        <v>RYAN CALTAGIRONE</v>
      </c>
      <c r="M930" s="15" t="s">
        <v>57</v>
      </c>
      <c r="N930" s="16">
        <v>45108</v>
      </c>
      <c r="O930" s="16">
        <v>46082</v>
      </c>
      <c r="P930" s="24">
        <f>DATEDIF(N930,O930,"M")</f>
        <v>32</v>
      </c>
      <c r="Q930" s="24" t="s">
        <v>157</v>
      </c>
      <c r="R930" s="24" t="s">
        <v>1391</v>
      </c>
      <c r="S930" s="17">
        <v>47.55</v>
      </c>
      <c r="T930" s="25">
        <v>5.2499999999999998E-2</v>
      </c>
      <c r="U930" s="15" t="s">
        <v>157</v>
      </c>
      <c r="V930" s="15" t="s">
        <v>135</v>
      </c>
      <c r="W930" s="17">
        <v>2.5</v>
      </c>
    </row>
    <row r="931" spans="1:55" s="15" customFormat="1" x14ac:dyDescent="0.25">
      <c r="A931" s="15">
        <v>2018434794</v>
      </c>
      <c r="B931" s="15" t="s">
        <v>178</v>
      </c>
      <c r="C931" s="15" t="s">
        <v>179</v>
      </c>
      <c r="D931" s="15" t="str">
        <f>CONCATENATE(C931," ",B931)</f>
        <v>DWIGHT WAGNER</v>
      </c>
      <c r="E931" s="15" t="s">
        <v>170</v>
      </c>
      <c r="F931" s="15" t="s">
        <v>383</v>
      </c>
      <c r="G931" s="15" t="s">
        <v>1172</v>
      </c>
      <c r="H931" s="15" t="s">
        <v>1172</v>
      </c>
      <c r="I931" s="21">
        <v>8977234</v>
      </c>
      <c r="J931" s="15" t="s">
        <v>162</v>
      </c>
      <c r="K931" s="15" t="s">
        <v>180</v>
      </c>
      <c r="L931" s="15" t="str">
        <f>CONCATENATE(K931," ",J931)</f>
        <v>RYAN CALTAGIRONE</v>
      </c>
      <c r="M931" s="15" t="s">
        <v>57</v>
      </c>
      <c r="N931" s="16">
        <v>45047</v>
      </c>
      <c r="O931" s="16">
        <v>46082</v>
      </c>
      <c r="P931" s="24">
        <f>DATEDIF(N931,O931,"M")</f>
        <v>34</v>
      </c>
      <c r="Q931" s="24" t="s">
        <v>157</v>
      </c>
      <c r="R931" s="24" t="s">
        <v>1391</v>
      </c>
      <c r="S931" s="17">
        <v>25.73</v>
      </c>
      <c r="T931" s="18">
        <v>0.15</v>
      </c>
      <c r="U931" s="15" t="s">
        <v>157</v>
      </c>
      <c r="V931" s="15" t="s">
        <v>135</v>
      </c>
      <c r="W931" s="17">
        <v>3.86</v>
      </c>
    </row>
    <row r="932" spans="1:55" s="15" customFormat="1" x14ac:dyDescent="0.25">
      <c r="A932" s="15">
        <v>2018434791</v>
      </c>
      <c r="B932" s="15" t="s">
        <v>178</v>
      </c>
      <c r="C932" s="15" t="s">
        <v>179</v>
      </c>
      <c r="D932" s="15" t="str">
        <f>CONCATENATE(C932," ",B932)</f>
        <v>DWIGHT WAGNER</v>
      </c>
      <c r="E932" s="15" t="s">
        <v>170</v>
      </c>
      <c r="F932" s="15" t="s">
        <v>152</v>
      </c>
      <c r="G932" s="15" t="s">
        <v>153</v>
      </c>
      <c r="H932" s="15" t="s">
        <v>153</v>
      </c>
      <c r="I932" s="21">
        <v>8977234</v>
      </c>
      <c r="J932" s="15" t="s">
        <v>162</v>
      </c>
      <c r="K932" s="15" t="s">
        <v>180</v>
      </c>
      <c r="L932" s="15" t="str">
        <f>CONCATENATE(K932," ",J932)</f>
        <v>RYAN CALTAGIRONE</v>
      </c>
      <c r="M932" s="15" t="s">
        <v>57</v>
      </c>
      <c r="N932" s="16">
        <v>45047</v>
      </c>
      <c r="O932" s="16">
        <v>46082</v>
      </c>
      <c r="P932" s="24">
        <f>DATEDIF(N932,O932,"M")</f>
        <v>34</v>
      </c>
      <c r="Q932" s="24" t="s">
        <v>157</v>
      </c>
      <c r="R932" s="24" t="s">
        <v>1391</v>
      </c>
      <c r="S932" s="17">
        <v>46.65</v>
      </c>
      <c r="T932" s="25">
        <v>5.2499999999999998E-2</v>
      </c>
      <c r="U932" s="15" t="s">
        <v>157</v>
      </c>
      <c r="V932" s="15" t="s">
        <v>135</v>
      </c>
      <c r="W932" s="17">
        <v>2.4500000000000002</v>
      </c>
    </row>
    <row r="933" spans="1:55" s="15" customFormat="1" x14ac:dyDescent="0.25">
      <c r="A933" s="15">
        <v>2032825259</v>
      </c>
      <c r="B933" s="15" t="s">
        <v>338</v>
      </c>
      <c r="C933" s="15" t="s">
        <v>339</v>
      </c>
      <c r="D933" s="15" t="str">
        <f>CONCATENATE(C933," ",B933)</f>
        <v>LAURA DAVEY</v>
      </c>
      <c r="E933" s="15" t="s">
        <v>66</v>
      </c>
      <c r="F933" s="15" t="s">
        <v>152</v>
      </c>
      <c r="G933" s="15" t="s">
        <v>153</v>
      </c>
      <c r="H933" s="15" t="s">
        <v>153</v>
      </c>
      <c r="I933" s="21">
        <v>19396223</v>
      </c>
      <c r="J933" s="15" t="s">
        <v>340</v>
      </c>
      <c r="K933" s="15" t="s">
        <v>341</v>
      </c>
      <c r="L933" s="15" t="str">
        <f>CONCATENATE(K933," ",J933)</f>
        <v>Saadia Abdul</v>
      </c>
      <c r="M933" s="15" t="s">
        <v>57</v>
      </c>
      <c r="N933" s="16">
        <v>46023</v>
      </c>
      <c r="O933" s="16">
        <v>46082</v>
      </c>
      <c r="P933" s="24">
        <f>DATEDIF(N933,O933,"M")</f>
        <v>2</v>
      </c>
      <c r="Q933" s="24" t="s">
        <v>157</v>
      </c>
      <c r="R933" s="24" t="s">
        <v>1391</v>
      </c>
      <c r="S933" s="17">
        <v>85.58</v>
      </c>
      <c r="T933" s="18">
        <v>0.47</v>
      </c>
      <c r="U933" s="15" t="s">
        <v>60</v>
      </c>
      <c r="V933" s="15" t="s">
        <v>135</v>
      </c>
      <c r="W933" s="17">
        <v>40.22</v>
      </c>
    </row>
    <row r="934" spans="1:55" s="15" customFormat="1" x14ac:dyDescent="0.25">
      <c r="A934" s="15">
        <v>2032554456</v>
      </c>
      <c r="B934" s="15" t="s">
        <v>591</v>
      </c>
      <c r="C934" s="15" t="s">
        <v>592</v>
      </c>
      <c r="D934" s="15" t="str">
        <f>CONCATENATE(C934," ",B934)</f>
        <v>MONICA LAROCCO-MCVAY</v>
      </c>
      <c r="E934" s="15" t="s">
        <v>66</v>
      </c>
      <c r="F934" s="15" t="s">
        <v>378</v>
      </c>
      <c r="G934" s="15" t="s">
        <v>380</v>
      </c>
      <c r="H934" s="15" t="s">
        <v>380</v>
      </c>
      <c r="I934" s="21">
        <v>19396223</v>
      </c>
      <c r="J934" s="15" t="s">
        <v>340</v>
      </c>
      <c r="K934" s="15" t="s">
        <v>341</v>
      </c>
      <c r="L934" s="15" t="str">
        <f>CONCATENATE(K934," ",J934)</f>
        <v>Saadia Abdul</v>
      </c>
      <c r="M934" s="15" t="s">
        <v>57</v>
      </c>
      <c r="N934" s="16">
        <v>45998</v>
      </c>
      <c r="O934" s="16">
        <v>46088</v>
      </c>
      <c r="P934" s="24">
        <f>DATEDIF(N934,O934,"M")</f>
        <v>3</v>
      </c>
      <c r="Q934" s="24" t="s">
        <v>157</v>
      </c>
      <c r="R934" s="24" t="s">
        <v>1391</v>
      </c>
      <c r="S934" s="17">
        <v>152.06</v>
      </c>
      <c r="T934" s="18">
        <v>0.38</v>
      </c>
      <c r="U934" s="15" t="s">
        <v>60</v>
      </c>
      <c r="V934" s="15" t="s">
        <v>135</v>
      </c>
      <c r="W934" s="17">
        <v>57.78</v>
      </c>
    </row>
    <row r="935" spans="1:55" s="15" customFormat="1" x14ac:dyDescent="0.25">
      <c r="A935" s="15">
        <v>2032554457</v>
      </c>
      <c r="B935" s="15" t="s">
        <v>591</v>
      </c>
      <c r="C935" s="15" t="s">
        <v>592</v>
      </c>
      <c r="D935" s="15" t="str">
        <f>CONCATENATE(C935," ",B935)</f>
        <v>MONICA LAROCCO-MCVAY</v>
      </c>
      <c r="E935" s="15" t="s">
        <v>66</v>
      </c>
      <c r="F935" s="15" t="s">
        <v>378</v>
      </c>
      <c r="G935" s="15" t="s">
        <v>381</v>
      </c>
      <c r="H935" s="15" t="s">
        <v>380</v>
      </c>
      <c r="I935" s="21">
        <v>19396223</v>
      </c>
      <c r="J935" s="15" t="s">
        <v>340</v>
      </c>
      <c r="K935" s="15" t="s">
        <v>341</v>
      </c>
      <c r="L935" s="15" t="str">
        <f>CONCATENATE(K935," ",J935)</f>
        <v>Saadia Abdul</v>
      </c>
      <c r="M935" s="15" t="s">
        <v>57</v>
      </c>
      <c r="N935" s="16">
        <v>45998</v>
      </c>
      <c r="O935" s="16">
        <v>46088</v>
      </c>
      <c r="P935" s="24">
        <f>DATEDIF(N935,O935,"M")</f>
        <v>3</v>
      </c>
      <c r="Q935" s="24" t="s">
        <v>157</v>
      </c>
      <c r="R935" s="24" t="s">
        <v>1391</v>
      </c>
      <c r="S935" s="17">
        <v>7.09</v>
      </c>
      <c r="T935" s="18">
        <v>0.38</v>
      </c>
      <c r="U935" s="15" t="s">
        <v>60</v>
      </c>
      <c r="V935" s="15" t="s">
        <v>135</v>
      </c>
      <c r="W935" s="17">
        <v>2.69</v>
      </c>
    </row>
    <row r="936" spans="1:55" s="15" customFormat="1" x14ac:dyDescent="0.25">
      <c r="A936" s="15">
        <v>2032554458</v>
      </c>
      <c r="B936" s="15" t="s">
        <v>591</v>
      </c>
      <c r="C936" s="15" t="s">
        <v>592</v>
      </c>
      <c r="D936" s="15" t="str">
        <f>CONCATENATE(C936," ",B936)</f>
        <v>MONICA LAROCCO-MCVAY</v>
      </c>
      <c r="E936" s="15" t="s">
        <v>66</v>
      </c>
      <c r="F936" s="15" t="s">
        <v>350</v>
      </c>
      <c r="G936" s="15" t="s">
        <v>354</v>
      </c>
      <c r="H936" s="15" t="s">
        <v>354</v>
      </c>
      <c r="I936" s="21">
        <v>19396223</v>
      </c>
      <c r="J936" s="15" t="s">
        <v>340</v>
      </c>
      <c r="K936" s="15" t="s">
        <v>341</v>
      </c>
      <c r="L936" s="15" t="str">
        <f>CONCATENATE(K936," ",J936)</f>
        <v>Saadia Abdul</v>
      </c>
      <c r="M936" s="15" t="s">
        <v>57</v>
      </c>
      <c r="N936" s="16">
        <v>45998</v>
      </c>
      <c r="O936" s="16">
        <v>46088</v>
      </c>
      <c r="P936" s="24">
        <f>DATEDIF(N936,O936,"M")</f>
        <v>3</v>
      </c>
      <c r="Q936" s="24" t="s">
        <v>157</v>
      </c>
      <c r="R936" s="24" t="s">
        <v>1391</v>
      </c>
      <c r="S936" s="17">
        <v>15</v>
      </c>
      <c r="T936" s="18">
        <v>0.38</v>
      </c>
      <c r="U936" s="15" t="s">
        <v>60</v>
      </c>
      <c r="V936" s="15" t="s">
        <v>135</v>
      </c>
      <c r="W936" s="17">
        <v>5.7</v>
      </c>
    </row>
    <row r="937" spans="1:55" s="15" customFormat="1" x14ac:dyDescent="0.25">
      <c r="A937" s="15">
        <v>2032095170</v>
      </c>
      <c r="B937" s="15" t="s">
        <v>813</v>
      </c>
      <c r="C937" s="15" t="s">
        <v>705</v>
      </c>
      <c r="D937" s="15" t="str">
        <f>CONCATENATE(C937," ",B937)</f>
        <v>NICOLE PITZAFERRO</v>
      </c>
      <c r="E937" s="15" t="s">
        <v>66</v>
      </c>
      <c r="F937" s="15" t="s">
        <v>383</v>
      </c>
      <c r="G937" s="15" t="s">
        <v>384</v>
      </c>
      <c r="H937" s="15" t="s">
        <v>384</v>
      </c>
      <c r="I937" s="21">
        <v>19396223</v>
      </c>
      <c r="J937" s="15" t="s">
        <v>340</v>
      </c>
      <c r="K937" s="15" t="s">
        <v>341</v>
      </c>
      <c r="L937" s="15" t="str">
        <f>CONCATENATE(K937," ",J937)</f>
        <v>Saadia Abdul</v>
      </c>
      <c r="M937" s="15" t="s">
        <v>57</v>
      </c>
      <c r="N937" s="16">
        <v>45972</v>
      </c>
      <c r="O937" s="16">
        <v>46092</v>
      </c>
      <c r="P937" s="24">
        <f>DATEDIF(N937,O937,"M")</f>
        <v>4</v>
      </c>
      <c r="Q937" s="24" t="s">
        <v>157</v>
      </c>
      <c r="R937" s="24" t="s">
        <v>1391</v>
      </c>
      <c r="S937" s="17">
        <v>59.4</v>
      </c>
      <c r="T937" s="18">
        <v>0.7</v>
      </c>
      <c r="U937" s="15" t="s">
        <v>60</v>
      </c>
      <c r="V937" s="15" t="s">
        <v>135</v>
      </c>
      <c r="W937" s="17">
        <v>41.58</v>
      </c>
    </row>
    <row r="938" spans="1:55" s="15" customFormat="1" x14ac:dyDescent="0.25">
      <c r="A938" s="15">
        <v>2028683415</v>
      </c>
      <c r="B938" s="15" t="s">
        <v>713</v>
      </c>
      <c r="C938" s="15" t="s">
        <v>713</v>
      </c>
      <c r="D938" s="15" t="str">
        <f>CONCATENATE(C938," ",B938)</f>
        <v>MANSOUR MANSOUR</v>
      </c>
      <c r="E938" s="15" t="s">
        <v>66</v>
      </c>
      <c r="F938" s="15" t="s">
        <v>383</v>
      </c>
      <c r="G938" s="15" t="s">
        <v>384</v>
      </c>
      <c r="H938" s="15" t="s">
        <v>384</v>
      </c>
      <c r="I938" s="21">
        <v>19396223</v>
      </c>
      <c r="J938" s="15" t="s">
        <v>340</v>
      </c>
      <c r="K938" s="15" t="s">
        <v>341</v>
      </c>
      <c r="L938" s="15" t="str">
        <f>CONCATENATE(K938," ",J938)</f>
        <v>Saadia Abdul</v>
      </c>
      <c r="M938" s="15" t="s">
        <v>57</v>
      </c>
      <c r="N938" s="16">
        <v>45778</v>
      </c>
      <c r="O938" s="16">
        <v>46082</v>
      </c>
      <c r="P938" s="24">
        <f>DATEDIF(N938,O938,"M")</f>
        <v>10</v>
      </c>
      <c r="Q938" s="24" t="s">
        <v>157</v>
      </c>
      <c r="R938" s="24" t="s">
        <v>1391</v>
      </c>
      <c r="S938" s="17">
        <v>56.62</v>
      </c>
      <c r="T938" s="18">
        <v>0.7</v>
      </c>
      <c r="U938" s="15" t="s">
        <v>60</v>
      </c>
      <c r="V938" s="15" t="s">
        <v>135</v>
      </c>
      <c r="W938" s="17">
        <v>39.630000000000003</v>
      </c>
    </row>
    <row r="939" spans="1:55" s="15" customFormat="1" x14ac:dyDescent="0.25">
      <c r="A939" s="15">
        <v>2028683414</v>
      </c>
      <c r="B939" s="15" t="s">
        <v>713</v>
      </c>
      <c r="C939" s="15" t="s">
        <v>713</v>
      </c>
      <c r="D939" s="15" t="str">
        <f>CONCATENATE(C939," ",B939)</f>
        <v>MANSOUR MANSOUR</v>
      </c>
      <c r="E939" s="15" t="s">
        <v>66</v>
      </c>
      <c r="F939" s="15" t="s">
        <v>363</v>
      </c>
      <c r="G939" s="15" t="s">
        <v>364</v>
      </c>
      <c r="H939" s="15" t="s">
        <v>364</v>
      </c>
      <c r="I939" s="21">
        <v>19396223</v>
      </c>
      <c r="J939" s="15" t="s">
        <v>340</v>
      </c>
      <c r="K939" s="15" t="s">
        <v>341</v>
      </c>
      <c r="L939" s="15" t="str">
        <f>CONCATENATE(K939," ",J939)</f>
        <v>Saadia Abdul</v>
      </c>
      <c r="M939" s="15" t="s">
        <v>57</v>
      </c>
      <c r="N939" s="16">
        <v>45778</v>
      </c>
      <c r="O939" s="16">
        <v>46082</v>
      </c>
      <c r="P939" s="24">
        <f>DATEDIF(N939,O939,"M")</f>
        <v>10</v>
      </c>
      <c r="Q939" s="24" t="s">
        <v>157</v>
      </c>
      <c r="R939" s="24" t="s">
        <v>1391</v>
      </c>
      <c r="S939" s="17">
        <v>176.99</v>
      </c>
      <c r="T939" s="25">
        <v>0.375</v>
      </c>
      <c r="U939" s="15" t="s">
        <v>60</v>
      </c>
      <c r="V939" s="15" t="s">
        <v>135</v>
      </c>
      <c r="W939" s="17">
        <v>66.37</v>
      </c>
    </row>
    <row r="940" spans="1:55" s="15" customFormat="1" x14ac:dyDescent="0.25">
      <c r="A940" s="15">
        <v>2028801870</v>
      </c>
      <c r="B940" s="15" t="s">
        <v>717</v>
      </c>
      <c r="C940" s="15" t="s">
        <v>498</v>
      </c>
      <c r="D940" s="15" t="str">
        <f>CONCATENATE(C940," ",B940)</f>
        <v>JUSTIN HAMILTON</v>
      </c>
      <c r="E940" s="15" t="s">
        <v>66</v>
      </c>
      <c r="F940" s="15" t="s">
        <v>363</v>
      </c>
      <c r="G940" s="15" t="s">
        <v>364</v>
      </c>
      <c r="H940" s="15" t="s">
        <v>364</v>
      </c>
      <c r="I940" s="21">
        <v>19396223</v>
      </c>
      <c r="J940" s="15" t="s">
        <v>340</v>
      </c>
      <c r="K940" s="15" t="s">
        <v>341</v>
      </c>
      <c r="L940" s="15" t="str">
        <f>CONCATENATE(K940," ",J940)</f>
        <v>Saadia Abdul</v>
      </c>
      <c r="M940" s="15" t="s">
        <v>57</v>
      </c>
      <c r="N940" s="16">
        <v>45784</v>
      </c>
      <c r="O940" s="16">
        <v>46088</v>
      </c>
      <c r="P940" s="24">
        <f>DATEDIF(N940,O940,"M")</f>
        <v>10</v>
      </c>
      <c r="Q940" s="24" t="s">
        <v>157</v>
      </c>
      <c r="R940" s="24" t="s">
        <v>1391</v>
      </c>
      <c r="S940" s="17">
        <v>38.44</v>
      </c>
      <c r="T940" s="25">
        <v>0.375</v>
      </c>
      <c r="U940" s="15" t="s">
        <v>60</v>
      </c>
      <c r="V940" s="15" t="s">
        <v>135</v>
      </c>
      <c r="W940" s="17">
        <v>14.42</v>
      </c>
    </row>
    <row r="941" spans="1:55" s="15" customFormat="1" x14ac:dyDescent="0.25">
      <c r="A941" s="6">
        <v>2032576894</v>
      </c>
      <c r="B941" s="6" t="s">
        <v>863</v>
      </c>
      <c r="C941" s="6" t="s">
        <v>864</v>
      </c>
      <c r="D941" s="6" t="str">
        <f>CONCATENATE(C941," ",B941)</f>
        <v>LONNA WILSON</v>
      </c>
      <c r="E941" s="6" t="s">
        <v>52</v>
      </c>
      <c r="F941" s="6" t="s">
        <v>383</v>
      </c>
      <c r="G941" s="6" t="s">
        <v>385</v>
      </c>
      <c r="H941" s="6" t="s">
        <v>385</v>
      </c>
      <c r="I941" s="20" t="s">
        <v>1381</v>
      </c>
      <c r="J941" s="6" t="s">
        <v>630</v>
      </c>
      <c r="K941" s="6" t="s">
        <v>65</v>
      </c>
      <c r="L941" s="6" t="str">
        <f>CONCATENATE(K941," ",J941)</f>
        <v>SCOTT AGUGLIA</v>
      </c>
      <c r="M941" s="6" t="s">
        <v>57</v>
      </c>
      <c r="N941" s="5">
        <v>46000</v>
      </c>
      <c r="O941" s="5">
        <v>46090</v>
      </c>
      <c r="P941" s="23">
        <f>DATEDIF(N941,O941,"M")</f>
        <v>3</v>
      </c>
      <c r="Q941" s="23" t="s">
        <v>157</v>
      </c>
      <c r="R941" s="23" t="s">
        <v>1390</v>
      </c>
      <c r="S941" s="7">
        <v>51.63</v>
      </c>
      <c r="T941" s="13">
        <v>0.9</v>
      </c>
      <c r="U941" s="6" t="s">
        <v>60</v>
      </c>
      <c r="V941" s="6" t="s">
        <v>135</v>
      </c>
      <c r="W941" s="7">
        <v>46.47</v>
      </c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</row>
    <row r="942" spans="1:55" s="15" customFormat="1" x14ac:dyDescent="0.25">
      <c r="A942" s="6">
        <v>2032134523</v>
      </c>
      <c r="B942" s="6" t="s">
        <v>825</v>
      </c>
      <c r="C942" s="6" t="s">
        <v>826</v>
      </c>
      <c r="D942" s="6" t="str">
        <f>CONCATENATE(C942," ",B942)</f>
        <v>DOROTHY BERTUCCI</v>
      </c>
      <c r="E942" s="6" t="s">
        <v>52</v>
      </c>
      <c r="F942" s="6" t="s">
        <v>383</v>
      </c>
      <c r="G942" s="6" t="s">
        <v>385</v>
      </c>
      <c r="H942" s="6" t="s">
        <v>385</v>
      </c>
      <c r="I942" s="20" t="s">
        <v>1381</v>
      </c>
      <c r="J942" s="6" t="s">
        <v>630</v>
      </c>
      <c r="K942" s="6" t="s">
        <v>65</v>
      </c>
      <c r="L942" s="6" t="str">
        <f>CONCATENATE(K942," ",J942)</f>
        <v>SCOTT AGUGLIA</v>
      </c>
      <c r="M942" s="6" t="s">
        <v>57</v>
      </c>
      <c r="N942" s="5">
        <v>45974</v>
      </c>
      <c r="O942" s="5">
        <v>46094</v>
      </c>
      <c r="P942" s="23">
        <f>DATEDIF(N942,O942,"M")</f>
        <v>4</v>
      </c>
      <c r="Q942" s="23" t="s">
        <v>157</v>
      </c>
      <c r="R942" s="23" t="s">
        <v>1390</v>
      </c>
      <c r="S942" s="7">
        <v>65.25</v>
      </c>
      <c r="T942" s="13">
        <v>0.9</v>
      </c>
      <c r="U942" s="6" t="s">
        <v>60</v>
      </c>
      <c r="V942" s="6" t="s">
        <v>135</v>
      </c>
      <c r="W942" s="7">
        <v>58.72</v>
      </c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</row>
    <row r="943" spans="1:55" s="15" customFormat="1" x14ac:dyDescent="0.25">
      <c r="A943" s="6">
        <v>2026515689</v>
      </c>
      <c r="B943" s="6" t="s">
        <v>863</v>
      </c>
      <c r="C943" s="6" t="s">
        <v>864</v>
      </c>
      <c r="D943" s="6" t="str">
        <f>CONCATENATE(C943," ",B943)</f>
        <v>LONNA WILSON</v>
      </c>
      <c r="E943" s="6" t="s">
        <v>52</v>
      </c>
      <c r="F943" s="6" t="s">
        <v>383</v>
      </c>
      <c r="G943" s="6" t="s">
        <v>385</v>
      </c>
      <c r="H943" s="6" t="s">
        <v>385</v>
      </c>
      <c r="I943" s="20" t="s">
        <v>1381</v>
      </c>
      <c r="J943" s="6" t="s">
        <v>630</v>
      </c>
      <c r="K943" s="6" t="s">
        <v>65</v>
      </c>
      <c r="L943" s="6" t="str">
        <f>CONCATENATE(K943," ",J943)</f>
        <v>SCOTT AGUGLIA</v>
      </c>
      <c r="M943" s="6" t="s">
        <v>57</v>
      </c>
      <c r="N943" s="5">
        <v>45666</v>
      </c>
      <c r="O943" s="5">
        <v>46090</v>
      </c>
      <c r="P943" s="23">
        <f>DATEDIF(N943,O943,"M")</f>
        <v>14</v>
      </c>
      <c r="Q943" s="23" t="s">
        <v>157</v>
      </c>
      <c r="R943" s="23" t="s">
        <v>1391</v>
      </c>
      <c r="S943" s="7">
        <v>99.25</v>
      </c>
      <c r="T943" s="13">
        <v>0.1</v>
      </c>
      <c r="U943" s="6" t="s">
        <v>157</v>
      </c>
      <c r="V943" s="6" t="s">
        <v>135</v>
      </c>
      <c r="W943" s="7">
        <v>9.92</v>
      </c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</row>
    <row r="944" spans="1:55" s="15" customFormat="1" x14ac:dyDescent="0.25">
      <c r="A944" s="6">
        <v>2020685017</v>
      </c>
      <c r="B944" s="6" t="s">
        <v>632</v>
      </c>
      <c r="C944" s="6" t="s">
        <v>633</v>
      </c>
      <c r="D944" s="6" t="str">
        <f>CONCATENATE(C944," ",B944)</f>
        <v>SHILOH SOMOGIE</v>
      </c>
      <c r="E944" s="6" t="s">
        <v>52</v>
      </c>
      <c r="F944" s="6" t="s">
        <v>363</v>
      </c>
      <c r="G944" s="6" t="s">
        <v>364</v>
      </c>
      <c r="H944" s="6" t="s">
        <v>364</v>
      </c>
      <c r="I944" s="20">
        <v>8971826</v>
      </c>
      <c r="J944" s="6" t="s">
        <v>630</v>
      </c>
      <c r="K944" s="6" t="s">
        <v>65</v>
      </c>
      <c r="L944" s="6" t="str">
        <f>CONCATENATE(K944," ",J944)</f>
        <v>SCOTT AGUGLIA</v>
      </c>
      <c r="M944" s="6" t="s">
        <v>57</v>
      </c>
      <c r="N944" s="5">
        <v>45237</v>
      </c>
      <c r="O944" s="5">
        <v>46088</v>
      </c>
      <c r="P944" s="23">
        <f>DATEDIF(N944,O944,"M")</f>
        <v>28</v>
      </c>
      <c r="Q944" s="23" t="s">
        <v>157</v>
      </c>
      <c r="R944" s="23" t="s">
        <v>1391</v>
      </c>
      <c r="S944" s="7">
        <v>57.29</v>
      </c>
      <c r="T944" s="13">
        <v>0.06</v>
      </c>
      <c r="U944" s="6" t="s">
        <v>157</v>
      </c>
      <c r="V944" s="6" t="s">
        <v>135</v>
      </c>
      <c r="W944" s="7">
        <v>3.44</v>
      </c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</row>
    <row r="945" spans="1:55" s="15" customFormat="1" x14ac:dyDescent="0.25">
      <c r="A945" s="6">
        <v>2020737470</v>
      </c>
      <c r="B945" s="6" t="s">
        <v>1181</v>
      </c>
      <c r="C945" s="6" t="s">
        <v>1182</v>
      </c>
      <c r="D945" s="6" t="str">
        <f>CONCATENATE(C945," ",B945)</f>
        <v>RICHARD VULJANIC</v>
      </c>
      <c r="E945" s="6" t="s">
        <v>52</v>
      </c>
      <c r="F945" s="6" t="s">
        <v>383</v>
      </c>
      <c r="G945" s="6" t="s">
        <v>385</v>
      </c>
      <c r="H945" s="6" t="s">
        <v>385</v>
      </c>
      <c r="I945" s="20">
        <v>8971826</v>
      </c>
      <c r="J945" s="6" t="s">
        <v>630</v>
      </c>
      <c r="K945" s="6" t="s">
        <v>65</v>
      </c>
      <c r="L945" s="6" t="str">
        <f>CONCATENATE(K945," ",J945)</f>
        <v>SCOTT AGUGLIA</v>
      </c>
      <c r="M945" s="6" t="s">
        <v>57</v>
      </c>
      <c r="N945" s="5">
        <v>45240</v>
      </c>
      <c r="O945" s="5">
        <v>46091</v>
      </c>
      <c r="P945" s="23">
        <f>DATEDIF(N945,O945,"M")</f>
        <v>28</v>
      </c>
      <c r="Q945" s="23" t="s">
        <v>157</v>
      </c>
      <c r="R945" s="23" t="s">
        <v>1391</v>
      </c>
      <c r="S945" s="7">
        <v>123.44</v>
      </c>
      <c r="T945" s="13">
        <v>0.1</v>
      </c>
      <c r="U945" s="6" t="s">
        <v>157</v>
      </c>
      <c r="V945" s="6" t="s">
        <v>135</v>
      </c>
      <c r="W945" s="7">
        <v>12.34</v>
      </c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</row>
    <row r="946" spans="1:55" s="15" customFormat="1" x14ac:dyDescent="0.25">
      <c r="A946" s="6">
        <v>2020037859</v>
      </c>
      <c r="B946" s="6" t="s">
        <v>629</v>
      </c>
      <c r="C946" s="6" t="s">
        <v>188</v>
      </c>
      <c r="D946" s="6" t="str">
        <f>CONCATENATE(C946," ",B946)</f>
        <v>MICHAEL SCHAAL</v>
      </c>
      <c r="E946" s="6" t="s">
        <v>52</v>
      </c>
      <c r="F946" s="6" t="s">
        <v>363</v>
      </c>
      <c r="G946" s="6" t="s">
        <v>364</v>
      </c>
      <c r="H946" s="6" t="s">
        <v>364</v>
      </c>
      <c r="I946" s="20">
        <v>8971826</v>
      </c>
      <c r="J946" s="6" t="s">
        <v>630</v>
      </c>
      <c r="K946" s="6" t="s">
        <v>65</v>
      </c>
      <c r="L946" s="6" t="str">
        <f>CONCATENATE(K946," ",J946)</f>
        <v>SCOTT AGUGLIA</v>
      </c>
      <c r="M946" s="6" t="s">
        <v>57</v>
      </c>
      <c r="N946" s="5">
        <v>45182</v>
      </c>
      <c r="O946" s="5">
        <v>46094</v>
      </c>
      <c r="P946" s="23">
        <f>DATEDIF(N946,O946,"M")</f>
        <v>30</v>
      </c>
      <c r="Q946" s="23" t="s">
        <v>157</v>
      </c>
      <c r="R946" s="23" t="s">
        <v>1391</v>
      </c>
      <c r="S946" s="7">
        <v>151.88</v>
      </c>
      <c r="T946" s="13">
        <v>0.06</v>
      </c>
      <c r="U946" s="6" t="s">
        <v>157</v>
      </c>
      <c r="V946" s="6" t="s">
        <v>135</v>
      </c>
      <c r="W946" s="7">
        <v>9.11</v>
      </c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</row>
    <row r="947" spans="1:55" s="15" customFormat="1" x14ac:dyDescent="0.25">
      <c r="A947" s="6">
        <v>2026492383</v>
      </c>
      <c r="B947" s="6" t="s">
        <v>1156</v>
      </c>
      <c r="C947" s="6" t="s">
        <v>224</v>
      </c>
      <c r="D947" s="6" t="str">
        <f>CONCATENATE(C947," ",B947)</f>
        <v>DEBRA KAHLER</v>
      </c>
      <c r="E947" s="6" t="s">
        <v>116</v>
      </c>
      <c r="F947" s="6" t="s">
        <v>1132</v>
      </c>
      <c r="G947" s="6" t="s">
        <v>1157</v>
      </c>
      <c r="H947" s="6" t="s">
        <v>1345</v>
      </c>
      <c r="I947" s="20">
        <v>19645587</v>
      </c>
      <c r="J947" s="6" t="s">
        <v>740</v>
      </c>
      <c r="K947" s="6" t="s">
        <v>885</v>
      </c>
      <c r="L947" s="6" t="str">
        <f>CONCATENATE(K947," ",J947)</f>
        <v>STACEY PORTUGAL</v>
      </c>
      <c r="M947" s="6" t="s">
        <v>57</v>
      </c>
      <c r="N947" s="5">
        <v>45665</v>
      </c>
      <c r="O947" s="5">
        <v>46089</v>
      </c>
      <c r="P947" s="23">
        <f>DATEDIF(N947,O947,"M")</f>
        <v>14</v>
      </c>
      <c r="Q947" s="23" t="s">
        <v>157</v>
      </c>
      <c r="R947" s="23" t="s">
        <v>1391</v>
      </c>
      <c r="S947" s="7">
        <v>105.97</v>
      </c>
      <c r="T947" s="14">
        <v>0.255</v>
      </c>
      <c r="U947" s="6" t="s">
        <v>157</v>
      </c>
      <c r="V947" s="6" t="s">
        <v>135</v>
      </c>
      <c r="W947" s="7">
        <v>27.02</v>
      </c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</row>
    <row r="948" spans="1:55" s="15" customFormat="1" x14ac:dyDescent="0.25">
      <c r="A948" s="6">
        <v>2026539798</v>
      </c>
      <c r="B948" s="6" t="s">
        <v>1221</v>
      </c>
      <c r="C948" s="6" t="s">
        <v>1222</v>
      </c>
      <c r="D948" s="6" t="str">
        <f>CONCATENATE(C948," ",B948)</f>
        <v>GABRIELLA NOBILE</v>
      </c>
      <c r="E948" s="6" t="s">
        <v>170</v>
      </c>
      <c r="F948" s="6" t="s">
        <v>383</v>
      </c>
      <c r="G948" s="6" t="s">
        <v>384</v>
      </c>
      <c r="H948" s="6" t="s">
        <v>384</v>
      </c>
      <c r="I948" s="20">
        <v>19481808</v>
      </c>
      <c r="J948" s="6" t="s">
        <v>1223</v>
      </c>
      <c r="K948" s="6" t="s">
        <v>999</v>
      </c>
      <c r="L948" s="6" t="str">
        <f>CONCATENATE(K948," ",J948)</f>
        <v>STEVEN WERNER</v>
      </c>
      <c r="M948" s="6" t="s">
        <v>57</v>
      </c>
      <c r="N948" s="5">
        <v>45668</v>
      </c>
      <c r="O948" s="5">
        <v>46092</v>
      </c>
      <c r="P948" s="23">
        <f>DATEDIF(N948,O948,"M")</f>
        <v>14</v>
      </c>
      <c r="Q948" s="23" t="s">
        <v>157</v>
      </c>
      <c r="R948" s="23" t="s">
        <v>1391</v>
      </c>
      <c r="S948" s="7">
        <v>25.97</v>
      </c>
      <c r="T948" s="13">
        <v>0.15</v>
      </c>
      <c r="U948" s="6" t="s">
        <v>157</v>
      </c>
      <c r="V948" s="6" t="s">
        <v>135</v>
      </c>
      <c r="W948" s="7">
        <v>3.9</v>
      </c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</row>
    <row r="949" spans="1:55" s="15" customFormat="1" x14ac:dyDescent="0.25">
      <c r="A949" s="6">
        <v>2031463660</v>
      </c>
      <c r="B949" s="6" t="s">
        <v>428</v>
      </c>
      <c r="C949" s="6" t="s">
        <v>1187</v>
      </c>
      <c r="D949" s="6" t="str">
        <f>CONCATENATE(C949," ",B949)</f>
        <v>RITA MOORE</v>
      </c>
      <c r="E949" s="6" t="s">
        <v>96</v>
      </c>
      <c r="F949" s="6" t="s">
        <v>383</v>
      </c>
      <c r="G949" s="6" t="s">
        <v>385</v>
      </c>
      <c r="H949" s="6" t="s">
        <v>385</v>
      </c>
      <c r="I949" s="20" t="s">
        <v>1382</v>
      </c>
      <c r="J949" s="6" t="s">
        <v>1286</v>
      </c>
      <c r="K949" s="6" t="s">
        <v>1287</v>
      </c>
      <c r="L949" s="6" t="str">
        <f>CONCATENATE(K949," ",J949)</f>
        <v>Taliah Ferguson</v>
      </c>
      <c r="M949" s="6" t="s">
        <v>57</v>
      </c>
      <c r="N949" s="5">
        <v>45940</v>
      </c>
      <c r="O949" s="5">
        <v>46091</v>
      </c>
      <c r="P949" s="23">
        <f>DATEDIF(N949,O949,"M")</f>
        <v>5</v>
      </c>
      <c r="Q949" s="23" t="s">
        <v>157</v>
      </c>
      <c r="R949" s="23" t="s">
        <v>1390</v>
      </c>
      <c r="S949" s="7">
        <v>51.63</v>
      </c>
      <c r="T949" s="13">
        <v>0.9</v>
      </c>
      <c r="U949" s="6" t="s">
        <v>60</v>
      </c>
      <c r="V949" s="6" t="s">
        <v>135</v>
      </c>
      <c r="W949" s="7">
        <v>46.47</v>
      </c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</row>
    <row r="950" spans="1:55" s="15" customFormat="1" x14ac:dyDescent="0.25">
      <c r="A950" s="6">
        <v>2023849739</v>
      </c>
      <c r="B950" s="6" t="s">
        <v>219</v>
      </c>
      <c r="C950" s="6" t="s">
        <v>482</v>
      </c>
      <c r="D950" s="6" t="str">
        <f>CONCATENATE(C950," ",B950)</f>
        <v>TERI FOSTER</v>
      </c>
      <c r="E950" s="6" t="s">
        <v>66</v>
      </c>
      <c r="F950" s="6" t="s">
        <v>72</v>
      </c>
      <c r="G950" s="6" t="s">
        <v>79</v>
      </c>
      <c r="H950" s="6" t="s">
        <v>1329</v>
      </c>
      <c r="I950" s="20">
        <v>20098658</v>
      </c>
      <c r="J950" s="6" t="s">
        <v>219</v>
      </c>
      <c r="K950" s="6" t="s">
        <v>482</v>
      </c>
      <c r="L950" s="6" t="str">
        <f>CONCATENATE(K950," ",J950)</f>
        <v>TERI FOSTER</v>
      </c>
      <c r="M950" s="6" t="s">
        <v>57</v>
      </c>
      <c r="N950" s="5">
        <v>45482</v>
      </c>
      <c r="O950" s="5">
        <v>46090</v>
      </c>
      <c r="P950" s="23">
        <f>DATEDIF(N950,O950,"M")</f>
        <v>20</v>
      </c>
      <c r="Q950" s="23" t="s">
        <v>157</v>
      </c>
      <c r="R950" s="23" t="s">
        <v>1391</v>
      </c>
      <c r="S950" s="7">
        <v>99.45</v>
      </c>
      <c r="T950" s="13">
        <v>0.1</v>
      </c>
      <c r="U950" s="6" t="s">
        <v>157</v>
      </c>
      <c r="V950" s="6" t="s">
        <v>135</v>
      </c>
      <c r="W950" s="7">
        <v>9.94</v>
      </c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</row>
    <row r="951" spans="1:55" s="15" customFormat="1" x14ac:dyDescent="0.25">
      <c r="A951" s="6">
        <v>2033013308</v>
      </c>
      <c r="B951" s="6" t="s">
        <v>1104</v>
      </c>
      <c r="C951" s="6" t="s">
        <v>1105</v>
      </c>
      <c r="D951" s="6" t="str">
        <f>CONCATENATE(C951," ",B951)</f>
        <v>ELIANNA PEDEN</v>
      </c>
      <c r="E951" s="6" t="s">
        <v>309</v>
      </c>
      <c r="F951" s="6" t="s">
        <v>363</v>
      </c>
      <c r="G951" s="6" t="s">
        <v>364</v>
      </c>
      <c r="H951" s="6" t="s">
        <v>1338</v>
      </c>
      <c r="I951" s="20" t="s">
        <v>1383</v>
      </c>
      <c r="J951" s="6" t="s">
        <v>310</v>
      </c>
      <c r="K951" s="6" t="s">
        <v>311</v>
      </c>
      <c r="L951" s="6" t="str">
        <f>CONCATENATE(K951," ",J951)</f>
        <v>THOMAS PARDUE</v>
      </c>
      <c r="M951" s="6" t="s">
        <v>57</v>
      </c>
      <c r="N951" s="5">
        <v>46029</v>
      </c>
      <c r="O951" s="5">
        <v>46088</v>
      </c>
      <c r="P951" s="23">
        <f>DATEDIF(N951,O951,"M")</f>
        <v>2</v>
      </c>
      <c r="Q951" s="23" t="s">
        <v>157</v>
      </c>
      <c r="R951" s="23" t="s">
        <v>1390</v>
      </c>
      <c r="S951" s="7">
        <v>53.51</v>
      </c>
      <c r="T951" s="14">
        <v>0.375</v>
      </c>
      <c r="U951" s="6" t="s">
        <v>60</v>
      </c>
      <c r="V951" s="6" t="s">
        <v>135</v>
      </c>
      <c r="W951" s="7">
        <v>20.07</v>
      </c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</row>
    <row r="952" spans="1:55" s="15" customFormat="1" x14ac:dyDescent="0.25">
      <c r="A952" s="6">
        <v>2032606968</v>
      </c>
      <c r="B952" s="6" t="s">
        <v>874</v>
      </c>
      <c r="C952" s="6" t="s">
        <v>875</v>
      </c>
      <c r="D952" s="6" t="str">
        <f>CONCATENATE(C952," ",B952)</f>
        <v>MELANIE HAWTHORNE</v>
      </c>
      <c r="E952" s="6" t="s">
        <v>90</v>
      </c>
      <c r="F952" s="6" t="s">
        <v>383</v>
      </c>
      <c r="G952" s="6" t="s">
        <v>384</v>
      </c>
      <c r="H952" s="6" t="s">
        <v>384</v>
      </c>
      <c r="I952" s="20" t="s">
        <v>1383</v>
      </c>
      <c r="J952" s="6" t="s">
        <v>310</v>
      </c>
      <c r="K952" s="6" t="s">
        <v>311</v>
      </c>
      <c r="L952" s="6" t="str">
        <f>CONCATENATE(K952," ",J952)</f>
        <v>THOMAS PARDUE</v>
      </c>
      <c r="M952" s="6" t="s">
        <v>57</v>
      </c>
      <c r="N952" s="5">
        <v>46023</v>
      </c>
      <c r="O952" s="5">
        <v>46082</v>
      </c>
      <c r="P952" s="23">
        <f>DATEDIF(N952,O952,"M")</f>
        <v>2</v>
      </c>
      <c r="Q952" s="23" t="s">
        <v>157</v>
      </c>
      <c r="R952" s="23" t="s">
        <v>1390</v>
      </c>
      <c r="S952" s="7">
        <v>89.52</v>
      </c>
      <c r="T952" s="13">
        <v>0.7</v>
      </c>
      <c r="U952" s="6" t="s">
        <v>60</v>
      </c>
      <c r="V952" s="6" t="s">
        <v>135</v>
      </c>
      <c r="W952" s="7">
        <v>62.66</v>
      </c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</row>
    <row r="953" spans="1:55" s="15" customFormat="1" x14ac:dyDescent="0.25">
      <c r="A953" s="6">
        <v>2032567800</v>
      </c>
      <c r="B953" s="6" t="s">
        <v>859</v>
      </c>
      <c r="C953" s="6" t="s">
        <v>860</v>
      </c>
      <c r="D953" s="6" t="str">
        <f>CONCATENATE(C953," ",B953)</f>
        <v>DENISE HILTON</v>
      </c>
      <c r="E953" s="6" t="s">
        <v>78</v>
      </c>
      <c r="F953" s="6" t="s">
        <v>72</v>
      </c>
      <c r="G953" s="6" t="s">
        <v>93</v>
      </c>
      <c r="H953" s="6" t="s">
        <v>1332</v>
      </c>
      <c r="I953" s="20" t="s">
        <v>1383</v>
      </c>
      <c r="J953" s="6" t="s">
        <v>310</v>
      </c>
      <c r="K953" s="6" t="s">
        <v>311</v>
      </c>
      <c r="L953" s="6" t="str">
        <f>CONCATENATE(K953," ",J953)</f>
        <v>THOMAS PARDUE</v>
      </c>
      <c r="M953" s="6" t="s">
        <v>57</v>
      </c>
      <c r="N953" s="5">
        <v>46000</v>
      </c>
      <c r="O953" s="5">
        <v>46090</v>
      </c>
      <c r="P953" s="23">
        <f>DATEDIF(N953,O953,"M")</f>
        <v>3</v>
      </c>
      <c r="Q953" s="23" t="s">
        <v>157</v>
      </c>
      <c r="R953" s="23" t="s">
        <v>1390</v>
      </c>
      <c r="S953" s="7">
        <v>92.46</v>
      </c>
      <c r="T953" s="13">
        <v>0.9</v>
      </c>
      <c r="U953" s="6" t="s">
        <v>60</v>
      </c>
      <c r="V953" s="6" t="s">
        <v>135</v>
      </c>
      <c r="W953" s="7">
        <v>83.21</v>
      </c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</row>
    <row r="954" spans="1:55" s="15" customFormat="1" x14ac:dyDescent="0.25">
      <c r="A954" s="6">
        <v>2032570168</v>
      </c>
      <c r="B954" s="6" t="s">
        <v>594</v>
      </c>
      <c r="C954" s="6" t="s">
        <v>595</v>
      </c>
      <c r="D954" s="6" t="str">
        <f>CONCATENATE(C954," ",B954)</f>
        <v>ZACHARY BERARDI</v>
      </c>
      <c r="E954" s="6" t="s">
        <v>170</v>
      </c>
      <c r="F954" s="6" t="s">
        <v>130</v>
      </c>
      <c r="G954" s="6" t="s">
        <v>148</v>
      </c>
      <c r="H954" s="6" t="s">
        <v>148</v>
      </c>
      <c r="I954" s="20">
        <v>371819</v>
      </c>
      <c r="J954" s="6" t="s">
        <v>310</v>
      </c>
      <c r="K954" s="6" t="s">
        <v>311</v>
      </c>
      <c r="L954" s="6" t="str">
        <f>CONCATENATE(K954," ",J954)</f>
        <v>THOMAS PARDUE</v>
      </c>
      <c r="M954" s="6" t="s">
        <v>57</v>
      </c>
      <c r="N954" s="5">
        <v>46001</v>
      </c>
      <c r="O954" s="5">
        <v>46091</v>
      </c>
      <c r="P954" s="23">
        <f>DATEDIF(N954,O954,"M")</f>
        <v>3</v>
      </c>
      <c r="Q954" s="23" t="s">
        <v>157</v>
      </c>
      <c r="R954" s="23" t="s">
        <v>1390</v>
      </c>
      <c r="S954" s="7">
        <v>236.66</v>
      </c>
      <c r="T954" s="13">
        <v>0.28999999999999998</v>
      </c>
      <c r="U954" s="6" t="s">
        <v>60</v>
      </c>
      <c r="V954" s="6" t="s">
        <v>135</v>
      </c>
      <c r="W954" s="7">
        <v>68.63</v>
      </c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</row>
    <row r="955" spans="1:55" s="15" customFormat="1" x14ac:dyDescent="0.25">
      <c r="A955" s="6">
        <v>2032570173</v>
      </c>
      <c r="B955" s="6" t="s">
        <v>594</v>
      </c>
      <c r="C955" s="6" t="s">
        <v>595</v>
      </c>
      <c r="D955" s="6" t="str">
        <f>CONCATENATE(C955," ",B955)</f>
        <v>ZACHARY BERARDI</v>
      </c>
      <c r="E955" s="6" t="s">
        <v>170</v>
      </c>
      <c r="F955" s="6" t="s">
        <v>350</v>
      </c>
      <c r="G955" s="6" t="s">
        <v>574</v>
      </c>
      <c r="H955" s="6" t="s">
        <v>148</v>
      </c>
      <c r="I955" s="20" t="s">
        <v>1383</v>
      </c>
      <c r="J955" s="6" t="s">
        <v>310</v>
      </c>
      <c r="K955" s="6" t="s">
        <v>311</v>
      </c>
      <c r="L955" s="6" t="str">
        <f>CONCATENATE(K955," ",J955)</f>
        <v>THOMAS PARDUE</v>
      </c>
      <c r="M955" s="6" t="s">
        <v>57</v>
      </c>
      <c r="N955" s="5">
        <v>46001</v>
      </c>
      <c r="O955" s="5">
        <v>46091</v>
      </c>
      <c r="P955" s="23">
        <f>DATEDIF(N955,O955,"M")</f>
        <v>3</v>
      </c>
      <c r="Q955" s="23" t="s">
        <v>157</v>
      </c>
      <c r="R955" s="23" t="s">
        <v>1390</v>
      </c>
      <c r="S955" s="7">
        <v>15</v>
      </c>
      <c r="T955" s="13">
        <v>0.28999999999999998</v>
      </c>
      <c r="U955" s="6" t="s">
        <v>60</v>
      </c>
      <c r="V955" s="6" t="s">
        <v>135</v>
      </c>
      <c r="W955" s="7">
        <v>4.3499999999999996</v>
      </c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</row>
    <row r="956" spans="1:55" s="15" customFormat="1" x14ac:dyDescent="0.25">
      <c r="A956" s="6">
        <v>2032570169</v>
      </c>
      <c r="B956" s="6" t="s">
        <v>594</v>
      </c>
      <c r="C956" s="6" t="s">
        <v>595</v>
      </c>
      <c r="D956" s="6" t="str">
        <f>CONCATENATE(C956," ",B956)</f>
        <v>ZACHARY BERARDI</v>
      </c>
      <c r="E956" s="6" t="s">
        <v>170</v>
      </c>
      <c r="F956" s="6" t="s">
        <v>130</v>
      </c>
      <c r="G956" s="6" t="s">
        <v>978</v>
      </c>
      <c r="H956" s="6" t="s">
        <v>148</v>
      </c>
      <c r="I956" s="20">
        <v>371819</v>
      </c>
      <c r="J956" s="6" t="s">
        <v>310</v>
      </c>
      <c r="K956" s="6" t="s">
        <v>311</v>
      </c>
      <c r="L956" s="6" t="str">
        <f>CONCATENATE(K956," ",J956)</f>
        <v>THOMAS PARDUE</v>
      </c>
      <c r="M956" s="6" t="s">
        <v>57</v>
      </c>
      <c r="N956" s="5">
        <v>46001</v>
      </c>
      <c r="O956" s="5">
        <v>46091</v>
      </c>
      <c r="P956" s="23">
        <f>DATEDIF(N956,O956,"M")</f>
        <v>3</v>
      </c>
      <c r="Q956" s="23" t="s">
        <v>157</v>
      </c>
      <c r="R956" s="23" t="s">
        <v>1390</v>
      </c>
      <c r="S956" s="7">
        <v>9.9499999999999993</v>
      </c>
      <c r="T956" s="13">
        <v>0.28999999999999998</v>
      </c>
      <c r="U956" s="6" t="s">
        <v>60</v>
      </c>
      <c r="V956" s="6" t="s">
        <v>135</v>
      </c>
      <c r="W956" s="7">
        <v>2.89</v>
      </c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</row>
    <row r="957" spans="1:55" s="15" customFormat="1" x14ac:dyDescent="0.25">
      <c r="A957" s="6">
        <v>2032570170</v>
      </c>
      <c r="B957" s="6" t="s">
        <v>594</v>
      </c>
      <c r="C957" s="6" t="s">
        <v>595</v>
      </c>
      <c r="D957" s="6" t="str">
        <f>CONCATENATE(C957," ",B957)</f>
        <v>ZACHARY BERARDI</v>
      </c>
      <c r="E957" s="6" t="s">
        <v>170</v>
      </c>
      <c r="F957" s="6" t="s">
        <v>130</v>
      </c>
      <c r="G957" s="6" t="s">
        <v>978</v>
      </c>
      <c r="H957" s="6" t="s">
        <v>148</v>
      </c>
      <c r="I957" s="20">
        <v>371819</v>
      </c>
      <c r="J957" s="6" t="s">
        <v>310</v>
      </c>
      <c r="K957" s="6" t="s">
        <v>311</v>
      </c>
      <c r="L957" s="6" t="str">
        <f>CONCATENATE(K957," ",J957)</f>
        <v>THOMAS PARDUE</v>
      </c>
      <c r="M957" s="6" t="s">
        <v>57</v>
      </c>
      <c r="N957" s="5">
        <v>46001</v>
      </c>
      <c r="O957" s="5">
        <v>46091</v>
      </c>
      <c r="P957" s="23">
        <f>DATEDIF(N957,O957,"M")</f>
        <v>3</v>
      </c>
      <c r="Q957" s="23" t="s">
        <v>157</v>
      </c>
      <c r="R957" s="23" t="s">
        <v>1390</v>
      </c>
      <c r="S957" s="7">
        <v>5</v>
      </c>
      <c r="T957" s="13">
        <v>0.28999999999999998</v>
      </c>
      <c r="U957" s="6" t="s">
        <v>60</v>
      </c>
      <c r="V957" s="6" t="s">
        <v>135</v>
      </c>
      <c r="W957" s="7">
        <v>1.45</v>
      </c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</row>
    <row r="958" spans="1:55" s="15" customFormat="1" x14ac:dyDescent="0.25">
      <c r="A958" s="6">
        <v>2032569048</v>
      </c>
      <c r="B958" s="6" t="s">
        <v>861</v>
      </c>
      <c r="C958" s="6" t="s">
        <v>610</v>
      </c>
      <c r="D958" s="6" t="str">
        <f>CONCATENATE(C958," ",B958)</f>
        <v>BRIDGET GORMAN</v>
      </c>
      <c r="E958" s="6" t="s">
        <v>309</v>
      </c>
      <c r="F958" s="6" t="s">
        <v>383</v>
      </c>
      <c r="G958" s="6" t="s">
        <v>384</v>
      </c>
      <c r="H958" s="6" t="s">
        <v>384</v>
      </c>
      <c r="I958" s="20" t="s">
        <v>1383</v>
      </c>
      <c r="J958" s="6" t="s">
        <v>310</v>
      </c>
      <c r="K958" s="6" t="s">
        <v>311</v>
      </c>
      <c r="L958" s="6" t="str">
        <f>CONCATENATE(K958," ",J958)</f>
        <v>THOMAS PARDUE</v>
      </c>
      <c r="M958" s="6" t="s">
        <v>57</v>
      </c>
      <c r="N958" s="5">
        <v>46004</v>
      </c>
      <c r="O958" s="5">
        <v>46094</v>
      </c>
      <c r="P958" s="23">
        <f>DATEDIF(N958,O958,"M")</f>
        <v>3</v>
      </c>
      <c r="Q958" s="23" t="s">
        <v>157</v>
      </c>
      <c r="R958" s="23" t="s">
        <v>1390</v>
      </c>
      <c r="S958" s="7">
        <v>167.54</v>
      </c>
      <c r="T958" s="13">
        <v>0.7</v>
      </c>
      <c r="U958" s="6" t="s">
        <v>60</v>
      </c>
      <c r="V958" s="6" t="s">
        <v>135</v>
      </c>
      <c r="W958" s="7">
        <v>117.28</v>
      </c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</row>
    <row r="959" spans="1:55" s="15" customFormat="1" x14ac:dyDescent="0.25">
      <c r="A959" s="6">
        <v>2032567799</v>
      </c>
      <c r="B959" s="6" t="s">
        <v>859</v>
      </c>
      <c r="C959" s="6" t="s">
        <v>860</v>
      </c>
      <c r="D959" s="6" t="str">
        <f>CONCATENATE(C959," ",B959)</f>
        <v>DENISE HILTON</v>
      </c>
      <c r="E959" s="6" t="s">
        <v>78</v>
      </c>
      <c r="F959" s="6" t="s">
        <v>383</v>
      </c>
      <c r="G959" s="6" t="s">
        <v>384</v>
      </c>
      <c r="H959" s="6" t="s">
        <v>384</v>
      </c>
      <c r="I959" s="20" t="s">
        <v>1383</v>
      </c>
      <c r="J959" s="6" t="s">
        <v>310</v>
      </c>
      <c r="K959" s="6" t="s">
        <v>311</v>
      </c>
      <c r="L959" s="6" t="str">
        <f>CONCATENATE(K959," ",J959)</f>
        <v>THOMAS PARDUE</v>
      </c>
      <c r="M959" s="6" t="s">
        <v>57</v>
      </c>
      <c r="N959" s="5">
        <v>46000</v>
      </c>
      <c r="O959" s="5">
        <v>46090</v>
      </c>
      <c r="P959" s="23">
        <f>DATEDIF(N959,O959,"M")</f>
        <v>3</v>
      </c>
      <c r="Q959" s="23" t="s">
        <v>157</v>
      </c>
      <c r="R959" s="23" t="s">
        <v>1390</v>
      </c>
      <c r="S959" s="7">
        <v>51.74</v>
      </c>
      <c r="T959" s="13">
        <v>0.7</v>
      </c>
      <c r="U959" s="6" t="s">
        <v>60</v>
      </c>
      <c r="V959" s="6" t="s">
        <v>135</v>
      </c>
      <c r="W959" s="7">
        <v>36.22</v>
      </c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</row>
    <row r="960" spans="1:55" s="15" customFormat="1" x14ac:dyDescent="0.25">
      <c r="A960" s="6">
        <v>2032570171</v>
      </c>
      <c r="B960" s="6" t="s">
        <v>594</v>
      </c>
      <c r="C960" s="6" t="s">
        <v>595</v>
      </c>
      <c r="D960" s="6" t="str">
        <f>CONCATENATE(C960," ",B960)</f>
        <v>ZACHARY BERARDI</v>
      </c>
      <c r="E960" s="6" t="s">
        <v>170</v>
      </c>
      <c r="F960" s="6" t="s">
        <v>383</v>
      </c>
      <c r="G960" s="6" t="s">
        <v>384</v>
      </c>
      <c r="H960" s="6" t="s">
        <v>384</v>
      </c>
      <c r="I960" s="20" t="s">
        <v>1383</v>
      </c>
      <c r="J960" s="6" t="s">
        <v>310</v>
      </c>
      <c r="K960" s="6" t="s">
        <v>311</v>
      </c>
      <c r="L960" s="6" t="str">
        <f>CONCATENATE(K960," ",J960)</f>
        <v>THOMAS PARDUE</v>
      </c>
      <c r="M960" s="6" t="s">
        <v>57</v>
      </c>
      <c r="N960" s="5">
        <v>46001</v>
      </c>
      <c r="O960" s="5">
        <v>46091</v>
      </c>
      <c r="P960" s="23">
        <f>DATEDIF(N960,O960,"M")</f>
        <v>3</v>
      </c>
      <c r="Q960" s="23" t="s">
        <v>157</v>
      </c>
      <c r="R960" s="23" t="s">
        <v>1390</v>
      </c>
      <c r="S960" s="7">
        <v>22.83</v>
      </c>
      <c r="T960" s="13">
        <v>0.7</v>
      </c>
      <c r="U960" s="6" t="s">
        <v>60</v>
      </c>
      <c r="V960" s="6" t="s">
        <v>135</v>
      </c>
      <c r="W960" s="7">
        <v>15.98</v>
      </c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</row>
    <row r="961" spans="1:55" s="15" customFormat="1" x14ac:dyDescent="0.25">
      <c r="A961" s="6">
        <v>2032595415</v>
      </c>
      <c r="B961" s="6" t="s">
        <v>1098</v>
      </c>
      <c r="C961" s="6" t="s">
        <v>164</v>
      </c>
      <c r="D961" s="6" t="str">
        <f>CONCATENATE(C961," ",B961)</f>
        <v>MARCUS CURLEY</v>
      </c>
      <c r="E961" s="6" t="s">
        <v>397</v>
      </c>
      <c r="F961" s="6" t="s">
        <v>363</v>
      </c>
      <c r="G961" s="6" t="s">
        <v>364</v>
      </c>
      <c r="H961" s="6" t="s">
        <v>364</v>
      </c>
      <c r="I961" s="20" t="s">
        <v>1383</v>
      </c>
      <c r="J961" s="6" t="s">
        <v>310</v>
      </c>
      <c r="K961" s="6" t="s">
        <v>311</v>
      </c>
      <c r="L961" s="6" t="str">
        <f>CONCATENATE(K961," ",J961)</f>
        <v>THOMAS PARDUE</v>
      </c>
      <c r="M961" s="6" t="s">
        <v>57</v>
      </c>
      <c r="N961" s="5">
        <v>46001</v>
      </c>
      <c r="O961" s="5">
        <v>46091</v>
      </c>
      <c r="P961" s="23">
        <f>DATEDIF(N961,O961,"M")</f>
        <v>3</v>
      </c>
      <c r="Q961" s="23" t="s">
        <v>157</v>
      </c>
      <c r="R961" s="23" t="s">
        <v>1390</v>
      </c>
      <c r="S961" s="7">
        <v>64.680000000000007</v>
      </c>
      <c r="T961" s="14">
        <v>0.375</v>
      </c>
      <c r="U961" s="6" t="s">
        <v>60</v>
      </c>
      <c r="V961" s="6" t="s">
        <v>135</v>
      </c>
      <c r="W961" s="7">
        <v>24.26</v>
      </c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</row>
    <row r="962" spans="1:55" s="15" customFormat="1" x14ac:dyDescent="0.25">
      <c r="A962" s="6">
        <v>2032567801</v>
      </c>
      <c r="B962" s="6" t="s">
        <v>859</v>
      </c>
      <c r="C962" s="6" t="s">
        <v>860</v>
      </c>
      <c r="D962" s="6" t="str">
        <f>CONCATENATE(C962," ",B962)</f>
        <v>DENISE HILTON</v>
      </c>
      <c r="E962" s="6" t="s">
        <v>78</v>
      </c>
      <c r="F962" s="6" t="s">
        <v>363</v>
      </c>
      <c r="G962" s="6" t="s">
        <v>364</v>
      </c>
      <c r="H962" s="6" t="s">
        <v>364</v>
      </c>
      <c r="I962" s="20" t="s">
        <v>1383</v>
      </c>
      <c r="J962" s="6" t="s">
        <v>310</v>
      </c>
      <c r="K962" s="6" t="s">
        <v>311</v>
      </c>
      <c r="L962" s="6" t="str">
        <f>CONCATENATE(K962," ",J962)</f>
        <v>THOMAS PARDUE</v>
      </c>
      <c r="M962" s="6" t="s">
        <v>57</v>
      </c>
      <c r="N962" s="5">
        <v>46000</v>
      </c>
      <c r="O962" s="5">
        <v>46090</v>
      </c>
      <c r="P962" s="23">
        <f>DATEDIF(N962,O962,"M")</f>
        <v>3</v>
      </c>
      <c r="Q962" s="23" t="s">
        <v>157</v>
      </c>
      <c r="R962" s="23" t="s">
        <v>1390</v>
      </c>
      <c r="S962" s="7">
        <v>37.479999999999997</v>
      </c>
      <c r="T962" s="14">
        <v>0.375</v>
      </c>
      <c r="U962" s="6" t="s">
        <v>60</v>
      </c>
      <c r="V962" s="6" t="s">
        <v>135</v>
      </c>
      <c r="W962" s="7">
        <v>14.06</v>
      </c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</row>
    <row r="963" spans="1:55" s="15" customFormat="1" x14ac:dyDescent="0.25">
      <c r="A963" s="6">
        <v>2032484434</v>
      </c>
      <c r="B963" s="6" t="s">
        <v>376</v>
      </c>
      <c r="C963" s="6" t="s">
        <v>1096</v>
      </c>
      <c r="D963" s="6" t="str">
        <f>CONCATENATE(C963," ",B963)</f>
        <v>BEN LOPEZ</v>
      </c>
      <c r="E963" s="6" t="s">
        <v>397</v>
      </c>
      <c r="F963" s="6" t="s">
        <v>363</v>
      </c>
      <c r="G963" s="6" t="s">
        <v>364</v>
      </c>
      <c r="H963" s="6" t="s">
        <v>364</v>
      </c>
      <c r="I963" s="20" t="s">
        <v>1383</v>
      </c>
      <c r="J963" s="6" t="s">
        <v>310</v>
      </c>
      <c r="K963" s="6" t="s">
        <v>311</v>
      </c>
      <c r="L963" s="6" t="str">
        <f>CONCATENATE(K963," ",J963)</f>
        <v>THOMAS PARDUE</v>
      </c>
      <c r="M963" s="6" t="s">
        <v>57</v>
      </c>
      <c r="N963" s="5">
        <v>46004</v>
      </c>
      <c r="O963" s="5">
        <v>46094</v>
      </c>
      <c r="P963" s="23">
        <f>DATEDIF(N963,O963,"M")</f>
        <v>3</v>
      </c>
      <c r="Q963" s="23" t="s">
        <v>157</v>
      </c>
      <c r="R963" s="23" t="s">
        <v>1390</v>
      </c>
      <c r="S963" s="7">
        <v>32.340000000000003</v>
      </c>
      <c r="T963" s="14">
        <v>0.375</v>
      </c>
      <c r="U963" s="6" t="s">
        <v>60</v>
      </c>
      <c r="V963" s="6" t="s">
        <v>135</v>
      </c>
      <c r="W963" s="7">
        <v>12.13</v>
      </c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</row>
    <row r="964" spans="1:55" s="15" customFormat="1" x14ac:dyDescent="0.25">
      <c r="A964" s="6">
        <v>2032658994</v>
      </c>
      <c r="B964" s="6" t="s">
        <v>868</v>
      </c>
      <c r="C964" s="6" t="s">
        <v>1101</v>
      </c>
      <c r="D964" s="6" t="str">
        <f>CONCATENATE(C964," ",B964)</f>
        <v>ANDRES HERRERA</v>
      </c>
      <c r="E964" s="6" t="s">
        <v>309</v>
      </c>
      <c r="F964" s="6" t="s">
        <v>363</v>
      </c>
      <c r="G964" s="6" t="s">
        <v>364</v>
      </c>
      <c r="H964" s="6" t="s">
        <v>364</v>
      </c>
      <c r="I964" s="20" t="s">
        <v>1383</v>
      </c>
      <c r="J964" s="6" t="s">
        <v>310</v>
      </c>
      <c r="K964" s="6" t="s">
        <v>311</v>
      </c>
      <c r="L964" s="6" t="str">
        <f>CONCATENATE(K964," ",J964)</f>
        <v>THOMAS PARDUE</v>
      </c>
      <c r="M964" s="6" t="s">
        <v>57</v>
      </c>
      <c r="N964" s="5">
        <v>46004</v>
      </c>
      <c r="O964" s="5">
        <v>46094</v>
      </c>
      <c r="P964" s="23">
        <f>DATEDIF(N964,O964,"M")</f>
        <v>3</v>
      </c>
      <c r="Q964" s="23" t="s">
        <v>157</v>
      </c>
      <c r="R964" s="23" t="s">
        <v>1390</v>
      </c>
      <c r="S964" s="7">
        <v>29.5</v>
      </c>
      <c r="T964" s="14">
        <v>0.375</v>
      </c>
      <c r="U964" s="6" t="s">
        <v>60</v>
      </c>
      <c r="V964" s="6" t="s">
        <v>135</v>
      </c>
      <c r="W964" s="7">
        <v>11.06</v>
      </c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</row>
    <row r="965" spans="1:55" s="15" customFormat="1" x14ac:dyDescent="0.25">
      <c r="A965" s="6">
        <v>2032605023</v>
      </c>
      <c r="B965" s="6" t="s">
        <v>1099</v>
      </c>
      <c r="C965" s="6" t="s">
        <v>1100</v>
      </c>
      <c r="D965" s="6" t="str">
        <f>CONCATENATE(C965," ",B965)</f>
        <v>THEODORE STROUP</v>
      </c>
      <c r="E965" s="6" t="s">
        <v>90</v>
      </c>
      <c r="F965" s="6" t="s">
        <v>363</v>
      </c>
      <c r="G965" s="6" t="s">
        <v>364</v>
      </c>
      <c r="H965" s="6" t="s">
        <v>364</v>
      </c>
      <c r="I965" s="20" t="s">
        <v>1383</v>
      </c>
      <c r="J965" s="6" t="s">
        <v>310</v>
      </c>
      <c r="K965" s="6" t="s">
        <v>311</v>
      </c>
      <c r="L965" s="6" t="str">
        <f>CONCATENATE(K965," ",J965)</f>
        <v>THOMAS PARDUE</v>
      </c>
      <c r="M965" s="6" t="s">
        <v>57</v>
      </c>
      <c r="N965" s="5">
        <v>46002</v>
      </c>
      <c r="O965" s="5">
        <v>46092</v>
      </c>
      <c r="P965" s="23">
        <f>DATEDIF(N965,O965,"M")</f>
        <v>3</v>
      </c>
      <c r="Q965" s="23" t="s">
        <v>157</v>
      </c>
      <c r="R965" s="23" t="s">
        <v>1390</v>
      </c>
      <c r="S965" s="7">
        <v>23.39</v>
      </c>
      <c r="T965" s="14">
        <v>0.375</v>
      </c>
      <c r="U965" s="6" t="s">
        <v>60</v>
      </c>
      <c r="V965" s="6" t="s">
        <v>135</v>
      </c>
      <c r="W965" s="7">
        <v>8.77</v>
      </c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</row>
    <row r="966" spans="1:55" s="15" customFormat="1" x14ac:dyDescent="0.25">
      <c r="A966" s="6">
        <v>2032570172</v>
      </c>
      <c r="B966" s="6" t="s">
        <v>594</v>
      </c>
      <c r="C966" s="6" t="s">
        <v>595</v>
      </c>
      <c r="D966" s="6" t="str">
        <f>CONCATENATE(C966," ",B966)</f>
        <v>ZACHARY BERARDI</v>
      </c>
      <c r="E966" s="6" t="s">
        <v>170</v>
      </c>
      <c r="F966" s="6" t="s">
        <v>363</v>
      </c>
      <c r="G966" s="6" t="s">
        <v>364</v>
      </c>
      <c r="H966" s="6" t="s">
        <v>364</v>
      </c>
      <c r="I966" s="20" t="s">
        <v>1383</v>
      </c>
      <c r="J966" s="6" t="s">
        <v>310</v>
      </c>
      <c r="K966" s="6" t="s">
        <v>311</v>
      </c>
      <c r="L966" s="6" t="str">
        <f>CONCATENATE(K966," ",J966)</f>
        <v>THOMAS PARDUE</v>
      </c>
      <c r="M966" s="6" t="s">
        <v>57</v>
      </c>
      <c r="N966" s="5">
        <v>46001</v>
      </c>
      <c r="O966" s="5">
        <v>46091</v>
      </c>
      <c r="P966" s="23">
        <f>DATEDIF(N966,O966,"M")</f>
        <v>3</v>
      </c>
      <c r="Q966" s="23" t="s">
        <v>157</v>
      </c>
      <c r="R966" s="23" t="s">
        <v>1390</v>
      </c>
      <c r="S966" s="7">
        <v>16.39</v>
      </c>
      <c r="T966" s="14">
        <v>0.375</v>
      </c>
      <c r="U966" s="6" t="s">
        <v>60</v>
      </c>
      <c r="V966" s="6" t="s">
        <v>135</v>
      </c>
      <c r="W966" s="7">
        <v>6.15</v>
      </c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</row>
    <row r="967" spans="1:55" s="15" customFormat="1" x14ac:dyDescent="0.25">
      <c r="A967" s="6">
        <v>2032569049</v>
      </c>
      <c r="B967" s="6" t="s">
        <v>861</v>
      </c>
      <c r="C967" s="6" t="s">
        <v>610</v>
      </c>
      <c r="D967" s="6" t="str">
        <f>CONCATENATE(C967," ",B967)</f>
        <v>BRIDGET GORMAN</v>
      </c>
      <c r="E967" s="6" t="s">
        <v>309</v>
      </c>
      <c r="F967" s="6" t="s">
        <v>383</v>
      </c>
      <c r="G967" s="6" t="s">
        <v>385</v>
      </c>
      <c r="H967" s="6" t="s">
        <v>385</v>
      </c>
      <c r="I967" s="20" t="s">
        <v>1383</v>
      </c>
      <c r="J967" s="6" t="s">
        <v>310</v>
      </c>
      <c r="K967" s="6" t="s">
        <v>311</v>
      </c>
      <c r="L967" s="6" t="str">
        <f>CONCATENATE(K967," ",J967)</f>
        <v>THOMAS PARDUE</v>
      </c>
      <c r="M967" s="6" t="s">
        <v>57</v>
      </c>
      <c r="N967" s="5">
        <v>46004</v>
      </c>
      <c r="O967" s="5">
        <v>46094</v>
      </c>
      <c r="P967" s="23">
        <f>DATEDIF(N967,O967,"M")</f>
        <v>3</v>
      </c>
      <c r="Q967" s="23" t="s">
        <v>157</v>
      </c>
      <c r="R967" s="23" t="s">
        <v>1390</v>
      </c>
      <c r="S967" s="7">
        <v>57.35</v>
      </c>
      <c r="T967" s="13">
        <v>0.9</v>
      </c>
      <c r="U967" s="6" t="s">
        <v>60</v>
      </c>
      <c r="V967" s="6" t="s">
        <v>135</v>
      </c>
      <c r="W967" s="7">
        <v>51.62</v>
      </c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</row>
    <row r="968" spans="1:55" s="15" customFormat="1" x14ac:dyDescent="0.25">
      <c r="A968" s="6">
        <v>2032063038</v>
      </c>
      <c r="B968" s="6" t="s">
        <v>798</v>
      </c>
      <c r="C968" s="6" t="s">
        <v>120</v>
      </c>
      <c r="D968" s="6" t="str">
        <f>CONCATENATE(C968," ",B968)</f>
        <v>CHRISTOPHER DIXON</v>
      </c>
      <c r="E968" s="6" t="s">
        <v>309</v>
      </c>
      <c r="F968" s="6" t="s">
        <v>383</v>
      </c>
      <c r="G968" s="6" t="s">
        <v>385</v>
      </c>
      <c r="H968" s="6" t="s">
        <v>385</v>
      </c>
      <c r="I968" s="20" t="s">
        <v>1383</v>
      </c>
      <c r="J968" s="6" t="s">
        <v>310</v>
      </c>
      <c r="K968" s="6" t="s">
        <v>311</v>
      </c>
      <c r="L968" s="6" t="str">
        <f>CONCATENATE(K968," ",J968)</f>
        <v>THOMAS PARDUE</v>
      </c>
      <c r="M968" s="6" t="s">
        <v>57</v>
      </c>
      <c r="N968" s="5">
        <v>45969</v>
      </c>
      <c r="O968" s="5">
        <v>46089</v>
      </c>
      <c r="P968" s="23">
        <f>DATEDIF(N968,O968,"M")</f>
        <v>4</v>
      </c>
      <c r="Q968" s="23" t="s">
        <v>157</v>
      </c>
      <c r="R968" s="23" t="s">
        <v>1390</v>
      </c>
      <c r="S968" s="7">
        <v>98.58</v>
      </c>
      <c r="T968" s="13">
        <v>0.9</v>
      </c>
      <c r="U968" s="6" t="s">
        <v>60</v>
      </c>
      <c r="V968" s="6" t="s">
        <v>135</v>
      </c>
      <c r="W968" s="7">
        <v>88.72</v>
      </c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</row>
    <row r="969" spans="1:55" s="15" customFormat="1" x14ac:dyDescent="0.25">
      <c r="A969" s="6">
        <v>2031813173</v>
      </c>
      <c r="B969" s="6" t="s">
        <v>1298</v>
      </c>
      <c r="C969" s="6" t="s">
        <v>1299</v>
      </c>
      <c r="D969" s="6" t="str">
        <f>CONCATENATE(C969," ",B969)</f>
        <v>JESSIE MCFARLAND</v>
      </c>
      <c r="E969" s="6" t="s">
        <v>309</v>
      </c>
      <c r="F969" s="6" t="s">
        <v>383</v>
      </c>
      <c r="G969" s="6" t="s">
        <v>385</v>
      </c>
      <c r="H969" s="6" t="s">
        <v>385</v>
      </c>
      <c r="I969" s="20" t="s">
        <v>1383</v>
      </c>
      <c r="J969" s="6" t="s">
        <v>310</v>
      </c>
      <c r="K969" s="6" t="s">
        <v>311</v>
      </c>
      <c r="L969" s="6" t="str">
        <f>CONCATENATE(K969," ",J969)</f>
        <v>THOMAS PARDUE</v>
      </c>
      <c r="M969" s="6" t="s">
        <v>57</v>
      </c>
      <c r="N969" s="5">
        <v>45965</v>
      </c>
      <c r="O969" s="5">
        <v>46085</v>
      </c>
      <c r="P969" s="23">
        <f>DATEDIF(N969,O969,"M")</f>
        <v>4</v>
      </c>
      <c r="Q969" s="23" t="s">
        <v>157</v>
      </c>
      <c r="R969" s="23" t="s">
        <v>1390</v>
      </c>
      <c r="S969" s="7">
        <v>23.21</v>
      </c>
      <c r="T969" s="13">
        <v>0.9</v>
      </c>
      <c r="U969" s="6" t="s">
        <v>60</v>
      </c>
      <c r="V969" s="6" t="s">
        <v>135</v>
      </c>
      <c r="W969" s="7">
        <v>20.89</v>
      </c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</row>
    <row r="970" spans="1:55" s="15" customFormat="1" x14ac:dyDescent="0.25">
      <c r="A970" s="6">
        <v>2031534330</v>
      </c>
      <c r="B970" s="6" t="s">
        <v>1289</v>
      </c>
      <c r="C970" s="6" t="s">
        <v>120</v>
      </c>
      <c r="D970" s="6" t="str">
        <f>CONCATENATE(C970," ",B970)</f>
        <v>CHRISTOPHER DOSSETT</v>
      </c>
      <c r="E970" s="6" t="s">
        <v>90</v>
      </c>
      <c r="F970" s="6" t="s">
        <v>383</v>
      </c>
      <c r="G970" s="6" t="s">
        <v>384</v>
      </c>
      <c r="H970" s="6" t="s">
        <v>384</v>
      </c>
      <c r="I970" s="20" t="s">
        <v>1383</v>
      </c>
      <c r="J970" s="6" t="s">
        <v>310</v>
      </c>
      <c r="K970" s="6" t="s">
        <v>311</v>
      </c>
      <c r="L970" s="6" t="str">
        <f>CONCATENATE(K970," ",J970)</f>
        <v>THOMAS PARDUE</v>
      </c>
      <c r="M970" s="6" t="s">
        <v>57</v>
      </c>
      <c r="N970" s="5">
        <v>45940</v>
      </c>
      <c r="O970" s="5">
        <v>46091</v>
      </c>
      <c r="P970" s="23">
        <f>DATEDIF(N970,O970,"M")</f>
        <v>5</v>
      </c>
      <c r="Q970" s="23" t="s">
        <v>157</v>
      </c>
      <c r="R970" s="23" t="s">
        <v>1390</v>
      </c>
      <c r="S970" s="7">
        <v>79.03</v>
      </c>
      <c r="T970" s="13">
        <v>0.7</v>
      </c>
      <c r="U970" s="6" t="s">
        <v>60</v>
      </c>
      <c r="V970" s="6" t="s">
        <v>135</v>
      </c>
      <c r="W970" s="7">
        <v>55.32</v>
      </c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</row>
    <row r="971" spans="1:55" s="15" customFormat="1" x14ac:dyDescent="0.25">
      <c r="A971" s="6">
        <v>2030349979</v>
      </c>
      <c r="B971" s="6" t="s">
        <v>1032</v>
      </c>
      <c r="C971" s="6" t="s">
        <v>1033</v>
      </c>
      <c r="D971" s="6" t="str">
        <f>CONCATENATE(C971," ",B971)</f>
        <v>ENERGY DARIAN</v>
      </c>
      <c r="E971" s="6" t="s">
        <v>84</v>
      </c>
      <c r="F971" s="6" t="s">
        <v>72</v>
      </c>
      <c r="G971" s="6" t="s">
        <v>93</v>
      </c>
      <c r="H971" s="6" t="s">
        <v>1332</v>
      </c>
      <c r="I971" s="20" t="s">
        <v>1383</v>
      </c>
      <c r="J971" s="6" t="s">
        <v>310</v>
      </c>
      <c r="K971" s="6" t="s">
        <v>311</v>
      </c>
      <c r="L971" s="6" t="str">
        <f>CONCATENATE(K971," ",J971)</f>
        <v>THOMAS PARDUE</v>
      </c>
      <c r="M971" s="6" t="s">
        <v>57</v>
      </c>
      <c r="N971" s="5">
        <v>45879</v>
      </c>
      <c r="O971" s="5">
        <v>46091</v>
      </c>
      <c r="P971" s="23">
        <f>DATEDIF(N971,O971,"M")</f>
        <v>7</v>
      </c>
      <c r="Q971" s="23" t="s">
        <v>157</v>
      </c>
      <c r="R971" s="23" t="s">
        <v>1391</v>
      </c>
      <c r="S971" s="7">
        <v>29.01</v>
      </c>
      <c r="T971" s="13">
        <v>0.9</v>
      </c>
      <c r="U971" s="6" t="s">
        <v>60</v>
      </c>
      <c r="V971" s="6" t="s">
        <v>135</v>
      </c>
      <c r="W971" s="7">
        <v>26.11</v>
      </c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</row>
    <row r="972" spans="1:55" s="15" customFormat="1" x14ac:dyDescent="0.25">
      <c r="A972" s="6">
        <v>2030349978</v>
      </c>
      <c r="B972" s="6" t="s">
        <v>1032</v>
      </c>
      <c r="C972" s="6" t="s">
        <v>1033</v>
      </c>
      <c r="D972" s="6" t="str">
        <f>CONCATENATE(C972," ",B972)</f>
        <v>ENERGY DARIAN</v>
      </c>
      <c r="E972" s="6" t="s">
        <v>84</v>
      </c>
      <c r="F972" s="6" t="s">
        <v>383</v>
      </c>
      <c r="G972" s="6" t="s">
        <v>843</v>
      </c>
      <c r="H972" s="6" t="s">
        <v>843</v>
      </c>
      <c r="I972" s="20" t="s">
        <v>1383</v>
      </c>
      <c r="J972" s="6" t="s">
        <v>310</v>
      </c>
      <c r="K972" s="6" t="s">
        <v>311</v>
      </c>
      <c r="L972" s="6" t="str">
        <f>CONCATENATE(K972," ",J972)</f>
        <v>THOMAS PARDUE</v>
      </c>
      <c r="M972" s="6" t="s">
        <v>57</v>
      </c>
      <c r="N972" s="5">
        <v>45879</v>
      </c>
      <c r="O972" s="5">
        <v>46091</v>
      </c>
      <c r="P972" s="23">
        <f>DATEDIF(N972,O972,"M")</f>
        <v>7</v>
      </c>
      <c r="Q972" s="23" t="s">
        <v>157</v>
      </c>
      <c r="R972" s="23" t="s">
        <v>1391</v>
      </c>
      <c r="S972" s="7">
        <v>70.81</v>
      </c>
      <c r="T972" s="13">
        <v>0.42</v>
      </c>
      <c r="U972" s="6" t="s">
        <v>60</v>
      </c>
      <c r="V972" s="6" t="s">
        <v>135</v>
      </c>
      <c r="W972" s="7">
        <v>29.74</v>
      </c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</row>
    <row r="973" spans="1:55" s="15" customFormat="1" x14ac:dyDescent="0.25">
      <c r="A973" s="6">
        <v>2030312965</v>
      </c>
      <c r="B973" s="6" t="s">
        <v>308</v>
      </c>
      <c r="C973" s="6" t="s">
        <v>82</v>
      </c>
      <c r="D973" s="6" t="str">
        <f>CONCATENATE(C973," ",B973)</f>
        <v>DAVIS LOWELL</v>
      </c>
      <c r="E973" s="6" t="s">
        <v>309</v>
      </c>
      <c r="F973" s="6" t="s">
        <v>152</v>
      </c>
      <c r="G973" s="6" t="s">
        <v>153</v>
      </c>
      <c r="H973" s="6" t="s">
        <v>153</v>
      </c>
      <c r="I973" s="20" t="s">
        <v>1383</v>
      </c>
      <c r="J973" s="6" t="s">
        <v>310</v>
      </c>
      <c r="K973" s="6" t="s">
        <v>311</v>
      </c>
      <c r="L973" s="6" t="str">
        <f>CONCATENATE(K973," ",J973)</f>
        <v>THOMAS PARDUE</v>
      </c>
      <c r="M973" s="6" t="s">
        <v>57</v>
      </c>
      <c r="N973" s="5">
        <v>45874</v>
      </c>
      <c r="O973" s="5">
        <v>46086</v>
      </c>
      <c r="P973" s="23">
        <f>DATEDIF(N973,O973,"M")</f>
        <v>7</v>
      </c>
      <c r="Q973" s="23" t="s">
        <v>157</v>
      </c>
      <c r="R973" s="23" t="s">
        <v>1391</v>
      </c>
      <c r="S973" s="7">
        <v>29.97</v>
      </c>
      <c r="T973" s="13">
        <v>0.47</v>
      </c>
      <c r="U973" s="6" t="s">
        <v>60</v>
      </c>
      <c r="V973" s="6" t="s">
        <v>135</v>
      </c>
      <c r="W973" s="7">
        <v>14.09</v>
      </c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</row>
    <row r="974" spans="1:55" s="15" customFormat="1" x14ac:dyDescent="0.25">
      <c r="A974" s="6">
        <v>2029869955</v>
      </c>
      <c r="B974" s="6" t="s">
        <v>748</v>
      </c>
      <c r="C974" s="6" t="s">
        <v>749</v>
      </c>
      <c r="D974" s="6" t="str">
        <f>CONCATENATE(C974," ",B974)</f>
        <v>ROMYN DESARAE</v>
      </c>
      <c r="E974" s="6" t="s">
        <v>750</v>
      </c>
      <c r="F974" s="6" t="s">
        <v>363</v>
      </c>
      <c r="G974" s="6" t="s">
        <v>364</v>
      </c>
      <c r="H974" s="6" t="s">
        <v>364</v>
      </c>
      <c r="I974" s="20" t="s">
        <v>1383</v>
      </c>
      <c r="J974" s="6" t="s">
        <v>310</v>
      </c>
      <c r="K974" s="6" t="s">
        <v>311</v>
      </c>
      <c r="L974" s="6" t="str">
        <f>CONCATENATE(K974," ",J974)</f>
        <v>THOMAS PARDUE</v>
      </c>
      <c r="M974" s="6" t="s">
        <v>57</v>
      </c>
      <c r="N974" s="5">
        <v>45848</v>
      </c>
      <c r="O974" s="5">
        <v>46091</v>
      </c>
      <c r="P974" s="23">
        <f>DATEDIF(N974,O974,"M")</f>
        <v>8</v>
      </c>
      <c r="Q974" s="23" t="s">
        <v>157</v>
      </c>
      <c r="R974" s="23" t="s">
        <v>1391</v>
      </c>
      <c r="S974" s="7">
        <v>28.86</v>
      </c>
      <c r="T974" s="14">
        <v>0.375</v>
      </c>
      <c r="U974" s="6" t="s">
        <v>60</v>
      </c>
      <c r="V974" s="6" t="s">
        <v>135</v>
      </c>
      <c r="W974" s="7">
        <v>10.82</v>
      </c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</row>
    <row r="975" spans="1:55" s="15" customFormat="1" x14ac:dyDescent="0.25">
      <c r="A975" s="6">
        <v>2029026297</v>
      </c>
      <c r="B975" s="6" t="s">
        <v>145</v>
      </c>
      <c r="C975" s="6" t="s">
        <v>732</v>
      </c>
      <c r="D975" s="6" t="str">
        <f>CONCATENATE(C975," ",B975)</f>
        <v>KRISTINA SMITH</v>
      </c>
      <c r="E975" s="6" t="s">
        <v>112</v>
      </c>
      <c r="F975" s="6" t="s">
        <v>363</v>
      </c>
      <c r="G975" s="6" t="s">
        <v>364</v>
      </c>
      <c r="H975" s="6" t="s">
        <v>364</v>
      </c>
      <c r="I975" s="20" t="s">
        <v>1383</v>
      </c>
      <c r="J975" s="6" t="s">
        <v>310</v>
      </c>
      <c r="K975" s="6" t="s">
        <v>311</v>
      </c>
      <c r="L975" s="6" t="str">
        <f>CONCATENATE(K975," ",J975)</f>
        <v>THOMAS PARDUE</v>
      </c>
      <c r="M975" s="6" t="s">
        <v>57</v>
      </c>
      <c r="N975" s="5">
        <v>45798</v>
      </c>
      <c r="O975" s="5">
        <v>46074</v>
      </c>
      <c r="P975" s="23">
        <f>DATEDIF(N975,O975,"M")</f>
        <v>9</v>
      </c>
      <c r="Q975" s="23" t="s">
        <v>157</v>
      </c>
      <c r="R975" s="23" t="s">
        <v>1391</v>
      </c>
      <c r="S975" s="7">
        <v>23.79</v>
      </c>
      <c r="T975" s="14">
        <v>0.375</v>
      </c>
      <c r="U975" s="6" t="s">
        <v>60</v>
      </c>
      <c r="V975" s="6" t="s">
        <v>135</v>
      </c>
      <c r="W975" s="7">
        <v>8.92</v>
      </c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</row>
    <row r="976" spans="1:55" s="15" customFormat="1" x14ac:dyDescent="0.25">
      <c r="A976" s="6">
        <v>2029026298</v>
      </c>
      <c r="B976" s="6" t="s">
        <v>145</v>
      </c>
      <c r="C976" s="6" t="s">
        <v>732</v>
      </c>
      <c r="D976" s="6" t="str">
        <f>CONCATENATE(C976," ",B976)</f>
        <v>KRISTINA SMITH</v>
      </c>
      <c r="E976" s="6" t="s">
        <v>112</v>
      </c>
      <c r="F976" s="6" t="s">
        <v>383</v>
      </c>
      <c r="G976" s="6" t="s">
        <v>385</v>
      </c>
      <c r="H976" s="6" t="s">
        <v>385</v>
      </c>
      <c r="I976" s="20" t="s">
        <v>1383</v>
      </c>
      <c r="J976" s="6" t="s">
        <v>310</v>
      </c>
      <c r="K976" s="6" t="s">
        <v>311</v>
      </c>
      <c r="L976" s="6" t="str">
        <f>CONCATENATE(K976," ",J976)</f>
        <v>THOMAS PARDUE</v>
      </c>
      <c r="M976" s="6" t="s">
        <v>57</v>
      </c>
      <c r="N976" s="5">
        <v>45798</v>
      </c>
      <c r="O976" s="5">
        <v>46074</v>
      </c>
      <c r="P976" s="23">
        <f>DATEDIF(N976,O976,"M")</f>
        <v>9</v>
      </c>
      <c r="Q976" s="23" t="s">
        <v>157</v>
      </c>
      <c r="R976" s="23" t="s">
        <v>1391</v>
      </c>
      <c r="S976" s="7">
        <v>44.13</v>
      </c>
      <c r="T976" s="13">
        <v>0.9</v>
      </c>
      <c r="U976" s="6" t="s">
        <v>60</v>
      </c>
      <c r="V976" s="6" t="s">
        <v>135</v>
      </c>
      <c r="W976" s="7">
        <v>39.72</v>
      </c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</row>
    <row r="977" spans="1:55" s="15" customFormat="1" x14ac:dyDescent="0.25">
      <c r="A977" s="6">
        <v>2028803972</v>
      </c>
      <c r="B977" s="6" t="s">
        <v>737</v>
      </c>
      <c r="C977" s="6" t="s">
        <v>1005</v>
      </c>
      <c r="D977" s="6" t="str">
        <f>CONCATENATE(C977," ",B977)</f>
        <v>LATONYA THOMPSON</v>
      </c>
      <c r="E977" s="6" t="s">
        <v>90</v>
      </c>
      <c r="F977" s="6" t="s">
        <v>72</v>
      </c>
      <c r="G977" s="6" t="s">
        <v>93</v>
      </c>
      <c r="H977" s="6" t="s">
        <v>1332</v>
      </c>
      <c r="I977" s="20" t="s">
        <v>1383</v>
      </c>
      <c r="J977" s="6" t="s">
        <v>310</v>
      </c>
      <c r="K977" s="6" t="s">
        <v>311</v>
      </c>
      <c r="L977" s="6" t="str">
        <f>CONCATENATE(K977," ",J977)</f>
        <v>THOMAS PARDUE</v>
      </c>
      <c r="M977" s="6" t="s">
        <v>57</v>
      </c>
      <c r="N977" s="5">
        <v>45784</v>
      </c>
      <c r="O977" s="5">
        <v>46088</v>
      </c>
      <c r="P977" s="23">
        <f>DATEDIF(N977,O977,"M")</f>
        <v>10</v>
      </c>
      <c r="Q977" s="23" t="s">
        <v>157</v>
      </c>
      <c r="R977" s="23" t="s">
        <v>1391</v>
      </c>
      <c r="S977" s="7">
        <v>205.42</v>
      </c>
      <c r="T977" s="13">
        <v>0.9</v>
      </c>
      <c r="U977" s="6" t="s">
        <v>60</v>
      </c>
      <c r="V977" s="6" t="s">
        <v>135</v>
      </c>
      <c r="W977" s="7">
        <v>184.88</v>
      </c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</row>
    <row r="978" spans="1:55" s="15" customFormat="1" x14ac:dyDescent="0.25">
      <c r="A978" s="6">
        <v>2027738389</v>
      </c>
      <c r="B978" s="6" t="s">
        <v>1239</v>
      </c>
      <c r="C978" s="6" t="s">
        <v>973</v>
      </c>
      <c r="D978" s="6" t="str">
        <f>CONCATENATE(C978," ",B978)</f>
        <v>FERNANDO MARRUFO</v>
      </c>
      <c r="E978" s="6" t="s">
        <v>309</v>
      </c>
      <c r="F978" s="6" t="s">
        <v>383</v>
      </c>
      <c r="G978" s="6" t="s">
        <v>384</v>
      </c>
      <c r="H978" s="6" t="s">
        <v>384</v>
      </c>
      <c r="I978" s="20">
        <v>371819</v>
      </c>
      <c r="J978" s="6" t="s">
        <v>310</v>
      </c>
      <c r="K978" s="6" t="s">
        <v>311</v>
      </c>
      <c r="L978" s="6" t="str">
        <f>CONCATENATE(K978," ",J978)</f>
        <v>THOMAS PARDUE</v>
      </c>
      <c r="M978" s="6" t="s">
        <v>57</v>
      </c>
      <c r="N978" s="5">
        <v>45728</v>
      </c>
      <c r="O978" s="5">
        <v>46093</v>
      </c>
      <c r="P978" s="23">
        <f>DATEDIF(N978,O978,"M")</f>
        <v>12</v>
      </c>
      <c r="Q978" s="23" t="s">
        <v>157</v>
      </c>
      <c r="R978" s="23" t="s">
        <v>1391</v>
      </c>
      <c r="S978" s="7">
        <v>77.48</v>
      </c>
      <c r="T978" s="13">
        <v>0.7</v>
      </c>
      <c r="U978" s="6" t="s">
        <v>60</v>
      </c>
      <c r="V978" s="6" t="s">
        <v>135</v>
      </c>
      <c r="W978" s="7">
        <v>54.24</v>
      </c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</row>
    <row r="979" spans="1:55" s="15" customFormat="1" x14ac:dyDescent="0.25">
      <c r="A979" s="6">
        <v>2027738390</v>
      </c>
      <c r="B979" s="6" t="s">
        <v>1239</v>
      </c>
      <c r="C979" s="6" t="s">
        <v>973</v>
      </c>
      <c r="D979" s="6" t="str">
        <f>CONCATENATE(C979," ",B979)</f>
        <v>FERNANDO MARRUFO</v>
      </c>
      <c r="E979" s="6" t="s">
        <v>309</v>
      </c>
      <c r="F979" s="6" t="s">
        <v>383</v>
      </c>
      <c r="G979" s="6" t="s">
        <v>385</v>
      </c>
      <c r="H979" s="6" t="s">
        <v>385</v>
      </c>
      <c r="I979" s="20">
        <v>371819</v>
      </c>
      <c r="J979" s="6" t="s">
        <v>310</v>
      </c>
      <c r="K979" s="6" t="s">
        <v>311</v>
      </c>
      <c r="L979" s="6" t="str">
        <f>CONCATENATE(K979," ",J979)</f>
        <v>THOMAS PARDUE</v>
      </c>
      <c r="M979" s="6" t="s">
        <v>57</v>
      </c>
      <c r="N979" s="5">
        <v>45728</v>
      </c>
      <c r="O979" s="5">
        <v>46093</v>
      </c>
      <c r="P979" s="23">
        <f>DATEDIF(N979,O979,"M")</f>
        <v>12</v>
      </c>
      <c r="Q979" s="23" t="s">
        <v>157</v>
      </c>
      <c r="R979" s="23" t="s">
        <v>1391</v>
      </c>
      <c r="S979" s="7">
        <v>30.83</v>
      </c>
      <c r="T979" s="13">
        <v>0.9</v>
      </c>
      <c r="U979" s="6" t="s">
        <v>60</v>
      </c>
      <c r="V979" s="6" t="s">
        <v>135</v>
      </c>
      <c r="W979" s="7">
        <v>27.75</v>
      </c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</row>
    <row r="980" spans="1:55" s="15" customFormat="1" x14ac:dyDescent="0.25">
      <c r="A980" s="6">
        <v>2026057641</v>
      </c>
      <c r="B980" s="6" t="s">
        <v>669</v>
      </c>
      <c r="C980" s="6" t="s">
        <v>457</v>
      </c>
      <c r="D980" s="6" t="str">
        <f>CONCATENATE(C980," ",B980)</f>
        <v>MICHELLE ESCALANTE</v>
      </c>
      <c r="E980" s="6" t="s">
        <v>90</v>
      </c>
      <c r="F980" s="6" t="s">
        <v>363</v>
      </c>
      <c r="G980" s="6" t="s">
        <v>364</v>
      </c>
      <c r="H980" s="6" t="s">
        <v>364</v>
      </c>
      <c r="I980" s="20">
        <v>371819</v>
      </c>
      <c r="J980" s="6" t="s">
        <v>310</v>
      </c>
      <c r="K980" s="6" t="s">
        <v>311</v>
      </c>
      <c r="L980" s="6" t="str">
        <f>CONCATENATE(K980," ",J980)</f>
        <v>THOMAS PARDUE</v>
      </c>
      <c r="M980" s="6" t="s">
        <v>57</v>
      </c>
      <c r="N980" s="5">
        <v>45632</v>
      </c>
      <c r="O980" s="5">
        <v>46087</v>
      </c>
      <c r="P980" s="23">
        <f>DATEDIF(N980,O980,"M")</f>
        <v>15</v>
      </c>
      <c r="Q980" s="23" t="s">
        <v>157</v>
      </c>
      <c r="R980" s="23" t="s">
        <v>1391</v>
      </c>
      <c r="S980" s="7">
        <v>32.380000000000003</v>
      </c>
      <c r="T980" s="13">
        <v>0.06</v>
      </c>
      <c r="U980" s="6" t="s">
        <v>157</v>
      </c>
      <c r="V980" s="6" t="s">
        <v>135</v>
      </c>
      <c r="W980" s="7">
        <v>1.94</v>
      </c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</row>
    <row r="981" spans="1:55" s="15" customFormat="1" x14ac:dyDescent="0.25">
      <c r="A981" s="6">
        <v>2025677957</v>
      </c>
      <c r="B981" s="6" t="s">
        <v>655</v>
      </c>
      <c r="C981" s="6" t="s">
        <v>656</v>
      </c>
      <c r="D981" s="6" t="str">
        <f>CONCATENATE(C981," ",B981)</f>
        <v>MARTA ROE</v>
      </c>
      <c r="E981" s="6" t="s">
        <v>309</v>
      </c>
      <c r="F981" s="6" t="s">
        <v>363</v>
      </c>
      <c r="G981" s="6" t="s">
        <v>364</v>
      </c>
      <c r="H981" s="6" t="s">
        <v>364</v>
      </c>
      <c r="I981" s="20">
        <v>371819</v>
      </c>
      <c r="J981" s="6" t="s">
        <v>310</v>
      </c>
      <c r="K981" s="6" t="s">
        <v>311</v>
      </c>
      <c r="L981" s="6" t="str">
        <f>CONCATENATE(K981," ",J981)</f>
        <v>THOMAS PARDUE</v>
      </c>
      <c r="M981" s="6" t="s">
        <v>57</v>
      </c>
      <c r="N981" s="5">
        <v>45604</v>
      </c>
      <c r="O981" s="5">
        <v>46089</v>
      </c>
      <c r="P981" s="23">
        <f>DATEDIF(N981,O981,"M")</f>
        <v>16</v>
      </c>
      <c r="Q981" s="23" t="s">
        <v>157</v>
      </c>
      <c r="R981" s="23" t="s">
        <v>1391</v>
      </c>
      <c r="S981" s="7">
        <v>24.36</v>
      </c>
      <c r="T981" s="13">
        <v>0.06</v>
      </c>
      <c r="U981" s="6" t="s">
        <v>157</v>
      </c>
      <c r="V981" s="6" t="s">
        <v>135</v>
      </c>
      <c r="W981" s="7">
        <v>1.46</v>
      </c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</row>
    <row r="982" spans="1:55" s="15" customFormat="1" x14ac:dyDescent="0.25">
      <c r="A982" s="6">
        <v>2025687269</v>
      </c>
      <c r="B982" s="6" t="s">
        <v>657</v>
      </c>
      <c r="C982" s="6" t="s">
        <v>658</v>
      </c>
      <c r="D982" s="6" t="str">
        <f>CONCATENATE(C982," ",B982)</f>
        <v>JAN BRANDI</v>
      </c>
      <c r="E982" s="6" t="s">
        <v>170</v>
      </c>
      <c r="F982" s="6" t="s">
        <v>363</v>
      </c>
      <c r="G982" s="6" t="s">
        <v>364</v>
      </c>
      <c r="H982" s="6" t="s">
        <v>364</v>
      </c>
      <c r="I982" s="20">
        <v>371819</v>
      </c>
      <c r="J982" s="6" t="s">
        <v>310</v>
      </c>
      <c r="K982" s="6" t="s">
        <v>311</v>
      </c>
      <c r="L982" s="6" t="str">
        <f>CONCATENATE(K982," ",J982)</f>
        <v>THOMAS PARDUE</v>
      </c>
      <c r="M982" s="6" t="s">
        <v>57</v>
      </c>
      <c r="N982" s="5">
        <v>45605</v>
      </c>
      <c r="O982" s="5">
        <v>46090</v>
      </c>
      <c r="P982" s="23">
        <f>DATEDIF(N982,O982,"M")</f>
        <v>16</v>
      </c>
      <c r="Q982" s="23" t="s">
        <v>157</v>
      </c>
      <c r="R982" s="23" t="s">
        <v>1391</v>
      </c>
      <c r="S982" s="7">
        <v>28.87</v>
      </c>
      <c r="T982" s="13">
        <v>0.06</v>
      </c>
      <c r="U982" s="6" t="s">
        <v>157</v>
      </c>
      <c r="V982" s="6" t="s">
        <v>135</v>
      </c>
      <c r="W982" s="7">
        <v>1.73</v>
      </c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</row>
    <row r="983" spans="1:55" s="15" customFormat="1" x14ac:dyDescent="0.25">
      <c r="A983" s="6">
        <v>2025703126</v>
      </c>
      <c r="B983" s="6" t="s">
        <v>659</v>
      </c>
      <c r="C983" s="6" t="s">
        <v>660</v>
      </c>
      <c r="D983" s="6" t="str">
        <f>CONCATENATE(C983," ",B983)</f>
        <v>ANGEL REILLY</v>
      </c>
      <c r="E983" s="6" t="s">
        <v>397</v>
      </c>
      <c r="F983" s="6" t="s">
        <v>363</v>
      </c>
      <c r="G983" s="6" t="s">
        <v>364</v>
      </c>
      <c r="H983" s="6" t="s">
        <v>364</v>
      </c>
      <c r="I983" s="20">
        <v>371819</v>
      </c>
      <c r="J983" s="6" t="s">
        <v>310</v>
      </c>
      <c r="K983" s="6" t="s">
        <v>311</v>
      </c>
      <c r="L983" s="6" t="str">
        <f>CONCATENATE(K983," ",J983)</f>
        <v>THOMAS PARDUE</v>
      </c>
      <c r="M983" s="6" t="s">
        <v>57</v>
      </c>
      <c r="N983" s="5">
        <v>45606</v>
      </c>
      <c r="O983" s="5">
        <v>46091</v>
      </c>
      <c r="P983" s="23">
        <f>DATEDIF(N983,O983,"M")</f>
        <v>16</v>
      </c>
      <c r="Q983" s="23" t="s">
        <v>157</v>
      </c>
      <c r="R983" s="23" t="s">
        <v>1391</v>
      </c>
      <c r="S983" s="7">
        <v>21.47</v>
      </c>
      <c r="T983" s="13">
        <v>0.06</v>
      </c>
      <c r="U983" s="6" t="s">
        <v>157</v>
      </c>
      <c r="V983" s="6" t="s">
        <v>135</v>
      </c>
      <c r="W983" s="7">
        <v>1.29</v>
      </c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</row>
    <row r="984" spans="1:55" s="15" customFormat="1" x14ac:dyDescent="0.25">
      <c r="A984" s="6">
        <v>2025738648</v>
      </c>
      <c r="B984" s="6" t="s">
        <v>664</v>
      </c>
      <c r="C984" s="6" t="s">
        <v>665</v>
      </c>
      <c r="D984" s="6" t="str">
        <f>CONCATENATE(C984," ",B984)</f>
        <v>MASON MOREAU</v>
      </c>
      <c r="E984" s="6" t="s">
        <v>309</v>
      </c>
      <c r="F984" s="6" t="s">
        <v>363</v>
      </c>
      <c r="G984" s="6" t="s">
        <v>364</v>
      </c>
      <c r="H984" s="6" t="s">
        <v>364</v>
      </c>
      <c r="I984" s="20">
        <v>371819</v>
      </c>
      <c r="J984" s="6" t="s">
        <v>310</v>
      </c>
      <c r="K984" s="6" t="s">
        <v>311</v>
      </c>
      <c r="L984" s="6" t="str">
        <f>CONCATENATE(K984," ",J984)</f>
        <v>THOMAS PARDUE</v>
      </c>
      <c r="M984" s="6" t="s">
        <v>57</v>
      </c>
      <c r="N984" s="5">
        <v>45609</v>
      </c>
      <c r="O984" s="5">
        <v>46094</v>
      </c>
      <c r="P984" s="23">
        <f>DATEDIF(N984,O984,"M")</f>
        <v>16</v>
      </c>
      <c r="Q984" s="23" t="s">
        <v>157</v>
      </c>
      <c r="R984" s="23" t="s">
        <v>1391</v>
      </c>
      <c r="S984" s="7">
        <v>18.66</v>
      </c>
      <c r="T984" s="13">
        <v>0.06</v>
      </c>
      <c r="U984" s="6" t="s">
        <v>157</v>
      </c>
      <c r="V984" s="6" t="s">
        <v>135</v>
      </c>
      <c r="W984" s="7">
        <v>1.1200000000000001</v>
      </c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</row>
    <row r="985" spans="1:55" s="15" customFormat="1" x14ac:dyDescent="0.25">
      <c r="A985" s="6">
        <v>2025677958</v>
      </c>
      <c r="B985" s="6" t="s">
        <v>655</v>
      </c>
      <c r="C985" s="6" t="s">
        <v>656</v>
      </c>
      <c r="D985" s="6" t="str">
        <f>CONCATENATE(C985," ",B985)</f>
        <v>MARTA ROE</v>
      </c>
      <c r="E985" s="6" t="s">
        <v>309</v>
      </c>
      <c r="F985" s="6" t="s">
        <v>383</v>
      </c>
      <c r="G985" s="6" t="s">
        <v>385</v>
      </c>
      <c r="H985" s="6" t="s">
        <v>385</v>
      </c>
      <c r="I985" s="20">
        <v>371819</v>
      </c>
      <c r="J985" s="6" t="s">
        <v>310</v>
      </c>
      <c r="K985" s="6" t="s">
        <v>311</v>
      </c>
      <c r="L985" s="6" t="str">
        <f>CONCATENATE(K985," ",J985)</f>
        <v>THOMAS PARDUE</v>
      </c>
      <c r="M985" s="6" t="s">
        <v>57</v>
      </c>
      <c r="N985" s="5">
        <v>45604</v>
      </c>
      <c r="O985" s="5">
        <v>46089</v>
      </c>
      <c r="P985" s="23">
        <f>DATEDIF(N985,O985,"M")</f>
        <v>16</v>
      </c>
      <c r="Q985" s="23" t="s">
        <v>157</v>
      </c>
      <c r="R985" s="23" t="s">
        <v>1391</v>
      </c>
      <c r="S985" s="7">
        <v>31.08</v>
      </c>
      <c r="T985" s="13">
        <v>0.1</v>
      </c>
      <c r="U985" s="6" t="s">
        <v>157</v>
      </c>
      <c r="V985" s="6" t="s">
        <v>135</v>
      </c>
      <c r="W985" s="7">
        <v>3.11</v>
      </c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</row>
    <row r="986" spans="1:55" s="15" customFormat="1" x14ac:dyDescent="0.25">
      <c r="A986" s="6">
        <v>2025254892</v>
      </c>
      <c r="B986" s="6" t="s">
        <v>487</v>
      </c>
      <c r="C986" s="6" t="s">
        <v>488</v>
      </c>
      <c r="D986" s="6" t="str">
        <f>CONCATENATE(C986," ",B986)</f>
        <v>KRISTIN DICKINSON</v>
      </c>
      <c r="E986" s="6" t="s">
        <v>96</v>
      </c>
      <c r="F986" s="6" t="s">
        <v>72</v>
      </c>
      <c r="G986" s="6" t="s">
        <v>79</v>
      </c>
      <c r="H986" s="6" t="s">
        <v>1329</v>
      </c>
      <c r="I986" s="20">
        <v>371819</v>
      </c>
      <c r="J986" s="6" t="s">
        <v>310</v>
      </c>
      <c r="K986" s="6" t="s">
        <v>311</v>
      </c>
      <c r="L986" s="6" t="str">
        <f>CONCATENATE(K986," ",J986)</f>
        <v>THOMAS PARDUE</v>
      </c>
      <c r="M986" s="6" t="s">
        <v>57</v>
      </c>
      <c r="N986" s="5">
        <v>45576</v>
      </c>
      <c r="O986" s="5">
        <v>46092</v>
      </c>
      <c r="P986" s="23">
        <f>DATEDIF(N986,O986,"M")</f>
        <v>17</v>
      </c>
      <c r="Q986" s="23" t="s">
        <v>157</v>
      </c>
      <c r="R986" s="23" t="s">
        <v>1391</v>
      </c>
      <c r="S986" s="7">
        <v>48.79</v>
      </c>
      <c r="T986" s="13">
        <v>0.1</v>
      </c>
      <c r="U986" s="6" t="s">
        <v>157</v>
      </c>
      <c r="V986" s="6" t="s">
        <v>135</v>
      </c>
      <c r="W986" s="7">
        <v>4.88</v>
      </c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</row>
    <row r="987" spans="1:55" s="15" customFormat="1" x14ac:dyDescent="0.25">
      <c r="A987" s="6">
        <v>2025287065</v>
      </c>
      <c r="B987" s="6" t="s">
        <v>493</v>
      </c>
      <c r="C987" s="6" t="s">
        <v>494</v>
      </c>
      <c r="D987" s="6" t="str">
        <f>CONCATENATE(C987," ",B987)</f>
        <v>ZARIYAH JEFFRIES</v>
      </c>
      <c r="E987" s="6" t="s">
        <v>397</v>
      </c>
      <c r="F987" s="6" t="s">
        <v>72</v>
      </c>
      <c r="G987" s="6" t="s">
        <v>93</v>
      </c>
      <c r="H987" s="6" t="s">
        <v>1332</v>
      </c>
      <c r="I987" s="20">
        <v>371819</v>
      </c>
      <c r="J987" s="6" t="s">
        <v>310</v>
      </c>
      <c r="K987" s="6" t="s">
        <v>311</v>
      </c>
      <c r="L987" s="6" t="str">
        <f>CONCATENATE(K987," ",J987)</f>
        <v>THOMAS PARDUE</v>
      </c>
      <c r="M987" s="6" t="s">
        <v>57</v>
      </c>
      <c r="N987" s="5">
        <v>45577</v>
      </c>
      <c r="O987" s="5">
        <v>46093</v>
      </c>
      <c r="P987" s="23">
        <f>DATEDIF(N987,O987,"M")</f>
        <v>17</v>
      </c>
      <c r="Q987" s="23" t="s">
        <v>157</v>
      </c>
      <c r="R987" s="23" t="s">
        <v>1391</v>
      </c>
      <c r="S987" s="7">
        <v>13.92</v>
      </c>
      <c r="T987" s="13">
        <v>0.1</v>
      </c>
      <c r="U987" s="6" t="s">
        <v>157</v>
      </c>
      <c r="V987" s="6" t="s">
        <v>135</v>
      </c>
      <c r="W987" s="7">
        <v>1.39</v>
      </c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</row>
    <row r="988" spans="1:55" s="15" customFormat="1" x14ac:dyDescent="0.25">
      <c r="A988" s="6">
        <v>2025254890</v>
      </c>
      <c r="B988" s="6" t="s">
        <v>487</v>
      </c>
      <c r="C988" s="6" t="s">
        <v>488</v>
      </c>
      <c r="D988" s="6" t="str">
        <f>CONCATENATE(C988," ",B988)</f>
        <v>KRISTIN DICKINSON</v>
      </c>
      <c r="E988" s="6" t="s">
        <v>96</v>
      </c>
      <c r="F988" s="6" t="s">
        <v>383</v>
      </c>
      <c r="G988" s="6" t="s">
        <v>384</v>
      </c>
      <c r="H988" s="6" t="s">
        <v>384</v>
      </c>
      <c r="I988" s="20">
        <v>371819</v>
      </c>
      <c r="J988" s="6" t="s">
        <v>310</v>
      </c>
      <c r="K988" s="6" t="s">
        <v>311</v>
      </c>
      <c r="L988" s="6" t="str">
        <f>CONCATENATE(K988," ",J988)</f>
        <v>THOMAS PARDUE</v>
      </c>
      <c r="M988" s="6" t="s">
        <v>57</v>
      </c>
      <c r="N988" s="5">
        <v>45576</v>
      </c>
      <c r="O988" s="5">
        <v>46092</v>
      </c>
      <c r="P988" s="23">
        <f>DATEDIF(N988,O988,"M")</f>
        <v>17</v>
      </c>
      <c r="Q988" s="23" t="s">
        <v>157</v>
      </c>
      <c r="R988" s="23" t="s">
        <v>1391</v>
      </c>
      <c r="S988" s="7">
        <v>35.04</v>
      </c>
      <c r="T988" s="13">
        <v>0.15</v>
      </c>
      <c r="U988" s="6" t="s">
        <v>157</v>
      </c>
      <c r="V988" s="6" t="s">
        <v>135</v>
      </c>
      <c r="W988" s="7">
        <v>5.26</v>
      </c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</row>
    <row r="989" spans="1:55" s="15" customFormat="1" x14ac:dyDescent="0.25">
      <c r="A989" s="6">
        <v>2025287066</v>
      </c>
      <c r="B989" s="6" t="s">
        <v>493</v>
      </c>
      <c r="C989" s="6" t="s">
        <v>494</v>
      </c>
      <c r="D989" s="6" t="str">
        <f>CONCATENATE(C989," ",B989)</f>
        <v>ZARIYAH JEFFRIES</v>
      </c>
      <c r="E989" s="6" t="s">
        <v>397</v>
      </c>
      <c r="F989" s="6" t="s">
        <v>383</v>
      </c>
      <c r="G989" s="6" t="s">
        <v>384</v>
      </c>
      <c r="H989" s="6" t="s">
        <v>384</v>
      </c>
      <c r="I989" s="20">
        <v>371819</v>
      </c>
      <c r="J989" s="6" t="s">
        <v>310</v>
      </c>
      <c r="K989" s="6" t="s">
        <v>311</v>
      </c>
      <c r="L989" s="6" t="str">
        <f>CONCATENATE(K989," ",J989)</f>
        <v>THOMAS PARDUE</v>
      </c>
      <c r="M989" s="6" t="s">
        <v>57</v>
      </c>
      <c r="N989" s="5">
        <v>45577</v>
      </c>
      <c r="O989" s="5">
        <v>46093</v>
      </c>
      <c r="P989" s="23">
        <f>DATEDIF(N989,O989,"M")</f>
        <v>17</v>
      </c>
      <c r="Q989" s="23" t="s">
        <v>157</v>
      </c>
      <c r="R989" s="23" t="s">
        <v>1391</v>
      </c>
      <c r="S989" s="7">
        <v>26.73</v>
      </c>
      <c r="T989" s="13">
        <v>0.15</v>
      </c>
      <c r="U989" s="6" t="s">
        <v>157</v>
      </c>
      <c r="V989" s="6" t="s">
        <v>135</v>
      </c>
      <c r="W989" s="7">
        <v>4.01</v>
      </c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</row>
    <row r="990" spans="1:55" s="15" customFormat="1" x14ac:dyDescent="0.25">
      <c r="A990" s="6">
        <v>2025287064</v>
      </c>
      <c r="B990" s="6" t="s">
        <v>493</v>
      </c>
      <c r="C990" s="6" t="s">
        <v>494</v>
      </c>
      <c r="D990" s="6" t="str">
        <f>CONCATENATE(C990," ",B990)</f>
        <v>ZARIYAH JEFFRIES</v>
      </c>
      <c r="E990" s="6" t="s">
        <v>397</v>
      </c>
      <c r="F990" s="6" t="s">
        <v>363</v>
      </c>
      <c r="G990" s="6" t="s">
        <v>364</v>
      </c>
      <c r="H990" s="6" t="s">
        <v>364</v>
      </c>
      <c r="I990" s="20">
        <v>371819</v>
      </c>
      <c r="J990" s="6" t="s">
        <v>310</v>
      </c>
      <c r="K990" s="6" t="s">
        <v>311</v>
      </c>
      <c r="L990" s="6" t="str">
        <f>CONCATENATE(K990," ",J990)</f>
        <v>THOMAS PARDUE</v>
      </c>
      <c r="M990" s="6" t="s">
        <v>57</v>
      </c>
      <c r="N990" s="5">
        <v>45577</v>
      </c>
      <c r="O990" s="5">
        <v>46093</v>
      </c>
      <c r="P990" s="23">
        <f>DATEDIF(N990,O990,"M")</f>
        <v>17</v>
      </c>
      <c r="Q990" s="23" t="s">
        <v>157</v>
      </c>
      <c r="R990" s="23" t="s">
        <v>1391</v>
      </c>
      <c r="S990" s="7">
        <v>18.25</v>
      </c>
      <c r="T990" s="13">
        <v>0.06</v>
      </c>
      <c r="U990" s="6" t="s">
        <v>157</v>
      </c>
      <c r="V990" s="6" t="s">
        <v>135</v>
      </c>
      <c r="W990" s="7">
        <v>1.1000000000000001</v>
      </c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</row>
    <row r="991" spans="1:55" s="15" customFormat="1" x14ac:dyDescent="0.25">
      <c r="A991" s="6">
        <v>2025254891</v>
      </c>
      <c r="B991" s="6" t="s">
        <v>487</v>
      </c>
      <c r="C991" s="6" t="s">
        <v>488</v>
      </c>
      <c r="D991" s="6" t="str">
        <f>CONCATENATE(C991," ",B991)</f>
        <v>KRISTIN DICKINSON</v>
      </c>
      <c r="E991" s="6" t="s">
        <v>96</v>
      </c>
      <c r="F991" s="6" t="s">
        <v>383</v>
      </c>
      <c r="G991" s="6" t="s">
        <v>385</v>
      </c>
      <c r="H991" s="6" t="s">
        <v>385</v>
      </c>
      <c r="I991" s="20">
        <v>371819</v>
      </c>
      <c r="J991" s="6" t="s">
        <v>310</v>
      </c>
      <c r="K991" s="6" t="s">
        <v>311</v>
      </c>
      <c r="L991" s="6" t="str">
        <f>CONCATENATE(K991," ",J991)</f>
        <v>THOMAS PARDUE</v>
      </c>
      <c r="M991" s="6" t="s">
        <v>57</v>
      </c>
      <c r="N991" s="5">
        <v>45576</v>
      </c>
      <c r="O991" s="5">
        <v>46092</v>
      </c>
      <c r="P991" s="23">
        <f>DATEDIF(N991,O991,"M")</f>
        <v>17</v>
      </c>
      <c r="Q991" s="23" t="s">
        <v>157</v>
      </c>
      <c r="R991" s="23" t="s">
        <v>1391</v>
      </c>
      <c r="S991" s="7">
        <v>19.28</v>
      </c>
      <c r="T991" s="13">
        <v>0.1</v>
      </c>
      <c r="U991" s="6" t="s">
        <v>157</v>
      </c>
      <c r="V991" s="6" t="s">
        <v>135</v>
      </c>
      <c r="W991" s="7">
        <v>1.93</v>
      </c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</row>
    <row r="992" spans="1:55" s="15" customFormat="1" x14ac:dyDescent="0.25">
      <c r="A992" s="6">
        <v>2025265220</v>
      </c>
      <c r="B992" s="6" t="s">
        <v>547</v>
      </c>
      <c r="C992" s="6" t="s">
        <v>1196</v>
      </c>
      <c r="D992" s="6" t="str">
        <f>CONCATENATE(C992," ",B992)</f>
        <v>LYNNA JOHNSON</v>
      </c>
      <c r="E992" s="6" t="s">
        <v>90</v>
      </c>
      <c r="F992" s="6" t="s">
        <v>383</v>
      </c>
      <c r="G992" s="6" t="s">
        <v>385</v>
      </c>
      <c r="H992" s="6" t="s">
        <v>385</v>
      </c>
      <c r="I992" s="20">
        <v>371819</v>
      </c>
      <c r="J992" s="6" t="s">
        <v>310</v>
      </c>
      <c r="K992" s="6" t="s">
        <v>311</v>
      </c>
      <c r="L992" s="6" t="str">
        <f>CONCATENATE(K992," ",J992)</f>
        <v>THOMAS PARDUE</v>
      </c>
      <c r="M992" s="6" t="s">
        <v>57</v>
      </c>
      <c r="N992" s="5">
        <v>45576</v>
      </c>
      <c r="O992" s="5">
        <v>46092</v>
      </c>
      <c r="P992" s="23">
        <f>DATEDIF(N992,O992,"M")</f>
        <v>17</v>
      </c>
      <c r="Q992" s="23" t="s">
        <v>157</v>
      </c>
      <c r="R992" s="23" t="s">
        <v>1391</v>
      </c>
      <c r="S992" s="7">
        <v>27.81</v>
      </c>
      <c r="T992" s="13">
        <v>0.1</v>
      </c>
      <c r="U992" s="6" t="s">
        <v>157</v>
      </c>
      <c r="V992" s="6" t="s">
        <v>135</v>
      </c>
      <c r="W992" s="7">
        <v>2.78</v>
      </c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</row>
    <row r="993" spans="1:55" s="15" customFormat="1" x14ac:dyDescent="0.25">
      <c r="A993" s="6">
        <v>2025265267</v>
      </c>
      <c r="B993" s="6" t="s">
        <v>1197</v>
      </c>
      <c r="C993" s="6" t="s">
        <v>687</v>
      </c>
      <c r="D993" s="6" t="str">
        <f>CONCATENATE(C993," ",B993)</f>
        <v>AUSTIN BAKER</v>
      </c>
      <c r="E993" s="6" t="s">
        <v>90</v>
      </c>
      <c r="F993" s="6" t="s">
        <v>383</v>
      </c>
      <c r="G993" s="6" t="s">
        <v>385</v>
      </c>
      <c r="H993" s="6" t="s">
        <v>385</v>
      </c>
      <c r="I993" s="20">
        <v>371819</v>
      </c>
      <c r="J993" s="6" t="s">
        <v>310</v>
      </c>
      <c r="K993" s="6" t="s">
        <v>311</v>
      </c>
      <c r="L993" s="6" t="str">
        <f>CONCATENATE(K993," ",J993)</f>
        <v>THOMAS PARDUE</v>
      </c>
      <c r="M993" s="6" t="s">
        <v>57</v>
      </c>
      <c r="N993" s="5">
        <v>45576</v>
      </c>
      <c r="O993" s="5">
        <v>46092</v>
      </c>
      <c r="P993" s="23">
        <f>DATEDIF(N993,O993,"M")</f>
        <v>17</v>
      </c>
      <c r="Q993" s="23" t="s">
        <v>157</v>
      </c>
      <c r="R993" s="23" t="s">
        <v>1391</v>
      </c>
      <c r="S993" s="7">
        <v>10.31</v>
      </c>
      <c r="T993" s="13">
        <v>0.1</v>
      </c>
      <c r="U993" s="6" t="s">
        <v>157</v>
      </c>
      <c r="V993" s="6" t="s">
        <v>135</v>
      </c>
      <c r="W993" s="7">
        <v>1.03</v>
      </c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</row>
    <row r="994" spans="1:55" s="15" customFormat="1" x14ac:dyDescent="0.25">
      <c r="A994" s="6">
        <v>2024789928</v>
      </c>
      <c r="B994" s="6" t="s">
        <v>485</v>
      </c>
      <c r="C994" s="6" t="s">
        <v>486</v>
      </c>
      <c r="D994" s="6" t="str">
        <f>CONCATENATE(C994," ",B994)</f>
        <v>ASHLEY TOKAS</v>
      </c>
      <c r="E994" s="6" t="s">
        <v>170</v>
      </c>
      <c r="F994" s="6" t="s">
        <v>72</v>
      </c>
      <c r="G994" s="6" t="s">
        <v>455</v>
      </c>
      <c r="H994" s="6" t="s">
        <v>1330</v>
      </c>
      <c r="I994" s="20">
        <v>371819</v>
      </c>
      <c r="J994" s="6" t="s">
        <v>310</v>
      </c>
      <c r="K994" s="6" t="s">
        <v>311</v>
      </c>
      <c r="L994" s="6" t="str">
        <f>CONCATENATE(K994," ",J994)</f>
        <v>THOMAS PARDUE</v>
      </c>
      <c r="M994" s="6" t="s">
        <v>57</v>
      </c>
      <c r="N994" s="5">
        <v>45545</v>
      </c>
      <c r="O994" s="5">
        <v>46091</v>
      </c>
      <c r="P994" s="23">
        <f>DATEDIF(N994,O994,"M")</f>
        <v>18</v>
      </c>
      <c r="Q994" s="23" t="s">
        <v>157</v>
      </c>
      <c r="R994" s="23" t="s">
        <v>1391</v>
      </c>
      <c r="S994" s="7">
        <v>27.12</v>
      </c>
      <c r="T994" s="13">
        <v>0.1</v>
      </c>
      <c r="U994" s="6" t="s">
        <v>157</v>
      </c>
      <c r="V994" s="6" t="s">
        <v>135</v>
      </c>
      <c r="W994" s="7">
        <v>2.71</v>
      </c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</row>
    <row r="995" spans="1:55" s="15" customFormat="1" x14ac:dyDescent="0.25">
      <c r="A995" s="6">
        <v>2024789926</v>
      </c>
      <c r="B995" s="6" t="s">
        <v>485</v>
      </c>
      <c r="C995" s="6" t="s">
        <v>486</v>
      </c>
      <c r="D995" s="6" t="str">
        <f>CONCATENATE(C995," ",B995)</f>
        <v>ASHLEY TOKAS</v>
      </c>
      <c r="E995" s="6" t="s">
        <v>170</v>
      </c>
      <c r="F995" s="6" t="s">
        <v>383</v>
      </c>
      <c r="G995" s="6" t="s">
        <v>384</v>
      </c>
      <c r="H995" s="6" t="s">
        <v>384</v>
      </c>
      <c r="I995" s="20">
        <v>371819</v>
      </c>
      <c r="J995" s="6" t="s">
        <v>310</v>
      </c>
      <c r="K995" s="6" t="s">
        <v>311</v>
      </c>
      <c r="L995" s="6" t="str">
        <f>CONCATENATE(K995," ",J995)</f>
        <v>THOMAS PARDUE</v>
      </c>
      <c r="M995" s="6" t="s">
        <v>57</v>
      </c>
      <c r="N995" s="5">
        <v>45545</v>
      </c>
      <c r="O995" s="5">
        <v>46091</v>
      </c>
      <c r="P995" s="23">
        <f>DATEDIF(N995,O995,"M")</f>
        <v>18</v>
      </c>
      <c r="Q995" s="23" t="s">
        <v>157</v>
      </c>
      <c r="R995" s="23" t="s">
        <v>1391</v>
      </c>
      <c r="S995" s="7">
        <v>18.920000000000002</v>
      </c>
      <c r="T995" s="13">
        <v>0.15</v>
      </c>
      <c r="U995" s="6" t="s">
        <v>157</v>
      </c>
      <c r="V995" s="6" t="s">
        <v>135</v>
      </c>
      <c r="W995" s="7">
        <v>2.84</v>
      </c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</row>
    <row r="996" spans="1:55" s="15" customFormat="1" x14ac:dyDescent="0.25">
      <c r="A996" s="6">
        <v>2024754200</v>
      </c>
      <c r="B996" s="6" t="s">
        <v>718</v>
      </c>
      <c r="C996" s="6" t="s">
        <v>1191</v>
      </c>
      <c r="D996" s="6" t="str">
        <f>CONCATENATE(C996," ",B996)</f>
        <v>DEREK JONES</v>
      </c>
      <c r="E996" s="6" t="s">
        <v>90</v>
      </c>
      <c r="F996" s="6" t="s">
        <v>383</v>
      </c>
      <c r="G996" s="6" t="s">
        <v>385</v>
      </c>
      <c r="H996" s="6" t="s">
        <v>385</v>
      </c>
      <c r="I996" s="20">
        <v>371819</v>
      </c>
      <c r="J996" s="6" t="s">
        <v>310</v>
      </c>
      <c r="K996" s="6" t="s">
        <v>311</v>
      </c>
      <c r="L996" s="6" t="str">
        <f>CONCATENATE(K996," ",J996)</f>
        <v>THOMAS PARDUE</v>
      </c>
      <c r="M996" s="6" t="s">
        <v>57</v>
      </c>
      <c r="N996" s="5">
        <v>45542</v>
      </c>
      <c r="O996" s="5">
        <v>46088</v>
      </c>
      <c r="P996" s="23">
        <f>DATEDIF(N996,O996,"M")</f>
        <v>18</v>
      </c>
      <c r="Q996" s="23" t="s">
        <v>157</v>
      </c>
      <c r="R996" s="23" t="s">
        <v>1391</v>
      </c>
      <c r="S996" s="7">
        <v>29.25</v>
      </c>
      <c r="T996" s="13">
        <v>0.1</v>
      </c>
      <c r="U996" s="6" t="s">
        <v>157</v>
      </c>
      <c r="V996" s="6" t="s">
        <v>135</v>
      </c>
      <c r="W996" s="7">
        <v>2.92</v>
      </c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</row>
    <row r="997" spans="1:55" s="15" customFormat="1" x14ac:dyDescent="0.25">
      <c r="A997" s="6">
        <v>2024789927</v>
      </c>
      <c r="B997" s="6" t="s">
        <v>485</v>
      </c>
      <c r="C997" s="6" t="s">
        <v>486</v>
      </c>
      <c r="D997" s="6" t="str">
        <f>CONCATENATE(C997," ",B997)</f>
        <v>ASHLEY TOKAS</v>
      </c>
      <c r="E997" s="6" t="s">
        <v>170</v>
      </c>
      <c r="F997" s="6" t="s">
        <v>383</v>
      </c>
      <c r="G997" s="6" t="s">
        <v>385</v>
      </c>
      <c r="H997" s="6" t="s">
        <v>385</v>
      </c>
      <c r="I997" s="20">
        <v>371819</v>
      </c>
      <c r="J997" s="6" t="s">
        <v>310</v>
      </c>
      <c r="K997" s="6" t="s">
        <v>311</v>
      </c>
      <c r="L997" s="6" t="str">
        <f>CONCATENATE(K997," ",J997)</f>
        <v>THOMAS PARDUE</v>
      </c>
      <c r="M997" s="6" t="s">
        <v>57</v>
      </c>
      <c r="N997" s="5">
        <v>45545</v>
      </c>
      <c r="O997" s="5">
        <v>46091</v>
      </c>
      <c r="P997" s="23">
        <f>DATEDIF(N997,O997,"M")</f>
        <v>18</v>
      </c>
      <c r="Q997" s="23" t="s">
        <v>157</v>
      </c>
      <c r="R997" s="23" t="s">
        <v>1391</v>
      </c>
      <c r="S997" s="7">
        <v>18.23</v>
      </c>
      <c r="T997" s="13">
        <v>0.1</v>
      </c>
      <c r="U997" s="6" t="s">
        <v>157</v>
      </c>
      <c r="V997" s="6" t="s">
        <v>135</v>
      </c>
      <c r="W997" s="7">
        <v>1.82</v>
      </c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</row>
    <row r="998" spans="1:55" s="15" customFormat="1" x14ac:dyDescent="0.25">
      <c r="A998" s="6">
        <v>2024356429</v>
      </c>
      <c r="B998" s="6" t="s">
        <v>646</v>
      </c>
      <c r="C998" s="6" t="s">
        <v>647</v>
      </c>
      <c r="D998" s="6" t="str">
        <f>CONCATENATE(C998," ",B998)</f>
        <v>SEAN KAPANGA</v>
      </c>
      <c r="E998" s="6" t="s">
        <v>66</v>
      </c>
      <c r="F998" s="6" t="s">
        <v>383</v>
      </c>
      <c r="G998" s="6" t="s">
        <v>384</v>
      </c>
      <c r="H998" s="6" t="s">
        <v>384</v>
      </c>
      <c r="I998" s="20">
        <v>371819</v>
      </c>
      <c r="J998" s="6" t="s">
        <v>310</v>
      </c>
      <c r="K998" s="6" t="s">
        <v>311</v>
      </c>
      <c r="L998" s="6" t="str">
        <f>CONCATENATE(K998," ",J998)</f>
        <v>THOMAS PARDUE</v>
      </c>
      <c r="M998" s="6" t="s">
        <v>57</v>
      </c>
      <c r="N998" s="5">
        <v>45517</v>
      </c>
      <c r="O998" s="5">
        <v>46094</v>
      </c>
      <c r="P998" s="23">
        <f>DATEDIF(N998,O998,"M")</f>
        <v>19</v>
      </c>
      <c r="Q998" s="23" t="s">
        <v>157</v>
      </c>
      <c r="R998" s="23" t="s">
        <v>1391</v>
      </c>
      <c r="S998" s="7">
        <v>28.9</v>
      </c>
      <c r="T998" s="13">
        <v>0.15</v>
      </c>
      <c r="U998" s="6" t="s">
        <v>157</v>
      </c>
      <c r="V998" s="6" t="s">
        <v>135</v>
      </c>
      <c r="W998" s="7">
        <v>4.34</v>
      </c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</row>
    <row r="999" spans="1:55" s="15" customFormat="1" x14ac:dyDescent="0.25">
      <c r="A999" s="6">
        <v>2024356430</v>
      </c>
      <c r="B999" s="6" t="s">
        <v>646</v>
      </c>
      <c r="C999" s="6" t="s">
        <v>647</v>
      </c>
      <c r="D999" s="6" t="str">
        <f>CONCATENATE(C999," ",B999)</f>
        <v>SEAN KAPANGA</v>
      </c>
      <c r="E999" s="6" t="s">
        <v>66</v>
      </c>
      <c r="F999" s="6" t="s">
        <v>363</v>
      </c>
      <c r="G999" s="6" t="s">
        <v>364</v>
      </c>
      <c r="H999" s="6" t="s">
        <v>364</v>
      </c>
      <c r="I999" s="20">
        <v>371819</v>
      </c>
      <c r="J999" s="6" t="s">
        <v>310</v>
      </c>
      <c r="K999" s="6" t="s">
        <v>311</v>
      </c>
      <c r="L999" s="6" t="str">
        <f>CONCATENATE(K999," ",J999)</f>
        <v>THOMAS PARDUE</v>
      </c>
      <c r="M999" s="6" t="s">
        <v>57</v>
      </c>
      <c r="N999" s="5">
        <v>45517</v>
      </c>
      <c r="O999" s="5">
        <v>46094</v>
      </c>
      <c r="P999" s="23">
        <f>DATEDIF(N999,O999,"M")</f>
        <v>19</v>
      </c>
      <c r="Q999" s="23" t="s">
        <v>157</v>
      </c>
      <c r="R999" s="23" t="s">
        <v>1391</v>
      </c>
      <c r="S999" s="7">
        <v>27.22</v>
      </c>
      <c r="T999" s="13">
        <v>0.06</v>
      </c>
      <c r="U999" s="6" t="s">
        <v>157</v>
      </c>
      <c r="V999" s="6" t="s">
        <v>135</v>
      </c>
      <c r="W999" s="7">
        <v>1.63</v>
      </c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</row>
    <row r="1000" spans="1:55" s="15" customFormat="1" x14ac:dyDescent="0.25">
      <c r="A1000" s="6">
        <v>2032557033</v>
      </c>
      <c r="B1000" s="6" t="s">
        <v>332</v>
      </c>
      <c r="C1000" s="6" t="s">
        <v>281</v>
      </c>
      <c r="D1000" s="6" t="str">
        <f>CONCATENATE(C1000," ",B1000)</f>
        <v>ELIZABETH KORNOWSKI</v>
      </c>
      <c r="E1000" s="6" t="s">
        <v>333</v>
      </c>
      <c r="F1000" s="6" t="s">
        <v>152</v>
      </c>
      <c r="G1000" s="6" t="s">
        <v>153</v>
      </c>
      <c r="H1000" s="6" t="s">
        <v>153</v>
      </c>
      <c r="I1000" s="20" t="s">
        <v>1384</v>
      </c>
      <c r="J1000" s="6" t="s">
        <v>334</v>
      </c>
      <c r="K1000" s="6" t="s">
        <v>335</v>
      </c>
      <c r="L1000" s="6" t="str">
        <f>CONCATENATE(K1000," ",J1000)</f>
        <v>Tom Serio</v>
      </c>
      <c r="M1000" s="6" t="s">
        <v>57</v>
      </c>
      <c r="N1000" s="5">
        <v>46023</v>
      </c>
      <c r="O1000" s="5">
        <v>46082</v>
      </c>
      <c r="P1000" s="23">
        <f>DATEDIF(N1000,O1000,"M")</f>
        <v>2</v>
      </c>
      <c r="Q1000" s="23" t="s">
        <v>157</v>
      </c>
      <c r="R1000" s="23" t="s">
        <v>1390</v>
      </c>
      <c r="S1000" s="7">
        <v>70.930000000000007</v>
      </c>
      <c r="T1000" s="13">
        <v>0.47</v>
      </c>
      <c r="U1000" s="6" t="s">
        <v>60</v>
      </c>
      <c r="V1000" s="6" t="s">
        <v>135</v>
      </c>
      <c r="W1000" s="7">
        <v>33.340000000000003</v>
      </c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</row>
    <row r="1001" spans="1:55" s="15" customFormat="1" x14ac:dyDescent="0.25">
      <c r="A1001" s="6">
        <v>2032033829</v>
      </c>
      <c r="B1001" s="6" t="s">
        <v>790</v>
      </c>
      <c r="C1001" s="6" t="s">
        <v>298</v>
      </c>
      <c r="D1001" s="6" t="str">
        <f>CONCATENATE(C1001," ",B1001)</f>
        <v>JAMES GATES</v>
      </c>
      <c r="E1001" s="6" t="s">
        <v>66</v>
      </c>
      <c r="F1001" s="6" t="s">
        <v>383</v>
      </c>
      <c r="G1001" s="6" t="s">
        <v>385</v>
      </c>
      <c r="H1001" s="6" t="s">
        <v>385</v>
      </c>
      <c r="I1001" s="20" t="s">
        <v>1384</v>
      </c>
      <c r="J1001" s="6" t="s">
        <v>334</v>
      </c>
      <c r="K1001" s="6" t="s">
        <v>335</v>
      </c>
      <c r="L1001" s="6" t="str">
        <f>CONCATENATE(K1001," ",J1001)</f>
        <v>Tom Serio</v>
      </c>
      <c r="M1001" s="6" t="s">
        <v>57</v>
      </c>
      <c r="N1001" s="5">
        <v>45968</v>
      </c>
      <c r="O1001" s="5">
        <v>46088</v>
      </c>
      <c r="P1001" s="23">
        <f>DATEDIF(N1001,O1001,"M")</f>
        <v>4</v>
      </c>
      <c r="Q1001" s="23" t="s">
        <v>157</v>
      </c>
      <c r="R1001" s="23" t="s">
        <v>1390</v>
      </c>
      <c r="S1001" s="7">
        <v>112.92</v>
      </c>
      <c r="T1001" s="13">
        <v>0.9</v>
      </c>
      <c r="U1001" s="6" t="s">
        <v>60</v>
      </c>
      <c r="V1001" s="6" t="s">
        <v>135</v>
      </c>
      <c r="W1001" s="7">
        <v>101.63</v>
      </c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</row>
    <row r="1002" spans="1:55" s="15" customFormat="1" x14ac:dyDescent="0.25">
      <c r="A1002" s="6">
        <v>2032033581</v>
      </c>
      <c r="B1002" s="6" t="s">
        <v>790</v>
      </c>
      <c r="C1002" s="6" t="s">
        <v>500</v>
      </c>
      <c r="D1002" s="6" t="str">
        <f>CONCATENATE(C1002," ",B1002)</f>
        <v>SARAH GATES</v>
      </c>
      <c r="E1002" s="6" t="s">
        <v>66</v>
      </c>
      <c r="F1002" s="6" t="s">
        <v>383</v>
      </c>
      <c r="G1002" s="6" t="s">
        <v>385</v>
      </c>
      <c r="H1002" s="6" t="s">
        <v>385</v>
      </c>
      <c r="I1002" s="20" t="s">
        <v>1384</v>
      </c>
      <c r="J1002" s="6" t="s">
        <v>334</v>
      </c>
      <c r="K1002" s="6" t="s">
        <v>335</v>
      </c>
      <c r="L1002" s="6" t="str">
        <f>CONCATENATE(K1002," ",J1002)</f>
        <v>Tom Serio</v>
      </c>
      <c r="M1002" s="6" t="s">
        <v>57</v>
      </c>
      <c r="N1002" s="5">
        <v>45968</v>
      </c>
      <c r="O1002" s="5">
        <v>46088</v>
      </c>
      <c r="P1002" s="23">
        <f>DATEDIF(N1002,O1002,"M")</f>
        <v>4</v>
      </c>
      <c r="Q1002" s="23" t="s">
        <v>157</v>
      </c>
      <c r="R1002" s="23" t="s">
        <v>1390</v>
      </c>
      <c r="S1002" s="7">
        <v>44.71</v>
      </c>
      <c r="T1002" s="13">
        <v>0.9</v>
      </c>
      <c r="U1002" s="6" t="s">
        <v>60</v>
      </c>
      <c r="V1002" s="6" t="s">
        <v>135</v>
      </c>
      <c r="W1002" s="7">
        <v>40.24</v>
      </c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</row>
    <row r="1003" spans="1:55" s="15" customFormat="1" x14ac:dyDescent="0.25">
      <c r="A1003" s="6">
        <v>2033066815</v>
      </c>
      <c r="B1003" s="6" t="s">
        <v>952</v>
      </c>
      <c r="C1003" s="6" t="s">
        <v>457</v>
      </c>
      <c r="D1003" s="6" t="str">
        <f>CONCATENATE(C1003," ",B1003)</f>
        <v>MICHELLE MCCONNELL</v>
      </c>
      <c r="E1003" s="6" t="s">
        <v>66</v>
      </c>
      <c r="F1003" s="6" t="s">
        <v>383</v>
      </c>
      <c r="G1003" s="6" t="s">
        <v>384</v>
      </c>
      <c r="H1003" s="6" t="s">
        <v>1336</v>
      </c>
      <c r="I1003" s="20" t="s">
        <v>1385</v>
      </c>
      <c r="J1003" s="6" t="s">
        <v>372</v>
      </c>
      <c r="K1003" s="6" t="s">
        <v>373</v>
      </c>
      <c r="L1003" s="6" t="str">
        <f>CONCATENATE(K1003," ",J1003)</f>
        <v>VICTOR FUENTES</v>
      </c>
      <c r="M1003" s="6" t="s">
        <v>57</v>
      </c>
      <c r="N1003" s="5">
        <v>46032</v>
      </c>
      <c r="O1003" s="5">
        <v>46091</v>
      </c>
      <c r="P1003" s="23">
        <f>DATEDIF(N1003,O1003,"M")</f>
        <v>2</v>
      </c>
      <c r="Q1003" s="23" t="s">
        <v>157</v>
      </c>
      <c r="R1003" s="23" t="s">
        <v>1390</v>
      </c>
      <c r="S1003" s="7">
        <v>131.72</v>
      </c>
      <c r="T1003" s="13">
        <v>0.7</v>
      </c>
      <c r="U1003" s="6" t="s">
        <v>60</v>
      </c>
      <c r="V1003" s="6" t="s">
        <v>135</v>
      </c>
      <c r="W1003" s="7">
        <v>92.2</v>
      </c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</row>
    <row r="1004" spans="1:55" s="15" customFormat="1" x14ac:dyDescent="0.25">
      <c r="A1004" s="6">
        <v>2033066816</v>
      </c>
      <c r="B1004" s="6" t="s">
        <v>952</v>
      </c>
      <c r="C1004" s="6" t="s">
        <v>457</v>
      </c>
      <c r="D1004" s="6" t="str">
        <f>CONCATENATE(C1004," ",B1004)</f>
        <v>MICHELLE MCCONNELL</v>
      </c>
      <c r="E1004" s="6" t="s">
        <v>66</v>
      </c>
      <c r="F1004" s="6" t="s">
        <v>72</v>
      </c>
      <c r="G1004" s="6" t="s">
        <v>73</v>
      </c>
      <c r="H1004" s="6" t="s">
        <v>1329</v>
      </c>
      <c r="I1004" s="20" t="s">
        <v>1385</v>
      </c>
      <c r="J1004" s="6" t="s">
        <v>372</v>
      </c>
      <c r="K1004" s="6" t="s">
        <v>373</v>
      </c>
      <c r="L1004" s="6" t="str">
        <f>CONCATENATE(K1004," ",J1004)</f>
        <v>VICTOR FUENTES</v>
      </c>
      <c r="M1004" s="6" t="s">
        <v>57</v>
      </c>
      <c r="N1004" s="5">
        <v>46032</v>
      </c>
      <c r="O1004" s="5">
        <v>46091</v>
      </c>
      <c r="P1004" s="23">
        <f>DATEDIF(N1004,O1004,"M")</f>
        <v>2</v>
      </c>
      <c r="Q1004" s="23" t="s">
        <v>157</v>
      </c>
      <c r="R1004" s="23" t="s">
        <v>1390</v>
      </c>
      <c r="S1004" s="7">
        <v>62.85</v>
      </c>
      <c r="T1004" s="13">
        <v>0.75</v>
      </c>
      <c r="U1004" s="6" t="s">
        <v>60</v>
      </c>
      <c r="V1004" s="6" t="s">
        <v>135</v>
      </c>
      <c r="W1004" s="7">
        <v>47.14</v>
      </c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</row>
    <row r="1005" spans="1:55" s="15" customFormat="1" x14ac:dyDescent="0.25">
      <c r="A1005" s="6">
        <v>2025684074</v>
      </c>
      <c r="B1005" s="6" t="s">
        <v>372</v>
      </c>
      <c r="C1005" s="6" t="s">
        <v>1198</v>
      </c>
      <c r="D1005" s="6" t="str">
        <f>CONCATENATE(C1005," ",B1005)</f>
        <v>MARCO FUENTES</v>
      </c>
      <c r="E1005" s="6" t="s">
        <v>66</v>
      </c>
      <c r="F1005" s="6" t="s">
        <v>383</v>
      </c>
      <c r="G1005" s="6" t="s">
        <v>384</v>
      </c>
      <c r="H1005" s="6" t="s">
        <v>384</v>
      </c>
      <c r="I1005" s="20" t="s">
        <v>1386</v>
      </c>
      <c r="J1005" s="6" t="s">
        <v>372</v>
      </c>
      <c r="K1005" s="6" t="s">
        <v>373</v>
      </c>
      <c r="L1005" s="6" t="str">
        <f>CONCATENATE(K1005," ",J1005)</f>
        <v>VICTOR FUENTES</v>
      </c>
      <c r="M1005" s="6" t="s">
        <v>57</v>
      </c>
      <c r="N1005" s="5">
        <v>45604</v>
      </c>
      <c r="O1005" s="5">
        <v>46089</v>
      </c>
      <c r="P1005" s="23">
        <f>DATEDIF(N1005,O1005,"M")</f>
        <v>16</v>
      </c>
      <c r="Q1005" s="23" t="s">
        <v>157</v>
      </c>
      <c r="R1005" s="23" t="s">
        <v>1391</v>
      </c>
      <c r="S1005" s="7">
        <v>86.25</v>
      </c>
      <c r="T1005" s="13">
        <v>0.15</v>
      </c>
      <c r="U1005" s="6" t="s">
        <v>157</v>
      </c>
      <c r="V1005" s="6" t="s">
        <v>135</v>
      </c>
      <c r="W1005" s="7">
        <v>12.94</v>
      </c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</row>
    <row r="1006" spans="1:55" s="15" customFormat="1" x14ac:dyDescent="0.25">
      <c r="A1006" s="6">
        <v>2030406801</v>
      </c>
      <c r="B1006" s="6" t="s">
        <v>768</v>
      </c>
      <c r="C1006" s="6" t="s">
        <v>769</v>
      </c>
      <c r="D1006" s="6" t="str">
        <f>CONCATENATE(C1006," ",B1006)</f>
        <v>FARRIS KRISTYN</v>
      </c>
      <c r="E1006" s="6" t="s">
        <v>274</v>
      </c>
      <c r="F1006" s="6" t="s">
        <v>72</v>
      </c>
      <c r="G1006" s="6" t="s">
        <v>73</v>
      </c>
      <c r="H1006" s="6" t="s">
        <v>1329</v>
      </c>
      <c r="I1006" s="20" t="s">
        <v>1387</v>
      </c>
      <c r="J1006" s="6" t="s">
        <v>491</v>
      </c>
      <c r="K1006" s="6" t="s">
        <v>492</v>
      </c>
      <c r="L1006" s="6" t="str">
        <f>CONCATENATE(K1006," ",J1006)</f>
        <v>WILLIAM GESKE</v>
      </c>
      <c r="M1006" s="6" t="s">
        <v>57</v>
      </c>
      <c r="N1006" s="5">
        <v>45878</v>
      </c>
      <c r="O1006" s="5">
        <v>46090</v>
      </c>
      <c r="P1006" s="23">
        <f>DATEDIF(N1006,O1006,"M")</f>
        <v>7</v>
      </c>
      <c r="Q1006" s="23" t="s">
        <v>157</v>
      </c>
      <c r="R1006" s="23" t="s">
        <v>1391</v>
      </c>
      <c r="S1006" s="7">
        <v>27.28</v>
      </c>
      <c r="T1006" s="13">
        <v>0.75</v>
      </c>
      <c r="U1006" s="6" t="s">
        <v>60</v>
      </c>
      <c r="V1006" s="6" t="s">
        <v>135</v>
      </c>
      <c r="W1006" s="7">
        <v>20.46</v>
      </c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</row>
    <row r="1007" spans="1:55" s="15" customFormat="1" x14ac:dyDescent="0.25">
      <c r="A1007" s="6">
        <v>2030395014</v>
      </c>
      <c r="B1007" s="6" t="s">
        <v>1115</v>
      </c>
      <c r="C1007" s="6" t="s">
        <v>1116</v>
      </c>
      <c r="D1007" s="6" t="str">
        <f>CONCATENATE(C1007," ",B1007)</f>
        <v>KINNEY ERIN</v>
      </c>
      <c r="E1007" s="6" t="s">
        <v>274</v>
      </c>
      <c r="F1007" s="6" t="s">
        <v>378</v>
      </c>
      <c r="G1007" s="6" t="s">
        <v>379</v>
      </c>
      <c r="H1007" s="6" t="s">
        <v>379</v>
      </c>
      <c r="I1007" s="20" t="s">
        <v>1387</v>
      </c>
      <c r="J1007" s="6" t="s">
        <v>491</v>
      </c>
      <c r="K1007" s="6" t="s">
        <v>492</v>
      </c>
      <c r="L1007" s="6" t="str">
        <f>CONCATENATE(K1007," ",J1007)</f>
        <v>WILLIAM GESKE</v>
      </c>
      <c r="M1007" s="6" t="s">
        <v>57</v>
      </c>
      <c r="N1007" s="5">
        <v>45878</v>
      </c>
      <c r="O1007" s="5">
        <v>46090</v>
      </c>
      <c r="P1007" s="23">
        <f>DATEDIF(N1007,O1007,"M")</f>
        <v>7</v>
      </c>
      <c r="Q1007" s="23" t="s">
        <v>157</v>
      </c>
      <c r="R1007" s="23" t="s">
        <v>1391</v>
      </c>
      <c r="S1007" s="7">
        <v>23.69</v>
      </c>
      <c r="T1007" s="13">
        <v>0.38</v>
      </c>
      <c r="U1007" s="6" t="s">
        <v>60</v>
      </c>
      <c r="V1007" s="6" t="s">
        <v>135</v>
      </c>
      <c r="W1007" s="7">
        <v>8.99</v>
      </c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</row>
    <row r="1008" spans="1:55" s="15" customFormat="1" x14ac:dyDescent="0.25">
      <c r="A1008" s="6">
        <v>2030395015</v>
      </c>
      <c r="B1008" s="6" t="s">
        <v>1115</v>
      </c>
      <c r="C1008" s="6" t="s">
        <v>1116</v>
      </c>
      <c r="D1008" s="6" t="str">
        <f>CONCATENATE(C1008," ",B1008)</f>
        <v>KINNEY ERIN</v>
      </c>
      <c r="E1008" s="6" t="s">
        <v>274</v>
      </c>
      <c r="F1008" s="6" t="s">
        <v>383</v>
      </c>
      <c r="G1008" s="6" t="s">
        <v>384</v>
      </c>
      <c r="H1008" s="6" t="s">
        <v>384</v>
      </c>
      <c r="I1008" s="20" t="s">
        <v>1387</v>
      </c>
      <c r="J1008" s="6" t="s">
        <v>491</v>
      </c>
      <c r="K1008" s="6" t="s">
        <v>492</v>
      </c>
      <c r="L1008" s="6" t="str">
        <f>CONCATENATE(K1008," ",J1008)</f>
        <v>WILLIAM GESKE</v>
      </c>
      <c r="M1008" s="6" t="s">
        <v>57</v>
      </c>
      <c r="N1008" s="5">
        <v>45878</v>
      </c>
      <c r="O1008" s="5">
        <v>46090</v>
      </c>
      <c r="P1008" s="23">
        <f>DATEDIF(N1008,O1008,"M")</f>
        <v>7</v>
      </c>
      <c r="Q1008" s="23" t="s">
        <v>157</v>
      </c>
      <c r="R1008" s="23" t="s">
        <v>1391</v>
      </c>
      <c r="S1008" s="7">
        <v>9.1</v>
      </c>
      <c r="T1008" s="13">
        <v>0.7</v>
      </c>
      <c r="U1008" s="6" t="s">
        <v>60</v>
      </c>
      <c r="V1008" s="6" t="s">
        <v>135</v>
      </c>
      <c r="W1008" s="7">
        <v>6.37</v>
      </c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</row>
    <row r="1009" spans="1:55" s="15" customFormat="1" x14ac:dyDescent="0.25">
      <c r="A1009" s="6">
        <v>2030406800</v>
      </c>
      <c r="B1009" s="6" t="s">
        <v>768</v>
      </c>
      <c r="C1009" s="6" t="s">
        <v>769</v>
      </c>
      <c r="D1009" s="6" t="str">
        <f>CONCATENATE(C1009," ",B1009)</f>
        <v>FARRIS KRISTYN</v>
      </c>
      <c r="E1009" s="6" t="s">
        <v>274</v>
      </c>
      <c r="F1009" s="6" t="s">
        <v>383</v>
      </c>
      <c r="G1009" s="6" t="s">
        <v>384</v>
      </c>
      <c r="H1009" s="6" t="s">
        <v>384</v>
      </c>
      <c r="I1009" s="20" t="s">
        <v>1387</v>
      </c>
      <c r="J1009" s="6" t="s">
        <v>491</v>
      </c>
      <c r="K1009" s="6" t="s">
        <v>492</v>
      </c>
      <c r="L1009" s="6" t="str">
        <f>CONCATENATE(K1009," ",J1009)</f>
        <v>WILLIAM GESKE</v>
      </c>
      <c r="M1009" s="6" t="s">
        <v>57</v>
      </c>
      <c r="N1009" s="5">
        <v>45878</v>
      </c>
      <c r="O1009" s="5">
        <v>46090</v>
      </c>
      <c r="P1009" s="23">
        <f>DATEDIF(N1009,O1009,"M")</f>
        <v>7</v>
      </c>
      <c r="Q1009" s="23" t="s">
        <v>157</v>
      </c>
      <c r="R1009" s="23" t="s">
        <v>1391</v>
      </c>
      <c r="S1009" s="7">
        <v>9.1</v>
      </c>
      <c r="T1009" s="13">
        <v>0.7</v>
      </c>
      <c r="U1009" s="6" t="s">
        <v>60</v>
      </c>
      <c r="V1009" s="6" t="s">
        <v>135</v>
      </c>
      <c r="W1009" s="7">
        <v>6.37</v>
      </c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</row>
    <row r="1010" spans="1:55" s="15" customFormat="1" x14ac:dyDescent="0.25">
      <c r="A1010" s="6">
        <v>2030406802</v>
      </c>
      <c r="B1010" s="6" t="s">
        <v>768</v>
      </c>
      <c r="C1010" s="6" t="s">
        <v>769</v>
      </c>
      <c r="D1010" s="6" t="str">
        <f>CONCATENATE(C1010," ",B1010)</f>
        <v>FARRIS KRISTYN</v>
      </c>
      <c r="E1010" s="6" t="s">
        <v>274</v>
      </c>
      <c r="F1010" s="6" t="s">
        <v>363</v>
      </c>
      <c r="G1010" s="6" t="s">
        <v>364</v>
      </c>
      <c r="H1010" s="6" t="s">
        <v>364</v>
      </c>
      <c r="I1010" s="20" t="s">
        <v>1387</v>
      </c>
      <c r="J1010" s="6" t="s">
        <v>491</v>
      </c>
      <c r="K1010" s="6" t="s">
        <v>492</v>
      </c>
      <c r="L1010" s="6" t="str">
        <f>CONCATENATE(K1010," ",J1010)</f>
        <v>WILLIAM GESKE</v>
      </c>
      <c r="M1010" s="6" t="s">
        <v>57</v>
      </c>
      <c r="N1010" s="5">
        <v>45878</v>
      </c>
      <c r="O1010" s="5">
        <v>46090</v>
      </c>
      <c r="P1010" s="23">
        <f>DATEDIF(N1010,O1010,"M")</f>
        <v>7</v>
      </c>
      <c r="Q1010" s="23" t="s">
        <v>157</v>
      </c>
      <c r="R1010" s="23" t="s">
        <v>1391</v>
      </c>
      <c r="S1010" s="7">
        <v>47.28</v>
      </c>
      <c r="T1010" s="14">
        <v>0.375</v>
      </c>
      <c r="U1010" s="6" t="s">
        <v>60</v>
      </c>
      <c r="V1010" s="6" t="s">
        <v>135</v>
      </c>
      <c r="W1010" s="7">
        <v>17.73</v>
      </c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</row>
    <row r="1011" spans="1:55" s="15" customFormat="1" x14ac:dyDescent="0.25">
      <c r="A1011" s="6">
        <v>2026050471</v>
      </c>
      <c r="B1011" s="6" t="s">
        <v>514</v>
      </c>
      <c r="C1011" s="6" t="s">
        <v>240</v>
      </c>
      <c r="D1011" s="6" t="str">
        <f>CONCATENATE(C1011," ",B1011)</f>
        <v>JOHN GRIGSBY</v>
      </c>
      <c r="E1011" s="6" t="s">
        <v>274</v>
      </c>
      <c r="F1011" s="6" t="s">
        <v>72</v>
      </c>
      <c r="G1011" s="6" t="s">
        <v>93</v>
      </c>
      <c r="H1011" s="6" t="s">
        <v>1332</v>
      </c>
      <c r="I1011" s="20">
        <v>21313588</v>
      </c>
      <c r="J1011" s="6" t="s">
        <v>491</v>
      </c>
      <c r="K1011" s="6" t="s">
        <v>492</v>
      </c>
      <c r="L1011" s="6" t="str">
        <f>CONCATENATE(K1011," ",J1011)</f>
        <v>WILLIAM GESKE</v>
      </c>
      <c r="M1011" s="6" t="s">
        <v>57</v>
      </c>
      <c r="N1011" s="5">
        <v>45632</v>
      </c>
      <c r="O1011" s="5">
        <v>46087</v>
      </c>
      <c r="P1011" s="23">
        <f>DATEDIF(N1011,O1011,"M")</f>
        <v>15</v>
      </c>
      <c r="Q1011" s="23" t="s">
        <v>157</v>
      </c>
      <c r="R1011" s="23" t="s">
        <v>1391</v>
      </c>
      <c r="S1011" s="7">
        <v>66.75</v>
      </c>
      <c r="T1011" s="13">
        <v>0.1</v>
      </c>
      <c r="U1011" s="6" t="s">
        <v>157</v>
      </c>
      <c r="V1011" s="6" t="s">
        <v>135</v>
      </c>
      <c r="W1011" s="7">
        <v>6.68</v>
      </c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</row>
    <row r="1012" spans="1:55" s="15" customFormat="1" x14ac:dyDescent="0.25">
      <c r="A1012" s="6">
        <v>2026050470</v>
      </c>
      <c r="B1012" s="6" t="s">
        <v>514</v>
      </c>
      <c r="C1012" s="6" t="s">
        <v>240</v>
      </c>
      <c r="D1012" s="6" t="str">
        <f>CONCATENATE(C1012," ",B1012)</f>
        <v>JOHN GRIGSBY</v>
      </c>
      <c r="E1012" s="6" t="s">
        <v>274</v>
      </c>
      <c r="F1012" s="6" t="s">
        <v>383</v>
      </c>
      <c r="G1012" s="6" t="s">
        <v>384</v>
      </c>
      <c r="H1012" s="6" t="s">
        <v>384</v>
      </c>
      <c r="I1012" s="20">
        <v>21313588</v>
      </c>
      <c r="J1012" s="6" t="s">
        <v>491</v>
      </c>
      <c r="K1012" s="6" t="s">
        <v>492</v>
      </c>
      <c r="L1012" s="6" t="str">
        <f>CONCATENATE(K1012," ",J1012)</f>
        <v>WILLIAM GESKE</v>
      </c>
      <c r="M1012" s="6" t="s">
        <v>57</v>
      </c>
      <c r="N1012" s="5">
        <v>45632</v>
      </c>
      <c r="O1012" s="5">
        <v>46087</v>
      </c>
      <c r="P1012" s="23">
        <f>DATEDIF(N1012,O1012,"M")</f>
        <v>15</v>
      </c>
      <c r="Q1012" s="23" t="s">
        <v>157</v>
      </c>
      <c r="R1012" s="23" t="s">
        <v>1391</v>
      </c>
      <c r="S1012" s="7">
        <v>9.6999999999999993</v>
      </c>
      <c r="T1012" s="13">
        <v>0.15</v>
      </c>
      <c r="U1012" s="6" t="s">
        <v>157</v>
      </c>
      <c r="V1012" s="6" t="s">
        <v>135</v>
      </c>
      <c r="W1012" s="7">
        <v>1.46</v>
      </c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</row>
    <row r="1013" spans="1:55" s="15" customFormat="1" x14ac:dyDescent="0.25">
      <c r="A1013" s="6">
        <v>2025721594</v>
      </c>
      <c r="B1013" s="6" t="s">
        <v>499</v>
      </c>
      <c r="C1013" s="6" t="s">
        <v>500</v>
      </c>
      <c r="D1013" s="6" t="str">
        <f>CONCATENATE(C1013," ",B1013)</f>
        <v>SARAH KONKOL</v>
      </c>
      <c r="E1013" s="6" t="s">
        <v>274</v>
      </c>
      <c r="F1013" s="6" t="s">
        <v>383</v>
      </c>
      <c r="G1013" s="6" t="s">
        <v>1172</v>
      </c>
      <c r="H1013" s="6" t="s">
        <v>1172</v>
      </c>
      <c r="I1013" s="20">
        <v>21313588</v>
      </c>
      <c r="J1013" s="6" t="s">
        <v>491</v>
      </c>
      <c r="K1013" s="6" t="s">
        <v>492</v>
      </c>
      <c r="L1013" s="6" t="str">
        <f>CONCATENATE(K1013," ",J1013)</f>
        <v>WILLIAM GESKE</v>
      </c>
      <c r="M1013" s="6" t="s">
        <v>57</v>
      </c>
      <c r="N1013" s="5">
        <v>45608</v>
      </c>
      <c r="O1013" s="5">
        <v>46093</v>
      </c>
      <c r="P1013" s="23">
        <f>DATEDIF(N1013,O1013,"M")</f>
        <v>16</v>
      </c>
      <c r="Q1013" s="23" t="s">
        <v>157</v>
      </c>
      <c r="R1013" s="23" t="s">
        <v>1391</v>
      </c>
      <c r="S1013" s="7">
        <v>20.95</v>
      </c>
      <c r="T1013" s="13">
        <v>0.15</v>
      </c>
      <c r="U1013" s="6" t="s">
        <v>157</v>
      </c>
      <c r="V1013" s="6" t="s">
        <v>135</v>
      </c>
      <c r="W1013" s="7">
        <v>3.14</v>
      </c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</row>
    <row r="1014" spans="1:55" s="15" customFormat="1" x14ac:dyDescent="0.25">
      <c r="A1014" s="6">
        <v>2025721592</v>
      </c>
      <c r="B1014" s="6" t="s">
        <v>499</v>
      </c>
      <c r="C1014" s="6" t="s">
        <v>500</v>
      </c>
      <c r="D1014" s="6" t="str">
        <f>CONCATENATE(C1014," ",B1014)</f>
        <v>SARAH KONKOL</v>
      </c>
      <c r="E1014" s="6" t="s">
        <v>274</v>
      </c>
      <c r="F1014" s="6" t="s">
        <v>72</v>
      </c>
      <c r="G1014" s="6" t="s">
        <v>455</v>
      </c>
      <c r="H1014" s="6" t="s">
        <v>1330</v>
      </c>
      <c r="I1014" s="20">
        <v>21313588</v>
      </c>
      <c r="J1014" s="6" t="s">
        <v>491</v>
      </c>
      <c r="K1014" s="6" t="s">
        <v>492</v>
      </c>
      <c r="L1014" s="6" t="str">
        <f>CONCATENATE(K1014," ",J1014)</f>
        <v>WILLIAM GESKE</v>
      </c>
      <c r="M1014" s="6" t="s">
        <v>57</v>
      </c>
      <c r="N1014" s="5">
        <v>45608</v>
      </c>
      <c r="O1014" s="5">
        <v>46093</v>
      </c>
      <c r="P1014" s="23">
        <f>DATEDIF(N1014,O1014,"M")</f>
        <v>16</v>
      </c>
      <c r="Q1014" s="23" t="s">
        <v>157</v>
      </c>
      <c r="R1014" s="23" t="s">
        <v>1391</v>
      </c>
      <c r="S1014" s="7">
        <v>56.03</v>
      </c>
      <c r="T1014" s="13">
        <v>0.1</v>
      </c>
      <c r="U1014" s="6" t="s">
        <v>157</v>
      </c>
      <c r="V1014" s="6" t="s">
        <v>135</v>
      </c>
      <c r="W1014" s="7">
        <v>5.6</v>
      </c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</row>
    <row r="1015" spans="1:55" s="15" customFormat="1" x14ac:dyDescent="0.25">
      <c r="A1015" s="6">
        <v>2025727309</v>
      </c>
      <c r="B1015" s="6" t="s">
        <v>173</v>
      </c>
      <c r="C1015" s="6" t="s">
        <v>501</v>
      </c>
      <c r="D1015" s="6" t="str">
        <f>CONCATENATE(C1015," ",B1015)</f>
        <v>LINDA ELLIS</v>
      </c>
      <c r="E1015" s="6" t="s">
        <v>274</v>
      </c>
      <c r="F1015" s="6" t="s">
        <v>72</v>
      </c>
      <c r="G1015" s="6" t="s">
        <v>455</v>
      </c>
      <c r="H1015" s="6" t="s">
        <v>1330</v>
      </c>
      <c r="I1015" s="20">
        <v>21313588</v>
      </c>
      <c r="J1015" s="6" t="s">
        <v>491</v>
      </c>
      <c r="K1015" s="6" t="s">
        <v>492</v>
      </c>
      <c r="L1015" s="6" t="str">
        <f>CONCATENATE(K1015," ",J1015)</f>
        <v>WILLIAM GESKE</v>
      </c>
      <c r="M1015" s="6" t="s">
        <v>57</v>
      </c>
      <c r="N1015" s="5">
        <v>45608</v>
      </c>
      <c r="O1015" s="5">
        <v>46093</v>
      </c>
      <c r="P1015" s="23">
        <f>DATEDIF(N1015,O1015,"M")</f>
        <v>16</v>
      </c>
      <c r="Q1015" s="23" t="s">
        <v>157</v>
      </c>
      <c r="R1015" s="23" t="s">
        <v>1391</v>
      </c>
      <c r="S1015" s="7">
        <v>42.13</v>
      </c>
      <c r="T1015" s="13">
        <v>0.1</v>
      </c>
      <c r="U1015" s="6" t="s">
        <v>157</v>
      </c>
      <c r="V1015" s="6" t="s">
        <v>135</v>
      </c>
      <c r="W1015" s="7">
        <v>4.21</v>
      </c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</row>
    <row r="1016" spans="1:55" s="15" customFormat="1" x14ac:dyDescent="0.25">
      <c r="A1016" s="6">
        <v>2025727307</v>
      </c>
      <c r="B1016" s="6" t="s">
        <v>173</v>
      </c>
      <c r="C1016" s="6" t="s">
        <v>501</v>
      </c>
      <c r="D1016" s="6" t="str">
        <f>CONCATENATE(C1016," ",B1016)</f>
        <v>LINDA ELLIS</v>
      </c>
      <c r="E1016" s="6" t="s">
        <v>274</v>
      </c>
      <c r="F1016" s="6" t="s">
        <v>378</v>
      </c>
      <c r="G1016" s="6" t="s">
        <v>379</v>
      </c>
      <c r="H1016" s="6" t="s">
        <v>379</v>
      </c>
      <c r="I1016" s="20">
        <v>21313588</v>
      </c>
      <c r="J1016" s="6" t="s">
        <v>491</v>
      </c>
      <c r="K1016" s="6" t="s">
        <v>492</v>
      </c>
      <c r="L1016" s="6" t="str">
        <f>CONCATENATE(K1016," ",J1016)</f>
        <v>WILLIAM GESKE</v>
      </c>
      <c r="M1016" s="6" t="s">
        <v>57</v>
      </c>
      <c r="N1016" s="5">
        <v>45608</v>
      </c>
      <c r="O1016" s="5">
        <v>46093</v>
      </c>
      <c r="P1016" s="23">
        <f>DATEDIF(N1016,O1016,"M")</f>
        <v>16</v>
      </c>
      <c r="Q1016" s="23" t="s">
        <v>157</v>
      </c>
      <c r="R1016" s="23" t="s">
        <v>1391</v>
      </c>
      <c r="S1016" s="7">
        <v>53.62</v>
      </c>
      <c r="T1016" s="13">
        <v>0.1</v>
      </c>
      <c r="U1016" s="6" t="s">
        <v>157</v>
      </c>
      <c r="V1016" s="6" t="s">
        <v>135</v>
      </c>
      <c r="W1016" s="7">
        <v>5.36</v>
      </c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</row>
    <row r="1017" spans="1:55" s="15" customFormat="1" x14ac:dyDescent="0.25">
      <c r="A1017" s="6">
        <v>2025721593</v>
      </c>
      <c r="B1017" s="6" t="s">
        <v>499</v>
      </c>
      <c r="C1017" s="6" t="s">
        <v>500</v>
      </c>
      <c r="D1017" s="6" t="str">
        <f>CONCATENATE(C1017," ",B1017)</f>
        <v>SARAH KONKOL</v>
      </c>
      <c r="E1017" s="6" t="s">
        <v>274</v>
      </c>
      <c r="F1017" s="6" t="s">
        <v>383</v>
      </c>
      <c r="G1017" s="6" t="s">
        <v>384</v>
      </c>
      <c r="H1017" s="6" t="s">
        <v>384</v>
      </c>
      <c r="I1017" s="20">
        <v>21313588</v>
      </c>
      <c r="J1017" s="6" t="s">
        <v>491</v>
      </c>
      <c r="K1017" s="6" t="s">
        <v>492</v>
      </c>
      <c r="L1017" s="6" t="str">
        <f>CONCATENATE(K1017," ",J1017)</f>
        <v>WILLIAM GESKE</v>
      </c>
      <c r="M1017" s="6" t="s">
        <v>57</v>
      </c>
      <c r="N1017" s="5">
        <v>45608</v>
      </c>
      <c r="O1017" s="5">
        <v>46093</v>
      </c>
      <c r="P1017" s="23">
        <f>DATEDIF(N1017,O1017,"M")</f>
        <v>16</v>
      </c>
      <c r="Q1017" s="23" t="s">
        <v>157</v>
      </c>
      <c r="R1017" s="23" t="s">
        <v>1391</v>
      </c>
      <c r="S1017" s="7">
        <v>27.38</v>
      </c>
      <c r="T1017" s="13">
        <v>0.15</v>
      </c>
      <c r="U1017" s="6" t="s">
        <v>157</v>
      </c>
      <c r="V1017" s="6" t="s">
        <v>135</v>
      </c>
      <c r="W1017" s="7">
        <v>4.1100000000000003</v>
      </c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</row>
    <row r="1018" spans="1:55" s="15" customFormat="1" x14ac:dyDescent="0.25">
      <c r="A1018" s="6">
        <v>2025727308</v>
      </c>
      <c r="B1018" s="6" t="s">
        <v>173</v>
      </c>
      <c r="C1018" s="6" t="s">
        <v>501</v>
      </c>
      <c r="D1018" s="6" t="str">
        <f>CONCATENATE(C1018," ",B1018)</f>
        <v>LINDA ELLIS</v>
      </c>
      <c r="E1018" s="6" t="s">
        <v>274</v>
      </c>
      <c r="F1018" s="6" t="s">
        <v>383</v>
      </c>
      <c r="G1018" s="6" t="s">
        <v>384</v>
      </c>
      <c r="H1018" s="6" t="s">
        <v>384</v>
      </c>
      <c r="I1018" s="20">
        <v>21313588</v>
      </c>
      <c r="J1018" s="6" t="s">
        <v>491</v>
      </c>
      <c r="K1018" s="6" t="s">
        <v>492</v>
      </c>
      <c r="L1018" s="6" t="str">
        <f>CONCATENATE(K1018," ",J1018)</f>
        <v>WILLIAM GESKE</v>
      </c>
      <c r="M1018" s="6" t="s">
        <v>57</v>
      </c>
      <c r="N1018" s="5">
        <v>45608</v>
      </c>
      <c r="O1018" s="5">
        <v>46093</v>
      </c>
      <c r="P1018" s="23">
        <f>DATEDIF(N1018,O1018,"M")</f>
        <v>16</v>
      </c>
      <c r="Q1018" s="23" t="s">
        <v>157</v>
      </c>
      <c r="R1018" s="23" t="s">
        <v>1391</v>
      </c>
      <c r="S1018" s="7">
        <v>9.1</v>
      </c>
      <c r="T1018" s="13">
        <v>0.15</v>
      </c>
      <c r="U1018" s="6" t="s">
        <v>157</v>
      </c>
      <c r="V1018" s="6" t="s">
        <v>135</v>
      </c>
      <c r="W1018" s="7">
        <v>1.36</v>
      </c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</row>
    <row r="1019" spans="1:55" s="15" customFormat="1" x14ac:dyDescent="0.25">
      <c r="A1019" s="6">
        <v>2025262311</v>
      </c>
      <c r="B1019" s="6" t="s">
        <v>490</v>
      </c>
      <c r="C1019" s="6" t="s">
        <v>240</v>
      </c>
      <c r="D1019" s="6" t="str">
        <f>CONCATENATE(C1019," ",B1019)</f>
        <v>JOHN DARCY</v>
      </c>
      <c r="E1019" s="6" t="s">
        <v>274</v>
      </c>
      <c r="F1019" s="6" t="s">
        <v>383</v>
      </c>
      <c r="G1019" s="6" t="s">
        <v>1172</v>
      </c>
      <c r="H1019" s="6" t="s">
        <v>1172</v>
      </c>
      <c r="I1019" s="20">
        <v>21313588</v>
      </c>
      <c r="J1019" s="6" t="s">
        <v>491</v>
      </c>
      <c r="K1019" s="6" t="s">
        <v>492</v>
      </c>
      <c r="L1019" s="6" t="str">
        <f>CONCATENATE(K1019," ",J1019)</f>
        <v>WILLIAM GESKE</v>
      </c>
      <c r="M1019" s="6" t="s">
        <v>57</v>
      </c>
      <c r="N1019" s="5">
        <v>45576</v>
      </c>
      <c r="O1019" s="5">
        <v>46092</v>
      </c>
      <c r="P1019" s="23">
        <f>DATEDIF(N1019,O1019,"M")</f>
        <v>17</v>
      </c>
      <c r="Q1019" s="23" t="s">
        <v>157</v>
      </c>
      <c r="R1019" s="23" t="s">
        <v>1391</v>
      </c>
      <c r="S1019" s="7">
        <v>6.3</v>
      </c>
      <c r="T1019" s="13">
        <v>0.15</v>
      </c>
      <c r="U1019" s="6" t="s">
        <v>157</v>
      </c>
      <c r="V1019" s="6" t="s">
        <v>135</v>
      </c>
      <c r="W1019" s="7">
        <v>0.94</v>
      </c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</row>
    <row r="1020" spans="1:55" s="15" customFormat="1" x14ac:dyDescent="0.25">
      <c r="A1020" s="6">
        <v>2025262312</v>
      </c>
      <c r="B1020" s="6" t="s">
        <v>490</v>
      </c>
      <c r="C1020" s="6" t="s">
        <v>240</v>
      </c>
      <c r="D1020" s="6" t="str">
        <f>CONCATENATE(C1020," ",B1020)</f>
        <v>JOHN DARCY</v>
      </c>
      <c r="E1020" s="6" t="s">
        <v>274</v>
      </c>
      <c r="F1020" s="6" t="s">
        <v>72</v>
      </c>
      <c r="G1020" s="6" t="s">
        <v>455</v>
      </c>
      <c r="H1020" s="6" t="s">
        <v>1330</v>
      </c>
      <c r="I1020" s="20">
        <v>21313588</v>
      </c>
      <c r="J1020" s="6" t="s">
        <v>491</v>
      </c>
      <c r="K1020" s="6" t="s">
        <v>492</v>
      </c>
      <c r="L1020" s="6" t="str">
        <f>CONCATENATE(K1020," ",J1020)</f>
        <v>WILLIAM GESKE</v>
      </c>
      <c r="M1020" s="6" t="s">
        <v>57</v>
      </c>
      <c r="N1020" s="5">
        <v>45576</v>
      </c>
      <c r="O1020" s="5">
        <v>46092</v>
      </c>
      <c r="P1020" s="23">
        <f>DATEDIF(N1020,O1020,"M")</f>
        <v>17</v>
      </c>
      <c r="Q1020" s="23" t="s">
        <v>157</v>
      </c>
      <c r="R1020" s="23" t="s">
        <v>1391</v>
      </c>
      <c r="S1020" s="7">
        <v>22.71</v>
      </c>
      <c r="T1020" s="13">
        <v>0.1</v>
      </c>
      <c r="U1020" s="6" t="s">
        <v>157</v>
      </c>
      <c r="V1020" s="6" t="s">
        <v>135</v>
      </c>
      <c r="W1020" s="7">
        <v>2.27</v>
      </c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</row>
    <row r="1021" spans="1:55" s="15" customFormat="1" x14ac:dyDescent="0.25">
      <c r="A1021" s="6">
        <v>2025262310</v>
      </c>
      <c r="B1021" s="6" t="s">
        <v>490</v>
      </c>
      <c r="C1021" s="6" t="s">
        <v>240</v>
      </c>
      <c r="D1021" s="6" t="str">
        <f>CONCATENATE(C1021," ",B1021)</f>
        <v>JOHN DARCY</v>
      </c>
      <c r="E1021" s="6" t="s">
        <v>274</v>
      </c>
      <c r="F1021" s="6" t="s">
        <v>383</v>
      </c>
      <c r="G1021" s="6" t="s">
        <v>384</v>
      </c>
      <c r="H1021" s="6" t="s">
        <v>384</v>
      </c>
      <c r="I1021" s="20">
        <v>21313588</v>
      </c>
      <c r="J1021" s="6" t="s">
        <v>491</v>
      </c>
      <c r="K1021" s="6" t="s">
        <v>492</v>
      </c>
      <c r="L1021" s="6" t="str">
        <f>CONCATENATE(K1021," ",J1021)</f>
        <v>WILLIAM GESKE</v>
      </c>
      <c r="M1021" s="6" t="s">
        <v>57</v>
      </c>
      <c r="N1021" s="5">
        <v>45576</v>
      </c>
      <c r="O1021" s="5">
        <v>46092</v>
      </c>
      <c r="P1021" s="23">
        <f>DATEDIF(N1021,O1021,"M")</f>
        <v>17</v>
      </c>
      <c r="Q1021" s="23" t="s">
        <v>157</v>
      </c>
      <c r="R1021" s="23" t="s">
        <v>1391</v>
      </c>
      <c r="S1021" s="7">
        <v>9.6999999999999993</v>
      </c>
      <c r="T1021" s="13">
        <v>0.15</v>
      </c>
      <c r="U1021" s="6" t="s">
        <v>157</v>
      </c>
      <c r="V1021" s="6" t="s">
        <v>135</v>
      </c>
      <c r="W1021" s="7">
        <v>1.46</v>
      </c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</row>
    <row r="1022" spans="1:55" s="15" customFormat="1" x14ac:dyDescent="0.25">
      <c r="A1022" s="6">
        <v>2033040616</v>
      </c>
      <c r="B1022" s="6" t="s">
        <v>940</v>
      </c>
      <c r="C1022" s="6" t="s">
        <v>742</v>
      </c>
      <c r="D1022" s="6" t="str">
        <f>CONCATENATE(C1022," ",B1022)</f>
        <v>MADISON OSBORNE</v>
      </c>
      <c r="E1022" s="6" t="s">
        <v>662</v>
      </c>
      <c r="F1022" s="6" t="s">
        <v>383</v>
      </c>
      <c r="G1022" s="6" t="s">
        <v>400</v>
      </c>
      <c r="H1022" s="6" t="s">
        <v>1172</v>
      </c>
      <c r="I1022" s="20">
        <v>8692488</v>
      </c>
      <c r="J1022" s="6" t="s">
        <v>941</v>
      </c>
      <c r="K1022" s="6" t="s">
        <v>942</v>
      </c>
      <c r="L1022" s="6" t="str">
        <f>CONCATENATE(K1022," ",J1022)</f>
        <v>Zulfunar Yavuzkan Rasin</v>
      </c>
      <c r="M1022" s="6" t="s">
        <v>57</v>
      </c>
      <c r="N1022" s="5">
        <v>46031</v>
      </c>
      <c r="O1022" s="5">
        <v>46090</v>
      </c>
      <c r="P1022" s="23">
        <f>DATEDIF(N1022,O1022,"M")</f>
        <v>2</v>
      </c>
      <c r="Q1022" s="23" t="s">
        <v>157</v>
      </c>
      <c r="R1022" s="23" t="s">
        <v>1390</v>
      </c>
      <c r="S1022" s="7">
        <v>25.73</v>
      </c>
      <c r="T1022" s="13">
        <v>0.7</v>
      </c>
      <c r="U1022" s="6" t="s">
        <v>60</v>
      </c>
      <c r="V1022" s="6" t="s">
        <v>135</v>
      </c>
      <c r="W1022" s="7">
        <v>18.010000000000002</v>
      </c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</row>
  </sheetData>
  <sortState xmlns:xlrd2="http://schemas.microsoft.com/office/spreadsheetml/2017/richdata2" ref="A2:BC1022">
    <sortCondition ref="L2:L102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700F-2AA3-4043-A7C9-26E061DFB776}">
  <dimension ref="A1:BA211"/>
  <sheetViews>
    <sheetView tabSelected="1" topLeftCell="G88" workbookViewId="0">
      <selection activeCell="O101" sqref="O101"/>
    </sheetView>
  </sheetViews>
  <sheetFormatPr defaultRowHeight="15" x14ac:dyDescent="0.25"/>
  <cols>
    <col min="1" max="1" width="11" bestFit="1" customWidth="1"/>
    <col min="4" max="4" width="17.28515625" bestFit="1" customWidth="1"/>
    <col min="8" max="8" width="21.42578125" customWidth="1"/>
    <col min="9" max="9" width="43" bestFit="1" customWidth="1"/>
    <col min="13" max="13" width="15.42578125" bestFit="1" customWidth="1"/>
    <col min="15" max="15" width="13.5703125" bestFit="1" customWidth="1"/>
    <col min="17" max="17" width="12" bestFit="1" customWidth="1"/>
    <col min="18" max="18" width="10.28515625" customWidth="1"/>
  </cols>
  <sheetData>
    <row r="1" spans="1:33" x14ac:dyDescent="0.25">
      <c r="A1" t="s">
        <v>3</v>
      </c>
      <c r="B1" t="s">
        <v>4</v>
      </c>
      <c r="C1" t="s">
        <v>5</v>
      </c>
      <c r="E1" t="s">
        <v>6</v>
      </c>
      <c r="F1" t="s">
        <v>7</v>
      </c>
      <c r="G1" t="s">
        <v>8</v>
      </c>
      <c r="H1" t="s">
        <v>9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38</v>
      </c>
      <c r="AA1" t="s">
        <v>39</v>
      </c>
      <c r="AB1" t="s">
        <v>40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</row>
    <row r="2" spans="1:33" x14ac:dyDescent="0.25">
      <c r="A2">
        <v>2033126465</v>
      </c>
      <c r="B2" t="s">
        <v>965</v>
      </c>
      <c r="C2" t="s">
        <v>592</v>
      </c>
      <c r="D2" t="str">
        <f>CONCATENATE(C2," ",B2)</f>
        <v>MONICA WIGGINS</v>
      </c>
      <c r="E2" t="s">
        <v>51</v>
      </c>
      <c r="F2" t="s">
        <v>392</v>
      </c>
      <c r="G2" t="s">
        <v>383</v>
      </c>
      <c r="H2" t="s">
        <v>400</v>
      </c>
      <c r="I2" t="s">
        <v>1172</v>
      </c>
      <c r="J2">
        <v>5442438</v>
      </c>
      <c r="K2" t="s">
        <v>355</v>
      </c>
      <c r="L2" t="s">
        <v>356</v>
      </c>
      <c r="M2" t="str">
        <f t="shared" ref="M2:M33" si="0">CONCATENATE(L2," ",K2)</f>
        <v>Ronald Max</v>
      </c>
      <c r="N2" t="s">
        <v>144</v>
      </c>
      <c r="O2" s="1">
        <v>46054</v>
      </c>
      <c r="P2" s="1">
        <v>46062</v>
      </c>
      <c r="Q2" s="1">
        <v>46082</v>
      </c>
      <c r="R2" s="2">
        <v>-78.97</v>
      </c>
      <c r="S2" s="3">
        <v>0.7</v>
      </c>
      <c r="T2" s="2">
        <v>0</v>
      </c>
      <c r="U2">
        <v>-1</v>
      </c>
      <c r="V2" t="s">
        <v>60</v>
      </c>
      <c r="W2" t="s">
        <v>135</v>
      </c>
      <c r="X2">
        <v>0</v>
      </c>
      <c r="Y2" s="2">
        <v>0</v>
      </c>
      <c r="Z2" s="2">
        <v>-55.28</v>
      </c>
      <c r="AA2" s="2">
        <v>-55.28</v>
      </c>
      <c r="AB2" s="2">
        <v>0</v>
      </c>
    </row>
    <row r="3" spans="1:33" x14ac:dyDescent="0.25">
      <c r="A3">
        <v>2022013866</v>
      </c>
      <c r="B3" t="s">
        <v>638</v>
      </c>
      <c r="C3" t="s">
        <v>639</v>
      </c>
      <c r="D3" t="str">
        <f t="shared" ref="D3:D66" si="1">CONCATENATE(C3," ",B3)</f>
        <v>JARED HUGHES</v>
      </c>
      <c r="E3" t="s">
        <v>51</v>
      </c>
      <c r="F3" t="s">
        <v>209</v>
      </c>
      <c r="G3" t="s">
        <v>383</v>
      </c>
      <c r="H3" t="s">
        <v>1172</v>
      </c>
      <c r="I3" t="s">
        <v>1172</v>
      </c>
      <c r="J3">
        <v>8977234</v>
      </c>
      <c r="K3" t="s">
        <v>162</v>
      </c>
      <c r="L3" t="s">
        <v>180</v>
      </c>
      <c r="M3" t="str">
        <f t="shared" si="0"/>
        <v>RYAN CALTAGIRONE</v>
      </c>
      <c r="N3" t="s">
        <v>144</v>
      </c>
      <c r="O3" s="1">
        <v>45383</v>
      </c>
      <c r="P3" s="1">
        <v>46055</v>
      </c>
      <c r="Q3" s="1">
        <v>46082</v>
      </c>
      <c r="R3" s="2">
        <v>-23.39</v>
      </c>
      <c r="S3" s="3">
        <v>0.15</v>
      </c>
      <c r="T3" s="2">
        <v>0</v>
      </c>
      <c r="U3">
        <v>-1</v>
      </c>
      <c r="V3" t="s">
        <v>157</v>
      </c>
      <c r="W3" t="s">
        <v>135</v>
      </c>
      <c r="X3">
        <v>0</v>
      </c>
      <c r="Y3" s="2">
        <v>0</v>
      </c>
      <c r="Z3" s="2">
        <v>-3.51</v>
      </c>
      <c r="AA3" s="2">
        <v>-3.51</v>
      </c>
      <c r="AB3" s="2">
        <v>0</v>
      </c>
    </row>
    <row r="4" spans="1:33" x14ac:dyDescent="0.25">
      <c r="A4">
        <v>2028315762</v>
      </c>
      <c r="B4" t="s">
        <v>1000</v>
      </c>
      <c r="C4" t="s">
        <v>545</v>
      </c>
      <c r="D4" t="str">
        <f t="shared" si="1"/>
        <v>MARY STURGEON</v>
      </c>
      <c r="E4" t="s">
        <v>51</v>
      </c>
      <c r="F4" t="s">
        <v>116</v>
      </c>
      <c r="G4" t="s">
        <v>383</v>
      </c>
      <c r="H4" t="s">
        <v>400</v>
      </c>
      <c r="I4" t="s">
        <v>1172</v>
      </c>
      <c r="J4">
        <v>8977234</v>
      </c>
      <c r="K4" t="s">
        <v>162</v>
      </c>
      <c r="L4" t="s">
        <v>180</v>
      </c>
      <c r="M4" t="str">
        <f t="shared" si="0"/>
        <v>RYAN CALTAGIRONE</v>
      </c>
      <c r="N4" t="s">
        <v>144</v>
      </c>
      <c r="O4" s="1">
        <v>45778</v>
      </c>
      <c r="P4" s="1">
        <v>46055</v>
      </c>
      <c r="Q4" s="1">
        <v>46082</v>
      </c>
      <c r="R4" s="2">
        <v>-8.3699999999999992</v>
      </c>
      <c r="S4" s="3">
        <v>0.7</v>
      </c>
      <c r="T4" s="2">
        <v>0</v>
      </c>
      <c r="U4">
        <v>-1</v>
      </c>
      <c r="V4" t="s">
        <v>60</v>
      </c>
      <c r="W4" t="s">
        <v>135</v>
      </c>
      <c r="X4">
        <v>0</v>
      </c>
      <c r="Y4" s="2">
        <v>0</v>
      </c>
      <c r="Z4" s="2">
        <v>-5.86</v>
      </c>
      <c r="AA4" s="2">
        <v>-5.86</v>
      </c>
      <c r="AB4" s="2">
        <v>0</v>
      </c>
    </row>
    <row r="5" spans="1:33" x14ac:dyDescent="0.25">
      <c r="A5">
        <v>2029844784</v>
      </c>
      <c r="B5" t="s">
        <v>211</v>
      </c>
      <c r="C5" t="s">
        <v>294</v>
      </c>
      <c r="D5" t="str">
        <f t="shared" si="1"/>
        <v>CAMPANELLA ANTHONY</v>
      </c>
      <c r="E5" t="s">
        <v>51</v>
      </c>
      <c r="F5" t="s">
        <v>66</v>
      </c>
      <c r="G5" t="s">
        <v>378</v>
      </c>
      <c r="H5" t="s">
        <v>380</v>
      </c>
      <c r="I5" t="s">
        <v>380</v>
      </c>
      <c r="J5">
        <v>16912722</v>
      </c>
      <c r="K5" t="s">
        <v>295</v>
      </c>
      <c r="L5" t="s">
        <v>296</v>
      </c>
      <c r="M5" t="str">
        <f t="shared" si="0"/>
        <v>ANDREA PETRUNGARO</v>
      </c>
      <c r="N5" t="s">
        <v>144</v>
      </c>
      <c r="O5" s="1">
        <v>45849</v>
      </c>
      <c r="P5" s="1">
        <v>46062</v>
      </c>
      <c r="Q5" s="1">
        <v>46064</v>
      </c>
      <c r="R5" s="2">
        <v>-603.08000000000004</v>
      </c>
      <c r="S5" s="3">
        <v>0.38</v>
      </c>
      <c r="T5" s="2">
        <v>0</v>
      </c>
      <c r="U5">
        <v>-1</v>
      </c>
      <c r="V5" t="s">
        <v>60</v>
      </c>
      <c r="W5" t="s">
        <v>135</v>
      </c>
      <c r="X5">
        <v>0</v>
      </c>
      <c r="Y5" s="2">
        <v>0</v>
      </c>
      <c r="Z5" s="2">
        <v>-229.17</v>
      </c>
      <c r="AA5" s="2">
        <v>-229.17</v>
      </c>
      <c r="AB5" s="2">
        <v>0</v>
      </c>
    </row>
    <row r="6" spans="1:33" x14ac:dyDescent="0.25">
      <c r="A6">
        <v>2029844785</v>
      </c>
      <c r="B6" t="s">
        <v>211</v>
      </c>
      <c r="C6" t="s">
        <v>294</v>
      </c>
      <c r="D6" t="str">
        <f t="shared" si="1"/>
        <v>CAMPANELLA ANTHONY</v>
      </c>
      <c r="E6" t="s">
        <v>51</v>
      </c>
      <c r="F6" t="s">
        <v>66</v>
      </c>
      <c r="G6" t="s">
        <v>378</v>
      </c>
      <c r="H6" t="s">
        <v>381</v>
      </c>
      <c r="I6" t="s">
        <v>380</v>
      </c>
      <c r="J6">
        <v>16912722</v>
      </c>
      <c r="K6" t="s">
        <v>295</v>
      </c>
      <c r="L6" t="s">
        <v>296</v>
      </c>
      <c r="M6" t="str">
        <f t="shared" si="0"/>
        <v>ANDREA PETRUNGARO</v>
      </c>
      <c r="N6" t="s">
        <v>144</v>
      </c>
      <c r="O6" s="1">
        <v>45849</v>
      </c>
      <c r="P6" s="1">
        <v>46062</v>
      </c>
      <c r="Q6" s="1">
        <v>46064</v>
      </c>
      <c r="R6" s="2">
        <v>-9.3800000000000008</v>
      </c>
      <c r="S6" s="3">
        <v>0.38</v>
      </c>
      <c r="T6" s="2">
        <v>0</v>
      </c>
      <c r="U6">
        <v>-1</v>
      </c>
      <c r="V6" t="s">
        <v>60</v>
      </c>
      <c r="W6" t="s">
        <v>135</v>
      </c>
      <c r="X6">
        <v>0</v>
      </c>
      <c r="Y6" s="2">
        <v>0</v>
      </c>
      <c r="Z6" s="2">
        <v>-3.56</v>
      </c>
      <c r="AA6" s="2">
        <v>-3.56</v>
      </c>
      <c r="AB6" s="2">
        <v>0</v>
      </c>
    </row>
    <row r="7" spans="1:33" x14ac:dyDescent="0.25">
      <c r="A7">
        <v>2033397213</v>
      </c>
      <c r="B7" t="s">
        <v>620</v>
      </c>
      <c r="C7" t="s">
        <v>539</v>
      </c>
      <c r="D7" t="str">
        <f t="shared" si="1"/>
        <v>YVETTE SEXTON</v>
      </c>
      <c r="E7" t="s">
        <v>51</v>
      </c>
      <c r="F7" t="s">
        <v>90</v>
      </c>
      <c r="G7" t="s">
        <v>378</v>
      </c>
      <c r="H7" t="s">
        <v>380</v>
      </c>
      <c r="I7" t="s">
        <v>380</v>
      </c>
      <c r="J7">
        <v>17554531</v>
      </c>
      <c r="K7" t="s">
        <v>405</v>
      </c>
      <c r="L7" t="s">
        <v>406</v>
      </c>
      <c r="M7" t="str">
        <f t="shared" si="0"/>
        <v>Brittany Oliver</v>
      </c>
      <c r="N7" t="s">
        <v>144</v>
      </c>
      <c r="O7" s="1">
        <v>46052</v>
      </c>
      <c r="P7" s="1">
        <v>46062</v>
      </c>
      <c r="Q7" s="1">
        <v>46081</v>
      </c>
      <c r="R7" s="2">
        <v>-223.91</v>
      </c>
      <c r="S7" s="3">
        <v>0.38</v>
      </c>
      <c r="T7" s="2">
        <v>0</v>
      </c>
      <c r="U7">
        <v>-1</v>
      </c>
      <c r="V7" t="s">
        <v>60</v>
      </c>
      <c r="W7" t="s">
        <v>135</v>
      </c>
      <c r="X7">
        <v>0</v>
      </c>
      <c r="Y7" s="2">
        <v>0</v>
      </c>
      <c r="Z7" s="2">
        <v>-85.09</v>
      </c>
      <c r="AA7" s="2">
        <v>-85.09</v>
      </c>
      <c r="AB7" s="2">
        <v>0</v>
      </c>
    </row>
    <row r="8" spans="1:33" x14ac:dyDescent="0.25">
      <c r="A8">
        <v>2033397214</v>
      </c>
      <c r="B8" t="s">
        <v>620</v>
      </c>
      <c r="C8" t="s">
        <v>539</v>
      </c>
      <c r="D8" t="str">
        <f t="shared" si="1"/>
        <v>YVETTE SEXTON</v>
      </c>
      <c r="E8" t="s">
        <v>51</v>
      </c>
      <c r="F8" t="s">
        <v>90</v>
      </c>
      <c r="G8" t="s">
        <v>378</v>
      </c>
      <c r="H8" t="s">
        <v>381</v>
      </c>
      <c r="I8" t="s">
        <v>380</v>
      </c>
      <c r="J8">
        <v>17554531</v>
      </c>
      <c r="K8" t="s">
        <v>405</v>
      </c>
      <c r="L8" t="s">
        <v>406</v>
      </c>
      <c r="M8" t="str">
        <f t="shared" si="0"/>
        <v>Brittany Oliver</v>
      </c>
      <c r="N8" t="s">
        <v>144</v>
      </c>
      <c r="O8" s="1">
        <v>46052</v>
      </c>
      <c r="P8" s="1">
        <v>46062</v>
      </c>
      <c r="Q8" s="1">
        <v>46081</v>
      </c>
      <c r="R8" s="2">
        <v>-7.09</v>
      </c>
      <c r="S8" s="3">
        <v>0.38</v>
      </c>
      <c r="T8" s="2">
        <v>0</v>
      </c>
      <c r="U8">
        <v>-1</v>
      </c>
      <c r="V8" t="s">
        <v>60</v>
      </c>
      <c r="W8" t="s">
        <v>135</v>
      </c>
      <c r="X8">
        <v>0</v>
      </c>
      <c r="Y8" s="2">
        <v>0</v>
      </c>
      <c r="Z8" s="2">
        <v>-2.69</v>
      </c>
      <c r="AA8" s="2">
        <v>-2.69</v>
      </c>
      <c r="AB8" s="2">
        <v>0</v>
      </c>
    </row>
    <row r="9" spans="1:33" x14ac:dyDescent="0.25">
      <c r="A9">
        <v>2020855629</v>
      </c>
      <c r="B9" t="s">
        <v>467</v>
      </c>
      <c r="C9" t="s">
        <v>468</v>
      </c>
      <c r="D9" t="str">
        <f t="shared" si="1"/>
        <v>AMBER DEALESSANDRO</v>
      </c>
      <c r="E9" t="s">
        <v>51</v>
      </c>
      <c r="F9" t="s">
        <v>90</v>
      </c>
      <c r="G9" t="s">
        <v>72</v>
      </c>
      <c r="H9" t="s">
        <v>79</v>
      </c>
      <c r="I9" t="s">
        <v>1329</v>
      </c>
      <c r="J9">
        <v>8307933</v>
      </c>
      <c r="K9" t="s">
        <v>80</v>
      </c>
      <c r="L9" t="s">
        <v>81</v>
      </c>
      <c r="M9" t="str">
        <f t="shared" si="0"/>
        <v>GREGORY TEIPEL</v>
      </c>
      <c r="N9" t="s">
        <v>144</v>
      </c>
      <c r="O9" s="1">
        <v>45265</v>
      </c>
      <c r="P9" s="1">
        <v>46062</v>
      </c>
      <c r="Q9" s="1">
        <v>46086</v>
      </c>
      <c r="R9" s="2">
        <v>-66.680000000000007</v>
      </c>
      <c r="S9" s="3">
        <v>0.1</v>
      </c>
      <c r="T9" s="2">
        <v>0</v>
      </c>
      <c r="U9">
        <v>-1</v>
      </c>
      <c r="V9" t="s">
        <v>157</v>
      </c>
      <c r="W9" t="s">
        <v>135</v>
      </c>
      <c r="X9">
        <v>0</v>
      </c>
      <c r="Y9" s="2">
        <v>0</v>
      </c>
      <c r="Z9" s="2">
        <v>-6.67</v>
      </c>
      <c r="AA9" s="2">
        <v>-6.67</v>
      </c>
      <c r="AB9" s="2">
        <v>0</v>
      </c>
    </row>
    <row r="10" spans="1:33" x14ac:dyDescent="0.25">
      <c r="A10">
        <v>2029031424</v>
      </c>
      <c r="B10" t="s">
        <v>110</v>
      </c>
      <c r="C10" t="s">
        <v>1007</v>
      </c>
      <c r="D10" t="str">
        <f t="shared" si="1"/>
        <v>RAGEN THIGPEN</v>
      </c>
      <c r="E10" t="s">
        <v>51</v>
      </c>
      <c r="F10" t="s">
        <v>112</v>
      </c>
      <c r="G10" t="s">
        <v>72</v>
      </c>
      <c r="H10" t="s">
        <v>79</v>
      </c>
      <c r="I10" t="s">
        <v>1329</v>
      </c>
      <c r="J10">
        <v>8307933</v>
      </c>
      <c r="K10" t="s">
        <v>80</v>
      </c>
      <c r="L10" t="s">
        <v>81</v>
      </c>
      <c r="M10" t="str">
        <f t="shared" si="0"/>
        <v>GREGORY TEIPEL</v>
      </c>
      <c r="N10" t="s">
        <v>144</v>
      </c>
      <c r="O10" s="1">
        <v>45815</v>
      </c>
      <c r="P10" s="1">
        <v>46062</v>
      </c>
      <c r="Q10" s="1">
        <v>46088</v>
      </c>
      <c r="R10" s="2">
        <v>-163.80000000000001</v>
      </c>
      <c r="S10" s="3">
        <v>0.75</v>
      </c>
      <c r="T10" s="2">
        <v>0</v>
      </c>
      <c r="U10">
        <v>-1</v>
      </c>
      <c r="V10" t="s">
        <v>60</v>
      </c>
      <c r="W10" t="s">
        <v>135</v>
      </c>
      <c r="X10">
        <v>0</v>
      </c>
      <c r="Y10" s="2">
        <v>0</v>
      </c>
      <c r="Z10" s="2">
        <v>-122.85</v>
      </c>
      <c r="AA10" s="2">
        <v>-122.85</v>
      </c>
      <c r="AB10" s="2">
        <v>0</v>
      </c>
    </row>
    <row r="11" spans="1:33" x14ac:dyDescent="0.25">
      <c r="A11">
        <v>2029031424</v>
      </c>
      <c r="B11" t="s">
        <v>110</v>
      </c>
      <c r="C11" t="s">
        <v>1007</v>
      </c>
      <c r="D11" t="str">
        <f t="shared" si="1"/>
        <v>RAGEN THIGPEN</v>
      </c>
      <c r="E11" t="s">
        <v>51</v>
      </c>
      <c r="F11" t="s">
        <v>112</v>
      </c>
      <c r="G11" t="s">
        <v>72</v>
      </c>
      <c r="H11" t="s">
        <v>79</v>
      </c>
      <c r="I11" t="s">
        <v>1329</v>
      </c>
      <c r="J11">
        <v>8307933</v>
      </c>
      <c r="K11" t="s">
        <v>80</v>
      </c>
      <c r="L11" t="s">
        <v>81</v>
      </c>
      <c r="M11" t="str">
        <f t="shared" si="0"/>
        <v>GREGORY TEIPEL</v>
      </c>
      <c r="N11" t="s">
        <v>144</v>
      </c>
      <c r="O11" s="1">
        <v>45815</v>
      </c>
      <c r="P11" s="1">
        <v>46062</v>
      </c>
      <c r="Q11" s="1">
        <v>46088</v>
      </c>
      <c r="R11" s="2">
        <v>163.80000000000001</v>
      </c>
      <c r="S11" s="3">
        <v>0.75</v>
      </c>
      <c r="T11" s="2">
        <v>0</v>
      </c>
      <c r="U11">
        <v>0</v>
      </c>
      <c r="V11" t="s">
        <v>60</v>
      </c>
      <c r="W11" t="s">
        <v>135</v>
      </c>
      <c r="X11">
        <v>0</v>
      </c>
      <c r="Y11" s="2">
        <v>0</v>
      </c>
      <c r="Z11" s="2">
        <v>122.85</v>
      </c>
      <c r="AA11" s="2">
        <v>122.85</v>
      </c>
      <c r="AB11" s="2">
        <v>0</v>
      </c>
    </row>
    <row r="12" spans="1:33" x14ac:dyDescent="0.25">
      <c r="A12">
        <v>2029031424</v>
      </c>
      <c r="B12" t="s">
        <v>110</v>
      </c>
      <c r="C12" t="s">
        <v>1007</v>
      </c>
      <c r="D12" t="str">
        <f t="shared" si="1"/>
        <v>RAGEN THIGPEN</v>
      </c>
      <c r="E12" t="s">
        <v>51</v>
      </c>
      <c r="F12" t="s">
        <v>112</v>
      </c>
      <c r="G12" t="s">
        <v>72</v>
      </c>
      <c r="H12" t="s">
        <v>79</v>
      </c>
      <c r="I12" t="s">
        <v>1329</v>
      </c>
      <c r="J12">
        <v>8307933</v>
      </c>
      <c r="K12" t="s">
        <v>80</v>
      </c>
      <c r="L12" t="s">
        <v>81</v>
      </c>
      <c r="M12" t="str">
        <f t="shared" si="0"/>
        <v>GREGORY TEIPEL</v>
      </c>
      <c r="N12" t="s">
        <v>144</v>
      </c>
      <c r="O12" s="1">
        <v>45815</v>
      </c>
      <c r="P12" s="1">
        <v>46062</v>
      </c>
      <c r="Q12" s="1">
        <v>46088</v>
      </c>
      <c r="R12" s="2">
        <v>-1233.9000000000001</v>
      </c>
      <c r="S12" s="3">
        <v>0.75</v>
      </c>
      <c r="T12" s="2">
        <v>0</v>
      </c>
      <c r="U12">
        <v>-1</v>
      </c>
      <c r="V12" t="s">
        <v>60</v>
      </c>
      <c r="W12" t="s">
        <v>135</v>
      </c>
      <c r="X12">
        <v>0</v>
      </c>
      <c r="Y12" s="2">
        <v>0</v>
      </c>
      <c r="Z12" s="2">
        <v>-925.42</v>
      </c>
      <c r="AA12" s="2">
        <v>-925.42</v>
      </c>
      <c r="AB12" s="2">
        <v>0</v>
      </c>
    </row>
    <row r="13" spans="1:33" x14ac:dyDescent="0.25">
      <c r="A13">
        <v>2032490948</v>
      </c>
      <c r="B13" t="s">
        <v>850</v>
      </c>
      <c r="C13" t="s">
        <v>851</v>
      </c>
      <c r="D13" t="str">
        <f t="shared" si="1"/>
        <v>MICAELEE NEILSON</v>
      </c>
      <c r="E13" t="s">
        <v>51</v>
      </c>
      <c r="F13" t="s">
        <v>90</v>
      </c>
      <c r="G13" t="s">
        <v>72</v>
      </c>
      <c r="H13" t="s">
        <v>73</v>
      </c>
      <c r="I13" t="s">
        <v>1329</v>
      </c>
      <c r="J13">
        <v>1706194</v>
      </c>
      <c r="K13" t="s">
        <v>74</v>
      </c>
      <c r="L13" t="s">
        <v>75</v>
      </c>
      <c r="M13" t="str">
        <f t="shared" si="0"/>
        <v>MATTHEW DAUGHERTY</v>
      </c>
      <c r="N13" t="s">
        <v>144</v>
      </c>
      <c r="O13" s="1">
        <v>46023</v>
      </c>
      <c r="P13" s="1">
        <v>46055</v>
      </c>
      <c r="Q13" s="1">
        <v>46082</v>
      </c>
      <c r="R13" s="2">
        <v>-104.66</v>
      </c>
      <c r="S13" s="3">
        <v>0.75</v>
      </c>
      <c r="T13" s="2">
        <v>0</v>
      </c>
      <c r="U13">
        <v>-1</v>
      </c>
      <c r="V13" t="s">
        <v>60</v>
      </c>
      <c r="W13" t="s">
        <v>135</v>
      </c>
      <c r="X13">
        <v>0</v>
      </c>
      <c r="Y13" s="2">
        <v>0</v>
      </c>
      <c r="Z13" s="2">
        <v>-78.5</v>
      </c>
      <c r="AA13" s="2">
        <v>-78.5</v>
      </c>
      <c r="AB13" s="2">
        <v>0</v>
      </c>
    </row>
    <row r="14" spans="1:33" x14ac:dyDescent="0.25">
      <c r="A14">
        <v>2032586742</v>
      </c>
      <c r="B14" t="s">
        <v>865</v>
      </c>
      <c r="C14" t="s">
        <v>866</v>
      </c>
      <c r="D14" t="str">
        <f t="shared" si="1"/>
        <v>LATOY CLARK</v>
      </c>
      <c r="E14" t="s">
        <v>51</v>
      </c>
      <c r="F14" t="s">
        <v>66</v>
      </c>
      <c r="G14" t="s">
        <v>72</v>
      </c>
      <c r="H14" t="s">
        <v>73</v>
      </c>
      <c r="I14" t="s">
        <v>1329</v>
      </c>
      <c r="J14">
        <v>16633294</v>
      </c>
      <c r="K14" t="s">
        <v>108</v>
      </c>
      <c r="L14" t="s">
        <v>394</v>
      </c>
      <c r="M14" t="str">
        <f t="shared" si="0"/>
        <v>Richard Yale</v>
      </c>
      <c r="N14" t="s">
        <v>144</v>
      </c>
      <c r="O14" s="1">
        <v>46023</v>
      </c>
      <c r="P14" s="1">
        <v>46055</v>
      </c>
      <c r="Q14" s="1">
        <v>46082</v>
      </c>
      <c r="R14" s="2">
        <v>-73.72</v>
      </c>
      <c r="S14" s="3">
        <v>0.75</v>
      </c>
      <c r="T14" s="2">
        <v>0</v>
      </c>
      <c r="U14">
        <v>-1</v>
      </c>
      <c r="V14" t="s">
        <v>60</v>
      </c>
      <c r="W14" t="s">
        <v>135</v>
      </c>
      <c r="X14">
        <v>0</v>
      </c>
      <c r="Y14" s="2">
        <v>0</v>
      </c>
      <c r="Z14" s="2">
        <v>-55.29</v>
      </c>
      <c r="AA14" s="2">
        <v>-55.29</v>
      </c>
      <c r="AB14" s="2">
        <v>0</v>
      </c>
    </row>
    <row r="15" spans="1:33" x14ac:dyDescent="0.25">
      <c r="A15">
        <v>2032750953</v>
      </c>
      <c r="B15" t="s">
        <v>865</v>
      </c>
      <c r="C15" t="s">
        <v>512</v>
      </c>
      <c r="D15" t="str">
        <f t="shared" si="1"/>
        <v>JOSEPH CLARK</v>
      </c>
      <c r="E15" t="s">
        <v>51</v>
      </c>
      <c r="F15" t="s">
        <v>746</v>
      </c>
      <c r="G15" t="s">
        <v>72</v>
      </c>
      <c r="H15" t="s">
        <v>73</v>
      </c>
      <c r="I15" t="s">
        <v>1329</v>
      </c>
      <c r="J15">
        <v>8307933</v>
      </c>
      <c r="K15" t="s">
        <v>80</v>
      </c>
      <c r="L15" t="s">
        <v>81</v>
      </c>
      <c r="M15" t="str">
        <f t="shared" si="0"/>
        <v>GREGORY TEIPEL</v>
      </c>
      <c r="N15" t="s">
        <v>144</v>
      </c>
      <c r="O15" s="1">
        <v>46023</v>
      </c>
      <c r="P15" s="1">
        <v>46055</v>
      </c>
      <c r="Q15" s="1">
        <v>46082</v>
      </c>
      <c r="R15" s="2">
        <v>-69.45</v>
      </c>
      <c r="S15" s="3">
        <v>0.75</v>
      </c>
      <c r="T15" s="2">
        <v>0</v>
      </c>
      <c r="U15">
        <v>-1</v>
      </c>
      <c r="V15" t="s">
        <v>60</v>
      </c>
      <c r="W15" t="s">
        <v>135</v>
      </c>
      <c r="X15">
        <v>0</v>
      </c>
      <c r="Y15" s="2">
        <v>0</v>
      </c>
      <c r="Z15" s="2">
        <v>-52.09</v>
      </c>
      <c r="AA15" s="2">
        <v>-52.09</v>
      </c>
      <c r="AB15" s="2">
        <v>0</v>
      </c>
    </row>
    <row r="16" spans="1:33" x14ac:dyDescent="0.25">
      <c r="A16">
        <v>2033052910</v>
      </c>
      <c r="B16" t="s">
        <v>546</v>
      </c>
      <c r="C16" t="s">
        <v>943</v>
      </c>
      <c r="D16" t="str">
        <f t="shared" si="1"/>
        <v>DARBRA HERRICK</v>
      </c>
      <c r="E16" t="s">
        <v>51</v>
      </c>
      <c r="F16" t="s">
        <v>750</v>
      </c>
      <c r="G16" t="s">
        <v>72</v>
      </c>
      <c r="H16" t="s">
        <v>73</v>
      </c>
      <c r="I16" t="s">
        <v>1329</v>
      </c>
      <c r="J16">
        <v>8977234</v>
      </c>
      <c r="K16" t="s">
        <v>162</v>
      </c>
      <c r="L16" t="s">
        <v>180</v>
      </c>
      <c r="M16" t="str">
        <f t="shared" si="0"/>
        <v>RYAN CALTAGIRONE</v>
      </c>
      <c r="N16" t="s">
        <v>144</v>
      </c>
      <c r="O16" s="1">
        <v>46054</v>
      </c>
      <c r="P16" s="1">
        <v>46062</v>
      </c>
      <c r="Q16" s="1">
        <v>46082</v>
      </c>
      <c r="R16" s="2">
        <v>-67.63</v>
      </c>
      <c r="S16" s="3">
        <v>0.75</v>
      </c>
      <c r="T16" s="2">
        <v>0</v>
      </c>
      <c r="U16">
        <v>-1</v>
      </c>
      <c r="V16" t="s">
        <v>60</v>
      </c>
      <c r="W16" t="s">
        <v>135</v>
      </c>
      <c r="X16">
        <v>0</v>
      </c>
      <c r="Y16" s="2">
        <v>0</v>
      </c>
      <c r="Z16" s="2">
        <v>-50.72</v>
      </c>
      <c r="AA16" s="2">
        <v>-50.72</v>
      </c>
      <c r="AB16" s="2">
        <v>0</v>
      </c>
    </row>
    <row r="17" spans="1:28" x14ac:dyDescent="0.25">
      <c r="A17">
        <v>2026187013</v>
      </c>
      <c r="B17" t="s">
        <v>533</v>
      </c>
      <c r="C17" t="s">
        <v>534</v>
      </c>
      <c r="D17" t="str">
        <f t="shared" si="1"/>
        <v>ALBERT CONKLIN</v>
      </c>
      <c r="E17" t="s">
        <v>51</v>
      </c>
      <c r="F17" t="s">
        <v>170</v>
      </c>
      <c r="G17" t="s">
        <v>72</v>
      </c>
      <c r="H17" t="s">
        <v>455</v>
      </c>
      <c r="I17" t="s">
        <v>1330</v>
      </c>
      <c r="J17">
        <v>371819</v>
      </c>
      <c r="K17" t="s">
        <v>310</v>
      </c>
      <c r="L17" t="s">
        <v>311</v>
      </c>
      <c r="M17" t="str">
        <f t="shared" si="0"/>
        <v>THOMAS PARDUE</v>
      </c>
      <c r="N17" t="s">
        <v>144</v>
      </c>
      <c r="O17" s="1">
        <v>45658</v>
      </c>
      <c r="P17" s="1">
        <v>46062</v>
      </c>
      <c r="Q17" s="1">
        <v>46082</v>
      </c>
      <c r="R17" s="2">
        <v>-59.37</v>
      </c>
      <c r="S17" s="3">
        <v>0.1</v>
      </c>
      <c r="T17" s="2">
        <v>0</v>
      </c>
      <c r="U17">
        <v>-1</v>
      </c>
      <c r="V17" t="s">
        <v>157</v>
      </c>
      <c r="W17" t="s">
        <v>135</v>
      </c>
      <c r="X17">
        <v>0</v>
      </c>
      <c r="Y17" s="2">
        <v>0</v>
      </c>
      <c r="Z17" s="2">
        <v>-5.94</v>
      </c>
      <c r="AA17" s="2">
        <v>-5.94</v>
      </c>
      <c r="AB17" s="2">
        <v>0</v>
      </c>
    </row>
    <row r="18" spans="1:28" x14ac:dyDescent="0.25">
      <c r="A18">
        <v>2029955373</v>
      </c>
      <c r="B18" t="s">
        <v>759</v>
      </c>
      <c r="C18" t="s">
        <v>622</v>
      </c>
      <c r="D18" t="str">
        <f t="shared" si="1"/>
        <v>MELISSA LOUIE</v>
      </c>
      <c r="E18" t="s">
        <v>51</v>
      </c>
      <c r="F18" t="s">
        <v>274</v>
      </c>
      <c r="G18" t="s">
        <v>72</v>
      </c>
      <c r="H18" t="s">
        <v>455</v>
      </c>
      <c r="I18" t="s">
        <v>1330</v>
      </c>
      <c r="J18">
        <v>6634327</v>
      </c>
      <c r="K18" t="s">
        <v>563</v>
      </c>
      <c r="L18" t="s">
        <v>564</v>
      </c>
      <c r="M18" t="str">
        <f t="shared" si="0"/>
        <v>Joel Lee</v>
      </c>
      <c r="N18" t="s">
        <v>144</v>
      </c>
      <c r="O18" s="1">
        <v>45853</v>
      </c>
      <c r="P18" s="1">
        <v>46062</v>
      </c>
      <c r="Q18" s="1">
        <v>46068</v>
      </c>
      <c r="R18" s="2">
        <v>-38.68</v>
      </c>
      <c r="S18" s="3">
        <v>0.65</v>
      </c>
      <c r="T18" s="2">
        <v>0</v>
      </c>
      <c r="U18">
        <v>-1</v>
      </c>
      <c r="V18" t="s">
        <v>60</v>
      </c>
      <c r="W18" t="s">
        <v>135</v>
      </c>
      <c r="X18">
        <v>0</v>
      </c>
      <c r="Y18" s="2">
        <v>0</v>
      </c>
      <c r="Z18" s="2">
        <v>-25.14</v>
      </c>
      <c r="AA18" s="2">
        <v>-25.14</v>
      </c>
      <c r="AB18" s="2">
        <v>0</v>
      </c>
    </row>
    <row r="19" spans="1:28" x14ac:dyDescent="0.25">
      <c r="A19">
        <v>2028315761</v>
      </c>
      <c r="B19" t="s">
        <v>1000</v>
      </c>
      <c r="C19" t="s">
        <v>545</v>
      </c>
      <c r="D19" t="str">
        <f t="shared" si="1"/>
        <v>MARY STURGEON</v>
      </c>
      <c r="E19" t="s">
        <v>51</v>
      </c>
      <c r="F19" t="s">
        <v>116</v>
      </c>
      <c r="G19" t="s">
        <v>72</v>
      </c>
      <c r="H19" t="s">
        <v>93</v>
      </c>
      <c r="I19" t="s">
        <v>1332</v>
      </c>
      <c r="J19">
        <v>8977234</v>
      </c>
      <c r="K19" t="s">
        <v>162</v>
      </c>
      <c r="L19" t="s">
        <v>180</v>
      </c>
      <c r="M19" t="str">
        <f t="shared" si="0"/>
        <v>RYAN CALTAGIRONE</v>
      </c>
      <c r="N19" t="s">
        <v>144</v>
      </c>
      <c r="O19" s="1">
        <v>45778</v>
      </c>
      <c r="P19" s="1">
        <v>46055</v>
      </c>
      <c r="Q19" s="1">
        <v>46082</v>
      </c>
      <c r="R19" s="2">
        <v>-152.54</v>
      </c>
      <c r="S19" s="3">
        <v>0.9</v>
      </c>
      <c r="T19" s="2">
        <v>0</v>
      </c>
      <c r="U19">
        <v>-1</v>
      </c>
      <c r="V19" t="s">
        <v>60</v>
      </c>
      <c r="W19" t="s">
        <v>135</v>
      </c>
      <c r="X19">
        <v>0</v>
      </c>
      <c r="Y19" s="2">
        <v>0</v>
      </c>
      <c r="Z19" s="2">
        <v>-137.29</v>
      </c>
      <c r="AA19" s="2">
        <v>-137.29</v>
      </c>
      <c r="AB19" s="2">
        <v>0</v>
      </c>
    </row>
    <row r="20" spans="1:28" x14ac:dyDescent="0.25">
      <c r="A20">
        <v>2028427595</v>
      </c>
      <c r="B20" t="s">
        <v>1002</v>
      </c>
      <c r="C20" t="s">
        <v>501</v>
      </c>
      <c r="D20" t="str">
        <f t="shared" si="1"/>
        <v>LINDA FRAZIER</v>
      </c>
      <c r="E20" t="s">
        <v>51</v>
      </c>
      <c r="F20" t="s">
        <v>116</v>
      </c>
      <c r="G20" t="s">
        <v>72</v>
      </c>
      <c r="H20" t="s">
        <v>93</v>
      </c>
      <c r="I20" t="s">
        <v>1332</v>
      </c>
      <c r="J20">
        <v>1706194</v>
      </c>
      <c r="K20" t="s">
        <v>74</v>
      </c>
      <c r="L20" t="s">
        <v>75</v>
      </c>
      <c r="M20" t="str">
        <f t="shared" si="0"/>
        <v>MATTHEW DAUGHERTY</v>
      </c>
      <c r="N20" t="s">
        <v>144</v>
      </c>
      <c r="O20" s="1">
        <v>45778</v>
      </c>
      <c r="P20" s="1">
        <v>46055</v>
      </c>
      <c r="Q20" s="1">
        <v>46082</v>
      </c>
      <c r="R20" s="2">
        <v>-62.62</v>
      </c>
      <c r="S20" s="3">
        <v>0.9</v>
      </c>
      <c r="T20" s="2">
        <v>0</v>
      </c>
      <c r="U20">
        <v>-1</v>
      </c>
      <c r="V20" t="s">
        <v>60</v>
      </c>
      <c r="W20" t="s">
        <v>135</v>
      </c>
      <c r="X20">
        <v>0</v>
      </c>
      <c r="Y20" s="2">
        <v>0</v>
      </c>
      <c r="Z20" s="2">
        <v>-56.36</v>
      </c>
      <c r="AA20" s="2">
        <v>-56.36</v>
      </c>
      <c r="AB20" s="2">
        <v>0</v>
      </c>
    </row>
    <row r="21" spans="1:28" x14ac:dyDescent="0.25">
      <c r="A21">
        <v>2028520984</v>
      </c>
      <c r="B21" t="s">
        <v>531</v>
      </c>
      <c r="C21" t="s">
        <v>712</v>
      </c>
      <c r="D21" t="str">
        <f t="shared" si="1"/>
        <v>SEJAL PATEL</v>
      </c>
      <c r="E21" t="s">
        <v>51</v>
      </c>
      <c r="F21" t="s">
        <v>66</v>
      </c>
      <c r="G21" t="s">
        <v>72</v>
      </c>
      <c r="H21" t="s">
        <v>93</v>
      </c>
      <c r="I21" t="s">
        <v>1332</v>
      </c>
      <c r="J21">
        <v>7470776</v>
      </c>
      <c r="K21" t="s">
        <v>569</v>
      </c>
      <c r="L21" t="s">
        <v>570</v>
      </c>
      <c r="M21" t="str">
        <f t="shared" si="0"/>
        <v>Andrew Choi</v>
      </c>
      <c r="N21" t="s">
        <v>144</v>
      </c>
      <c r="O21" s="1">
        <v>45778</v>
      </c>
      <c r="P21" s="1">
        <v>46062</v>
      </c>
      <c r="Q21" s="1">
        <v>46082</v>
      </c>
      <c r="R21" s="2">
        <v>-63.31</v>
      </c>
      <c r="S21" s="3">
        <v>0.9</v>
      </c>
      <c r="T21" s="2">
        <v>0</v>
      </c>
      <c r="U21">
        <v>-1</v>
      </c>
      <c r="V21" t="s">
        <v>60</v>
      </c>
      <c r="W21" t="s">
        <v>135</v>
      </c>
      <c r="X21">
        <v>0</v>
      </c>
      <c r="Y21" s="2">
        <v>0</v>
      </c>
      <c r="Z21" s="2">
        <v>-56.98</v>
      </c>
      <c r="AA21" s="2">
        <v>-56.98</v>
      </c>
      <c r="AB21" s="2">
        <v>0</v>
      </c>
    </row>
    <row r="22" spans="1:28" x14ac:dyDescent="0.25">
      <c r="A22">
        <v>2029169957</v>
      </c>
      <c r="B22" t="s">
        <v>1008</v>
      </c>
      <c r="C22" t="s">
        <v>197</v>
      </c>
      <c r="D22" t="str">
        <f t="shared" si="1"/>
        <v>LISA GOODWILLIE</v>
      </c>
      <c r="E22" t="s">
        <v>51</v>
      </c>
      <c r="F22" t="s">
        <v>397</v>
      </c>
      <c r="G22" t="s">
        <v>72</v>
      </c>
      <c r="H22" t="s">
        <v>93</v>
      </c>
      <c r="I22" t="s">
        <v>1332</v>
      </c>
      <c r="J22">
        <v>1706194</v>
      </c>
      <c r="K22" t="s">
        <v>74</v>
      </c>
      <c r="L22" t="s">
        <v>75</v>
      </c>
      <c r="M22" t="str">
        <f t="shared" si="0"/>
        <v>MATTHEW DAUGHERTY</v>
      </c>
      <c r="N22" t="s">
        <v>144</v>
      </c>
      <c r="O22" s="1">
        <v>45809</v>
      </c>
      <c r="P22" s="1">
        <v>46055</v>
      </c>
      <c r="Q22" s="1">
        <v>46082</v>
      </c>
      <c r="R22" s="2">
        <v>-487.2</v>
      </c>
      <c r="S22" s="3">
        <v>0.9</v>
      </c>
      <c r="T22" s="2">
        <v>0</v>
      </c>
      <c r="U22">
        <v>-1</v>
      </c>
      <c r="V22" t="s">
        <v>60</v>
      </c>
      <c r="W22" t="s">
        <v>135</v>
      </c>
      <c r="X22">
        <v>0</v>
      </c>
      <c r="Y22" s="2">
        <v>0</v>
      </c>
      <c r="Z22" s="2">
        <v>-438.48</v>
      </c>
      <c r="AA22" s="2">
        <v>-438.48</v>
      </c>
      <c r="AB22" s="2">
        <v>0</v>
      </c>
    </row>
    <row r="23" spans="1:28" x14ac:dyDescent="0.25">
      <c r="A23">
        <v>2030820713</v>
      </c>
      <c r="B23" t="s">
        <v>1046</v>
      </c>
      <c r="C23" t="s">
        <v>1047</v>
      </c>
      <c r="D23" t="str">
        <f t="shared" si="1"/>
        <v>KYLER GABBARD</v>
      </c>
      <c r="E23" t="s">
        <v>51</v>
      </c>
      <c r="F23" t="s">
        <v>78</v>
      </c>
      <c r="G23" t="s">
        <v>72</v>
      </c>
      <c r="H23" t="s">
        <v>93</v>
      </c>
      <c r="I23" t="s">
        <v>1332</v>
      </c>
      <c r="J23">
        <v>8307933</v>
      </c>
      <c r="K23" t="s">
        <v>80</v>
      </c>
      <c r="L23" t="s">
        <v>81</v>
      </c>
      <c r="M23" t="str">
        <f t="shared" si="0"/>
        <v>GREGORY TEIPEL</v>
      </c>
      <c r="N23" t="s">
        <v>144</v>
      </c>
      <c r="O23" s="1">
        <v>45936</v>
      </c>
      <c r="P23" s="1">
        <v>46062</v>
      </c>
      <c r="Q23" s="1">
        <v>46087</v>
      </c>
      <c r="R23" s="2">
        <v>61.25</v>
      </c>
      <c r="S23" s="3">
        <v>0.9</v>
      </c>
      <c r="T23" s="2">
        <v>0</v>
      </c>
      <c r="U23">
        <v>0</v>
      </c>
      <c r="V23" t="s">
        <v>60</v>
      </c>
      <c r="W23" t="s">
        <v>135</v>
      </c>
      <c r="X23">
        <v>0</v>
      </c>
      <c r="Y23" s="2">
        <v>0</v>
      </c>
      <c r="Z23" s="2">
        <v>55.12</v>
      </c>
      <c r="AA23" s="2">
        <v>55.12</v>
      </c>
      <c r="AB23" s="2">
        <v>0</v>
      </c>
    </row>
    <row r="24" spans="1:28" x14ac:dyDescent="0.25">
      <c r="A24">
        <v>2032706151</v>
      </c>
      <c r="B24" t="s">
        <v>914</v>
      </c>
      <c r="C24" t="s">
        <v>477</v>
      </c>
      <c r="D24" t="str">
        <f t="shared" si="1"/>
        <v>JULIE DOANE</v>
      </c>
      <c r="E24" t="s">
        <v>51</v>
      </c>
      <c r="F24" t="s">
        <v>71</v>
      </c>
      <c r="G24" t="s">
        <v>72</v>
      </c>
      <c r="H24" t="s">
        <v>93</v>
      </c>
      <c r="I24" t="s">
        <v>1332</v>
      </c>
      <c r="J24">
        <v>1706194</v>
      </c>
      <c r="K24" t="s">
        <v>74</v>
      </c>
      <c r="L24" t="s">
        <v>75</v>
      </c>
      <c r="M24" t="str">
        <f t="shared" si="0"/>
        <v>MATTHEW DAUGHERTY</v>
      </c>
      <c r="N24" t="s">
        <v>144</v>
      </c>
      <c r="O24" s="1">
        <v>46023</v>
      </c>
      <c r="P24" s="1">
        <v>46055</v>
      </c>
      <c r="Q24" s="1">
        <v>46082</v>
      </c>
      <c r="R24" s="2">
        <v>-148.22999999999999</v>
      </c>
      <c r="S24" s="3">
        <v>0.9</v>
      </c>
      <c r="T24" s="2">
        <v>0</v>
      </c>
      <c r="U24">
        <v>-1</v>
      </c>
      <c r="V24" t="s">
        <v>60</v>
      </c>
      <c r="W24" t="s">
        <v>135</v>
      </c>
      <c r="X24">
        <v>0</v>
      </c>
      <c r="Y24" s="2">
        <v>0</v>
      </c>
      <c r="Z24" s="2">
        <v>-133.41</v>
      </c>
      <c r="AA24" s="2">
        <v>-133.41</v>
      </c>
      <c r="AB24" s="2">
        <v>0</v>
      </c>
    </row>
    <row r="25" spans="1:28" x14ac:dyDescent="0.25">
      <c r="A25">
        <v>2033126466</v>
      </c>
      <c r="B25" t="s">
        <v>965</v>
      </c>
      <c r="C25" t="s">
        <v>592</v>
      </c>
      <c r="D25" t="str">
        <f t="shared" si="1"/>
        <v>MONICA WIGGINS</v>
      </c>
      <c r="E25" t="s">
        <v>51</v>
      </c>
      <c r="F25" t="s">
        <v>392</v>
      </c>
      <c r="G25" t="s">
        <v>72</v>
      </c>
      <c r="H25" t="s">
        <v>93</v>
      </c>
      <c r="I25" t="s">
        <v>1332</v>
      </c>
      <c r="J25">
        <v>5442438</v>
      </c>
      <c r="K25" t="s">
        <v>355</v>
      </c>
      <c r="L25" t="s">
        <v>356</v>
      </c>
      <c r="M25" t="str">
        <f t="shared" si="0"/>
        <v>Ronald Max</v>
      </c>
      <c r="N25" t="s">
        <v>144</v>
      </c>
      <c r="O25" s="1">
        <v>46054</v>
      </c>
      <c r="P25" s="1">
        <v>46062</v>
      </c>
      <c r="Q25" s="1">
        <v>46082</v>
      </c>
      <c r="R25" s="2">
        <v>-167.38</v>
      </c>
      <c r="S25" s="3">
        <v>0.9</v>
      </c>
      <c r="T25" s="2">
        <v>0</v>
      </c>
      <c r="U25">
        <v>-1</v>
      </c>
      <c r="V25" t="s">
        <v>60</v>
      </c>
      <c r="W25" t="s">
        <v>135</v>
      </c>
      <c r="X25">
        <v>0</v>
      </c>
      <c r="Y25" s="2">
        <v>0</v>
      </c>
      <c r="Z25" s="2">
        <v>-150.63999999999999</v>
      </c>
      <c r="AA25" s="2">
        <v>-150.63999999999999</v>
      </c>
      <c r="AB25" s="2">
        <v>0</v>
      </c>
    </row>
    <row r="26" spans="1:28" x14ac:dyDescent="0.25">
      <c r="A26">
        <v>2033178395</v>
      </c>
      <c r="B26" t="s">
        <v>966</v>
      </c>
      <c r="C26" t="s">
        <v>967</v>
      </c>
      <c r="D26" t="str">
        <f t="shared" si="1"/>
        <v>CHRISTIE BALL</v>
      </c>
      <c r="E26" t="s">
        <v>51</v>
      </c>
      <c r="F26" t="s">
        <v>353</v>
      </c>
      <c r="G26" t="s">
        <v>72</v>
      </c>
      <c r="H26" t="s">
        <v>93</v>
      </c>
      <c r="I26" t="s">
        <v>1332</v>
      </c>
      <c r="J26">
        <v>1706194</v>
      </c>
      <c r="K26" t="s">
        <v>74</v>
      </c>
      <c r="L26" t="s">
        <v>75</v>
      </c>
      <c r="M26" t="str">
        <f t="shared" si="0"/>
        <v>MATTHEW DAUGHERTY</v>
      </c>
      <c r="N26" t="s">
        <v>144</v>
      </c>
      <c r="O26" s="1">
        <v>46054</v>
      </c>
      <c r="P26" s="1">
        <v>46062</v>
      </c>
      <c r="Q26" s="1">
        <v>46082</v>
      </c>
      <c r="R26" s="2">
        <v>-167.5</v>
      </c>
      <c r="S26" s="3">
        <v>0.9</v>
      </c>
      <c r="T26" s="2">
        <v>0</v>
      </c>
      <c r="U26">
        <v>-1</v>
      </c>
      <c r="V26" t="s">
        <v>60</v>
      </c>
      <c r="W26" t="s">
        <v>135</v>
      </c>
      <c r="X26">
        <v>0</v>
      </c>
      <c r="Y26" s="2">
        <v>0</v>
      </c>
      <c r="Z26" s="2">
        <v>-150.75</v>
      </c>
      <c r="AA26" s="2">
        <v>-150.75</v>
      </c>
      <c r="AB26" s="2">
        <v>0</v>
      </c>
    </row>
    <row r="27" spans="1:28" x14ac:dyDescent="0.25">
      <c r="A27">
        <v>2033246168</v>
      </c>
      <c r="B27" t="s">
        <v>968</v>
      </c>
      <c r="C27" t="s">
        <v>969</v>
      </c>
      <c r="D27" t="str">
        <f t="shared" si="1"/>
        <v>MEGAN RODDAM</v>
      </c>
      <c r="E27" t="s">
        <v>51</v>
      </c>
      <c r="F27" t="s">
        <v>750</v>
      </c>
      <c r="G27" t="s">
        <v>72</v>
      </c>
      <c r="H27" t="s">
        <v>93</v>
      </c>
      <c r="I27" t="s">
        <v>1332</v>
      </c>
      <c r="J27">
        <v>1706194</v>
      </c>
      <c r="K27" t="s">
        <v>74</v>
      </c>
      <c r="L27" t="s">
        <v>75</v>
      </c>
      <c r="M27" t="str">
        <f t="shared" si="0"/>
        <v>MATTHEW DAUGHERTY</v>
      </c>
      <c r="N27" t="s">
        <v>144</v>
      </c>
      <c r="O27" s="1">
        <v>46054</v>
      </c>
      <c r="P27" s="1">
        <v>46062</v>
      </c>
      <c r="Q27" s="1">
        <v>46082</v>
      </c>
      <c r="R27" s="2">
        <v>-94.63</v>
      </c>
      <c r="S27" s="3">
        <v>0.9</v>
      </c>
      <c r="T27" s="2">
        <v>0</v>
      </c>
      <c r="U27">
        <v>-1</v>
      </c>
      <c r="V27" t="s">
        <v>60</v>
      </c>
      <c r="W27" t="s">
        <v>135</v>
      </c>
      <c r="X27">
        <v>0</v>
      </c>
      <c r="Y27" s="2">
        <v>0</v>
      </c>
      <c r="Z27" s="2">
        <v>-85.17</v>
      </c>
      <c r="AA27" s="2">
        <v>-85.17</v>
      </c>
      <c r="AB27" s="2">
        <v>0</v>
      </c>
    </row>
    <row r="28" spans="1:28" x14ac:dyDescent="0.25">
      <c r="A28">
        <v>2033422266</v>
      </c>
      <c r="B28" t="s">
        <v>1081</v>
      </c>
      <c r="C28" t="s">
        <v>1082</v>
      </c>
      <c r="D28" t="str">
        <f t="shared" si="1"/>
        <v>CARLEY COOPER</v>
      </c>
      <c r="E28" t="s">
        <v>51</v>
      </c>
      <c r="F28" t="s">
        <v>121</v>
      </c>
      <c r="G28" t="s">
        <v>72</v>
      </c>
      <c r="H28" t="s">
        <v>93</v>
      </c>
      <c r="I28" t="s">
        <v>1332</v>
      </c>
      <c r="J28">
        <v>19617796</v>
      </c>
      <c r="K28" t="s">
        <v>122</v>
      </c>
      <c r="L28" t="s">
        <v>123</v>
      </c>
      <c r="M28" t="str">
        <f t="shared" si="0"/>
        <v>Heidi Berthelsen</v>
      </c>
      <c r="N28" t="s">
        <v>144</v>
      </c>
      <c r="O28" s="1">
        <v>46054</v>
      </c>
      <c r="P28" s="1">
        <v>46062</v>
      </c>
      <c r="Q28" s="1">
        <v>46082</v>
      </c>
      <c r="R28" s="2">
        <v>-68.25</v>
      </c>
      <c r="S28" s="3">
        <v>0.9</v>
      </c>
      <c r="T28" s="2">
        <v>0</v>
      </c>
      <c r="U28">
        <v>-1</v>
      </c>
      <c r="V28" t="s">
        <v>60</v>
      </c>
      <c r="W28" t="s">
        <v>135</v>
      </c>
      <c r="X28">
        <v>0</v>
      </c>
      <c r="Y28" s="2">
        <v>0</v>
      </c>
      <c r="Z28" s="2">
        <v>-61.42</v>
      </c>
      <c r="AA28" s="2">
        <v>-61.42</v>
      </c>
      <c r="AB28" s="2">
        <v>0</v>
      </c>
    </row>
    <row r="29" spans="1:28" x14ac:dyDescent="0.25">
      <c r="A29">
        <v>2033397216</v>
      </c>
      <c r="B29" t="s">
        <v>620</v>
      </c>
      <c r="C29" t="s">
        <v>539</v>
      </c>
      <c r="D29" t="str">
        <f t="shared" si="1"/>
        <v>YVETTE SEXTON</v>
      </c>
      <c r="E29" t="s">
        <v>51</v>
      </c>
      <c r="F29" t="s">
        <v>90</v>
      </c>
      <c r="G29" t="s">
        <v>383</v>
      </c>
      <c r="H29" t="s">
        <v>843</v>
      </c>
      <c r="I29" t="s">
        <v>843</v>
      </c>
      <c r="J29">
        <v>17554531</v>
      </c>
      <c r="K29" t="s">
        <v>405</v>
      </c>
      <c r="L29" t="s">
        <v>406</v>
      </c>
      <c r="M29" t="str">
        <f t="shared" si="0"/>
        <v>Brittany Oliver</v>
      </c>
      <c r="N29" t="s">
        <v>144</v>
      </c>
      <c r="O29" s="1">
        <v>46052</v>
      </c>
      <c r="P29" s="1">
        <v>46062</v>
      </c>
      <c r="Q29" s="1">
        <v>46081</v>
      </c>
      <c r="R29" s="2">
        <v>-29.5</v>
      </c>
      <c r="S29" s="3">
        <v>0.42</v>
      </c>
      <c r="T29" s="2">
        <v>0</v>
      </c>
      <c r="U29">
        <v>-1</v>
      </c>
      <c r="V29" t="s">
        <v>60</v>
      </c>
      <c r="W29" t="s">
        <v>135</v>
      </c>
      <c r="X29">
        <v>0</v>
      </c>
      <c r="Y29" s="2">
        <v>0</v>
      </c>
      <c r="Z29" s="2">
        <v>-12.39</v>
      </c>
      <c r="AA29" s="2">
        <v>-12.39</v>
      </c>
      <c r="AB29" s="2">
        <v>0</v>
      </c>
    </row>
    <row r="30" spans="1:28" x14ac:dyDescent="0.25">
      <c r="A30">
        <v>2033397217</v>
      </c>
      <c r="B30" t="s">
        <v>620</v>
      </c>
      <c r="C30" t="s">
        <v>539</v>
      </c>
      <c r="D30" t="str">
        <f t="shared" si="1"/>
        <v>YVETTE SEXTON</v>
      </c>
      <c r="E30" t="s">
        <v>51</v>
      </c>
      <c r="F30" t="s">
        <v>90</v>
      </c>
      <c r="G30" t="s">
        <v>350</v>
      </c>
      <c r="H30" t="s">
        <v>354</v>
      </c>
      <c r="I30" t="s">
        <v>354</v>
      </c>
      <c r="J30">
        <v>17554531</v>
      </c>
      <c r="K30" t="s">
        <v>405</v>
      </c>
      <c r="L30" t="s">
        <v>406</v>
      </c>
      <c r="M30" t="str">
        <f t="shared" si="0"/>
        <v>Brittany Oliver</v>
      </c>
      <c r="N30" t="s">
        <v>144</v>
      </c>
      <c r="O30" s="1">
        <v>46052</v>
      </c>
      <c r="P30" s="1">
        <v>46062</v>
      </c>
      <c r="Q30" s="1">
        <v>46081</v>
      </c>
      <c r="R30" s="2">
        <v>-15</v>
      </c>
      <c r="S30" s="3">
        <v>0.38</v>
      </c>
      <c r="T30" s="2">
        <v>0</v>
      </c>
      <c r="U30">
        <v>-1</v>
      </c>
      <c r="V30" t="s">
        <v>60</v>
      </c>
      <c r="W30" t="s">
        <v>135</v>
      </c>
      <c r="X30">
        <v>0</v>
      </c>
      <c r="Y30" s="2">
        <v>0</v>
      </c>
      <c r="Z30" s="2">
        <v>-5.7</v>
      </c>
      <c r="AA30" s="2">
        <v>-5.7</v>
      </c>
      <c r="AB30" s="2">
        <v>0</v>
      </c>
    </row>
    <row r="31" spans="1:28" x14ac:dyDescent="0.25">
      <c r="A31">
        <v>2029844786</v>
      </c>
      <c r="B31" t="s">
        <v>211</v>
      </c>
      <c r="C31" t="s">
        <v>294</v>
      </c>
      <c r="D31" t="str">
        <f t="shared" si="1"/>
        <v>CAMPANELLA ANTHONY</v>
      </c>
      <c r="E31" t="s">
        <v>51</v>
      </c>
      <c r="F31" t="s">
        <v>66</v>
      </c>
      <c r="G31" t="s">
        <v>350</v>
      </c>
      <c r="H31" t="s">
        <v>354</v>
      </c>
      <c r="I31" t="s">
        <v>354</v>
      </c>
      <c r="J31">
        <v>16912722</v>
      </c>
      <c r="K31" t="s">
        <v>295</v>
      </c>
      <c r="L31" t="s">
        <v>296</v>
      </c>
      <c r="M31" t="str">
        <f t="shared" si="0"/>
        <v>ANDREA PETRUNGARO</v>
      </c>
      <c r="N31" t="s">
        <v>144</v>
      </c>
      <c r="O31" s="1">
        <v>45849</v>
      </c>
      <c r="P31" s="1">
        <v>46062</v>
      </c>
      <c r="Q31" s="1">
        <v>46064</v>
      </c>
      <c r="R31" s="2">
        <v>-19.84</v>
      </c>
      <c r="S31" s="3">
        <v>0.38</v>
      </c>
      <c r="T31" s="2">
        <v>0</v>
      </c>
      <c r="U31">
        <v>-1</v>
      </c>
      <c r="V31" t="s">
        <v>60</v>
      </c>
      <c r="W31" t="s">
        <v>135</v>
      </c>
      <c r="X31">
        <v>0</v>
      </c>
      <c r="Y31" s="2">
        <v>0</v>
      </c>
      <c r="Z31" s="2">
        <v>-7.54</v>
      </c>
      <c r="AA31" s="2">
        <v>-7.54</v>
      </c>
      <c r="AB31" s="2">
        <v>0</v>
      </c>
    </row>
    <row r="32" spans="1:28" x14ac:dyDescent="0.25">
      <c r="A32">
        <v>2024225542</v>
      </c>
      <c r="B32" t="s">
        <v>974</v>
      </c>
      <c r="C32" t="s">
        <v>975</v>
      </c>
      <c r="D32" t="str">
        <f t="shared" si="1"/>
        <v>AMATA BROMUND</v>
      </c>
      <c r="E32" t="s">
        <v>51</v>
      </c>
      <c r="F32" t="s">
        <v>288</v>
      </c>
      <c r="G32" t="s">
        <v>350</v>
      </c>
      <c r="H32" t="s">
        <v>574</v>
      </c>
      <c r="I32" t="s">
        <v>1333</v>
      </c>
      <c r="J32">
        <v>8977234</v>
      </c>
      <c r="K32" t="s">
        <v>162</v>
      </c>
      <c r="L32" t="s">
        <v>180</v>
      </c>
      <c r="M32" t="str">
        <f t="shared" si="0"/>
        <v>RYAN CALTAGIRONE</v>
      </c>
      <c r="N32" t="s">
        <v>144</v>
      </c>
      <c r="O32" s="1">
        <v>45656</v>
      </c>
      <c r="P32" s="1">
        <v>46062</v>
      </c>
      <c r="Q32" s="1">
        <v>46081</v>
      </c>
      <c r="R32" s="2">
        <v>-12.41</v>
      </c>
      <c r="S32" s="3">
        <v>0.28999999999999998</v>
      </c>
      <c r="T32" s="2">
        <v>0</v>
      </c>
      <c r="U32">
        <v>-1</v>
      </c>
      <c r="V32" t="s">
        <v>157</v>
      </c>
      <c r="W32" t="s">
        <v>135</v>
      </c>
      <c r="X32">
        <v>0</v>
      </c>
      <c r="Y32" s="2">
        <v>0</v>
      </c>
      <c r="Z32" s="2">
        <v>-3.6</v>
      </c>
      <c r="AA32" s="2">
        <v>-3.6</v>
      </c>
      <c r="AB32" s="2">
        <v>0</v>
      </c>
    </row>
    <row r="33" spans="1:28" x14ac:dyDescent="0.25">
      <c r="A33">
        <v>2030762532</v>
      </c>
      <c r="B33" t="s">
        <v>571</v>
      </c>
      <c r="C33" t="s">
        <v>185</v>
      </c>
      <c r="D33" t="str">
        <f t="shared" si="1"/>
        <v>III PHILLIP</v>
      </c>
      <c r="E33" t="s">
        <v>51</v>
      </c>
      <c r="F33" t="s">
        <v>140</v>
      </c>
      <c r="G33" t="s">
        <v>350</v>
      </c>
      <c r="H33" t="s">
        <v>566</v>
      </c>
      <c r="I33" t="s">
        <v>566</v>
      </c>
      <c r="J33">
        <v>18142208</v>
      </c>
      <c r="K33" t="s">
        <v>315</v>
      </c>
      <c r="L33" t="s">
        <v>316</v>
      </c>
      <c r="M33" t="str">
        <f t="shared" si="0"/>
        <v>Jill Shepard</v>
      </c>
      <c r="N33" t="s">
        <v>144</v>
      </c>
      <c r="O33" s="1">
        <v>45899</v>
      </c>
      <c r="P33" s="1">
        <v>46062</v>
      </c>
      <c r="Q33" s="1">
        <v>46081</v>
      </c>
      <c r="R33" s="2">
        <v>-16.940000000000001</v>
      </c>
      <c r="S33" s="3">
        <v>0.19</v>
      </c>
      <c r="T33" s="2">
        <v>0</v>
      </c>
      <c r="U33">
        <v>-1</v>
      </c>
      <c r="V33" t="s">
        <v>60</v>
      </c>
      <c r="W33" t="s">
        <v>135</v>
      </c>
      <c r="X33">
        <v>0</v>
      </c>
      <c r="Y33" s="2">
        <v>0</v>
      </c>
      <c r="Z33" s="2">
        <v>-3.22</v>
      </c>
      <c r="AA33" s="2">
        <v>-3.22</v>
      </c>
      <c r="AB33" s="2">
        <v>0</v>
      </c>
    </row>
    <row r="34" spans="1:28" x14ac:dyDescent="0.25">
      <c r="A34">
        <v>2032562022</v>
      </c>
      <c r="B34" t="s">
        <v>593</v>
      </c>
      <c r="C34" t="s">
        <v>512</v>
      </c>
      <c r="D34" t="str">
        <f t="shared" si="1"/>
        <v>JOSEPH JUSTUS</v>
      </c>
      <c r="E34" t="s">
        <v>51</v>
      </c>
      <c r="F34" t="s">
        <v>140</v>
      </c>
      <c r="G34" t="s">
        <v>350</v>
      </c>
      <c r="H34" t="s">
        <v>566</v>
      </c>
      <c r="I34" t="s">
        <v>566</v>
      </c>
      <c r="J34">
        <v>21564088</v>
      </c>
      <c r="K34" t="s">
        <v>142</v>
      </c>
      <c r="L34" t="s">
        <v>143</v>
      </c>
      <c r="M34" t="str">
        <f t="shared" ref="M34:M65" si="2">CONCATENATE(L34," ",K34)</f>
        <v>Jennifer Halsaver</v>
      </c>
      <c r="N34" t="s">
        <v>144</v>
      </c>
      <c r="O34" s="1">
        <v>46023</v>
      </c>
      <c r="P34" s="1">
        <v>46055</v>
      </c>
      <c r="Q34" s="1">
        <v>46082</v>
      </c>
      <c r="R34" s="2">
        <v>-15</v>
      </c>
      <c r="S34" s="3">
        <v>0.19</v>
      </c>
      <c r="T34" s="2">
        <v>0</v>
      </c>
      <c r="U34">
        <v>-1</v>
      </c>
      <c r="V34" t="s">
        <v>60</v>
      </c>
      <c r="W34" t="s">
        <v>135</v>
      </c>
      <c r="X34">
        <v>0</v>
      </c>
      <c r="Y34" s="2">
        <v>0</v>
      </c>
      <c r="Z34" s="2">
        <v>-2.85</v>
      </c>
      <c r="AA34" s="2">
        <v>-2.85</v>
      </c>
      <c r="AB34" s="2">
        <v>0</v>
      </c>
    </row>
    <row r="35" spans="1:28" x14ac:dyDescent="0.25">
      <c r="A35">
        <v>2033104451</v>
      </c>
      <c r="B35" t="s">
        <v>138</v>
      </c>
      <c r="C35" t="s">
        <v>139</v>
      </c>
      <c r="D35" t="str">
        <f t="shared" si="1"/>
        <v>PATRICK MULHOLLAND</v>
      </c>
      <c r="E35" t="s">
        <v>51</v>
      </c>
      <c r="F35" t="s">
        <v>140</v>
      </c>
      <c r="G35" t="s">
        <v>350</v>
      </c>
      <c r="H35" t="s">
        <v>566</v>
      </c>
      <c r="I35" t="s">
        <v>566</v>
      </c>
      <c r="J35">
        <v>21564088</v>
      </c>
      <c r="K35" t="s">
        <v>142</v>
      </c>
      <c r="L35" t="s">
        <v>143</v>
      </c>
      <c r="M35" t="str">
        <f t="shared" si="2"/>
        <v>Jennifer Halsaver</v>
      </c>
      <c r="N35" t="s">
        <v>144</v>
      </c>
      <c r="O35" s="1">
        <v>46035</v>
      </c>
      <c r="P35" s="1">
        <v>46062</v>
      </c>
      <c r="Q35" s="1">
        <v>46066</v>
      </c>
      <c r="R35" s="2">
        <v>-4.3499999999999996</v>
      </c>
      <c r="S35" s="3">
        <v>0.19</v>
      </c>
      <c r="T35" s="2">
        <v>0</v>
      </c>
      <c r="U35">
        <v>-1</v>
      </c>
      <c r="V35" t="s">
        <v>60</v>
      </c>
      <c r="W35" t="s">
        <v>135</v>
      </c>
      <c r="X35">
        <v>0</v>
      </c>
      <c r="Y35" s="2">
        <v>0</v>
      </c>
      <c r="Z35" s="2">
        <v>-0.83</v>
      </c>
      <c r="AA35" s="2">
        <v>-0.83</v>
      </c>
      <c r="AB35" s="2">
        <v>0</v>
      </c>
    </row>
    <row r="36" spans="1:28" x14ac:dyDescent="0.25">
      <c r="A36">
        <v>2032717785</v>
      </c>
      <c r="B36" t="s">
        <v>336</v>
      </c>
      <c r="C36" t="s">
        <v>337</v>
      </c>
      <c r="D36" t="str">
        <f t="shared" si="1"/>
        <v>JANICE GILBERT</v>
      </c>
      <c r="E36" t="s">
        <v>51</v>
      </c>
      <c r="F36" t="s">
        <v>52</v>
      </c>
      <c r="G36" t="s">
        <v>152</v>
      </c>
      <c r="H36" t="s">
        <v>153</v>
      </c>
      <c r="I36" t="s">
        <v>153</v>
      </c>
      <c r="J36">
        <v>15278437</v>
      </c>
      <c r="K36" t="s">
        <v>154</v>
      </c>
      <c r="L36" t="s">
        <v>155</v>
      </c>
      <c r="M36" t="str">
        <f t="shared" si="2"/>
        <v>JASON HOFFMANN</v>
      </c>
      <c r="N36" t="s">
        <v>144</v>
      </c>
      <c r="O36" s="1">
        <v>46023</v>
      </c>
      <c r="P36" s="1">
        <v>46062</v>
      </c>
      <c r="Q36" s="1">
        <v>46082</v>
      </c>
      <c r="R36" s="2">
        <v>-61.99</v>
      </c>
      <c r="S36" s="3">
        <v>0.47</v>
      </c>
      <c r="T36" s="2">
        <v>0</v>
      </c>
      <c r="U36">
        <v>-1</v>
      </c>
      <c r="V36" t="s">
        <v>60</v>
      </c>
      <c r="W36" t="s">
        <v>135</v>
      </c>
      <c r="X36">
        <v>0</v>
      </c>
      <c r="Y36" s="2">
        <v>0</v>
      </c>
      <c r="Z36" s="2">
        <v>-29.14</v>
      </c>
      <c r="AA36" s="2">
        <v>-29.14</v>
      </c>
      <c r="AB36" s="2">
        <v>0</v>
      </c>
    </row>
    <row r="37" spans="1:28" x14ac:dyDescent="0.25">
      <c r="A37">
        <v>2033374018</v>
      </c>
      <c r="B37" t="s">
        <v>342</v>
      </c>
      <c r="C37" t="s">
        <v>343</v>
      </c>
      <c r="D37" t="str">
        <f t="shared" si="1"/>
        <v>MEHRNAZ SAEED-VAFA</v>
      </c>
      <c r="E37" t="s">
        <v>51</v>
      </c>
      <c r="F37" t="s">
        <v>66</v>
      </c>
      <c r="G37" t="s">
        <v>152</v>
      </c>
      <c r="H37" t="s">
        <v>153</v>
      </c>
      <c r="I37" t="s">
        <v>153</v>
      </c>
      <c r="J37">
        <v>21348299</v>
      </c>
      <c r="K37" t="s">
        <v>344</v>
      </c>
      <c r="L37" t="s">
        <v>345</v>
      </c>
      <c r="M37" t="str">
        <f t="shared" si="2"/>
        <v>BARRY BRENNER</v>
      </c>
      <c r="N37" t="s">
        <v>144</v>
      </c>
      <c r="O37" s="1">
        <v>46054</v>
      </c>
      <c r="P37" s="1">
        <v>46062</v>
      </c>
      <c r="Q37" s="1">
        <v>46082</v>
      </c>
      <c r="R37" s="2">
        <v>-85.58</v>
      </c>
      <c r="S37" s="3">
        <v>0.47</v>
      </c>
      <c r="T37" s="2">
        <v>0</v>
      </c>
      <c r="U37">
        <v>-1</v>
      </c>
      <c r="V37" t="s">
        <v>60</v>
      </c>
      <c r="W37" t="s">
        <v>135</v>
      </c>
      <c r="X37">
        <v>0</v>
      </c>
      <c r="Y37" s="2">
        <v>0</v>
      </c>
      <c r="Z37" s="2">
        <v>-40.22</v>
      </c>
      <c r="AA37" s="2">
        <v>-40.22</v>
      </c>
      <c r="AB37" s="2">
        <v>0</v>
      </c>
    </row>
    <row r="38" spans="1:28" x14ac:dyDescent="0.25">
      <c r="A38">
        <v>2022693241</v>
      </c>
      <c r="B38" t="s">
        <v>416</v>
      </c>
      <c r="C38" t="s">
        <v>240</v>
      </c>
      <c r="D38" t="str">
        <f t="shared" si="1"/>
        <v>JOHN MAYES</v>
      </c>
      <c r="E38" t="s">
        <v>51</v>
      </c>
      <c r="F38" t="s">
        <v>237</v>
      </c>
      <c r="G38" t="s">
        <v>378</v>
      </c>
      <c r="H38" t="s">
        <v>379</v>
      </c>
      <c r="I38" t="s">
        <v>379</v>
      </c>
      <c r="J38">
        <v>18781057</v>
      </c>
      <c r="K38" t="s">
        <v>239</v>
      </c>
      <c r="L38" t="s">
        <v>240</v>
      </c>
      <c r="M38" t="str">
        <f t="shared" si="2"/>
        <v>JOHN ROKEN</v>
      </c>
      <c r="N38" t="s">
        <v>144</v>
      </c>
      <c r="O38" s="1">
        <v>45413</v>
      </c>
      <c r="P38" s="1">
        <v>46062</v>
      </c>
      <c r="Q38" s="1">
        <v>46082</v>
      </c>
      <c r="R38" s="2">
        <v>-15.81</v>
      </c>
      <c r="S38" s="3">
        <v>0.1</v>
      </c>
      <c r="T38" s="2">
        <v>0</v>
      </c>
      <c r="U38">
        <v>-1</v>
      </c>
      <c r="V38" t="s">
        <v>157</v>
      </c>
      <c r="W38" t="s">
        <v>135</v>
      </c>
      <c r="X38">
        <v>0</v>
      </c>
      <c r="Y38" s="2">
        <v>0</v>
      </c>
      <c r="Z38" s="2">
        <v>-1.58</v>
      </c>
      <c r="AA38" s="2">
        <v>-1.58</v>
      </c>
      <c r="AB38" s="2">
        <v>0</v>
      </c>
    </row>
    <row r="39" spans="1:28" x14ac:dyDescent="0.25">
      <c r="A39">
        <v>2029955374</v>
      </c>
      <c r="B39" t="s">
        <v>759</v>
      </c>
      <c r="C39" t="s">
        <v>622</v>
      </c>
      <c r="D39" t="str">
        <f t="shared" si="1"/>
        <v>MELISSA LOUIE</v>
      </c>
      <c r="E39" t="s">
        <v>51</v>
      </c>
      <c r="F39" t="s">
        <v>274</v>
      </c>
      <c r="G39" t="s">
        <v>378</v>
      </c>
      <c r="H39" t="s">
        <v>379</v>
      </c>
      <c r="I39" t="s">
        <v>379</v>
      </c>
      <c r="J39">
        <v>6634327</v>
      </c>
      <c r="K39" t="s">
        <v>563</v>
      </c>
      <c r="L39" t="s">
        <v>564</v>
      </c>
      <c r="M39" t="str">
        <f t="shared" si="2"/>
        <v>Joel Lee</v>
      </c>
      <c r="N39" t="s">
        <v>144</v>
      </c>
      <c r="O39" s="1">
        <v>45853</v>
      </c>
      <c r="P39" s="1">
        <v>46062</v>
      </c>
      <c r="Q39" s="1">
        <v>46068</v>
      </c>
      <c r="R39" s="2">
        <v>-42.98</v>
      </c>
      <c r="S39" s="3">
        <v>0.38</v>
      </c>
      <c r="T39" s="2">
        <v>0</v>
      </c>
      <c r="U39">
        <v>-1</v>
      </c>
      <c r="V39" t="s">
        <v>60</v>
      </c>
      <c r="W39" t="s">
        <v>135</v>
      </c>
      <c r="X39">
        <v>0</v>
      </c>
      <c r="Y39" s="2">
        <v>0</v>
      </c>
      <c r="Z39" s="2">
        <v>-16.329999999999998</v>
      </c>
      <c r="AA39" s="2">
        <v>-16.329999999999998</v>
      </c>
      <c r="AB39" s="2">
        <v>0</v>
      </c>
    </row>
    <row r="40" spans="1:28" x14ac:dyDescent="0.25">
      <c r="A40">
        <v>2033104452</v>
      </c>
      <c r="B40" t="s">
        <v>138</v>
      </c>
      <c r="C40" t="s">
        <v>139</v>
      </c>
      <c r="D40" t="str">
        <f t="shared" si="1"/>
        <v>PATRICK MULHOLLAND</v>
      </c>
      <c r="E40" t="s">
        <v>51</v>
      </c>
      <c r="F40" t="s">
        <v>140</v>
      </c>
      <c r="G40" t="s">
        <v>130</v>
      </c>
      <c r="H40" t="s">
        <v>141</v>
      </c>
      <c r="I40" t="s">
        <v>141</v>
      </c>
      <c r="J40">
        <v>21564088</v>
      </c>
      <c r="K40" t="s">
        <v>142</v>
      </c>
      <c r="L40" t="s">
        <v>143</v>
      </c>
      <c r="M40" t="str">
        <f t="shared" si="2"/>
        <v>Jennifer Halsaver</v>
      </c>
      <c r="N40" t="s">
        <v>144</v>
      </c>
      <c r="O40" s="1">
        <v>46035</v>
      </c>
      <c r="P40" s="1">
        <v>46062</v>
      </c>
      <c r="Q40" s="1">
        <v>46066</v>
      </c>
      <c r="R40" s="2">
        <v>-103.08</v>
      </c>
      <c r="S40" s="3">
        <v>0.19</v>
      </c>
      <c r="T40" s="2">
        <v>0</v>
      </c>
      <c r="U40">
        <v>-1</v>
      </c>
      <c r="V40" t="s">
        <v>60</v>
      </c>
      <c r="W40" t="s">
        <v>135</v>
      </c>
      <c r="X40">
        <v>0</v>
      </c>
      <c r="Y40" s="2">
        <v>0</v>
      </c>
      <c r="Z40" s="2">
        <v>-19.59</v>
      </c>
      <c r="AA40" s="2">
        <v>-19.59</v>
      </c>
      <c r="AB40" s="2">
        <v>0</v>
      </c>
    </row>
    <row r="41" spans="1:28" x14ac:dyDescent="0.25">
      <c r="A41">
        <v>2032562019</v>
      </c>
      <c r="B41" t="s">
        <v>593</v>
      </c>
      <c r="C41" t="s">
        <v>512</v>
      </c>
      <c r="D41" t="str">
        <f t="shared" si="1"/>
        <v>JOSEPH JUSTUS</v>
      </c>
      <c r="E41" t="s">
        <v>51</v>
      </c>
      <c r="F41" t="s">
        <v>140</v>
      </c>
      <c r="G41" t="s">
        <v>130</v>
      </c>
      <c r="H41" t="s">
        <v>141</v>
      </c>
      <c r="I41" t="s">
        <v>141</v>
      </c>
      <c r="J41">
        <v>21564088</v>
      </c>
      <c r="K41" t="s">
        <v>142</v>
      </c>
      <c r="L41" t="s">
        <v>143</v>
      </c>
      <c r="M41" t="str">
        <f t="shared" si="2"/>
        <v>Jennifer Halsaver</v>
      </c>
      <c r="N41" t="s">
        <v>144</v>
      </c>
      <c r="O41" s="1">
        <v>46023</v>
      </c>
      <c r="P41" s="1">
        <v>46055</v>
      </c>
      <c r="Q41" s="1">
        <v>46082</v>
      </c>
      <c r="R41" s="2">
        <v>-345.43</v>
      </c>
      <c r="S41" s="3">
        <v>0.19</v>
      </c>
      <c r="T41" s="2">
        <v>0</v>
      </c>
      <c r="U41">
        <v>-1</v>
      </c>
      <c r="V41" t="s">
        <v>60</v>
      </c>
      <c r="W41" t="s">
        <v>135</v>
      </c>
      <c r="X41">
        <v>0</v>
      </c>
      <c r="Y41" s="2">
        <v>0</v>
      </c>
      <c r="Z41" s="2">
        <v>-65.63</v>
      </c>
      <c r="AA41" s="2">
        <v>-65.63</v>
      </c>
      <c r="AB41" s="2">
        <v>0</v>
      </c>
    </row>
    <row r="42" spans="1:28" x14ac:dyDescent="0.25">
      <c r="A42">
        <v>2032888768</v>
      </c>
      <c r="B42" t="s">
        <v>609</v>
      </c>
      <c r="C42" t="s">
        <v>176</v>
      </c>
      <c r="D42" t="str">
        <f t="shared" si="1"/>
        <v>KIMBERLY GIULIANI</v>
      </c>
      <c r="E42" t="s">
        <v>51</v>
      </c>
      <c r="F42" t="s">
        <v>170</v>
      </c>
      <c r="G42" t="s">
        <v>350</v>
      </c>
      <c r="H42" t="s">
        <v>574</v>
      </c>
      <c r="I42" t="s">
        <v>148</v>
      </c>
      <c r="J42">
        <v>8307933</v>
      </c>
      <c r="K42" t="s">
        <v>80</v>
      </c>
      <c r="L42" t="s">
        <v>81</v>
      </c>
      <c r="M42" t="str">
        <f t="shared" si="2"/>
        <v>GREGORY TEIPEL</v>
      </c>
      <c r="N42" t="s">
        <v>144</v>
      </c>
      <c r="O42" s="1">
        <v>46023</v>
      </c>
      <c r="P42" s="1">
        <v>46055</v>
      </c>
      <c r="Q42" s="1">
        <v>46082</v>
      </c>
      <c r="R42" s="2">
        <v>-15</v>
      </c>
      <c r="S42" s="3">
        <v>0.28999999999999998</v>
      </c>
      <c r="T42" s="2">
        <v>0</v>
      </c>
      <c r="U42">
        <v>-1</v>
      </c>
      <c r="V42" t="s">
        <v>60</v>
      </c>
      <c r="W42" t="s">
        <v>135</v>
      </c>
      <c r="X42">
        <v>0</v>
      </c>
      <c r="Y42" s="2">
        <v>0</v>
      </c>
      <c r="Z42" s="2">
        <v>-4.3499999999999996</v>
      </c>
      <c r="AA42" s="2">
        <v>-4.3499999999999996</v>
      </c>
      <c r="AB42" s="2">
        <v>0</v>
      </c>
    </row>
    <row r="43" spans="1:28" x14ac:dyDescent="0.25">
      <c r="A43">
        <v>2024225541</v>
      </c>
      <c r="B43" t="s">
        <v>974</v>
      </c>
      <c r="C43" t="s">
        <v>975</v>
      </c>
      <c r="D43" t="str">
        <f t="shared" si="1"/>
        <v>AMATA BROMUND</v>
      </c>
      <c r="E43" t="s">
        <v>51</v>
      </c>
      <c r="F43" t="s">
        <v>288</v>
      </c>
      <c r="G43" t="s">
        <v>130</v>
      </c>
      <c r="H43" t="s">
        <v>976</v>
      </c>
      <c r="I43" t="s">
        <v>148</v>
      </c>
      <c r="J43">
        <v>8977234</v>
      </c>
      <c r="K43" t="s">
        <v>162</v>
      </c>
      <c r="L43" t="s">
        <v>180</v>
      </c>
      <c r="M43" t="str">
        <f t="shared" si="2"/>
        <v>RYAN CALTAGIRONE</v>
      </c>
      <c r="N43" t="s">
        <v>144</v>
      </c>
      <c r="O43" s="1">
        <v>45656</v>
      </c>
      <c r="P43" s="1">
        <v>46062</v>
      </c>
      <c r="Q43" s="1">
        <v>46081</v>
      </c>
      <c r="R43" s="2">
        <v>-309.55</v>
      </c>
      <c r="S43" s="3">
        <v>0.28999999999999998</v>
      </c>
      <c r="T43" s="2">
        <v>0</v>
      </c>
      <c r="U43">
        <v>-1</v>
      </c>
      <c r="V43" t="s">
        <v>157</v>
      </c>
      <c r="W43" t="s">
        <v>135</v>
      </c>
      <c r="X43">
        <v>0</v>
      </c>
      <c r="Y43" s="2">
        <v>0</v>
      </c>
      <c r="Z43" s="2">
        <v>-89.77</v>
      </c>
      <c r="AA43" s="2">
        <v>-89.77</v>
      </c>
      <c r="AB43" s="2">
        <v>0</v>
      </c>
    </row>
    <row r="44" spans="1:28" x14ac:dyDescent="0.25">
      <c r="A44">
        <v>2032474164</v>
      </c>
      <c r="B44" t="s">
        <v>979</v>
      </c>
      <c r="C44" t="s">
        <v>115</v>
      </c>
      <c r="D44" t="str">
        <f t="shared" si="1"/>
        <v>WENDY RAMBOLDT</v>
      </c>
      <c r="E44" t="s">
        <v>51</v>
      </c>
      <c r="F44" t="s">
        <v>78</v>
      </c>
      <c r="G44" t="s">
        <v>130</v>
      </c>
      <c r="H44" t="s">
        <v>980</v>
      </c>
      <c r="I44" t="s">
        <v>1331</v>
      </c>
      <c r="J44">
        <v>8307933</v>
      </c>
      <c r="K44" t="s">
        <v>80</v>
      </c>
      <c r="L44" t="s">
        <v>81</v>
      </c>
      <c r="M44" t="str">
        <f t="shared" si="2"/>
        <v>GREGORY TEIPEL</v>
      </c>
      <c r="N44" t="s">
        <v>144</v>
      </c>
      <c r="O44" s="1">
        <v>46023</v>
      </c>
      <c r="P44" s="1">
        <v>46055</v>
      </c>
      <c r="Q44" s="1">
        <v>46082</v>
      </c>
      <c r="R44" s="2">
        <v>-368.01</v>
      </c>
      <c r="S44" s="3">
        <v>0.27</v>
      </c>
      <c r="T44" s="2">
        <v>0</v>
      </c>
      <c r="U44">
        <v>-1</v>
      </c>
      <c r="V44" t="s">
        <v>60</v>
      </c>
      <c r="W44" t="s">
        <v>135</v>
      </c>
      <c r="X44">
        <v>0</v>
      </c>
      <c r="Y44" s="2">
        <v>0</v>
      </c>
      <c r="Z44" s="2">
        <v>-99.36</v>
      </c>
      <c r="AA44" s="2">
        <v>-99.36</v>
      </c>
      <c r="AB44" s="2">
        <v>0</v>
      </c>
    </row>
    <row r="45" spans="1:28" x14ac:dyDescent="0.25">
      <c r="A45">
        <v>2032474165</v>
      </c>
      <c r="B45" t="s">
        <v>979</v>
      </c>
      <c r="C45" t="s">
        <v>115</v>
      </c>
      <c r="D45" t="str">
        <f t="shared" si="1"/>
        <v>WENDY RAMBOLDT</v>
      </c>
      <c r="E45" t="s">
        <v>51</v>
      </c>
      <c r="F45" t="s">
        <v>78</v>
      </c>
      <c r="G45" t="s">
        <v>130</v>
      </c>
      <c r="H45" t="s">
        <v>981</v>
      </c>
      <c r="I45" t="s">
        <v>1331</v>
      </c>
      <c r="J45">
        <v>8307933</v>
      </c>
      <c r="K45" t="s">
        <v>80</v>
      </c>
      <c r="L45" t="s">
        <v>81</v>
      </c>
      <c r="M45" t="str">
        <f t="shared" si="2"/>
        <v>GREGORY TEIPEL</v>
      </c>
      <c r="N45" t="s">
        <v>144</v>
      </c>
      <c r="O45" s="1">
        <v>46023</v>
      </c>
      <c r="P45" s="1">
        <v>46055</v>
      </c>
      <c r="Q45" s="1">
        <v>46082</v>
      </c>
      <c r="R45" s="2">
        <v>-6.77</v>
      </c>
      <c r="S45" s="3">
        <v>0.27</v>
      </c>
      <c r="T45" s="2">
        <v>0</v>
      </c>
      <c r="U45">
        <v>-1</v>
      </c>
      <c r="V45" t="s">
        <v>60</v>
      </c>
      <c r="W45" t="s">
        <v>135</v>
      </c>
      <c r="X45">
        <v>0</v>
      </c>
      <c r="Y45" s="2">
        <v>0</v>
      </c>
      <c r="Z45" s="2">
        <v>-1.83</v>
      </c>
      <c r="AA45" s="2">
        <v>-1.83</v>
      </c>
      <c r="AB45" s="2">
        <v>0</v>
      </c>
    </row>
    <row r="46" spans="1:28" x14ac:dyDescent="0.25">
      <c r="A46">
        <v>2032038377</v>
      </c>
      <c r="B46" t="s">
        <v>791</v>
      </c>
      <c r="C46" t="s">
        <v>792</v>
      </c>
      <c r="D46" t="str">
        <f t="shared" si="1"/>
        <v>MARIANNE BOMMELMAN</v>
      </c>
      <c r="E46" t="s">
        <v>51</v>
      </c>
      <c r="F46" t="s">
        <v>66</v>
      </c>
      <c r="G46" t="s">
        <v>383</v>
      </c>
      <c r="H46" t="s">
        <v>384</v>
      </c>
      <c r="I46" t="s">
        <v>384</v>
      </c>
      <c r="J46">
        <v>21436172</v>
      </c>
      <c r="K46" t="s">
        <v>793</v>
      </c>
      <c r="L46" t="s">
        <v>794</v>
      </c>
      <c r="M46" t="str">
        <f t="shared" si="2"/>
        <v>Latesha Rose</v>
      </c>
      <c r="N46" t="s">
        <v>144</v>
      </c>
      <c r="O46" s="1">
        <v>45968</v>
      </c>
      <c r="P46" s="1">
        <v>46062</v>
      </c>
      <c r="Q46" s="1">
        <v>46088</v>
      </c>
      <c r="R46" s="2">
        <v>-25.78</v>
      </c>
      <c r="S46" s="3">
        <v>0.7</v>
      </c>
      <c r="T46" s="2">
        <v>0</v>
      </c>
      <c r="U46">
        <v>-1</v>
      </c>
      <c r="V46" t="s">
        <v>60</v>
      </c>
      <c r="W46" t="s">
        <v>135</v>
      </c>
      <c r="X46">
        <v>0</v>
      </c>
      <c r="Y46" s="2">
        <v>0</v>
      </c>
      <c r="Z46" s="2">
        <v>-18.05</v>
      </c>
      <c r="AA46" s="2">
        <v>-18.05</v>
      </c>
      <c r="AB46" s="2">
        <v>0</v>
      </c>
    </row>
    <row r="47" spans="1:28" x14ac:dyDescent="0.25">
      <c r="A47">
        <v>2032093460</v>
      </c>
      <c r="B47" t="s">
        <v>812</v>
      </c>
      <c r="C47" t="s">
        <v>188</v>
      </c>
      <c r="D47" t="str">
        <f t="shared" si="1"/>
        <v>MICHAEL CELL</v>
      </c>
      <c r="E47" t="s">
        <v>51</v>
      </c>
      <c r="F47" t="s">
        <v>66</v>
      </c>
      <c r="G47" t="s">
        <v>383</v>
      </c>
      <c r="H47" t="s">
        <v>384</v>
      </c>
      <c r="I47" t="s">
        <v>384</v>
      </c>
      <c r="J47">
        <v>18754354</v>
      </c>
      <c r="K47" t="s">
        <v>325</v>
      </c>
      <c r="L47" t="s">
        <v>326</v>
      </c>
      <c r="M47" t="str">
        <f t="shared" si="2"/>
        <v>JACOB YALE</v>
      </c>
      <c r="N47" t="s">
        <v>144</v>
      </c>
      <c r="O47" s="1">
        <v>46023</v>
      </c>
      <c r="P47" s="1">
        <v>46062</v>
      </c>
      <c r="Q47" s="1">
        <v>46082</v>
      </c>
      <c r="R47" s="2">
        <v>-118.88</v>
      </c>
      <c r="S47" s="3">
        <v>0.7</v>
      </c>
      <c r="T47" s="2">
        <v>0</v>
      </c>
      <c r="U47">
        <v>-1</v>
      </c>
      <c r="V47" t="s">
        <v>60</v>
      </c>
      <c r="W47" t="s">
        <v>135</v>
      </c>
      <c r="X47">
        <v>0</v>
      </c>
      <c r="Y47" s="2">
        <v>0</v>
      </c>
      <c r="Z47" s="2">
        <v>-83.22</v>
      </c>
      <c r="AA47" s="2">
        <v>-83.22</v>
      </c>
      <c r="AB47" s="2">
        <v>0</v>
      </c>
    </row>
    <row r="48" spans="1:28" x14ac:dyDescent="0.25">
      <c r="A48">
        <v>2032233383</v>
      </c>
      <c r="B48" t="s">
        <v>831</v>
      </c>
      <c r="C48" t="s">
        <v>832</v>
      </c>
      <c r="D48" t="str">
        <f t="shared" si="1"/>
        <v>JON BORDELON</v>
      </c>
      <c r="E48" t="s">
        <v>51</v>
      </c>
      <c r="F48" t="s">
        <v>147</v>
      </c>
      <c r="G48" t="s">
        <v>383</v>
      </c>
      <c r="H48" t="s">
        <v>384</v>
      </c>
      <c r="I48" t="s">
        <v>384</v>
      </c>
      <c r="J48">
        <v>371819</v>
      </c>
      <c r="K48" t="s">
        <v>310</v>
      </c>
      <c r="L48" t="s">
        <v>311</v>
      </c>
      <c r="M48" t="str">
        <f t="shared" si="2"/>
        <v>THOMAS PARDUE</v>
      </c>
      <c r="N48" t="s">
        <v>144</v>
      </c>
      <c r="O48" s="1">
        <v>46023</v>
      </c>
      <c r="P48" s="1">
        <v>46055</v>
      </c>
      <c r="Q48" s="1">
        <v>46082</v>
      </c>
      <c r="R48" s="2">
        <v>-271.44</v>
      </c>
      <c r="S48" s="3">
        <v>0.7</v>
      </c>
      <c r="T48" s="2">
        <v>0</v>
      </c>
      <c r="U48">
        <v>-1</v>
      </c>
      <c r="V48" t="s">
        <v>60</v>
      </c>
      <c r="W48" t="s">
        <v>135</v>
      </c>
      <c r="X48">
        <v>0</v>
      </c>
      <c r="Y48" s="2">
        <v>0</v>
      </c>
      <c r="Z48" s="2">
        <v>-190.01</v>
      </c>
      <c r="AA48" s="2">
        <v>-190.01</v>
      </c>
      <c r="AB48" s="2">
        <v>0</v>
      </c>
    </row>
    <row r="49" spans="1:28" x14ac:dyDescent="0.25">
      <c r="A49">
        <v>2032450902</v>
      </c>
      <c r="B49" t="s">
        <v>841</v>
      </c>
      <c r="C49" t="s">
        <v>510</v>
      </c>
      <c r="D49" t="str">
        <f t="shared" si="1"/>
        <v>ROBERT WOODS</v>
      </c>
      <c r="E49" t="s">
        <v>51</v>
      </c>
      <c r="F49" t="s">
        <v>78</v>
      </c>
      <c r="G49" t="s">
        <v>383</v>
      </c>
      <c r="H49" t="s">
        <v>384</v>
      </c>
      <c r="I49" t="s">
        <v>384</v>
      </c>
      <c r="J49">
        <v>371819</v>
      </c>
      <c r="K49" t="s">
        <v>310</v>
      </c>
      <c r="L49" t="s">
        <v>311</v>
      </c>
      <c r="M49" t="str">
        <f t="shared" si="2"/>
        <v>THOMAS PARDUE</v>
      </c>
      <c r="N49" t="s">
        <v>144</v>
      </c>
      <c r="O49" s="1">
        <v>45993</v>
      </c>
      <c r="P49" s="1">
        <v>46055</v>
      </c>
      <c r="Q49" s="1">
        <v>46083</v>
      </c>
      <c r="R49" s="2">
        <v>-51.74</v>
      </c>
      <c r="S49" s="3">
        <v>0.7</v>
      </c>
      <c r="T49" s="2">
        <v>0</v>
      </c>
      <c r="U49">
        <v>-1</v>
      </c>
      <c r="V49" t="s">
        <v>60</v>
      </c>
      <c r="W49" t="s">
        <v>135</v>
      </c>
      <c r="X49">
        <v>0</v>
      </c>
      <c r="Y49" s="2">
        <v>0</v>
      </c>
      <c r="Z49" s="2">
        <v>-36.22</v>
      </c>
      <c r="AA49" s="2">
        <v>-36.22</v>
      </c>
      <c r="AB49" s="2">
        <v>0</v>
      </c>
    </row>
    <row r="50" spans="1:28" x14ac:dyDescent="0.25">
      <c r="A50">
        <v>2032490949</v>
      </c>
      <c r="B50" t="s">
        <v>850</v>
      </c>
      <c r="C50" t="s">
        <v>851</v>
      </c>
      <c r="D50" t="str">
        <f t="shared" si="1"/>
        <v>MICAELEE NEILSON</v>
      </c>
      <c r="E50" t="s">
        <v>51</v>
      </c>
      <c r="F50" t="s">
        <v>90</v>
      </c>
      <c r="G50" t="s">
        <v>383</v>
      </c>
      <c r="H50" t="s">
        <v>384</v>
      </c>
      <c r="I50" t="s">
        <v>384</v>
      </c>
      <c r="J50">
        <v>1706194</v>
      </c>
      <c r="K50" t="s">
        <v>74</v>
      </c>
      <c r="L50" t="s">
        <v>75</v>
      </c>
      <c r="M50" t="str">
        <f t="shared" si="2"/>
        <v>MATTHEW DAUGHERTY</v>
      </c>
      <c r="N50" t="s">
        <v>144</v>
      </c>
      <c r="O50" s="1">
        <v>46023</v>
      </c>
      <c r="P50" s="1">
        <v>46055</v>
      </c>
      <c r="Q50" s="1">
        <v>46082</v>
      </c>
      <c r="R50" s="2">
        <v>-178.32</v>
      </c>
      <c r="S50" s="3">
        <v>0.7</v>
      </c>
      <c r="T50" s="2">
        <v>0</v>
      </c>
      <c r="U50">
        <v>-1</v>
      </c>
      <c r="V50" t="s">
        <v>60</v>
      </c>
      <c r="W50" t="s">
        <v>135</v>
      </c>
      <c r="X50">
        <v>0</v>
      </c>
      <c r="Y50" s="2">
        <v>0</v>
      </c>
      <c r="Z50" s="2">
        <v>-124.82</v>
      </c>
      <c r="AA50" s="2">
        <v>-124.82</v>
      </c>
      <c r="AB50" s="2">
        <v>0</v>
      </c>
    </row>
    <row r="51" spans="1:28" x14ac:dyDescent="0.25">
      <c r="A51">
        <v>2032586741</v>
      </c>
      <c r="B51" t="s">
        <v>865</v>
      </c>
      <c r="C51" t="s">
        <v>866</v>
      </c>
      <c r="D51" t="str">
        <f t="shared" si="1"/>
        <v>LATOY CLARK</v>
      </c>
      <c r="E51" t="s">
        <v>51</v>
      </c>
      <c r="F51" t="s">
        <v>66</v>
      </c>
      <c r="G51" t="s">
        <v>383</v>
      </c>
      <c r="H51" t="s">
        <v>384</v>
      </c>
      <c r="I51" t="s">
        <v>384</v>
      </c>
      <c r="J51">
        <v>16633294</v>
      </c>
      <c r="K51" t="s">
        <v>108</v>
      </c>
      <c r="L51" t="s">
        <v>394</v>
      </c>
      <c r="M51" t="str">
        <f t="shared" si="2"/>
        <v>Richard Yale</v>
      </c>
      <c r="N51" t="s">
        <v>144</v>
      </c>
      <c r="O51" s="1">
        <v>46023</v>
      </c>
      <c r="P51" s="1">
        <v>46055</v>
      </c>
      <c r="Q51" s="1">
        <v>46082</v>
      </c>
      <c r="R51" s="2">
        <v>-307.33999999999997</v>
      </c>
      <c r="S51" s="3">
        <v>0.7</v>
      </c>
      <c r="T51" s="2">
        <v>0</v>
      </c>
      <c r="U51">
        <v>-1</v>
      </c>
      <c r="V51" t="s">
        <v>60</v>
      </c>
      <c r="W51" t="s">
        <v>135</v>
      </c>
      <c r="X51">
        <v>0</v>
      </c>
      <c r="Y51" s="2">
        <v>0</v>
      </c>
      <c r="Z51" s="2">
        <v>-215.14</v>
      </c>
      <c r="AA51" s="2">
        <v>-215.14</v>
      </c>
      <c r="AB51" s="2">
        <v>0</v>
      </c>
    </row>
    <row r="52" spans="1:28" x14ac:dyDescent="0.25">
      <c r="A52">
        <v>2032617240</v>
      </c>
      <c r="B52" t="s">
        <v>882</v>
      </c>
      <c r="C52" t="s">
        <v>883</v>
      </c>
      <c r="D52" t="str">
        <f t="shared" si="1"/>
        <v>DANIEL MCCORMACK</v>
      </c>
      <c r="E52" t="s">
        <v>51</v>
      </c>
      <c r="F52" t="s">
        <v>66</v>
      </c>
      <c r="G52" t="s">
        <v>383</v>
      </c>
      <c r="H52" t="s">
        <v>384</v>
      </c>
      <c r="I52" t="s">
        <v>384</v>
      </c>
      <c r="J52">
        <v>21348299</v>
      </c>
      <c r="K52" t="s">
        <v>344</v>
      </c>
      <c r="L52" t="s">
        <v>345</v>
      </c>
      <c r="M52" t="str">
        <f t="shared" si="2"/>
        <v>BARRY BRENNER</v>
      </c>
      <c r="N52" t="s">
        <v>144</v>
      </c>
      <c r="O52" s="1">
        <v>46023</v>
      </c>
      <c r="P52" s="1">
        <v>46055</v>
      </c>
      <c r="Q52" s="1">
        <v>46082</v>
      </c>
      <c r="R52" s="2">
        <v>-28</v>
      </c>
      <c r="S52" s="3">
        <v>0.7</v>
      </c>
      <c r="T52" s="2">
        <v>0</v>
      </c>
      <c r="U52">
        <v>-1</v>
      </c>
      <c r="V52" t="s">
        <v>60</v>
      </c>
      <c r="W52" t="s">
        <v>135</v>
      </c>
      <c r="X52">
        <v>0</v>
      </c>
      <c r="Y52" s="2">
        <v>0</v>
      </c>
      <c r="Z52" s="2">
        <v>-19.600000000000001</v>
      </c>
      <c r="AA52" s="2">
        <v>-19.600000000000001</v>
      </c>
      <c r="AB52" s="2">
        <v>0</v>
      </c>
    </row>
    <row r="53" spans="1:28" x14ac:dyDescent="0.25">
      <c r="A53">
        <v>2032686877</v>
      </c>
      <c r="B53" t="s">
        <v>905</v>
      </c>
      <c r="C53" t="s">
        <v>176</v>
      </c>
      <c r="D53" t="str">
        <f t="shared" si="1"/>
        <v>KIMBERLY MAKI</v>
      </c>
      <c r="E53" t="s">
        <v>51</v>
      </c>
      <c r="F53" t="s">
        <v>333</v>
      </c>
      <c r="G53" t="s">
        <v>383</v>
      </c>
      <c r="H53" t="s">
        <v>384</v>
      </c>
      <c r="I53" t="s">
        <v>384</v>
      </c>
      <c r="J53">
        <v>18581063</v>
      </c>
      <c r="K53" t="s">
        <v>906</v>
      </c>
      <c r="L53" t="s">
        <v>907</v>
      </c>
      <c r="M53" t="str">
        <f t="shared" si="2"/>
        <v>Timothy Hodgman</v>
      </c>
      <c r="N53" t="s">
        <v>144</v>
      </c>
      <c r="O53" s="1">
        <v>46023</v>
      </c>
      <c r="P53" s="1">
        <v>46062</v>
      </c>
      <c r="Q53" s="1">
        <v>46082</v>
      </c>
      <c r="R53" s="2">
        <v>-68</v>
      </c>
      <c r="S53" s="3">
        <v>0.7</v>
      </c>
      <c r="T53" s="2">
        <v>0</v>
      </c>
      <c r="U53">
        <v>-1</v>
      </c>
      <c r="V53" t="s">
        <v>60</v>
      </c>
      <c r="W53" t="s">
        <v>135</v>
      </c>
      <c r="X53">
        <v>0</v>
      </c>
      <c r="Y53" s="2">
        <v>0</v>
      </c>
      <c r="Z53" s="2">
        <v>-47.6</v>
      </c>
      <c r="AA53" s="2">
        <v>-47.6</v>
      </c>
      <c r="AB53" s="2">
        <v>0</v>
      </c>
    </row>
    <row r="54" spans="1:28" x14ac:dyDescent="0.25">
      <c r="A54">
        <v>2032702728</v>
      </c>
      <c r="B54" t="s">
        <v>324</v>
      </c>
      <c r="C54" t="s">
        <v>910</v>
      </c>
      <c r="D54" t="str">
        <f t="shared" si="1"/>
        <v>ODALYS GARCIA</v>
      </c>
      <c r="E54" t="s">
        <v>51</v>
      </c>
      <c r="F54" t="s">
        <v>66</v>
      </c>
      <c r="G54" t="s">
        <v>383</v>
      </c>
      <c r="H54" t="s">
        <v>384</v>
      </c>
      <c r="I54" t="s">
        <v>384</v>
      </c>
      <c r="J54">
        <v>16912722</v>
      </c>
      <c r="K54" t="s">
        <v>295</v>
      </c>
      <c r="L54" t="s">
        <v>296</v>
      </c>
      <c r="M54" t="str">
        <f t="shared" si="2"/>
        <v>ANDREA PETRUNGARO</v>
      </c>
      <c r="N54" t="s">
        <v>144</v>
      </c>
      <c r="O54" s="1">
        <v>46023</v>
      </c>
      <c r="P54" s="1">
        <v>46055</v>
      </c>
      <c r="Q54" s="1">
        <v>46082</v>
      </c>
      <c r="R54" s="2">
        <v>-51.41</v>
      </c>
      <c r="S54" s="3">
        <v>0.7</v>
      </c>
      <c r="T54" s="2">
        <v>0</v>
      </c>
      <c r="U54">
        <v>-1</v>
      </c>
      <c r="V54" t="s">
        <v>60</v>
      </c>
      <c r="W54" t="s">
        <v>135</v>
      </c>
      <c r="X54">
        <v>0</v>
      </c>
      <c r="Y54" s="2">
        <v>0</v>
      </c>
      <c r="Z54" s="2">
        <v>-35.99</v>
      </c>
      <c r="AA54" s="2">
        <v>-35.99</v>
      </c>
      <c r="AB54" s="2">
        <v>0</v>
      </c>
    </row>
    <row r="55" spans="1:28" x14ac:dyDescent="0.25">
      <c r="A55">
        <v>2032706150</v>
      </c>
      <c r="B55" t="s">
        <v>914</v>
      </c>
      <c r="C55" t="s">
        <v>477</v>
      </c>
      <c r="D55" t="str">
        <f t="shared" si="1"/>
        <v>JULIE DOANE</v>
      </c>
      <c r="E55" t="s">
        <v>51</v>
      </c>
      <c r="F55" t="s">
        <v>71</v>
      </c>
      <c r="G55" t="s">
        <v>383</v>
      </c>
      <c r="H55" t="s">
        <v>384</v>
      </c>
      <c r="I55" t="s">
        <v>384</v>
      </c>
      <c r="J55">
        <v>1706194</v>
      </c>
      <c r="K55" t="s">
        <v>74</v>
      </c>
      <c r="L55" t="s">
        <v>75</v>
      </c>
      <c r="M55" t="str">
        <f t="shared" si="2"/>
        <v>MATTHEW DAUGHERTY</v>
      </c>
      <c r="N55" t="s">
        <v>144</v>
      </c>
      <c r="O55" s="1">
        <v>46023</v>
      </c>
      <c r="P55" s="1">
        <v>46055</v>
      </c>
      <c r="Q55" s="1">
        <v>46082</v>
      </c>
      <c r="R55" s="2">
        <v>-70.28</v>
      </c>
      <c r="S55" s="3">
        <v>0.7</v>
      </c>
      <c r="T55" s="2">
        <v>0</v>
      </c>
      <c r="U55">
        <v>-1</v>
      </c>
      <c r="V55" t="s">
        <v>60</v>
      </c>
      <c r="W55" t="s">
        <v>135</v>
      </c>
      <c r="X55">
        <v>0</v>
      </c>
      <c r="Y55" s="2">
        <v>0</v>
      </c>
      <c r="Z55" s="2">
        <v>-49.2</v>
      </c>
      <c r="AA55" s="2">
        <v>-49.2</v>
      </c>
      <c r="AB55" s="2">
        <v>0</v>
      </c>
    </row>
    <row r="56" spans="1:28" x14ac:dyDescent="0.25">
      <c r="A56">
        <v>2032726020</v>
      </c>
      <c r="B56" t="s">
        <v>915</v>
      </c>
      <c r="C56" t="s">
        <v>741</v>
      </c>
      <c r="D56" t="str">
        <f t="shared" si="1"/>
        <v>GARY PARKER</v>
      </c>
      <c r="E56" t="s">
        <v>51</v>
      </c>
      <c r="F56" t="s">
        <v>96</v>
      </c>
      <c r="G56" t="s">
        <v>383</v>
      </c>
      <c r="H56" t="s">
        <v>384</v>
      </c>
      <c r="I56" t="s">
        <v>384</v>
      </c>
      <c r="J56">
        <v>3333476</v>
      </c>
      <c r="K56" t="s">
        <v>827</v>
      </c>
      <c r="L56" t="s">
        <v>828</v>
      </c>
      <c r="M56" t="str">
        <f t="shared" si="2"/>
        <v>Colleen Jerger</v>
      </c>
      <c r="N56" t="s">
        <v>144</v>
      </c>
      <c r="O56" s="1">
        <v>46023</v>
      </c>
      <c r="P56" s="1">
        <v>46055</v>
      </c>
      <c r="Q56" s="1">
        <v>46082</v>
      </c>
      <c r="R56" s="2">
        <v>-29.16</v>
      </c>
      <c r="S56" s="3">
        <v>0.7</v>
      </c>
      <c r="T56" s="2">
        <v>0</v>
      </c>
      <c r="U56">
        <v>-1</v>
      </c>
      <c r="V56" t="s">
        <v>60</v>
      </c>
      <c r="W56" t="s">
        <v>135</v>
      </c>
      <c r="X56">
        <v>0</v>
      </c>
      <c r="Y56" s="2">
        <v>0</v>
      </c>
      <c r="Z56" s="2">
        <v>-20.41</v>
      </c>
      <c r="AA56" s="2">
        <v>-20.41</v>
      </c>
      <c r="AB56" s="2">
        <v>0</v>
      </c>
    </row>
    <row r="57" spans="1:28" x14ac:dyDescent="0.25">
      <c r="A57">
        <v>2032750954</v>
      </c>
      <c r="B57" t="s">
        <v>865</v>
      </c>
      <c r="C57" t="s">
        <v>512</v>
      </c>
      <c r="D57" t="str">
        <f t="shared" si="1"/>
        <v>JOSEPH CLARK</v>
      </c>
      <c r="E57" t="s">
        <v>51</v>
      </c>
      <c r="F57" t="s">
        <v>746</v>
      </c>
      <c r="G57" t="s">
        <v>383</v>
      </c>
      <c r="H57" t="s">
        <v>384</v>
      </c>
      <c r="I57" t="s">
        <v>384</v>
      </c>
      <c r="J57">
        <v>8307933</v>
      </c>
      <c r="K57" t="s">
        <v>80</v>
      </c>
      <c r="L57" t="s">
        <v>81</v>
      </c>
      <c r="M57" t="str">
        <f t="shared" si="2"/>
        <v>GREGORY TEIPEL</v>
      </c>
      <c r="N57" t="s">
        <v>144</v>
      </c>
      <c r="O57" s="1">
        <v>46023</v>
      </c>
      <c r="P57" s="1">
        <v>46055</v>
      </c>
      <c r="Q57" s="1">
        <v>46082</v>
      </c>
      <c r="R57" s="2">
        <v>-73.95</v>
      </c>
      <c r="S57" s="3">
        <v>0.7</v>
      </c>
      <c r="T57" s="2">
        <v>0</v>
      </c>
      <c r="U57">
        <v>-1</v>
      </c>
      <c r="V57" t="s">
        <v>60</v>
      </c>
      <c r="W57" t="s">
        <v>135</v>
      </c>
      <c r="X57">
        <v>0</v>
      </c>
      <c r="Y57" s="2">
        <v>0</v>
      </c>
      <c r="Z57" s="2">
        <v>-51.76</v>
      </c>
      <c r="AA57" s="2">
        <v>-51.76</v>
      </c>
      <c r="AB57" s="2">
        <v>0</v>
      </c>
    </row>
    <row r="58" spans="1:28" x14ac:dyDescent="0.25">
      <c r="A58">
        <v>2032850725</v>
      </c>
      <c r="B58" t="s">
        <v>919</v>
      </c>
      <c r="C58" t="s">
        <v>920</v>
      </c>
      <c r="D58" t="str">
        <f t="shared" si="1"/>
        <v>JULIA AGUINAGA</v>
      </c>
      <c r="E58" t="s">
        <v>51</v>
      </c>
      <c r="F58" t="s">
        <v>90</v>
      </c>
      <c r="G58" t="s">
        <v>383</v>
      </c>
      <c r="H58" t="s">
        <v>384</v>
      </c>
      <c r="I58" t="s">
        <v>384</v>
      </c>
      <c r="J58">
        <v>21283956</v>
      </c>
      <c r="K58" t="s">
        <v>372</v>
      </c>
      <c r="L58" t="s">
        <v>373</v>
      </c>
      <c r="M58" t="str">
        <f t="shared" si="2"/>
        <v>VICTOR FUENTES</v>
      </c>
      <c r="N58" t="s">
        <v>144</v>
      </c>
      <c r="O58" s="1">
        <v>46054</v>
      </c>
      <c r="P58" s="1">
        <v>46062</v>
      </c>
      <c r="Q58" s="1">
        <v>46082</v>
      </c>
      <c r="R58" s="2">
        <v>-48.76</v>
      </c>
      <c r="S58" s="3">
        <v>0.7</v>
      </c>
      <c r="T58" s="2">
        <v>0</v>
      </c>
      <c r="U58">
        <v>-1</v>
      </c>
      <c r="V58" t="s">
        <v>60</v>
      </c>
      <c r="W58" t="s">
        <v>135</v>
      </c>
      <c r="X58">
        <v>0</v>
      </c>
      <c r="Y58" s="2">
        <v>0</v>
      </c>
      <c r="Z58" s="2">
        <v>-34.130000000000003</v>
      </c>
      <c r="AA58" s="2">
        <v>-34.130000000000003</v>
      </c>
      <c r="AB58" s="2">
        <v>0</v>
      </c>
    </row>
    <row r="59" spans="1:28" x14ac:dyDescent="0.25">
      <c r="A59">
        <v>2032854040</v>
      </c>
      <c r="B59" t="s">
        <v>921</v>
      </c>
      <c r="C59" t="s">
        <v>922</v>
      </c>
      <c r="D59" t="str">
        <f t="shared" si="1"/>
        <v>COREY TALBOTT</v>
      </c>
      <c r="E59" t="s">
        <v>51</v>
      </c>
      <c r="F59" t="s">
        <v>90</v>
      </c>
      <c r="G59" t="s">
        <v>383</v>
      </c>
      <c r="H59" t="s">
        <v>384</v>
      </c>
      <c r="I59" t="s">
        <v>384</v>
      </c>
      <c r="J59">
        <v>3333476</v>
      </c>
      <c r="K59" t="s">
        <v>827</v>
      </c>
      <c r="L59" t="s">
        <v>828</v>
      </c>
      <c r="M59" t="str">
        <f t="shared" si="2"/>
        <v>Colleen Jerger</v>
      </c>
      <c r="N59" t="s">
        <v>144</v>
      </c>
      <c r="O59" s="1">
        <v>46023</v>
      </c>
      <c r="P59" s="1">
        <v>46055</v>
      </c>
      <c r="Q59" s="1">
        <v>46082</v>
      </c>
      <c r="R59" s="2">
        <v>-32.200000000000003</v>
      </c>
      <c r="S59" s="3">
        <v>0.7</v>
      </c>
      <c r="T59" s="2">
        <v>0</v>
      </c>
      <c r="U59">
        <v>-1</v>
      </c>
      <c r="V59" t="s">
        <v>60</v>
      </c>
      <c r="W59" t="s">
        <v>135</v>
      </c>
      <c r="X59">
        <v>0</v>
      </c>
      <c r="Y59" s="2">
        <v>0</v>
      </c>
      <c r="Z59" s="2">
        <v>-22.54</v>
      </c>
      <c r="AA59" s="2">
        <v>-22.54</v>
      </c>
      <c r="AB59" s="2">
        <v>0</v>
      </c>
    </row>
    <row r="60" spans="1:28" x14ac:dyDescent="0.25">
      <c r="A60">
        <v>2033052911</v>
      </c>
      <c r="B60" t="s">
        <v>546</v>
      </c>
      <c r="C60" t="s">
        <v>943</v>
      </c>
      <c r="D60" t="str">
        <f t="shared" si="1"/>
        <v>DARBRA HERRICK</v>
      </c>
      <c r="E60" t="s">
        <v>51</v>
      </c>
      <c r="F60" t="s">
        <v>750</v>
      </c>
      <c r="G60" t="s">
        <v>383</v>
      </c>
      <c r="H60" t="s">
        <v>384</v>
      </c>
      <c r="I60" t="s">
        <v>384</v>
      </c>
      <c r="J60">
        <v>8977234</v>
      </c>
      <c r="K60" t="s">
        <v>162</v>
      </c>
      <c r="L60" t="s">
        <v>180</v>
      </c>
      <c r="M60" t="str">
        <f t="shared" si="2"/>
        <v>RYAN CALTAGIRONE</v>
      </c>
      <c r="N60" t="s">
        <v>144</v>
      </c>
      <c r="O60" s="1">
        <v>46054</v>
      </c>
      <c r="P60" s="1">
        <v>46062</v>
      </c>
      <c r="Q60" s="1">
        <v>46082</v>
      </c>
      <c r="R60" s="2">
        <v>-38.1</v>
      </c>
      <c r="S60" s="3">
        <v>0.7</v>
      </c>
      <c r="T60" s="2">
        <v>0</v>
      </c>
      <c r="U60">
        <v>-1</v>
      </c>
      <c r="V60" t="s">
        <v>60</v>
      </c>
      <c r="W60" t="s">
        <v>135</v>
      </c>
      <c r="X60">
        <v>0</v>
      </c>
      <c r="Y60" s="2">
        <v>0</v>
      </c>
      <c r="Z60" s="2">
        <v>-26.67</v>
      </c>
      <c r="AA60" s="2">
        <v>-26.67</v>
      </c>
      <c r="AB60" s="2">
        <v>0</v>
      </c>
    </row>
    <row r="61" spans="1:28" x14ac:dyDescent="0.25">
      <c r="A61">
        <v>2033109903</v>
      </c>
      <c r="B61" t="s">
        <v>960</v>
      </c>
      <c r="C61" t="s">
        <v>961</v>
      </c>
      <c r="D61" t="str">
        <f t="shared" si="1"/>
        <v>GRACE MEYER</v>
      </c>
      <c r="E61" t="s">
        <v>51</v>
      </c>
      <c r="F61" t="s">
        <v>274</v>
      </c>
      <c r="G61" t="s">
        <v>383</v>
      </c>
      <c r="H61" t="s">
        <v>384</v>
      </c>
      <c r="I61" t="s">
        <v>384</v>
      </c>
      <c r="J61">
        <v>16865615</v>
      </c>
      <c r="K61" t="s">
        <v>275</v>
      </c>
      <c r="L61" t="s">
        <v>276</v>
      </c>
      <c r="M61" t="str">
        <f t="shared" si="2"/>
        <v>Heather Geske</v>
      </c>
      <c r="N61" t="s">
        <v>144</v>
      </c>
      <c r="O61" s="1">
        <v>46054</v>
      </c>
      <c r="P61" s="1">
        <v>46062</v>
      </c>
      <c r="Q61" s="1">
        <v>46082</v>
      </c>
      <c r="R61" s="2">
        <v>-9.6999999999999993</v>
      </c>
      <c r="S61" s="3">
        <v>0.7</v>
      </c>
      <c r="T61" s="2">
        <v>0</v>
      </c>
      <c r="U61">
        <v>-1</v>
      </c>
      <c r="V61" t="s">
        <v>60</v>
      </c>
      <c r="W61" t="s">
        <v>135</v>
      </c>
      <c r="X61">
        <v>0</v>
      </c>
      <c r="Y61" s="2">
        <v>0</v>
      </c>
      <c r="Z61" s="2">
        <v>-6.79</v>
      </c>
      <c r="AA61" s="2">
        <v>-6.79</v>
      </c>
      <c r="AB61" s="2">
        <v>0</v>
      </c>
    </row>
    <row r="62" spans="1:28" x14ac:dyDescent="0.25">
      <c r="A62">
        <v>2033178394</v>
      </c>
      <c r="B62" t="s">
        <v>966</v>
      </c>
      <c r="C62" t="s">
        <v>967</v>
      </c>
      <c r="D62" t="str">
        <f t="shared" si="1"/>
        <v>CHRISTIE BALL</v>
      </c>
      <c r="E62" t="s">
        <v>51</v>
      </c>
      <c r="F62" t="s">
        <v>353</v>
      </c>
      <c r="G62" t="s">
        <v>383</v>
      </c>
      <c r="H62" t="s">
        <v>384</v>
      </c>
      <c r="I62" t="s">
        <v>384</v>
      </c>
      <c r="J62">
        <v>1706194</v>
      </c>
      <c r="K62" t="s">
        <v>74</v>
      </c>
      <c r="L62" t="s">
        <v>75</v>
      </c>
      <c r="M62" t="str">
        <f t="shared" si="2"/>
        <v>MATTHEW DAUGHERTY</v>
      </c>
      <c r="N62" t="s">
        <v>144</v>
      </c>
      <c r="O62" s="1">
        <v>46054</v>
      </c>
      <c r="P62" s="1">
        <v>46062</v>
      </c>
      <c r="Q62" s="1">
        <v>46082</v>
      </c>
      <c r="R62" s="2">
        <v>-32.33</v>
      </c>
      <c r="S62" s="3">
        <v>0.7</v>
      </c>
      <c r="T62" s="2">
        <v>0</v>
      </c>
      <c r="U62">
        <v>-1</v>
      </c>
      <c r="V62" t="s">
        <v>60</v>
      </c>
      <c r="W62" t="s">
        <v>135</v>
      </c>
      <c r="X62">
        <v>0</v>
      </c>
      <c r="Y62" s="2">
        <v>0</v>
      </c>
      <c r="Z62" s="2">
        <v>-22.63</v>
      </c>
      <c r="AA62" s="2">
        <v>-22.63</v>
      </c>
      <c r="AB62" s="2">
        <v>0</v>
      </c>
    </row>
    <row r="63" spans="1:28" x14ac:dyDescent="0.25">
      <c r="A63">
        <v>2033246167</v>
      </c>
      <c r="B63" t="s">
        <v>968</v>
      </c>
      <c r="C63" t="s">
        <v>969</v>
      </c>
      <c r="D63" t="str">
        <f t="shared" si="1"/>
        <v>MEGAN RODDAM</v>
      </c>
      <c r="E63" t="s">
        <v>51</v>
      </c>
      <c r="F63" t="s">
        <v>750</v>
      </c>
      <c r="G63" t="s">
        <v>383</v>
      </c>
      <c r="H63" t="s">
        <v>384</v>
      </c>
      <c r="I63" t="s">
        <v>384</v>
      </c>
      <c r="J63">
        <v>1706194</v>
      </c>
      <c r="K63" t="s">
        <v>74</v>
      </c>
      <c r="L63" t="s">
        <v>75</v>
      </c>
      <c r="M63" t="str">
        <f t="shared" si="2"/>
        <v>MATTHEW DAUGHERTY</v>
      </c>
      <c r="N63" t="s">
        <v>144</v>
      </c>
      <c r="O63" s="1">
        <v>46054</v>
      </c>
      <c r="P63" s="1">
        <v>46062</v>
      </c>
      <c r="Q63" s="1">
        <v>46082</v>
      </c>
      <c r="R63" s="2">
        <v>-93.92</v>
      </c>
      <c r="S63" s="3">
        <v>0.7</v>
      </c>
      <c r="T63" s="2">
        <v>0</v>
      </c>
      <c r="U63">
        <v>-1</v>
      </c>
      <c r="V63" t="s">
        <v>60</v>
      </c>
      <c r="W63" t="s">
        <v>135</v>
      </c>
      <c r="X63">
        <v>0</v>
      </c>
      <c r="Y63" s="2">
        <v>0</v>
      </c>
      <c r="Z63" s="2">
        <v>-65.739999999999995</v>
      </c>
      <c r="AA63" s="2">
        <v>-65.739999999999995</v>
      </c>
      <c r="AB63" s="2">
        <v>0</v>
      </c>
    </row>
    <row r="64" spans="1:28" x14ac:dyDescent="0.25">
      <c r="A64">
        <v>2033304950</v>
      </c>
      <c r="B64" t="s">
        <v>970</v>
      </c>
      <c r="C64" t="s">
        <v>891</v>
      </c>
      <c r="D64" t="str">
        <f t="shared" si="1"/>
        <v>CHAD BIRDSELL</v>
      </c>
      <c r="E64" t="s">
        <v>51</v>
      </c>
      <c r="F64" t="s">
        <v>971</v>
      </c>
      <c r="G64" t="s">
        <v>383</v>
      </c>
      <c r="H64" t="s">
        <v>384</v>
      </c>
      <c r="I64" t="s">
        <v>384</v>
      </c>
      <c r="J64">
        <v>8977234</v>
      </c>
      <c r="K64" t="s">
        <v>162</v>
      </c>
      <c r="L64" t="s">
        <v>180</v>
      </c>
      <c r="M64" t="str">
        <f t="shared" si="2"/>
        <v>RYAN CALTAGIRONE</v>
      </c>
      <c r="N64" t="s">
        <v>144</v>
      </c>
      <c r="O64" s="1">
        <v>46051</v>
      </c>
      <c r="P64" s="1">
        <v>46062</v>
      </c>
      <c r="Q64" s="1">
        <v>46081</v>
      </c>
      <c r="R64" s="2">
        <v>-97.85</v>
      </c>
      <c r="S64" s="3">
        <v>0.7</v>
      </c>
      <c r="T64" s="2">
        <v>0</v>
      </c>
      <c r="U64">
        <v>-1</v>
      </c>
      <c r="V64" t="s">
        <v>60</v>
      </c>
      <c r="W64" t="s">
        <v>135</v>
      </c>
      <c r="X64">
        <v>0</v>
      </c>
      <c r="Y64" s="2">
        <v>0</v>
      </c>
      <c r="Z64" s="2">
        <v>-68.5</v>
      </c>
      <c r="AA64" s="2">
        <v>-68.5</v>
      </c>
      <c r="AB64" s="2">
        <v>0</v>
      </c>
    </row>
    <row r="65" spans="1:28" x14ac:dyDescent="0.25">
      <c r="A65">
        <v>2033397215</v>
      </c>
      <c r="B65" t="s">
        <v>620</v>
      </c>
      <c r="C65" t="s">
        <v>539</v>
      </c>
      <c r="D65" t="str">
        <f t="shared" si="1"/>
        <v>YVETTE SEXTON</v>
      </c>
      <c r="E65" t="s">
        <v>51</v>
      </c>
      <c r="F65" t="s">
        <v>90</v>
      </c>
      <c r="G65" t="s">
        <v>383</v>
      </c>
      <c r="H65" t="s">
        <v>384</v>
      </c>
      <c r="I65" t="s">
        <v>384</v>
      </c>
      <c r="J65">
        <v>17554531</v>
      </c>
      <c r="K65" t="s">
        <v>405</v>
      </c>
      <c r="L65" t="s">
        <v>406</v>
      </c>
      <c r="M65" t="str">
        <f t="shared" si="2"/>
        <v>Brittany Oliver</v>
      </c>
      <c r="N65" t="s">
        <v>144</v>
      </c>
      <c r="O65" s="1">
        <v>46052</v>
      </c>
      <c r="P65" s="1">
        <v>46062</v>
      </c>
      <c r="Q65" s="1">
        <v>46081</v>
      </c>
      <c r="R65" s="2">
        <v>-18.100000000000001</v>
      </c>
      <c r="S65" s="3">
        <v>0.7</v>
      </c>
      <c r="T65" s="2">
        <v>0</v>
      </c>
      <c r="U65">
        <v>-1</v>
      </c>
      <c r="V65" t="s">
        <v>60</v>
      </c>
      <c r="W65" t="s">
        <v>135</v>
      </c>
      <c r="X65">
        <v>0</v>
      </c>
      <c r="Y65" s="2">
        <v>0</v>
      </c>
      <c r="Z65" s="2">
        <v>-12.67</v>
      </c>
      <c r="AA65" s="2">
        <v>-12.67</v>
      </c>
      <c r="AB65" s="2">
        <v>0</v>
      </c>
    </row>
    <row r="66" spans="1:28" x14ac:dyDescent="0.25">
      <c r="A66">
        <v>2033434027</v>
      </c>
      <c r="B66" t="s">
        <v>972</v>
      </c>
      <c r="C66" t="s">
        <v>973</v>
      </c>
      <c r="D66" t="str">
        <f t="shared" si="1"/>
        <v>FERNANDO FERNANDEZ</v>
      </c>
      <c r="E66" t="s">
        <v>51</v>
      </c>
      <c r="F66" t="s">
        <v>66</v>
      </c>
      <c r="G66" t="s">
        <v>383</v>
      </c>
      <c r="H66" t="s">
        <v>384</v>
      </c>
      <c r="I66" t="s">
        <v>384</v>
      </c>
      <c r="J66">
        <v>19200754</v>
      </c>
      <c r="K66" t="s">
        <v>730</v>
      </c>
      <c r="L66" t="s">
        <v>731</v>
      </c>
      <c r="M66" t="str">
        <f t="shared" ref="M66:M97" si="3">CONCATENATE(L66," ",K66)</f>
        <v>RICARDO SANTOS</v>
      </c>
      <c r="N66" t="s">
        <v>144</v>
      </c>
      <c r="O66" s="1">
        <v>46054</v>
      </c>
      <c r="P66" s="1">
        <v>46062</v>
      </c>
      <c r="Q66" s="1">
        <v>46082</v>
      </c>
      <c r="R66" s="2">
        <v>-148.32</v>
      </c>
      <c r="S66" s="3">
        <v>0.7</v>
      </c>
      <c r="T66" s="2">
        <v>0</v>
      </c>
      <c r="U66">
        <v>-1</v>
      </c>
      <c r="V66" t="s">
        <v>60</v>
      </c>
      <c r="W66" t="s">
        <v>135</v>
      </c>
      <c r="X66">
        <v>0</v>
      </c>
      <c r="Y66" s="2">
        <v>0</v>
      </c>
      <c r="Z66" s="2">
        <v>-103.82</v>
      </c>
      <c r="AA66" s="2">
        <v>-103.82</v>
      </c>
      <c r="AB66" s="2">
        <v>0</v>
      </c>
    </row>
    <row r="67" spans="1:28" x14ac:dyDescent="0.25">
      <c r="A67">
        <v>2022013865</v>
      </c>
      <c r="B67" t="s">
        <v>638</v>
      </c>
      <c r="C67" t="s">
        <v>639</v>
      </c>
      <c r="D67" t="str">
        <f t="shared" ref="D67:D114" si="4">CONCATENATE(C67," ",B67)</f>
        <v>JARED HUGHES</v>
      </c>
      <c r="E67" t="s">
        <v>51</v>
      </c>
      <c r="F67" t="s">
        <v>209</v>
      </c>
      <c r="G67" t="s">
        <v>383</v>
      </c>
      <c r="H67" t="s">
        <v>384</v>
      </c>
      <c r="I67" t="s">
        <v>384</v>
      </c>
      <c r="J67">
        <v>8977234</v>
      </c>
      <c r="K67" t="s">
        <v>162</v>
      </c>
      <c r="L67" t="s">
        <v>180</v>
      </c>
      <c r="M67" t="str">
        <f t="shared" si="3"/>
        <v>RYAN CALTAGIRONE</v>
      </c>
      <c r="N67" t="s">
        <v>144</v>
      </c>
      <c r="O67" s="1">
        <v>45383</v>
      </c>
      <c r="P67" s="1">
        <v>46055</v>
      </c>
      <c r="Q67" s="1">
        <v>46082</v>
      </c>
      <c r="R67" s="2">
        <v>-82.78</v>
      </c>
      <c r="S67" s="3">
        <v>0.15</v>
      </c>
      <c r="T67" s="2">
        <v>0</v>
      </c>
      <c r="U67">
        <v>-1</v>
      </c>
      <c r="V67" t="s">
        <v>157</v>
      </c>
      <c r="W67" t="s">
        <v>135</v>
      </c>
      <c r="X67">
        <v>0</v>
      </c>
      <c r="Y67" s="2">
        <v>0</v>
      </c>
      <c r="Z67" s="2">
        <v>-12.42</v>
      </c>
      <c r="AA67" s="2">
        <v>-12.42</v>
      </c>
      <c r="AB67" s="2">
        <v>0</v>
      </c>
    </row>
    <row r="68" spans="1:28" x14ac:dyDescent="0.25">
      <c r="A68">
        <v>2026187011</v>
      </c>
      <c r="B68" t="s">
        <v>533</v>
      </c>
      <c r="C68" t="s">
        <v>534</v>
      </c>
      <c r="D68" t="str">
        <f t="shared" si="4"/>
        <v>ALBERT CONKLIN</v>
      </c>
      <c r="E68" t="s">
        <v>51</v>
      </c>
      <c r="F68" t="s">
        <v>170</v>
      </c>
      <c r="G68" t="s">
        <v>383</v>
      </c>
      <c r="H68" t="s">
        <v>384</v>
      </c>
      <c r="I68" t="s">
        <v>384</v>
      </c>
      <c r="J68">
        <v>371819</v>
      </c>
      <c r="K68" t="s">
        <v>310</v>
      </c>
      <c r="L68" t="s">
        <v>311</v>
      </c>
      <c r="M68" t="str">
        <f t="shared" si="3"/>
        <v>THOMAS PARDUE</v>
      </c>
      <c r="N68" t="s">
        <v>144</v>
      </c>
      <c r="O68" s="1">
        <v>45658</v>
      </c>
      <c r="P68" s="1">
        <v>46062</v>
      </c>
      <c r="Q68" s="1">
        <v>46082</v>
      </c>
      <c r="R68" s="2">
        <v>-90.13</v>
      </c>
      <c r="S68" s="3">
        <v>0.15</v>
      </c>
      <c r="T68" s="2">
        <v>0</v>
      </c>
      <c r="U68">
        <v>-1</v>
      </c>
      <c r="V68" t="s">
        <v>157</v>
      </c>
      <c r="W68" t="s">
        <v>135</v>
      </c>
      <c r="X68">
        <v>0</v>
      </c>
      <c r="Y68" s="2">
        <v>0</v>
      </c>
      <c r="Z68" s="2">
        <v>-13.52</v>
      </c>
      <c r="AA68" s="2">
        <v>-13.52</v>
      </c>
      <c r="AB68" s="2">
        <v>0</v>
      </c>
    </row>
    <row r="69" spans="1:28" x14ac:dyDescent="0.25">
      <c r="A69">
        <v>2026189683</v>
      </c>
      <c r="B69" t="s">
        <v>1220</v>
      </c>
      <c r="C69" t="s">
        <v>999</v>
      </c>
      <c r="D69" t="str">
        <f t="shared" si="4"/>
        <v>STEVEN ADLER</v>
      </c>
      <c r="E69" t="s">
        <v>51</v>
      </c>
      <c r="F69" t="s">
        <v>170</v>
      </c>
      <c r="G69" t="s">
        <v>383</v>
      </c>
      <c r="H69" t="s">
        <v>384</v>
      </c>
      <c r="I69" t="s">
        <v>384</v>
      </c>
      <c r="J69">
        <v>593918</v>
      </c>
      <c r="K69" t="s">
        <v>1213</v>
      </c>
      <c r="L69" t="s">
        <v>683</v>
      </c>
      <c r="M69" t="str">
        <f t="shared" si="3"/>
        <v>ANDREW GOODMAN</v>
      </c>
      <c r="N69" t="s">
        <v>144</v>
      </c>
      <c r="O69" s="1">
        <v>45658</v>
      </c>
      <c r="P69" s="1">
        <v>46062</v>
      </c>
      <c r="Q69" s="1">
        <v>46082</v>
      </c>
      <c r="R69" s="2">
        <v>-18.38</v>
      </c>
      <c r="S69" s="3">
        <v>0.15</v>
      </c>
      <c r="T69" s="2">
        <v>0</v>
      </c>
      <c r="U69">
        <v>-1</v>
      </c>
      <c r="V69" t="s">
        <v>157</v>
      </c>
      <c r="W69" t="s">
        <v>135</v>
      </c>
      <c r="X69">
        <v>0</v>
      </c>
      <c r="Y69" s="2">
        <v>0</v>
      </c>
      <c r="Z69" s="2">
        <v>-2.76</v>
      </c>
      <c r="AA69" s="2">
        <v>-2.76</v>
      </c>
      <c r="AB69" s="2">
        <v>0</v>
      </c>
    </row>
    <row r="70" spans="1:28" x14ac:dyDescent="0.25">
      <c r="A70">
        <v>2026627935</v>
      </c>
      <c r="B70" t="s">
        <v>675</v>
      </c>
      <c r="C70" t="s">
        <v>676</v>
      </c>
      <c r="D70" t="str">
        <f t="shared" si="4"/>
        <v>JEFFREY SALAZAR</v>
      </c>
      <c r="E70" t="s">
        <v>51</v>
      </c>
      <c r="F70" t="s">
        <v>274</v>
      </c>
      <c r="G70" t="s">
        <v>383</v>
      </c>
      <c r="H70" t="s">
        <v>384</v>
      </c>
      <c r="I70" t="s">
        <v>384</v>
      </c>
      <c r="J70">
        <v>16865615</v>
      </c>
      <c r="K70" t="s">
        <v>275</v>
      </c>
      <c r="L70" t="s">
        <v>276</v>
      </c>
      <c r="M70" t="str">
        <f t="shared" si="3"/>
        <v>Heather Geske</v>
      </c>
      <c r="N70" t="s">
        <v>144</v>
      </c>
      <c r="O70" s="1">
        <v>45689</v>
      </c>
      <c r="P70" s="1">
        <v>46055</v>
      </c>
      <c r="Q70" s="1">
        <v>46082</v>
      </c>
      <c r="R70" s="2">
        <v>-18.2</v>
      </c>
      <c r="S70" s="3">
        <v>0.15</v>
      </c>
      <c r="T70" s="2">
        <v>0</v>
      </c>
      <c r="U70">
        <v>-1</v>
      </c>
      <c r="V70" t="s">
        <v>157</v>
      </c>
      <c r="W70" t="s">
        <v>135</v>
      </c>
      <c r="X70">
        <v>0</v>
      </c>
      <c r="Y70" s="2">
        <v>0</v>
      </c>
      <c r="Z70" s="2">
        <v>-2.73</v>
      </c>
      <c r="AA70" s="2">
        <v>-2.73</v>
      </c>
      <c r="AB70" s="2">
        <v>0</v>
      </c>
    </row>
    <row r="71" spans="1:28" x14ac:dyDescent="0.25">
      <c r="A71">
        <v>2026755178</v>
      </c>
      <c r="B71" t="s">
        <v>677</v>
      </c>
      <c r="C71" t="s">
        <v>678</v>
      </c>
      <c r="D71" t="str">
        <f t="shared" si="4"/>
        <v>EUGENE FOGLE</v>
      </c>
      <c r="E71" t="s">
        <v>51</v>
      </c>
      <c r="F71" t="s">
        <v>209</v>
      </c>
      <c r="G71" t="s">
        <v>383</v>
      </c>
      <c r="H71" t="s">
        <v>384</v>
      </c>
      <c r="I71" t="s">
        <v>384</v>
      </c>
      <c r="J71">
        <v>8977234</v>
      </c>
      <c r="K71" t="s">
        <v>162</v>
      </c>
      <c r="L71" t="s">
        <v>180</v>
      </c>
      <c r="M71" t="str">
        <f t="shared" si="3"/>
        <v>RYAN CALTAGIRONE</v>
      </c>
      <c r="N71" t="s">
        <v>144</v>
      </c>
      <c r="O71" s="1">
        <v>45689</v>
      </c>
      <c r="P71" s="1">
        <v>46055</v>
      </c>
      <c r="Q71" s="1">
        <v>46082</v>
      </c>
      <c r="R71" s="2">
        <v>-152.07</v>
      </c>
      <c r="S71" s="3">
        <v>0.15</v>
      </c>
      <c r="T71" s="2">
        <v>0</v>
      </c>
      <c r="U71">
        <v>-1</v>
      </c>
      <c r="V71" t="s">
        <v>157</v>
      </c>
      <c r="W71" t="s">
        <v>135</v>
      </c>
      <c r="X71">
        <v>0</v>
      </c>
      <c r="Y71" s="2">
        <v>0</v>
      </c>
      <c r="Z71" s="2">
        <v>-22.81</v>
      </c>
      <c r="AA71" s="2">
        <v>-22.81</v>
      </c>
      <c r="AB71" s="2">
        <v>0</v>
      </c>
    </row>
    <row r="72" spans="1:28" x14ac:dyDescent="0.25">
      <c r="A72">
        <v>2027956292</v>
      </c>
      <c r="B72" t="s">
        <v>1240</v>
      </c>
      <c r="C72" t="s">
        <v>1241</v>
      </c>
      <c r="D72" t="str">
        <f t="shared" si="4"/>
        <v>KAYLA KRUM</v>
      </c>
      <c r="E72" t="s">
        <v>51</v>
      </c>
      <c r="F72" t="s">
        <v>971</v>
      </c>
      <c r="G72" t="s">
        <v>383</v>
      </c>
      <c r="H72" t="s">
        <v>384</v>
      </c>
      <c r="I72" t="s">
        <v>384</v>
      </c>
      <c r="J72">
        <v>18754354</v>
      </c>
      <c r="K72" t="s">
        <v>325</v>
      </c>
      <c r="L72" t="s">
        <v>326</v>
      </c>
      <c r="M72" t="str">
        <f t="shared" si="3"/>
        <v>JACOB YALE</v>
      </c>
      <c r="N72" t="s">
        <v>144</v>
      </c>
      <c r="O72" s="1">
        <v>45748</v>
      </c>
      <c r="P72" s="1">
        <v>46055</v>
      </c>
      <c r="Q72" s="1">
        <v>46082</v>
      </c>
      <c r="R72" s="2">
        <v>-67.62</v>
      </c>
      <c r="S72" s="3">
        <v>0.7</v>
      </c>
      <c r="T72" s="2">
        <v>0</v>
      </c>
      <c r="U72">
        <v>-1</v>
      </c>
      <c r="V72" t="s">
        <v>60</v>
      </c>
      <c r="W72" t="s">
        <v>135</v>
      </c>
      <c r="X72">
        <v>0</v>
      </c>
      <c r="Y72" s="2">
        <v>0</v>
      </c>
      <c r="Z72" s="2">
        <v>-47.33</v>
      </c>
      <c r="AA72" s="2">
        <v>-47.33</v>
      </c>
      <c r="AB72" s="2">
        <v>0</v>
      </c>
    </row>
    <row r="73" spans="1:28" x14ac:dyDescent="0.25">
      <c r="A73">
        <v>2028427596</v>
      </c>
      <c r="B73" t="s">
        <v>1002</v>
      </c>
      <c r="C73" t="s">
        <v>501</v>
      </c>
      <c r="D73" t="str">
        <f t="shared" si="4"/>
        <v>LINDA FRAZIER</v>
      </c>
      <c r="E73" t="s">
        <v>51</v>
      </c>
      <c r="F73" t="s">
        <v>116</v>
      </c>
      <c r="G73" t="s">
        <v>383</v>
      </c>
      <c r="H73" t="s">
        <v>384</v>
      </c>
      <c r="I73" t="s">
        <v>384</v>
      </c>
      <c r="J73">
        <v>1706194</v>
      </c>
      <c r="K73" t="s">
        <v>74</v>
      </c>
      <c r="L73" t="s">
        <v>75</v>
      </c>
      <c r="M73" t="str">
        <f t="shared" si="3"/>
        <v>MATTHEW DAUGHERTY</v>
      </c>
      <c r="N73" t="s">
        <v>144</v>
      </c>
      <c r="O73" s="1">
        <v>45778</v>
      </c>
      <c r="P73" s="1">
        <v>46055</v>
      </c>
      <c r="Q73" s="1">
        <v>46082</v>
      </c>
      <c r="R73" s="2">
        <v>-23.97</v>
      </c>
      <c r="S73" s="3">
        <v>0.7</v>
      </c>
      <c r="T73" s="2">
        <v>0</v>
      </c>
      <c r="U73">
        <v>-1</v>
      </c>
      <c r="V73" t="s">
        <v>60</v>
      </c>
      <c r="W73" t="s">
        <v>135</v>
      </c>
      <c r="X73">
        <v>0</v>
      </c>
      <c r="Y73" s="2">
        <v>0</v>
      </c>
      <c r="Z73" s="2">
        <v>-16.78</v>
      </c>
      <c r="AA73" s="2">
        <v>-16.78</v>
      </c>
      <c r="AB73" s="2">
        <v>0</v>
      </c>
    </row>
    <row r="74" spans="1:28" x14ac:dyDescent="0.25">
      <c r="A74">
        <v>2028520983</v>
      </c>
      <c r="B74" t="s">
        <v>531</v>
      </c>
      <c r="C74" t="s">
        <v>712</v>
      </c>
      <c r="D74" t="str">
        <f t="shared" si="4"/>
        <v>SEJAL PATEL</v>
      </c>
      <c r="E74" t="s">
        <v>51</v>
      </c>
      <c r="F74" t="s">
        <v>66</v>
      </c>
      <c r="G74" t="s">
        <v>383</v>
      </c>
      <c r="H74" t="s">
        <v>384</v>
      </c>
      <c r="I74" t="s">
        <v>384</v>
      </c>
      <c r="J74">
        <v>7470776</v>
      </c>
      <c r="K74" t="s">
        <v>569</v>
      </c>
      <c r="L74" t="s">
        <v>570</v>
      </c>
      <c r="M74" t="str">
        <f t="shared" si="3"/>
        <v>Andrew Choi</v>
      </c>
      <c r="N74" t="s">
        <v>144</v>
      </c>
      <c r="O74" s="1">
        <v>45778</v>
      </c>
      <c r="P74" s="1">
        <v>46062</v>
      </c>
      <c r="Q74" s="1">
        <v>46082</v>
      </c>
      <c r="R74" s="2">
        <v>-44.43</v>
      </c>
      <c r="S74" s="3">
        <v>0.7</v>
      </c>
      <c r="T74" s="2">
        <v>0</v>
      </c>
      <c r="U74">
        <v>-1</v>
      </c>
      <c r="V74" t="s">
        <v>60</v>
      </c>
      <c r="W74" t="s">
        <v>135</v>
      </c>
      <c r="X74">
        <v>0</v>
      </c>
      <c r="Y74" s="2">
        <v>0</v>
      </c>
      <c r="Z74" s="2">
        <v>-31.1</v>
      </c>
      <c r="AA74" s="2">
        <v>-31.1</v>
      </c>
      <c r="AB74" s="2">
        <v>0</v>
      </c>
    </row>
    <row r="75" spans="1:28" x14ac:dyDescent="0.25">
      <c r="A75">
        <v>2028942347</v>
      </c>
      <c r="B75" t="s">
        <v>1254</v>
      </c>
      <c r="C75" t="s">
        <v>1255</v>
      </c>
      <c r="D75" t="str">
        <f t="shared" si="4"/>
        <v>TAMARA SILVETTI</v>
      </c>
      <c r="E75" t="s">
        <v>51</v>
      </c>
      <c r="F75" t="s">
        <v>66</v>
      </c>
      <c r="G75" t="s">
        <v>383</v>
      </c>
      <c r="H75" t="s">
        <v>384</v>
      </c>
      <c r="I75" t="s">
        <v>384</v>
      </c>
      <c r="J75">
        <v>16633294</v>
      </c>
      <c r="K75" t="s">
        <v>108</v>
      </c>
      <c r="L75" t="s">
        <v>394</v>
      </c>
      <c r="M75" t="str">
        <f t="shared" si="3"/>
        <v>Richard Yale</v>
      </c>
      <c r="N75" t="s">
        <v>144</v>
      </c>
      <c r="O75" s="1">
        <v>45801</v>
      </c>
      <c r="P75" s="1">
        <v>46062</v>
      </c>
      <c r="Q75" s="1">
        <v>46077</v>
      </c>
      <c r="R75" s="2">
        <v>-385.22</v>
      </c>
      <c r="S75" s="3">
        <v>0.7</v>
      </c>
      <c r="T75" s="2">
        <v>0</v>
      </c>
      <c r="U75">
        <v>-1</v>
      </c>
      <c r="V75" t="s">
        <v>60</v>
      </c>
      <c r="W75" t="s">
        <v>135</v>
      </c>
      <c r="X75">
        <v>0</v>
      </c>
      <c r="Y75" s="2">
        <v>0</v>
      </c>
      <c r="Z75" s="2">
        <v>-269.64999999999998</v>
      </c>
      <c r="AA75" s="2">
        <v>-269.64999999999998</v>
      </c>
      <c r="AB75" s="2">
        <v>0</v>
      </c>
    </row>
    <row r="76" spans="1:28" x14ac:dyDescent="0.25">
      <c r="A76">
        <v>2029183288</v>
      </c>
      <c r="B76" t="s">
        <v>687</v>
      </c>
      <c r="C76" t="s">
        <v>345</v>
      </c>
      <c r="D76" t="str">
        <f t="shared" si="4"/>
        <v>BARRY AUSTIN</v>
      </c>
      <c r="E76" t="s">
        <v>51</v>
      </c>
      <c r="F76" t="s">
        <v>90</v>
      </c>
      <c r="G76" t="s">
        <v>383</v>
      </c>
      <c r="H76" t="s">
        <v>384</v>
      </c>
      <c r="I76" t="s">
        <v>384</v>
      </c>
      <c r="J76">
        <v>21348299</v>
      </c>
      <c r="K76" t="s">
        <v>344</v>
      </c>
      <c r="L76" t="s">
        <v>345</v>
      </c>
      <c r="M76" t="str">
        <f t="shared" si="3"/>
        <v>BARRY BRENNER</v>
      </c>
      <c r="N76" t="s">
        <v>144</v>
      </c>
      <c r="O76" s="1">
        <v>45807</v>
      </c>
      <c r="P76" s="1">
        <v>46055</v>
      </c>
      <c r="Q76" s="1">
        <v>46081</v>
      </c>
      <c r="R76" s="2">
        <v>-1.68</v>
      </c>
      <c r="S76" s="3">
        <v>0.7</v>
      </c>
      <c r="T76" s="2">
        <v>0</v>
      </c>
      <c r="U76">
        <v>-1</v>
      </c>
      <c r="V76" t="s">
        <v>60</v>
      </c>
      <c r="W76" t="s">
        <v>135</v>
      </c>
      <c r="X76">
        <v>0</v>
      </c>
      <c r="Y76" s="2">
        <v>0</v>
      </c>
      <c r="Z76" s="2">
        <v>-1.18</v>
      </c>
      <c r="AA76" s="2">
        <v>-1.18</v>
      </c>
      <c r="AB76" s="2">
        <v>0</v>
      </c>
    </row>
    <row r="77" spans="1:28" x14ac:dyDescent="0.25">
      <c r="A77">
        <v>2029772060</v>
      </c>
      <c r="B77" t="s">
        <v>339</v>
      </c>
      <c r="C77" t="s">
        <v>747</v>
      </c>
      <c r="D77" t="str">
        <f t="shared" si="4"/>
        <v>KANE LAURA</v>
      </c>
      <c r="E77" t="s">
        <v>51</v>
      </c>
      <c r="F77" t="s">
        <v>66</v>
      </c>
      <c r="G77" t="s">
        <v>383</v>
      </c>
      <c r="H77" t="s">
        <v>384</v>
      </c>
      <c r="I77" t="s">
        <v>384</v>
      </c>
      <c r="J77">
        <v>19396223</v>
      </c>
      <c r="K77" t="s">
        <v>340</v>
      </c>
      <c r="L77" t="s">
        <v>341</v>
      </c>
      <c r="M77" t="str">
        <f t="shared" si="3"/>
        <v>Saadia Abdul</v>
      </c>
      <c r="N77" t="s">
        <v>144</v>
      </c>
      <c r="O77" s="1">
        <v>45841</v>
      </c>
      <c r="P77" s="1">
        <v>46062</v>
      </c>
      <c r="Q77" s="1">
        <v>46084</v>
      </c>
      <c r="R77" s="2">
        <v>-126.1</v>
      </c>
      <c r="S77" s="3">
        <v>0.7</v>
      </c>
      <c r="T77" s="2">
        <v>0</v>
      </c>
      <c r="U77">
        <v>-1</v>
      </c>
      <c r="V77" t="s">
        <v>60</v>
      </c>
      <c r="W77" t="s">
        <v>135</v>
      </c>
      <c r="X77">
        <v>0</v>
      </c>
      <c r="Y77" s="2">
        <v>0</v>
      </c>
      <c r="Z77" s="2">
        <v>-88.27</v>
      </c>
      <c r="AA77" s="2">
        <v>-88.27</v>
      </c>
      <c r="AB77" s="2">
        <v>0</v>
      </c>
    </row>
    <row r="78" spans="1:28" x14ac:dyDescent="0.25">
      <c r="A78">
        <v>2029844783</v>
      </c>
      <c r="B78" t="s">
        <v>211</v>
      </c>
      <c r="C78" t="s">
        <v>294</v>
      </c>
      <c r="D78" t="str">
        <f t="shared" si="4"/>
        <v>CAMPANELLA ANTHONY</v>
      </c>
      <c r="E78" t="s">
        <v>51</v>
      </c>
      <c r="F78" t="s">
        <v>66</v>
      </c>
      <c r="G78" t="s">
        <v>383</v>
      </c>
      <c r="H78" t="s">
        <v>384</v>
      </c>
      <c r="I78" t="s">
        <v>384</v>
      </c>
      <c r="J78">
        <v>16912722</v>
      </c>
      <c r="K78" t="s">
        <v>295</v>
      </c>
      <c r="L78" t="s">
        <v>296</v>
      </c>
      <c r="M78" t="str">
        <f t="shared" si="3"/>
        <v>ANDREA PETRUNGARO</v>
      </c>
      <c r="N78" t="s">
        <v>144</v>
      </c>
      <c r="O78" s="1">
        <v>45849</v>
      </c>
      <c r="P78" s="1">
        <v>46062</v>
      </c>
      <c r="Q78" s="1">
        <v>46064</v>
      </c>
      <c r="R78" s="2">
        <v>-167.86</v>
      </c>
      <c r="S78" s="3">
        <v>0.7</v>
      </c>
      <c r="T78" s="2">
        <v>0</v>
      </c>
      <c r="U78">
        <v>-1</v>
      </c>
      <c r="V78" t="s">
        <v>60</v>
      </c>
      <c r="W78" t="s">
        <v>135</v>
      </c>
      <c r="X78">
        <v>0</v>
      </c>
      <c r="Y78" s="2">
        <v>0</v>
      </c>
      <c r="Z78" s="2">
        <v>-117.5</v>
      </c>
      <c r="AA78" s="2">
        <v>-117.5</v>
      </c>
      <c r="AB78" s="2">
        <v>0</v>
      </c>
    </row>
    <row r="79" spans="1:28" x14ac:dyDescent="0.25">
      <c r="A79">
        <v>2029955372</v>
      </c>
      <c r="B79" t="s">
        <v>759</v>
      </c>
      <c r="C79" t="s">
        <v>622</v>
      </c>
      <c r="D79" t="str">
        <f t="shared" si="4"/>
        <v>MELISSA LOUIE</v>
      </c>
      <c r="E79" t="s">
        <v>51</v>
      </c>
      <c r="F79" t="s">
        <v>274</v>
      </c>
      <c r="G79" t="s">
        <v>383</v>
      </c>
      <c r="H79" t="s">
        <v>384</v>
      </c>
      <c r="I79" t="s">
        <v>384</v>
      </c>
      <c r="J79">
        <v>6634327</v>
      </c>
      <c r="K79" t="s">
        <v>563</v>
      </c>
      <c r="L79" t="s">
        <v>564</v>
      </c>
      <c r="M79" t="str">
        <f t="shared" si="3"/>
        <v>Joel Lee</v>
      </c>
      <c r="N79" t="s">
        <v>144</v>
      </c>
      <c r="O79" s="1">
        <v>45853</v>
      </c>
      <c r="P79" s="1">
        <v>46062</v>
      </c>
      <c r="Q79" s="1">
        <v>46068</v>
      </c>
      <c r="R79" s="2">
        <v>-12.52</v>
      </c>
      <c r="S79" s="3">
        <v>0.7</v>
      </c>
      <c r="T79" s="2">
        <v>0</v>
      </c>
      <c r="U79">
        <v>-1</v>
      </c>
      <c r="V79" t="s">
        <v>60</v>
      </c>
      <c r="W79" t="s">
        <v>135</v>
      </c>
      <c r="X79">
        <v>0</v>
      </c>
      <c r="Y79" s="2">
        <v>0</v>
      </c>
      <c r="Z79" s="2">
        <v>-8.76</v>
      </c>
      <c r="AA79" s="2">
        <v>-8.76</v>
      </c>
      <c r="AB79" s="2">
        <v>0</v>
      </c>
    </row>
    <row r="80" spans="1:28" x14ac:dyDescent="0.25">
      <c r="A80">
        <v>2030240612</v>
      </c>
      <c r="B80" t="s">
        <v>762</v>
      </c>
      <c r="C80" t="s">
        <v>763</v>
      </c>
      <c r="D80" t="str">
        <f t="shared" si="4"/>
        <v>MADSEN KEVIN</v>
      </c>
      <c r="E80" t="s">
        <v>51</v>
      </c>
      <c r="F80" t="s">
        <v>66</v>
      </c>
      <c r="G80" t="s">
        <v>383</v>
      </c>
      <c r="H80" t="s">
        <v>384</v>
      </c>
      <c r="I80" t="s">
        <v>384</v>
      </c>
      <c r="J80">
        <v>7470776</v>
      </c>
      <c r="K80" t="s">
        <v>569</v>
      </c>
      <c r="L80" t="s">
        <v>570</v>
      </c>
      <c r="M80" t="str">
        <f t="shared" si="3"/>
        <v>Andrew Choi</v>
      </c>
      <c r="N80" t="s">
        <v>144</v>
      </c>
      <c r="O80" s="1">
        <v>45901</v>
      </c>
      <c r="P80" s="1">
        <v>46062</v>
      </c>
      <c r="Q80" s="1">
        <v>46082</v>
      </c>
      <c r="R80" s="2">
        <v>-61.08</v>
      </c>
      <c r="S80" s="3">
        <v>0.7</v>
      </c>
      <c r="T80" s="2">
        <v>0</v>
      </c>
      <c r="U80">
        <v>-1</v>
      </c>
      <c r="V80" t="s">
        <v>60</v>
      </c>
      <c r="W80" t="s">
        <v>135</v>
      </c>
      <c r="X80">
        <v>0</v>
      </c>
      <c r="Y80" s="2">
        <v>0</v>
      </c>
      <c r="Z80" s="2">
        <v>-42.76</v>
      </c>
      <c r="AA80" s="2">
        <v>-42.76</v>
      </c>
      <c r="AB80" s="2">
        <v>0</v>
      </c>
    </row>
    <row r="81" spans="1:28" x14ac:dyDescent="0.25">
      <c r="A81">
        <v>2030762531</v>
      </c>
      <c r="B81" t="s">
        <v>571</v>
      </c>
      <c r="C81" t="s">
        <v>185</v>
      </c>
      <c r="D81" t="str">
        <f t="shared" si="4"/>
        <v>III PHILLIP</v>
      </c>
      <c r="E81" t="s">
        <v>51</v>
      </c>
      <c r="F81" t="s">
        <v>140</v>
      </c>
      <c r="G81" t="s">
        <v>383</v>
      </c>
      <c r="H81" t="s">
        <v>384</v>
      </c>
      <c r="I81" t="s">
        <v>384</v>
      </c>
      <c r="J81">
        <v>18142208</v>
      </c>
      <c r="K81" t="s">
        <v>315</v>
      </c>
      <c r="L81" t="s">
        <v>316</v>
      </c>
      <c r="M81" t="str">
        <f t="shared" si="3"/>
        <v>Jill Shepard</v>
      </c>
      <c r="N81" t="s">
        <v>144</v>
      </c>
      <c r="O81" s="1">
        <v>45899</v>
      </c>
      <c r="P81" s="1">
        <v>46062</v>
      </c>
      <c r="Q81" s="1">
        <v>46081</v>
      </c>
      <c r="R81" s="2">
        <v>-34.450000000000003</v>
      </c>
      <c r="S81" s="3">
        <v>0.7</v>
      </c>
      <c r="T81" s="2">
        <v>0</v>
      </c>
      <c r="U81">
        <v>-1</v>
      </c>
      <c r="V81" t="s">
        <v>60</v>
      </c>
      <c r="W81" t="s">
        <v>135</v>
      </c>
      <c r="X81">
        <v>0</v>
      </c>
      <c r="Y81" s="2">
        <v>0</v>
      </c>
      <c r="Z81" s="2">
        <v>-24.12</v>
      </c>
      <c r="AA81" s="2">
        <v>-24.12</v>
      </c>
      <c r="AB81" s="2">
        <v>0</v>
      </c>
    </row>
    <row r="82" spans="1:28" x14ac:dyDescent="0.25">
      <c r="A82">
        <v>2030784686</v>
      </c>
      <c r="B82" t="s">
        <v>273</v>
      </c>
      <c r="C82" t="s">
        <v>781</v>
      </c>
      <c r="D82" t="str">
        <f t="shared" si="4"/>
        <v>WEIS CRAIG</v>
      </c>
      <c r="E82" t="s">
        <v>51</v>
      </c>
      <c r="F82" t="s">
        <v>71</v>
      </c>
      <c r="G82" t="s">
        <v>383</v>
      </c>
      <c r="H82" t="s">
        <v>384</v>
      </c>
      <c r="I82" t="s">
        <v>384</v>
      </c>
      <c r="J82">
        <v>16633294</v>
      </c>
      <c r="K82" t="s">
        <v>108</v>
      </c>
      <c r="L82" t="s">
        <v>394</v>
      </c>
      <c r="M82" t="str">
        <f t="shared" si="3"/>
        <v>Richard Yale</v>
      </c>
      <c r="N82" t="s">
        <v>144</v>
      </c>
      <c r="O82" s="1">
        <v>45901</v>
      </c>
      <c r="P82" s="1">
        <v>46055</v>
      </c>
      <c r="Q82" s="1">
        <v>46082</v>
      </c>
      <c r="R82" s="2">
        <v>-171.58</v>
      </c>
      <c r="S82" s="3">
        <v>0.7</v>
      </c>
      <c r="T82" s="2">
        <v>0</v>
      </c>
      <c r="U82">
        <v>-1</v>
      </c>
      <c r="V82" t="s">
        <v>60</v>
      </c>
      <c r="W82" t="s">
        <v>135</v>
      </c>
      <c r="X82">
        <v>0</v>
      </c>
      <c r="Y82" s="2">
        <v>0</v>
      </c>
      <c r="Z82" s="2">
        <v>-120.11</v>
      </c>
      <c r="AA82" s="2">
        <v>-120.11</v>
      </c>
      <c r="AB82" s="2">
        <v>0</v>
      </c>
    </row>
    <row r="83" spans="1:28" x14ac:dyDescent="0.25">
      <c r="A83">
        <v>2030820712</v>
      </c>
      <c r="B83" t="s">
        <v>1046</v>
      </c>
      <c r="C83" t="s">
        <v>1047</v>
      </c>
      <c r="D83" t="str">
        <f t="shared" si="4"/>
        <v>KYLER GABBARD</v>
      </c>
      <c r="E83" t="s">
        <v>51</v>
      </c>
      <c r="F83" t="s">
        <v>78</v>
      </c>
      <c r="G83" t="s">
        <v>383</v>
      </c>
      <c r="H83" t="s">
        <v>384</v>
      </c>
      <c r="I83" t="s">
        <v>384</v>
      </c>
      <c r="J83">
        <v>8307933</v>
      </c>
      <c r="K83" t="s">
        <v>80</v>
      </c>
      <c r="L83" t="s">
        <v>81</v>
      </c>
      <c r="M83" t="str">
        <f t="shared" si="3"/>
        <v>GREGORY TEIPEL</v>
      </c>
      <c r="N83" t="s">
        <v>144</v>
      </c>
      <c r="O83" s="1">
        <v>45936</v>
      </c>
      <c r="P83" s="1">
        <v>46062</v>
      </c>
      <c r="Q83" s="1">
        <v>46087</v>
      </c>
      <c r="R83" s="2">
        <v>31.28</v>
      </c>
      <c r="S83" s="3">
        <v>0.7</v>
      </c>
      <c r="T83" s="2">
        <v>0</v>
      </c>
      <c r="U83">
        <v>0</v>
      </c>
      <c r="V83" t="s">
        <v>60</v>
      </c>
      <c r="W83" t="s">
        <v>135</v>
      </c>
      <c r="X83">
        <v>0</v>
      </c>
      <c r="Y83" s="2">
        <v>0</v>
      </c>
      <c r="Z83" s="2">
        <v>21.9</v>
      </c>
      <c r="AA83" s="2">
        <v>21.9</v>
      </c>
      <c r="AB83" s="2">
        <v>0</v>
      </c>
    </row>
    <row r="84" spans="1:28" x14ac:dyDescent="0.25">
      <c r="A84">
        <v>2031972270</v>
      </c>
      <c r="B84" t="s">
        <v>180</v>
      </c>
      <c r="C84" t="s">
        <v>1303</v>
      </c>
      <c r="D84" t="str">
        <f t="shared" si="4"/>
        <v>DANIELLE RYAN</v>
      </c>
      <c r="E84" t="s">
        <v>51</v>
      </c>
      <c r="F84" t="s">
        <v>66</v>
      </c>
      <c r="G84" t="s">
        <v>383</v>
      </c>
      <c r="H84" t="s">
        <v>384</v>
      </c>
      <c r="I84" t="s">
        <v>384</v>
      </c>
      <c r="J84">
        <v>16912722</v>
      </c>
      <c r="K84" t="s">
        <v>295</v>
      </c>
      <c r="L84" t="s">
        <v>296</v>
      </c>
      <c r="M84" t="str">
        <f t="shared" si="3"/>
        <v>ANDREA PETRUNGARO</v>
      </c>
      <c r="N84" t="s">
        <v>144</v>
      </c>
      <c r="O84" s="1">
        <v>45992</v>
      </c>
      <c r="P84" s="1">
        <v>46055</v>
      </c>
      <c r="Q84" s="1">
        <v>46082</v>
      </c>
      <c r="R84" s="2">
        <v>-55.97</v>
      </c>
      <c r="S84" s="3">
        <v>0.7</v>
      </c>
      <c r="T84" s="2">
        <v>0</v>
      </c>
      <c r="U84">
        <v>-1</v>
      </c>
      <c r="V84" t="s">
        <v>60</v>
      </c>
      <c r="W84" t="s">
        <v>135</v>
      </c>
      <c r="X84">
        <v>0</v>
      </c>
      <c r="Y84" s="2">
        <v>0</v>
      </c>
      <c r="Z84" s="2">
        <v>-39.18</v>
      </c>
      <c r="AA84" s="2">
        <v>-39.18</v>
      </c>
      <c r="AB84" s="2">
        <v>0</v>
      </c>
    </row>
    <row r="85" spans="1:28" x14ac:dyDescent="0.25">
      <c r="A85">
        <v>2017036876</v>
      </c>
      <c r="B85" t="s">
        <v>547</v>
      </c>
      <c r="C85" t="s">
        <v>622</v>
      </c>
      <c r="D85" t="str">
        <f t="shared" si="4"/>
        <v>MELISSA JOHNSON</v>
      </c>
      <c r="E85" t="s">
        <v>51</v>
      </c>
      <c r="F85" t="s">
        <v>170</v>
      </c>
      <c r="G85" t="s">
        <v>363</v>
      </c>
      <c r="H85" t="s">
        <v>364</v>
      </c>
      <c r="I85" t="s">
        <v>364</v>
      </c>
      <c r="J85">
        <v>20436896</v>
      </c>
      <c r="K85" t="s">
        <v>162</v>
      </c>
      <c r="L85" t="s">
        <v>163</v>
      </c>
      <c r="M85" t="str">
        <f t="shared" si="3"/>
        <v>KATELENN CALTAGIRONE</v>
      </c>
      <c r="N85" t="s">
        <v>144</v>
      </c>
      <c r="O85" s="1">
        <v>44927</v>
      </c>
      <c r="P85" s="1">
        <v>46062</v>
      </c>
      <c r="Q85" s="1">
        <v>46082</v>
      </c>
      <c r="R85" s="2">
        <v>-68.75</v>
      </c>
      <c r="S85" s="3">
        <v>0.06</v>
      </c>
      <c r="T85" s="2">
        <v>0</v>
      </c>
      <c r="U85">
        <v>-1</v>
      </c>
      <c r="V85" t="s">
        <v>157</v>
      </c>
      <c r="W85" t="s">
        <v>135</v>
      </c>
      <c r="X85">
        <v>0</v>
      </c>
      <c r="Y85" s="2">
        <v>0</v>
      </c>
      <c r="Z85" s="2">
        <v>-4.12</v>
      </c>
      <c r="AA85" s="2">
        <v>-4.12</v>
      </c>
      <c r="AB85" s="2">
        <v>0</v>
      </c>
    </row>
    <row r="86" spans="1:28" x14ac:dyDescent="0.25">
      <c r="A86">
        <v>2022013867</v>
      </c>
      <c r="B86" t="s">
        <v>638</v>
      </c>
      <c r="C86" t="s">
        <v>639</v>
      </c>
      <c r="D86" t="str">
        <f t="shared" si="4"/>
        <v>JARED HUGHES</v>
      </c>
      <c r="E86" t="s">
        <v>51</v>
      </c>
      <c r="F86" t="s">
        <v>209</v>
      </c>
      <c r="G86" t="s">
        <v>363</v>
      </c>
      <c r="H86" t="s">
        <v>364</v>
      </c>
      <c r="I86" t="s">
        <v>364</v>
      </c>
      <c r="J86">
        <v>8977234</v>
      </c>
      <c r="K86" t="s">
        <v>162</v>
      </c>
      <c r="L86" t="s">
        <v>180</v>
      </c>
      <c r="M86" t="str">
        <f t="shared" si="3"/>
        <v>RYAN CALTAGIRONE</v>
      </c>
      <c r="N86" t="s">
        <v>144</v>
      </c>
      <c r="O86" s="1">
        <v>45383</v>
      </c>
      <c r="P86" s="1">
        <v>46055</v>
      </c>
      <c r="Q86" s="1">
        <v>46082</v>
      </c>
      <c r="R86" s="2">
        <v>-23.34</v>
      </c>
      <c r="S86" s="3">
        <v>0.06</v>
      </c>
      <c r="T86" s="2">
        <v>0</v>
      </c>
      <c r="U86">
        <v>-1</v>
      </c>
      <c r="V86" t="s">
        <v>157</v>
      </c>
      <c r="W86" t="s">
        <v>135</v>
      </c>
      <c r="X86">
        <v>0</v>
      </c>
      <c r="Y86" s="2">
        <v>0</v>
      </c>
      <c r="Z86" s="2">
        <v>-1.4</v>
      </c>
      <c r="AA86" s="2">
        <v>-1.4</v>
      </c>
      <c r="AB86" s="2">
        <v>0</v>
      </c>
    </row>
    <row r="87" spans="1:28" x14ac:dyDescent="0.25">
      <c r="A87">
        <v>2022693239</v>
      </c>
      <c r="B87" t="s">
        <v>416</v>
      </c>
      <c r="C87" t="s">
        <v>240</v>
      </c>
      <c r="D87" t="str">
        <f t="shared" si="4"/>
        <v>JOHN MAYES</v>
      </c>
      <c r="E87" t="s">
        <v>51</v>
      </c>
      <c r="F87" t="s">
        <v>237</v>
      </c>
      <c r="G87" t="s">
        <v>363</v>
      </c>
      <c r="H87" t="s">
        <v>364</v>
      </c>
      <c r="I87" t="s">
        <v>364</v>
      </c>
      <c r="J87">
        <v>18781057</v>
      </c>
      <c r="K87" t="s">
        <v>239</v>
      </c>
      <c r="L87" t="s">
        <v>240</v>
      </c>
      <c r="M87" t="str">
        <f t="shared" si="3"/>
        <v>JOHN ROKEN</v>
      </c>
      <c r="N87" t="s">
        <v>144</v>
      </c>
      <c r="O87" s="1">
        <v>45413</v>
      </c>
      <c r="P87" s="1">
        <v>46062</v>
      </c>
      <c r="Q87" s="1">
        <v>46082</v>
      </c>
      <c r="R87" s="2">
        <v>-22.71</v>
      </c>
      <c r="S87" s="3">
        <v>0.06</v>
      </c>
      <c r="T87" s="2">
        <v>0</v>
      </c>
      <c r="U87">
        <v>-1</v>
      </c>
      <c r="V87" t="s">
        <v>157</v>
      </c>
      <c r="W87" t="s">
        <v>135</v>
      </c>
      <c r="X87">
        <v>0</v>
      </c>
      <c r="Y87" s="2">
        <v>0</v>
      </c>
      <c r="Z87" s="2">
        <v>-1.36</v>
      </c>
      <c r="AA87" s="2">
        <v>-1.36</v>
      </c>
      <c r="AB87" s="2">
        <v>0</v>
      </c>
    </row>
    <row r="88" spans="1:28" x14ac:dyDescent="0.25">
      <c r="A88">
        <v>2023372599</v>
      </c>
      <c r="B88" t="s">
        <v>641</v>
      </c>
      <c r="C88" t="s">
        <v>642</v>
      </c>
      <c r="D88" t="str">
        <f t="shared" si="4"/>
        <v>KEEVA GARNETT</v>
      </c>
      <c r="E88" t="s">
        <v>51</v>
      </c>
      <c r="F88" t="s">
        <v>353</v>
      </c>
      <c r="G88" t="s">
        <v>363</v>
      </c>
      <c r="H88" t="s">
        <v>364</v>
      </c>
      <c r="I88" t="s">
        <v>364</v>
      </c>
      <c r="J88">
        <v>17425766</v>
      </c>
      <c r="K88" t="s">
        <v>246</v>
      </c>
      <c r="L88" t="s">
        <v>195</v>
      </c>
      <c r="M88" t="str">
        <f t="shared" si="3"/>
        <v>CAROL FOLEY</v>
      </c>
      <c r="N88" t="s">
        <v>144</v>
      </c>
      <c r="O88" s="1">
        <v>45447</v>
      </c>
      <c r="P88" s="1">
        <v>46062</v>
      </c>
      <c r="Q88" s="1">
        <v>46081</v>
      </c>
      <c r="R88" s="2">
        <v>-16.62</v>
      </c>
      <c r="S88" s="3">
        <v>0.06</v>
      </c>
      <c r="T88" s="2">
        <v>0</v>
      </c>
      <c r="U88">
        <v>-1</v>
      </c>
      <c r="V88" t="s">
        <v>157</v>
      </c>
      <c r="W88" t="s">
        <v>135</v>
      </c>
      <c r="X88">
        <v>0</v>
      </c>
      <c r="Y88" s="2">
        <v>0</v>
      </c>
      <c r="Z88" s="2">
        <v>-1</v>
      </c>
      <c r="AA88" s="2">
        <v>-1</v>
      </c>
      <c r="AB88" s="2">
        <v>0</v>
      </c>
    </row>
    <row r="89" spans="1:28" x14ac:dyDescent="0.25">
      <c r="A89">
        <v>2026187010</v>
      </c>
      <c r="B89" t="s">
        <v>533</v>
      </c>
      <c r="C89" t="s">
        <v>534</v>
      </c>
      <c r="D89" t="str">
        <f t="shared" si="4"/>
        <v>ALBERT CONKLIN</v>
      </c>
      <c r="E89" t="s">
        <v>51</v>
      </c>
      <c r="F89" t="s">
        <v>170</v>
      </c>
      <c r="G89" t="s">
        <v>363</v>
      </c>
      <c r="H89" t="s">
        <v>364</v>
      </c>
      <c r="I89" t="s">
        <v>364</v>
      </c>
      <c r="J89">
        <v>371819</v>
      </c>
      <c r="K89" t="s">
        <v>310</v>
      </c>
      <c r="L89" t="s">
        <v>311</v>
      </c>
      <c r="M89" t="str">
        <f t="shared" si="3"/>
        <v>THOMAS PARDUE</v>
      </c>
      <c r="N89" t="s">
        <v>144</v>
      </c>
      <c r="O89" s="1">
        <v>45658</v>
      </c>
      <c r="P89" s="1">
        <v>46062</v>
      </c>
      <c r="Q89" s="1">
        <v>46082</v>
      </c>
      <c r="R89" s="2">
        <v>-21.91</v>
      </c>
      <c r="S89" s="3">
        <v>0.06</v>
      </c>
      <c r="T89" s="2">
        <v>0</v>
      </c>
      <c r="U89">
        <v>-1</v>
      </c>
      <c r="V89" t="s">
        <v>157</v>
      </c>
      <c r="W89" t="s">
        <v>135</v>
      </c>
      <c r="X89">
        <v>0</v>
      </c>
      <c r="Y89" s="2">
        <v>0</v>
      </c>
      <c r="Z89" s="2">
        <v>-1.31</v>
      </c>
      <c r="AA89" s="2">
        <v>-1.31</v>
      </c>
      <c r="AB89" s="2">
        <v>0</v>
      </c>
    </row>
    <row r="90" spans="1:28" x14ac:dyDescent="0.25">
      <c r="A90">
        <v>2026490244</v>
      </c>
      <c r="B90" t="s">
        <v>673</v>
      </c>
      <c r="C90" t="s">
        <v>674</v>
      </c>
      <c r="D90" t="str">
        <f t="shared" si="4"/>
        <v>ALICE VOELZKE</v>
      </c>
      <c r="E90" t="s">
        <v>51</v>
      </c>
      <c r="F90" t="s">
        <v>66</v>
      </c>
      <c r="G90" t="s">
        <v>363</v>
      </c>
      <c r="H90" t="s">
        <v>364</v>
      </c>
      <c r="I90" t="s">
        <v>364</v>
      </c>
      <c r="J90">
        <v>18828278</v>
      </c>
      <c r="K90" t="s">
        <v>645</v>
      </c>
      <c r="L90" t="s">
        <v>188</v>
      </c>
      <c r="M90" t="str">
        <f t="shared" si="3"/>
        <v>MICHAEL DUNAVANT</v>
      </c>
      <c r="N90" t="s">
        <v>144</v>
      </c>
      <c r="O90" s="1">
        <v>45689</v>
      </c>
      <c r="P90" s="1">
        <v>46055</v>
      </c>
      <c r="Q90" s="1">
        <v>46082</v>
      </c>
      <c r="R90" s="2">
        <v>-24.7</v>
      </c>
      <c r="S90" s="3">
        <v>0.06</v>
      </c>
      <c r="T90" s="2">
        <v>0</v>
      </c>
      <c r="U90">
        <v>-1</v>
      </c>
      <c r="V90" t="s">
        <v>157</v>
      </c>
      <c r="W90" t="s">
        <v>135</v>
      </c>
      <c r="X90">
        <v>0</v>
      </c>
      <c r="Y90" s="2">
        <v>0</v>
      </c>
      <c r="Z90" s="2">
        <v>-1.48</v>
      </c>
      <c r="AA90" s="2">
        <v>-1.48</v>
      </c>
      <c r="AB90" s="2">
        <v>0</v>
      </c>
    </row>
    <row r="91" spans="1:28" x14ac:dyDescent="0.25">
      <c r="A91">
        <v>2026627934</v>
      </c>
      <c r="B91" t="s">
        <v>675</v>
      </c>
      <c r="C91" t="s">
        <v>676</v>
      </c>
      <c r="D91" t="str">
        <f t="shared" si="4"/>
        <v>JEFFREY SALAZAR</v>
      </c>
      <c r="E91" t="s">
        <v>51</v>
      </c>
      <c r="F91" t="s">
        <v>274</v>
      </c>
      <c r="G91" t="s">
        <v>363</v>
      </c>
      <c r="H91" t="s">
        <v>364</v>
      </c>
      <c r="I91" t="s">
        <v>364</v>
      </c>
      <c r="J91">
        <v>16865615</v>
      </c>
      <c r="K91" t="s">
        <v>275</v>
      </c>
      <c r="L91" t="s">
        <v>276</v>
      </c>
      <c r="M91" t="str">
        <f t="shared" si="3"/>
        <v>Heather Geske</v>
      </c>
      <c r="N91" t="s">
        <v>144</v>
      </c>
      <c r="O91" s="1">
        <v>45689</v>
      </c>
      <c r="P91" s="1">
        <v>46055</v>
      </c>
      <c r="Q91" s="1">
        <v>46082</v>
      </c>
      <c r="R91" s="2">
        <v>-79.06</v>
      </c>
      <c r="S91" s="3">
        <v>0.06</v>
      </c>
      <c r="T91" s="2">
        <v>0</v>
      </c>
      <c r="U91">
        <v>-1</v>
      </c>
      <c r="V91" t="s">
        <v>157</v>
      </c>
      <c r="W91" t="s">
        <v>135</v>
      </c>
      <c r="X91">
        <v>0</v>
      </c>
      <c r="Y91" s="2">
        <v>0</v>
      </c>
      <c r="Z91" s="2">
        <v>-4.74</v>
      </c>
      <c r="AA91" s="2">
        <v>-4.74</v>
      </c>
      <c r="AB91" s="2">
        <v>0</v>
      </c>
    </row>
    <row r="92" spans="1:28" x14ac:dyDescent="0.25">
      <c r="A92">
        <v>2026755179</v>
      </c>
      <c r="B92" t="s">
        <v>677</v>
      </c>
      <c r="C92" t="s">
        <v>678</v>
      </c>
      <c r="D92" t="str">
        <f t="shared" si="4"/>
        <v>EUGENE FOGLE</v>
      </c>
      <c r="E92" t="s">
        <v>51</v>
      </c>
      <c r="F92" t="s">
        <v>209</v>
      </c>
      <c r="G92" t="s">
        <v>363</v>
      </c>
      <c r="H92" t="s">
        <v>364</v>
      </c>
      <c r="I92" t="s">
        <v>364</v>
      </c>
      <c r="J92">
        <v>8977234</v>
      </c>
      <c r="K92" t="s">
        <v>162</v>
      </c>
      <c r="L92" t="s">
        <v>180</v>
      </c>
      <c r="M92" t="str">
        <f t="shared" si="3"/>
        <v>RYAN CALTAGIRONE</v>
      </c>
      <c r="N92" t="s">
        <v>144</v>
      </c>
      <c r="O92" s="1">
        <v>45689</v>
      </c>
      <c r="P92" s="1">
        <v>46055</v>
      </c>
      <c r="Q92" s="1">
        <v>46082</v>
      </c>
      <c r="R92" s="2">
        <v>-49.53</v>
      </c>
      <c r="S92" s="3">
        <v>0.06</v>
      </c>
      <c r="T92" s="2">
        <v>0</v>
      </c>
      <c r="U92">
        <v>-1</v>
      </c>
      <c r="V92" t="s">
        <v>157</v>
      </c>
      <c r="W92" t="s">
        <v>135</v>
      </c>
      <c r="X92">
        <v>0</v>
      </c>
      <c r="Y92" s="2">
        <v>0</v>
      </c>
      <c r="Z92" s="2">
        <v>-2.97</v>
      </c>
      <c r="AA92" s="2">
        <v>-2.97</v>
      </c>
      <c r="AB92" s="2">
        <v>0</v>
      </c>
    </row>
    <row r="93" spans="1:28" x14ac:dyDescent="0.25">
      <c r="A93">
        <v>2027787691</v>
      </c>
      <c r="B93" t="s">
        <v>699</v>
      </c>
      <c r="C93" t="s">
        <v>700</v>
      </c>
      <c r="D93" t="str">
        <f t="shared" si="4"/>
        <v>YASCARA ROMERO</v>
      </c>
      <c r="E93" t="s">
        <v>51</v>
      </c>
      <c r="F93" t="s">
        <v>90</v>
      </c>
      <c r="G93" t="s">
        <v>363</v>
      </c>
      <c r="H93" t="s">
        <v>364</v>
      </c>
      <c r="I93" t="s">
        <v>364</v>
      </c>
      <c r="J93">
        <v>20490188</v>
      </c>
      <c r="K93" t="s">
        <v>334</v>
      </c>
      <c r="L93" t="s">
        <v>335</v>
      </c>
      <c r="M93" t="str">
        <f t="shared" si="3"/>
        <v>Tom Serio</v>
      </c>
      <c r="N93" t="s">
        <v>144</v>
      </c>
      <c r="O93" s="1">
        <v>45748</v>
      </c>
      <c r="P93" s="1">
        <v>46062</v>
      </c>
      <c r="Q93" s="1">
        <v>46082</v>
      </c>
      <c r="R93" s="2">
        <v>-104.53</v>
      </c>
      <c r="S93" s="4">
        <v>0.375</v>
      </c>
      <c r="T93" s="2">
        <v>0</v>
      </c>
      <c r="U93">
        <v>-1</v>
      </c>
      <c r="V93" t="s">
        <v>60</v>
      </c>
      <c r="W93" t="s">
        <v>135</v>
      </c>
      <c r="X93">
        <v>0</v>
      </c>
      <c r="Y93" s="2">
        <v>0</v>
      </c>
      <c r="Z93" s="2">
        <v>-39.200000000000003</v>
      </c>
      <c r="AA93" s="2">
        <v>-39.200000000000003</v>
      </c>
      <c r="AB93" s="2">
        <v>0</v>
      </c>
    </row>
    <row r="94" spans="1:28" x14ac:dyDescent="0.25">
      <c r="A94">
        <v>2028520982</v>
      </c>
      <c r="B94" t="s">
        <v>531</v>
      </c>
      <c r="C94" t="s">
        <v>712</v>
      </c>
      <c r="D94" t="str">
        <f t="shared" si="4"/>
        <v>SEJAL PATEL</v>
      </c>
      <c r="E94" t="s">
        <v>51</v>
      </c>
      <c r="F94" t="s">
        <v>66</v>
      </c>
      <c r="G94" t="s">
        <v>363</v>
      </c>
      <c r="H94" t="s">
        <v>364</v>
      </c>
      <c r="I94" t="s">
        <v>364</v>
      </c>
      <c r="J94">
        <v>7470776</v>
      </c>
      <c r="K94" t="s">
        <v>569</v>
      </c>
      <c r="L94" t="s">
        <v>570</v>
      </c>
      <c r="M94" t="str">
        <f t="shared" si="3"/>
        <v>Andrew Choi</v>
      </c>
      <c r="N94" t="s">
        <v>144</v>
      </c>
      <c r="O94" s="1">
        <v>45778</v>
      </c>
      <c r="P94" s="1">
        <v>46062</v>
      </c>
      <c r="Q94" s="1">
        <v>46082</v>
      </c>
      <c r="R94" s="2">
        <v>-64.790000000000006</v>
      </c>
      <c r="S94" s="4">
        <v>0.375</v>
      </c>
      <c r="T94" s="2">
        <v>0</v>
      </c>
      <c r="U94">
        <v>-1</v>
      </c>
      <c r="V94" t="s">
        <v>60</v>
      </c>
      <c r="W94" t="s">
        <v>135</v>
      </c>
      <c r="X94">
        <v>0</v>
      </c>
      <c r="Y94" s="2">
        <v>0</v>
      </c>
      <c r="Z94" s="2">
        <v>-24.3</v>
      </c>
      <c r="AA94" s="2">
        <v>-24.3</v>
      </c>
      <c r="AB94" s="2">
        <v>0</v>
      </c>
    </row>
    <row r="95" spans="1:28" x14ac:dyDescent="0.25">
      <c r="A95">
        <v>2028965157</v>
      </c>
      <c r="B95" t="s">
        <v>729</v>
      </c>
      <c r="C95" t="s">
        <v>726</v>
      </c>
      <c r="D95" t="str">
        <f t="shared" si="4"/>
        <v>MARIA MEDINA</v>
      </c>
      <c r="E95" t="s">
        <v>51</v>
      </c>
      <c r="F95" t="s">
        <v>66</v>
      </c>
      <c r="G95" t="s">
        <v>363</v>
      </c>
      <c r="H95" t="s">
        <v>364</v>
      </c>
      <c r="I95" t="s">
        <v>364</v>
      </c>
      <c r="J95">
        <v>19200754</v>
      </c>
      <c r="K95" t="s">
        <v>730</v>
      </c>
      <c r="L95" t="s">
        <v>731</v>
      </c>
      <c r="M95" t="str">
        <f t="shared" si="3"/>
        <v>RICARDO SANTOS</v>
      </c>
      <c r="N95" t="s">
        <v>144</v>
      </c>
      <c r="O95" s="1">
        <v>45809</v>
      </c>
      <c r="P95" s="1">
        <v>46055</v>
      </c>
      <c r="Q95" s="1">
        <v>46082</v>
      </c>
      <c r="R95" s="2">
        <v>-83.56</v>
      </c>
      <c r="S95" s="4">
        <v>0.375</v>
      </c>
      <c r="T95" s="2">
        <v>0</v>
      </c>
      <c r="U95">
        <v>-1</v>
      </c>
      <c r="V95" t="s">
        <v>60</v>
      </c>
      <c r="W95" t="s">
        <v>135</v>
      </c>
      <c r="X95">
        <v>0</v>
      </c>
      <c r="Y95" s="2">
        <v>0</v>
      </c>
      <c r="Z95" s="2">
        <v>-31.34</v>
      </c>
      <c r="AA95" s="2">
        <v>-31.34</v>
      </c>
      <c r="AB95" s="2">
        <v>0</v>
      </c>
    </row>
    <row r="96" spans="1:28" x14ac:dyDescent="0.25">
      <c r="A96">
        <v>2029183289</v>
      </c>
      <c r="B96" t="s">
        <v>687</v>
      </c>
      <c r="C96" t="s">
        <v>345</v>
      </c>
      <c r="D96" t="str">
        <f t="shared" si="4"/>
        <v>BARRY AUSTIN</v>
      </c>
      <c r="E96" t="s">
        <v>51</v>
      </c>
      <c r="F96" t="s">
        <v>90</v>
      </c>
      <c r="G96" t="s">
        <v>363</v>
      </c>
      <c r="H96" t="s">
        <v>364</v>
      </c>
      <c r="I96" t="s">
        <v>364</v>
      </c>
      <c r="J96">
        <v>21348299</v>
      </c>
      <c r="K96" t="s">
        <v>344</v>
      </c>
      <c r="L96" t="s">
        <v>345</v>
      </c>
      <c r="M96" t="str">
        <f t="shared" si="3"/>
        <v>BARRY BRENNER</v>
      </c>
      <c r="N96" t="s">
        <v>144</v>
      </c>
      <c r="O96" s="1">
        <v>45807</v>
      </c>
      <c r="P96" s="1">
        <v>46055</v>
      </c>
      <c r="Q96" s="1">
        <v>46081</v>
      </c>
      <c r="R96" s="2">
        <v>-6.35</v>
      </c>
      <c r="S96" s="4">
        <v>0.375</v>
      </c>
      <c r="T96" s="2">
        <v>0</v>
      </c>
      <c r="U96">
        <v>-1</v>
      </c>
      <c r="V96" t="s">
        <v>60</v>
      </c>
      <c r="W96" t="s">
        <v>135</v>
      </c>
      <c r="X96">
        <v>0</v>
      </c>
      <c r="Y96" s="2">
        <v>0</v>
      </c>
      <c r="Z96" s="2">
        <v>-2.38</v>
      </c>
      <c r="AA96" s="2">
        <v>-2.38</v>
      </c>
      <c r="AB96" s="2">
        <v>0</v>
      </c>
    </row>
    <row r="97" spans="1:28" x14ac:dyDescent="0.25">
      <c r="A97">
        <v>2029772059</v>
      </c>
      <c r="B97" t="s">
        <v>339</v>
      </c>
      <c r="C97" t="s">
        <v>747</v>
      </c>
      <c r="D97" t="str">
        <f t="shared" si="4"/>
        <v>KANE LAURA</v>
      </c>
      <c r="E97" t="s">
        <v>51</v>
      </c>
      <c r="F97" t="s">
        <v>66</v>
      </c>
      <c r="G97" t="s">
        <v>363</v>
      </c>
      <c r="H97" t="s">
        <v>364</v>
      </c>
      <c r="I97" t="s">
        <v>364</v>
      </c>
      <c r="J97">
        <v>19396223</v>
      </c>
      <c r="K97" t="s">
        <v>340</v>
      </c>
      <c r="L97" t="s">
        <v>341</v>
      </c>
      <c r="M97" t="str">
        <f t="shared" si="3"/>
        <v>Saadia Abdul</v>
      </c>
      <c r="N97" t="s">
        <v>144</v>
      </c>
      <c r="O97" s="1">
        <v>45841</v>
      </c>
      <c r="P97" s="1">
        <v>46062</v>
      </c>
      <c r="Q97" s="1">
        <v>46084</v>
      </c>
      <c r="R97" s="2">
        <v>-159.96</v>
      </c>
      <c r="S97" s="4">
        <v>0.375</v>
      </c>
      <c r="T97" s="2">
        <v>0</v>
      </c>
      <c r="U97">
        <v>-1</v>
      </c>
      <c r="V97" t="s">
        <v>60</v>
      </c>
      <c r="W97" t="s">
        <v>135</v>
      </c>
      <c r="X97">
        <v>0</v>
      </c>
      <c r="Y97" s="2">
        <v>0</v>
      </c>
      <c r="Z97" s="2">
        <v>-59.98</v>
      </c>
      <c r="AA97" s="2">
        <v>-59.98</v>
      </c>
      <c r="AB97" s="2">
        <v>0</v>
      </c>
    </row>
    <row r="98" spans="1:28" x14ac:dyDescent="0.25">
      <c r="A98">
        <v>2029787707</v>
      </c>
      <c r="B98" t="s">
        <v>281</v>
      </c>
      <c r="C98" t="s">
        <v>430</v>
      </c>
      <c r="D98" t="str">
        <f t="shared" si="4"/>
        <v>BRANSFORD ELIZABETH</v>
      </c>
      <c r="E98" t="s">
        <v>51</v>
      </c>
      <c r="F98" t="s">
        <v>52</v>
      </c>
      <c r="G98" t="s">
        <v>363</v>
      </c>
      <c r="H98" t="s">
        <v>364</v>
      </c>
      <c r="I98" t="s">
        <v>364</v>
      </c>
      <c r="J98">
        <v>8307933</v>
      </c>
      <c r="K98" t="s">
        <v>80</v>
      </c>
      <c r="L98" t="s">
        <v>81</v>
      </c>
      <c r="M98" t="str">
        <f t="shared" ref="M98:M129" si="5">CONCATENATE(L98," ",K98)</f>
        <v>GREGORY TEIPEL</v>
      </c>
      <c r="N98" t="s">
        <v>144</v>
      </c>
      <c r="O98" s="1">
        <v>45870</v>
      </c>
      <c r="P98" s="1">
        <v>46062</v>
      </c>
      <c r="Q98" s="1">
        <v>46082</v>
      </c>
      <c r="R98" s="2">
        <v>-119.34</v>
      </c>
      <c r="S98" s="4">
        <v>0.375</v>
      </c>
      <c r="T98" s="2">
        <v>0</v>
      </c>
      <c r="U98">
        <v>-1</v>
      </c>
      <c r="V98" t="s">
        <v>60</v>
      </c>
      <c r="W98" t="s">
        <v>135</v>
      </c>
      <c r="X98">
        <v>0</v>
      </c>
      <c r="Y98" s="2">
        <v>0</v>
      </c>
      <c r="Z98" s="2">
        <v>-44.75</v>
      </c>
      <c r="AA98" s="2">
        <v>-44.75</v>
      </c>
      <c r="AB98" s="2">
        <v>0</v>
      </c>
    </row>
    <row r="99" spans="1:28" x14ac:dyDescent="0.25">
      <c r="A99">
        <v>2029955371</v>
      </c>
      <c r="B99" t="s">
        <v>759</v>
      </c>
      <c r="C99" t="s">
        <v>622</v>
      </c>
      <c r="D99" t="str">
        <f t="shared" si="4"/>
        <v>MELISSA LOUIE</v>
      </c>
      <c r="E99" t="s">
        <v>51</v>
      </c>
      <c r="F99" t="s">
        <v>274</v>
      </c>
      <c r="G99" t="s">
        <v>363</v>
      </c>
      <c r="H99" t="s">
        <v>364</v>
      </c>
      <c r="I99" t="s">
        <v>364</v>
      </c>
      <c r="J99">
        <v>6634327</v>
      </c>
      <c r="K99" t="s">
        <v>563</v>
      </c>
      <c r="L99" t="s">
        <v>564</v>
      </c>
      <c r="M99" t="str">
        <f t="shared" si="5"/>
        <v>Joel Lee</v>
      </c>
      <c r="N99" t="s">
        <v>144</v>
      </c>
      <c r="O99" s="1">
        <v>45853</v>
      </c>
      <c r="P99" s="1">
        <v>46062</v>
      </c>
      <c r="Q99" s="1">
        <v>46068</v>
      </c>
      <c r="R99" s="2">
        <v>-82.09</v>
      </c>
      <c r="S99" s="4">
        <v>0.375</v>
      </c>
      <c r="T99" s="2">
        <v>0</v>
      </c>
      <c r="U99">
        <v>-1</v>
      </c>
      <c r="V99" t="s">
        <v>60</v>
      </c>
      <c r="W99" t="s">
        <v>135</v>
      </c>
      <c r="X99">
        <v>0</v>
      </c>
      <c r="Y99" s="2">
        <v>0</v>
      </c>
      <c r="Z99" s="2">
        <v>-30.78</v>
      </c>
      <c r="AA99" s="2">
        <v>-30.78</v>
      </c>
      <c r="AB99" s="2">
        <v>0</v>
      </c>
    </row>
    <row r="100" spans="1:28" x14ac:dyDescent="0.25">
      <c r="A100">
        <v>2030240610</v>
      </c>
      <c r="B100" t="s">
        <v>762</v>
      </c>
      <c r="C100" t="s">
        <v>763</v>
      </c>
      <c r="D100" t="str">
        <f t="shared" si="4"/>
        <v>MADSEN KEVIN</v>
      </c>
      <c r="E100" t="s">
        <v>51</v>
      </c>
      <c r="F100" t="s">
        <v>66</v>
      </c>
      <c r="G100" t="s">
        <v>363</v>
      </c>
      <c r="H100" t="s">
        <v>364</v>
      </c>
      <c r="I100" t="s">
        <v>364</v>
      </c>
      <c r="J100">
        <v>7470776</v>
      </c>
      <c r="K100" t="s">
        <v>569</v>
      </c>
      <c r="L100" t="s">
        <v>570</v>
      </c>
      <c r="M100" t="str">
        <f t="shared" si="5"/>
        <v>Andrew Choi</v>
      </c>
      <c r="N100" t="s">
        <v>144</v>
      </c>
      <c r="O100" s="1">
        <v>45901</v>
      </c>
      <c r="P100" s="1">
        <v>46062</v>
      </c>
      <c r="Q100" s="1">
        <v>46082</v>
      </c>
      <c r="R100" s="2">
        <v>-77.48</v>
      </c>
      <c r="S100" s="4">
        <v>0.375</v>
      </c>
      <c r="T100" s="2">
        <v>0</v>
      </c>
      <c r="U100">
        <v>-1</v>
      </c>
      <c r="V100" t="s">
        <v>60</v>
      </c>
      <c r="W100" t="s">
        <v>135</v>
      </c>
      <c r="X100">
        <v>0</v>
      </c>
      <c r="Y100" s="2">
        <v>0</v>
      </c>
      <c r="Z100" s="2">
        <v>-29.06</v>
      </c>
      <c r="AA100" s="2">
        <v>-29.06</v>
      </c>
      <c r="AB100" s="2">
        <v>0</v>
      </c>
    </row>
    <row r="101" spans="1:28" x14ac:dyDescent="0.25">
      <c r="A101">
        <v>2030784685</v>
      </c>
      <c r="B101" t="s">
        <v>273</v>
      </c>
      <c r="C101" t="s">
        <v>781</v>
      </c>
      <c r="D101" t="str">
        <f t="shared" si="4"/>
        <v>WEIS CRAIG</v>
      </c>
      <c r="E101" t="s">
        <v>51</v>
      </c>
      <c r="F101" t="s">
        <v>71</v>
      </c>
      <c r="G101" t="s">
        <v>363</v>
      </c>
      <c r="H101" t="s">
        <v>364</v>
      </c>
      <c r="I101" t="s">
        <v>364</v>
      </c>
      <c r="J101">
        <v>16633294</v>
      </c>
      <c r="K101" t="s">
        <v>108</v>
      </c>
      <c r="L101" t="s">
        <v>394</v>
      </c>
      <c r="M101" t="str">
        <f t="shared" si="5"/>
        <v>Richard Yale</v>
      </c>
      <c r="N101" t="s">
        <v>144</v>
      </c>
      <c r="O101" s="1">
        <v>45901</v>
      </c>
      <c r="P101" s="1">
        <v>46055</v>
      </c>
      <c r="Q101" s="1">
        <v>46082</v>
      </c>
      <c r="R101" s="2">
        <v>-182.37</v>
      </c>
      <c r="S101" s="4">
        <v>0.375</v>
      </c>
      <c r="T101" s="2">
        <v>0</v>
      </c>
      <c r="U101">
        <v>-1</v>
      </c>
      <c r="V101" t="s">
        <v>60</v>
      </c>
      <c r="W101" t="s">
        <v>135</v>
      </c>
      <c r="X101">
        <v>0</v>
      </c>
      <c r="Y101" s="2">
        <v>0</v>
      </c>
      <c r="Z101" s="2">
        <v>-68.39</v>
      </c>
      <c r="AA101" s="2">
        <v>-68.39</v>
      </c>
      <c r="AB101" s="2">
        <v>0</v>
      </c>
    </row>
    <row r="102" spans="1:28" x14ac:dyDescent="0.25">
      <c r="A102">
        <v>2032450903</v>
      </c>
      <c r="B102" t="s">
        <v>841</v>
      </c>
      <c r="C102" t="s">
        <v>510</v>
      </c>
      <c r="D102" t="str">
        <f t="shared" si="4"/>
        <v>ROBERT WOODS</v>
      </c>
      <c r="E102" t="s">
        <v>51</v>
      </c>
      <c r="F102" t="s">
        <v>78</v>
      </c>
      <c r="G102" t="s">
        <v>363</v>
      </c>
      <c r="H102" t="s">
        <v>364</v>
      </c>
      <c r="I102" t="s">
        <v>364</v>
      </c>
      <c r="J102">
        <v>371819</v>
      </c>
      <c r="K102" t="s">
        <v>310</v>
      </c>
      <c r="L102" t="s">
        <v>311</v>
      </c>
      <c r="M102" t="str">
        <f t="shared" si="5"/>
        <v>THOMAS PARDUE</v>
      </c>
      <c r="N102" t="s">
        <v>144</v>
      </c>
      <c r="O102" s="1">
        <v>45993</v>
      </c>
      <c r="P102" s="1">
        <v>46055</v>
      </c>
      <c r="Q102" s="1">
        <v>46083</v>
      </c>
      <c r="R102" s="2">
        <v>-37.479999999999997</v>
      </c>
      <c r="S102" s="4">
        <v>0.375</v>
      </c>
      <c r="T102" s="2">
        <v>0</v>
      </c>
      <c r="U102">
        <v>-1</v>
      </c>
      <c r="V102" t="s">
        <v>60</v>
      </c>
      <c r="W102" t="s">
        <v>135</v>
      </c>
      <c r="X102">
        <v>0</v>
      </c>
      <c r="Y102" s="2">
        <v>0</v>
      </c>
      <c r="Z102" s="2">
        <v>-14.06</v>
      </c>
      <c r="AA102" s="2">
        <v>-14.06</v>
      </c>
      <c r="AB102" s="2">
        <v>0</v>
      </c>
    </row>
    <row r="103" spans="1:28" x14ac:dyDescent="0.25">
      <c r="A103">
        <v>2032686878</v>
      </c>
      <c r="B103" t="s">
        <v>905</v>
      </c>
      <c r="C103" t="s">
        <v>176</v>
      </c>
      <c r="D103" t="str">
        <f t="shared" si="4"/>
        <v>KIMBERLY MAKI</v>
      </c>
      <c r="E103" t="s">
        <v>51</v>
      </c>
      <c r="F103" t="s">
        <v>333</v>
      </c>
      <c r="G103" t="s">
        <v>363</v>
      </c>
      <c r="H103" t="s">
        <v>364</v>
      </c>
      <c r="I103" t="s">
        <v>364</v>
      </c>
      <c r="J103">
        <v>18581063</v>
      </c>
      <c r="K103" t="s">
        <v>906</v>
      </c>
      <c r="L103" t="s">
        <v>907</v>
      </c>
      <c r="M103" t="str">
        <f t="shared" si="5"/>
        <v>Timothy Hodgman</v>
      </c>
      <c r="N103" t="s">
        <v>144</v>
      </c>
      <c r="O103" s="1">
        <v>46023</v>
      </c>
      <c r="P103" s="1">
        <v>46062</v>
      </c>
      <c r="Q103" s="1">
        <v>46082</v>
      </c>
      <c r="R103" s="2">
        <v>-162.16</v>
      </c>
      <c r="S103" s="4">
        <v>0.375</v>
      </c>
      <c r="T103" s="2">
        <v>0</v>
      </c>
      <c r="U103">
        <v>-1</v>
      </c>
      <c r="V103" t="s">
        <v>60</v>
      </c>
      <c r="W103" t="s">
        <v>135</v>
      </c>
      <c r="X103">
        <v>0</v>
      </c>
      <c r="Y103" s="2">
        <v>0</v>
      </c>
      <c r="Z103" s="2">
        <v>-60.81</v>
      </c>
      <c r="AA103" s="2">
        <v>-60.81</v>
      </c>
      <c r="AB103" s="2">
        <v>0</v>
      </c>
    </row>
    <row r="104" spans="1:28" x14ac:dyDescent="0.25">
      <c r="A104">
        <v>2032702727</v>
      </c>
      <c r="B104" t="s">
        <v>324</v>
      </c>
      <c r="C104" t="s">
        <v>910</v>
      </c>
      <c r="D104" t="str">
        <f t="shared" si="4"/>
        <v>ODALYS GARCIA</v>
      </c>
      <c r="E104" t="s">
        <v>51</v>
      </c>
      <c r="F104" t="s">
        <v>66</v>
      </c>
      <c r="G104" t="s">
        <v>363</v>
      </c>
      <c r="H104" t="s">
        <v>364</v>
      </c>
      <c r="I104" t="s">
        <v>364</v>
      </c>
      <c r="J104">
        <v>16912722</v>
      </c>
      <c r="K104" t="s">
        <v>295</v>
      </c>
      <c r="L104" t="s">
        <v>296</v>
      </c>
      <c r="M104" t="str">
        <f t="shared" si="5"/>
        <v>ANDREA PETRUNGARO</v>
      </c>
      <c r="N104" t="s">
        <v>144</v>
      </c>
      <c r="O104" s="1">
        <v>46023</v>
      </c>
      <c r="P104" s="1">
        <v>46055</v>
      </c>
      <c r="Q104" s="1">
        <v>46082</v>
      </c>
      <c r="R104" s="2">
        <v>-64.66</v>
      </c>
      <c r="S104" s="4">
        <v>0.375</v>
      </c>
      <c r="T104" s="2">
        <v>0</v>
      </c>
      <c r="U104">
        <v>-1</v>
      </c>
      <c r="V104" t="s">
        <v>60</v>
      </c>
      <c r="W104" t="s">
        <v>135</v>
      </c>
      <c r="X104">
        <v>0</v>
      </c>
      <c r="Y104" s="2">
        <v>0</v>
      </c>
      <c r="Z104" s="2">
        <v>-24.25</v>
      </c>
      <c r="AA104" s="2">
        <v>-24.25</v>
      </c>
      <c r="AB104" s="2">
        <v>0</v>
      </c>
    </row>
    <row r="105" spans="1:28" x14ac:dyDescent="0.25">
      <c r="A105">
        <v>2032854041</v>
      </c>
      <c r="B105" t="s">
        <v>921</v>
      </c>
      <c r="C105" t="s">
        <v>922</v>
      </c>
      <c r="D105" t="str">
        <f t="shared" si="4"/>
        <v>COREY TALBOTT</v>
      </c>
      <c r="E105" t="s">
        <v>51</v>
      </c>
      <c r="F105" t="s">
        <v>90</v>
      </c>
      <c r="G105" t="s">
        <v>363</v>
      </c>
      <c r="H105" t="s">
        <v>364</v>
      </c>
      <c r="I105" t="s">
        <v>364</v>
      </c>
      <c r="J105">
        <v>3333476</v>
      </c>
      <c r="K105" t="s">
        <v>827</v>
      </c>
      <c r="L105" t="s">
        <v>828</v>
      </c>
      <c r="M105" t="str">
        <f t="shared" si="5"/>
        <v>Colleen Jerger</v>
      </c>
      <c r="N105" t="s">
        <v>144</v>
      </c>
      <c r="O105" s="1">
        <v>46023</v>
      </c>
      <c r="P105" s="1">
        <v>46055</v>
      </c>
      <c r="Q105" s="1">
        <v>46082</v>
      </c>
      <c r="R105" s="2">
        <v>-83.15</v>
      </c>
      <c r="S105" s="4">
        <v>0.375</v>
      </c>
      <c r="T105" s="2">
        <v>0</v>
      </c>
      <c r="U105">
        <v>-1</v>
      </c>
      <c r="V105" t="s">
        <v>60</v>
      </c>
      <c r="W105" t="s">
        <v>135</v>
      </c>
      <c r="X105">
        <v>0</v>
      </c>
      <c r="Y105" s="2">
        <v>0</v>
      </c>
      <c r="Z105" s="2">
        <v>-31.18</v>
      </c>
      <c r="AA105" s="2">
        <v>-31.18</v>
      </c>
      <c r="AB105" s="2">
        <v>0</v>
      </c>
    </row>
    <row r="106" spans="1:28" x14ac:dyDescent="0.25">
      <c r="A106">
        <v>2032929558</v>
      </c>
      <c r="B106" t="s">
        <v>1102</v>
      </c>
      <c r="C106" t="s">
        <v>1103</v>
      </c>
      <c r="D106" t="str">
        <f t="shared" si="4"/>
        <v>SHERRY STAVIG</v>
      </c>
      <c r="E106" t="s">
        <v>51</v>
      </c>
      <c r="F106" t="s">
        <v>96</v>
      </c>
      <c r="G106" t="s">
        <v>363</v>
      </c>
      <c r="H106" t="s">
        <v>364</v>
      </c>
      <c r="I106" t="s">
        <v>364</v>
      </c>
      <c r="J106">
        <v>3333476</v>
      </c>
      <c r="K106" t="s">
        <v>827</v>
      </c>
      <c r="L106" t="s">
        <v>828</v>
      </c>
      <c r="M106" t="str">
        <f t="shared" si="5"/>
        <v>Colleen Jerger</v>
      </c>
      <c r="N106" t="s">
        <v>144</v>
      </c>
      <c r="O106" s="1">
        <v>46023</v>
      </c>
      <c r="P106" s="1">
        <v>46062</v>
      </c>
      <c r="Q106" s="1">
        <v>46082</v>
      </c>
      <c r="R106" s="2">
        <v>-115.35</v>
      </c>
      <c r="S106" s="4">
        <v>0.375</v>
      </c>
      <c r="T106" s="2">
        <v>0</v>
      </c>
      <c r="U106">
        <v>-1</v>
      </c>
      <c r="V106" t="s">
        <v>60</v>
      </c>
      <c r="W106" t="s">
        <v>135</v>
      </c>
      <c r="X106">
        <v>0</v>
      </c>
      <c r="Y106" s="2">
        <v>0</v>
      </c>
      <c r="Z106" s="2">
        <v>-43.26</v>
      </c>
      <c r="AA106" s="2">
        <v>-43.26</v>
      </c>
      <c r="AB106" s="2">
        <v>0</v>
      </c>
    </row>
    <row r="107" spans="1:28" x14ac:dyDescent="0.25">
      <c r="A107">
        <v>2033178396</v>
      </c>
      <c r="B107" t="s">
        <v>966</v>
      </c>
      <c r="C107" t="s">
        <v>967</v>
      </c>
      <c r="D107" t="str">
        <f t="shared" si="4"/>
        <v>CHRISTIE BALL</v>
      </c>
      <c r="E107" t="s">
        <v>51</v>
      </c>
      <c r="F107" t="s">
        <v>353</v>
      </c>
      <c r="G107" t="s">
        <v>363</v>
      </c>
      <c r="H107" t="s">
        <v>364</v>
      </c>
      <c r="I107" t="s">
        <v>364</v>
      </c>
      <c r="J107">
        <v>1706194</v>
      </c>
      <c r="K107" t="s">
        <v>74</v>
      </c>
      <c r="L107" t="s">
        <v>75</v>
      </c>
      <c r="M107" t="str">
        <f t="shared" si="5"/>
        <v>MATTHEW DAUGHERTY</v>
      </c>
      <c r="N107" t="s">
        <v>144</v>
      </c>
      <c r="O107" s="1">
        <v>46054</v>
      </c>
      <c r="P107" s="1">
        <v>46062</v>
      </c>
      <c r="Q107" s="1">
        <v>46082</v>
      </c>
      <c r="R107" s="2">
        <v>-23.34</v>
      </c>
      <c r="S107" s="4">
        <v>0.375</v>
      </c>
      <c r="T107" s="2">
        <v>0</v>
      </c>
      <c r="U107">
        <v>-1</v>
      </c>
      <c r="V107" t="s">
        <v>60</v>
      </c>
      <c r="W107" t="s">
        <v>135</v>
      </c>
      <c r="X107">
        <v>0</v>
      </c>
      <c r="Y107" s="2">
        <v>0</v>
      </c>
      <c r="Z107" s="2">
        <v>-8.75</v>
      </c>
      <c r="AA107" s="2">
        <v>-8.75</v>
      </c>
      <c r="AB107" s="2">
        <v>0</v>
      </c>
    </row>
    <row r="108" spans="1:28" x14ac:dyDescent="0.25">
      <c r="A108">
        <v>2033304951</v>
      </c>
      <c r="B108" t="s">
        <v>970</v>
      </c>
      <c r="C108" t="s">
        <v>891</v>
      </c>
      <c r="D108" t="str">
        <f t="shared" si="4"/>
        <v>CHAD BIRDSELL</v>
      </c>
      <c r="E108" t="s">
        <v>51</v>
      </c>
      <c r="F108" t="s">
        <v>971</v>
      </c>
      <c r="G108" t="s">
        <v>363</v>
      </c>
      <c r="H108" t="s">
        <v>364</v>
      </c>
      <c r="I108" t="s">
        <v>364</v>
      </c>
      <c r="J108">
        <v>8977234</v>
      </c>
      <c r="K108" t="s">
        <v>162</v>
      </c>
      <c r="L108" t="s">
        <v>180</v>
      </c>
      <c r="M108" t="str">
        <f t="shared" si="5"/>
        <v>RYAN CALTAGIRONE</v>
      </c>
      <c r="N108" t="s">
        <v>144</v>
      </c>
      <c r="O108" s="1">
        <v>46051</v>
      </c>
      <c r="P108" s="1">
        <v>46062</v>
      </c>
      <c r="Q108" s="1">
        <v>46081</v>
      </c>
      <c r="R108" s="2">
        <v>-60.67</v>
      </c>
      <c r="S108" s="4">
        <v>0.375</v>
      </c>
      <c r="T108" s="2">
        <v>0</v>
      </c>
      <c r="U108">
        <v>-1</v>
      </c>
      <c r="V108" t="s">
        <v>60</v>
      </c>
      <c r="W108" t="s">
        <v>135</v>
      </c>
      <c r="X108">
        <v>0</v>
      </c>
      <c r="Y108" s="2">
        <v>0</v>
      </c>
      <c r="Z108" s="2">
        <v>-22.75</v>
      </c>
      <c r="AA108" s="2">
        <v>-22.75</v>
      </c>
      <c r="AB108" s="2">
        <v>0</v>
      </c>
    </row>
    <row r="109" spans="1:28" x14ac:dyDescent="0.25">
      <c r="A109">
        <v>2020855630</v>
      </c>
      <c r="B109" t="s">
        <v>467</v>
      </c>
      <c r="C109" t="s">
        <v>468</v>
      </c>
      <c r="D109" t="str">
        <f t="shared" si="4"/>
        <v>AMBER DEALESSANDRO</v>
      </c>
      <c r="E109" t="s">
        <v>51</v>
      </c>
      <c r="F109" t="s">
        <v>90</v>
      </c>
      <c r="G109" t="s">
        <v>383</v>
      </c>
      <c r="H109" t="s">
        <v>385</v>
      </c>
      <c r="I109" t="s">
        <v>385</v>
      </c>
      <c r="J109">
        <v>8307933</v>
      </c>
      <c r="K109" t="s">
        <v>80</v>
      </c>
      <c r="L109" t="s">
        <v>81</v>
      </c>
      <c r="M109" t="str">
        <f t="shared" si="5"/>
        <v>GREGORY TEIPEL</v>
      </c>
      <c r="N109" t="s">
        <v>144</v>
      </c>
      <c r="O109" s="1">
        <v>45265</v>
      </c>
      <c r="P109" s="1">
        <v>46062</v>
      </c>
      <c r="Q109" s="1">
        <v>46086</v>
      </c>
      <c r="R109" s="2">
        <v>-32.69</v>
      </c>
      <c r="S109" s="3">
        <v>0.1</v>
      </c>
      <c r="T109" s="2">
        <v>0</v>
      </c>
      <c r="U109">
        <v>-1</v>
      </c>
      <c r="V109" t="s">
        <v>157</v>
      </c>
      <c r="W109" t="s">
        <v>135</v>
      </c>
      <c r="X109">
        <v>0</v>
      </c>
      <c r="Y109" s="2">
        <v>0</v>
      </c>
      <c r="Z109" s="2">
        <v>-3.27</v>
      </c>
      <c r="AA109" s="2">
        <v>-3.27</v>
      </c>
      <c r="AB109" s="2">
        <v>0</v>
      </c>
    </row>
    <row r="110" spans="1:28" x14ac:dyDescent="0.25">
      <c r="A110">
        <v>2030240611</v>
      </c>
      <c r="B110" t="s">
        <v>762</v>
      </c>
      <c r="C110" t="s">
        <v>763</v>
      </c>
      <c r="D110" t="str">
        <f t="shared" si="4"/>
        <v>MADSEN KEVIN</v>
      </c>
      <c r="E110" t="s">
        <v>51</v>
      </c>
      <c r="F110" t="s">
        <v>66</v>
      </c>
      <c r="G110" t="s">
        <v>383</v>
      </c>
      <c r="H110" t="s">
        <v>385</v>
      </c>
      <c r="I110" t="s">
        <v>385</v>
      </c>
      <c r="J110">
        <v>7470776</v>
      </c>
      <c r="K110" t="s">
        <v>569</v>
      </c>
      <c r="L110" t="s">
        <v>570</v>
      </c>
      <c r="M110" t="str">
        <f t="shared" si="5"/>
        <v>Andrew Choi</v>
      </c>
      <c r="N110" t="s">
        <v>144</v>
      </c>
      <c r="O110" s="1">
        <v>45901</v>
      </c>
      <c r="P110" s="1">
        <v>46062</v>
      </c>
      <c r="Q110" s="1">
        <v>46082</v>
      </c>
      <c r="R110" s="2">
        <v>-163.25</v>
      </c>
      <c r="S110" s="3">
        <v>0.9</v>
      </c>
      <c r="T110" s="2">
        <v>0</v>
      </c>
      <c r="U110">
        <v>-1</v>
      </c>
      <c r="V110" t="s">
        <v>60</v>
      </c>
      <c r="W110" t="s">
        <v>135</v>
      </c>
      <c r="X110">
        <v>0</v>
      </c>
      <c r="Y110" s="2">
        <v>0</v>
      </c>
      <c r="Z110" s="2">
        <v>-146.91999999999999</v>
      </c>
      <c r="AA110" s="2">
        <v>-146.91999999999999</v>
      </c>
      <c r="AB110" s="2">
        <v>0</v>
      </c>
    </row>
    <row r="111" spans="1:28" x14ac:dyDescent="0.25">
      <c r="A111">
        <v>2022693240</v>
      </c>
      <c r="B111" t="s">
        <v>416</v>
      </c>
      <c r="C111" t="s">
        <v>240</v>
      </c>
      <c r="D111" t="str">
        <f t="shared" si="4"/>
        <v>JOHN MAYES</v>
      </c>
      <c r="E111" t="s">
        <v>51</v>
      </c>
      <c r="F111" t="s">
        <v>237</v>
      </c>
      <c r="G111" t="s">
        <v>53</v>
      </c>
      <c r="H111" t="s">
        <v>54</v>
      </c>
      <c r="I111" t="s">
        <v>54</v>
      </c>
      <c r="J111">
        <v>18781057</v>
      </c>
      <c r="K111" t="s">
        <v>239</v>
      </c>
      <c r="L111" t="s">
        <v>240</v>
      </c>
      <c r="M111" t="str">
        <f t="shared" si="5"/>
        <v>JOHN ROKEN</v>
      </c>
      <c r="N111" t="s">
        <v>144</v>
      </c>
      <c r="O111" s="1">
        <v>45413</v>
      </c>
      <c r="P111" s="1">
        <v>46062</v>
      </c>
      <c r="Q111" s="1">
        <v>46082</v>
      </c>
      <c r="R111" s="2">
        <v>-46.45</v>
      </c>
      <c r="S111" s="4">
        <v>6.5000000000000002E-2</v>
      </c>
      <c r="T111" s="2">
        <v>0</v>
      </c>
      <c r="U111">
        <v>-1</v>
      </c>
      <c r="V111" t="s">
        <v>157</v>
      </c>
      <c r="W111" t="s">
        <v>135</v>
      </c>
      <c r="X111">
        <v>0</v>
      </c>
      <c r="Y111" s="2">
        <v>0</v>
      </c>
      <c r="Z111" s="2">
        <v>-3.02</v>
      </c>
      <c r="AA111" s="2">
        <v>-3.02</v>
      </c>
      <c r="AB111" s="2">
        <v>0</v>
      </c>
    </row>
    <row r="112" spans="1:28" x14ac:dyDescent="0.25">
      <c r="A112">
        <v>2029787708</v>
      </c>
      <c r="B112" t="s">
        <v>281</v>
      </c>
      <c r="C112" t="s">
        <v>430</v>
      </c>
      <c r="D112" t="str">
        <f t="shared" si="4"/>
        <v>BRANSFORD ELIZABETH</v>
      </c>
      <c r="E112" t="s">
        <v>51</v>
      </c>
      <c r="F112" t="s">
        <v>52</v>
      </c>
      <c r="G112" t="s">
        <v>53</v>
      </c>
      <c r="H112" t="s">
        <v>54</v>
      </c>
      <c r="I112" t="s">
        <v>54</v>
      </c>
      <c r="J112">
        <v>8307933</v>
      </c>
      <c r="K112" t="s">
        <v>80</v>
      </c>
      <c r="L112" t="s">
        <v>81</v>
      </c>
      <c r="M112" t="str">
        <f t="shared" si="5"/>
        <v>GREGORY TEIPEL</v>
      </c>
      <c r="N112" t="s">
        <v>144</v>
      </c>
      <c r="O112" s="1">
        <v>45870</v>
      </c>
      <c r="P112" s="1">
        <v>46062</v>
      </c>
      <c r="Q112" s="1">
        <v>46082</v>
      </c>
      <c r="R112" s="2">
        <v>-52.69</v>
      </c>
      <c r="S112" s="3">
        <v>0.6</v>
      </c>
      <c r="T112" s="2">
        <v>0</v>
      </c>
      <c r="U112">
        <v>-1</v>
      </c>
      <c r="V112" t="s">
        <v>60</v>
      </c>
      <c r="W112" t="s">
        <v>135</v>
      </c>
      <c r="X112">
        <v>0</v>
      </c>
      <c r="Y112" s="2">
        <v>0</v>
      </c>
      <c r="Z112" s="2">
        <v>-31.61</v>
      </c>
      <c r="AA112" s="2">
        <v>-31.61</v>
      </c>
      <c r="AB112" s="2">
        <v>0</v>
      </c>
    </row>
    <row r="113" spans="1:53" x14ac:dyDescent="0.25">
      <c r="A113">
        <v>2032590100</v>
      </c>
      <c r="B113" t="s">
        <v>446</v>
      </c>
      <c r="C113" t="s">
        <v>65</v>
      </c>
      <c r="D113" t="str">
        <f t="shared" si="4"/>
        <v>SCOTT DENNIS</v>
      </c>
      <c r="E113" t="s">
        <v>51</v>
      </c>
      <c r="F113" t="s">
        <v>66</v>
      </c>
      <c r="G113" t="s">
        <v>53</v>
      </c>
      <c r="H113" t="s">
        <v>54</v>
      </c>
      <c r="I113" t="s">
        <v>54</v>
      </c>
      <c r="J113">
        <v>8812322</v>
      </c>
      <c r="K113" t="s">
        <v>67</v>
      </c>
      <c r="L113" t="s">
        <v>68</v>
      </c>
      <c r="M113" t="str">
        <f t="shared" si="5"/>
        <v>Matthew Sherman</v>
      </c>
      <c r="N113" t="s">
        <v>144</v>
      </c>
      <c r="O113" s="1">
        <v>46023</v>
      </c>
      <c r="P113" s="1">
        <v>46062</v>
      </c>
      <c r="Q113" s="1">
        <v>46082</v>
      </c>
      <c r="R113" s="2">
        <v>-52.69</v>
      </c>
      <c r="S113" s="3">
        <v>0.6</v>
      </c>
      <c r="T113" s="2">
        <v>0</v>
      </c>
      <c r="U113">
        <v>-1</v>
      </c>
      <c r="V113" t="s">
        <v>60</v>
      </c>
      <c r="W113" t="s">
        <v>135</v>
      </c>
      <c r="X113">
        <v>0</v>
      </c>
      <c r="Y113" s="2">
        <v>0</v>
      </c>
      <c r="Z113" s="2">
        <v>-31.61</v>
      </c>
      <c r="AA113" s="2">
        <v>-31.61</v>
      </c>
      <c r="AB113" s="2">
        <v>0</v>
      </c>
    </row>
    <row r="114" spans="1:53" x14ac:dyDescent="0.25">
      <c r="A114">
        <v>2033160879</v>
      </c>
      <c r="B114" t="s">
        <v>453</v>
      </c>
      <c r="C114" t="s">
        <v>454</v>
      </c>
      <c r="D114" t="str">
        <f t="shared" si="4"/>
        <v>HOWARD HARDING</v>
      </c>
      <c r="E114" t="s">
        <v>51</v>
      </c>
      <c r="F114" t="s">
        <v>52</v>
      </c>
      <c r="G114" t="s">
        <v>53</v>
      </c>
      <c r="H114" t="s">
        <v>54</v>
      </c>
      <c r="I114" t="s">
        <v>54</v>
      </c>
      <c r="J114">
        <v>21758900</v>
      </c>
      <c r="K114" t="s">
        <v>55</v>
      </c>
      <c r="L114" t="s">
        <v>56</v>
      </c>
      <c r="M114" t="str">
        <f t="shared" si="5"/>
        <v>John Rader</v>
      </c>
      <c r="N114" t="s">
        <v>144</v>
      </c>
      <c r="O114" s="1">
        <v>46054</v>
      </c>
      <c r="P114" s="1">
        <v>46062</v>
      </c>
      <c r="Q114" s="1">
        <v>46082</v>
      </c>
      <c r="R114" s="2">
        <v>-75.67</v>
      </c>
      <c r="S114" s="3">
        <v>0.6</v>
      </c>
      <c r="T114" s="2">
        <v>0</v>
      </c>
      <c r="U114">
        <v>-1</v>
      </c>
      <c r="V114" t="s">
        <v>60</v>
      </c>
      <c r="W114" t="s">
        <v>135</v>
      </c>
      <c r="X114">
        <v>0</v>
      </c>
      <c r="Y114" s="2">
        <v>0</v>
      </c>
      <c r="Z114" s="2">
        <v>-45.4</v>
      </c>
      <c r="AA114" s="2">
        <v>-45.4</v>
      </c>
      <c r="AB114" s="2">
        <v>0</v>
      </c>
    </row>
    <row r="115" spans="1:53" x14ac:dyDescent="0.25">
      <c r="O115" s="1"/>
      <c r="P115" s="1"/>
      <c r="Q115" s="1"/>
      <c r="R115" s="2"/>
      <c r="S115" s="3"/>
      <c r="T115" s="2"/>
      <c r="Y115" s="2"/>
      <c r="Z115" s="2"/>
      <c r="AA115" s="2"/>
      <c r="AB115" s="2"/>
    </row>
    <row r="116" spans="1:53" x14ac:dyDescent="0.25">
      <c r="O116" s="1"/>
      <c r="P116" s="1"/>
      <c r="Q116" s="1"/>
      <c r="R116" s="2"/>
      <c r="S116" s="3"/>
      <c r="T116" s="2"/>
      <c r="Y116" s="2"/>
      <c r="Z116" s="2"/>
      <c r="AA116" s="2"/>
      <c r="AB116" s="2"/>
    </row>
    <row r="117" spans="1:53" x14ac:dyDescent="0.25">
      <c r="O117" s="1"/>
      <c r="P117" s="1"/>
      <c r="Q117" s="1"/>
      <c r="R117" s="2"/>
      <c r="S117" s="3"/>
      <c r="T117" s="2"/>
      <c r="Y117" s="2"/>
      <c r="Z117" s="2"/>
      <c r="AA117" s="2"/>
      <c r="AB117" s="2"/>
    </row>
    <row r="118" spans="1:53" s="6" customFormat="1" x14ac:dyDescent="0.25">
      <c r="A118" s="6">
        <v>2033434027</v>
      </c>
      <c r="B118" s="6" t="s">
        <v>972</v>
      </c>
      <c r="C118" s="6" t="s">
        <v>973</v>
      </c>
      <c r="E118" s="6" t="s">
        <v>51</v>
      </c>
      <c r="G118" s="6" t="s">
        <v>383</v>
      </c>
      <c r="H118" s="6" t="s">
        <v>384</v>
      </c>
      <c r="J118" s="6">
        <v>649163</v>
      </c>
      <c r="K118" s="6" t="s">
        <v>730</v>
      </c>
      <c r="L118" s="6" t="s">
        <v>731</v>
      </c>
      <c r="M118" s="6" t="str">
        <f t="shared" ref="M118:M149" si="6">CONCATENATE(L118," ",K118)</f>
        <v>RICARDO SANTOS</v>
      </c>
      <c r="N118" s="6" t="s">
        <v>144</v>
      </c>
      <c r="O118" s="5">
        <v>46054</v>
      </c>
      <c r="P118" s="5">
        <v>46062</v>
      </c>
      <c r="R118" s="7">
        <v>0</v>
      </c>
      <c r="X118" s="6">
        <v>1</v>
      </c>
      <c r="Y118" s="7">
        <v>622.91999999999996</v>
      </c>
      <c r="Z118" s="7">
        <v>103.82</v>
      </c>
      <c r="AA118" s="7">
        <v>-519.1</v>
      </c>
      <c r="AB118" s="7">
        <v>-519.1</v>
      </c>
      <c r="AV118"/>
      <c r="AW118"/>
      <c r="AX118"/>
      <c r="AY118"/>
      <c r="AZ118"/>
      <c r="BA118"/>
    </row>
    <row r="119" spans="1:53" s="6" customFormat="1" x14ac:dyDescent="0.25">
      <c r="A119" s="6">
        <v>2033397213</v>
      </c>
      <c r="B119" s="6" t="s">
        <v>620</v>
      </c>
      <c r="C119" s="6" t="s">
        <v>539</v>
      </c>
      <c r="E119" s="6" t="s">
        <v>51</v>
      </c>
      <c r="G119" s="6" t="s">
        <v>378</v>
      </c>
      <c r="H119" s="6" t="s">
        <v>380</v>
      </c>
      <c r="J119" s="6">
        <v>649163</v>
      </c>
      <c r="K119" s="6" t="s">
        <v>405</v>
      </c>
      <c r="L119" s="6" t="s">
        <v>406</v>
      </c>
      <c r="M119" s="6" t="str">
        <f t="shared" si="6"/>
        <v>Brittany Oliver</v>
      </c>
      <c r="N119" s="6" t="s">
        <v>144</v>
      </c>
      <c r="O119" s="5">
        <v>46052</v>
      </c>
      <c r="P119" s="5">
        <v>46062</v>
      </c>
      <c r="R119" s="7">
        <v>0</v>
      </c>
      <c r="X119" s="6">
        <v>1</v>
      </c>
      <c r="Y119" s="7">
        <v>510.54</v>
      </c>
      <c r="Z119" s="7">
        <v>85.09</v>
      </c>
      <c r="AA119" s="7">
        <v>-425.45</v>
      </c>
      <c r="AB119" s="7">
        <v>-425.45</v>
      </c>
      <c r="AV119"/>
      <c r="AW119"/>
      <c r="AX119"/>
      <c r="AY119"/>
      <c r="AZ119"/>
      <c r="BA119"/>
    </row>
    <row r="120" spans="1:53" s="6" customFormat="1" x14ac:dyDescent="0.25">
      <c r="A120" s="6">
        <v>2032038377</v>
      </c>
      <c r="B120" s="6" t="s">
        <v>791</v>
      </c>
      <c r="C120" s="6" t="s">
        <v>792</v>
      </c>
      <c r="E120" s="6" t="s">
        <v>51</v>
      </c>
      <c r="G120" s="6" t="s">
        <v>383</v>
      </c>
      <c r="H120" s="6" t="s">
        <v>384</v>
      </c>
      <c r="J120" s="6">
        <v>649163</v>
      </c>
      <c r="K120" s="6" t="s">
        <v>793</v>
      </c>
      <c r="L120" s="6" t="s">
        <v>794</v>
      </c>
      <c r="M120" s="6" t="str">
        <f t="shared" si="6"/>
        <v>Latesha Rose</v>
      </c>
      <c r="N120" s="6" t="s">
        <v>144</v>
      </c>
      <c r="O120" s="5">
        <v>45968</v>
      </c>
      <c r="P120" s="5">
        <v>46062</v>
      </c>
      <c r="R120" s="7">
        <v>0</v>
      </c>
      <c r="X120" s="6">
        <f>419.58/139.86</f>
        <v>2.9999999999999996</v>
      </c>
      <c r="Y120" s="7">
        <v>839.16</v>
      </c>
      <c r="Z120" s="7">
        <v>419.58</v>
      </c>
      <c r="AA120" s="7">
        <v>-419.58</v>
      </c>
      <c r="AB120" s="7">
        <v>-419.58</v>
      </c>
    </row>
    <row r="121" spans="1:53" s="6" customFormat="1" x14ac:dyDescent="0.25">
      <c r="A121" s="6">
        <v>2032078824</v>
      </c>
      <c r="B121" s="6" t="s">
        <v>1320</v>
      </c>
      <c r="C121" s="6" t="s">
        <v>1321</v>
      </c>
      <c r="E121" s="6" t="s">
        <v>51</v>
      </c>
      <c r="G121" s="6" t="s">
        <v>383</v>
      </c>
      <c r="H121" s="6" t="s">
        <v>384</v>
      </c>
      <c r="J121" s="6">
        <v>807212</v>
      </c>
      <c r="K121" s="6" t="s">
        <v>801</v>
      </c>
      <c r="L121" s="6" t="s">
        <v>802</v>
      </c>
      <c r="M121" s="6" t="str">
        <f t="shared" si="6"/>
        <v>NASANDELGER ZANA</v>
      </c>
      <c r="N121" s="6" t="s">
        <v>144</v>
      </c>
      <c r="O121" s="5">
        <v>45971</v>
      </c>
      <c r="P121" s="5">
        <v>46062</v>
      </c>
      <c r="R121" s="7">
        <v>0</v>
      </c>
      <c r="X121" s="6">
        <f>199.12/99.56</f>
        <v>2</v>
      </c>
      <c r="Y121" s="7">
        <v>597.36</v>
      </c>
      <c r="Z121" s="7">
        <v>199.12</v>
      </c>
      <c r="AA121" s="7">
        <v>-398.24</v>
      </c>
      <c r="AB121" s="7">
        <v>-398.24</v>
      </c>
      <c r="AV121"/>
      <c r="AW121"/>
      <c r="AX121"/>
      <c r="AY121"/>
      <c r="AZ121"/>
      <c r="BA121"/>
    </row>
    <row r="122" spans="1:53" s="6" customFormat="1" x14ac:dyDescent="0.25">
      <c r="A122" s="6">
        <v>2033422266</v>
      </c>
      <c r="B122" s="6" t="s">
        <v>1081</v>
      </c>
      <c r="C122" s="6" t="s">
        <v>1082</v>
      </c>
      <c r="E122" s="6" t="s">
        <v>51</v>
      </c>
      <c r="G122" s="6" t="s">
        <v>72</v>
      </c>
      <c r="H122" s="6" t="s">
        <v>93</v>
      </c>
      <c r="J122" s="6">
        <v>649163</v>
      </c>
      <c r="K122" s="6" t="s">
        <v>122</v>
      </c>
      <c r="L122" s="6" t="s">
        <v>123</v>
      </c>
      <c r="M122" s="6" t="str">
        <f t="shared" si="6"/>
        <v>Heidi Berthelsen</v>
      </c>
      <c r="N122" s="6" t="s">
        <v>144</v>
      </c>
      <c r="O122" s="5">
        <v>46054</v>
      </c>
      <c r="P122" s="5">
        <v>46062</v>
      </c>
      <c r="R122" s="7">
        <v>0</v>
      </c>
      <c r="X122" s="6">
        <v>1</v>
      </c>
      <c r="Y122" s="7">
        <v>368.52</v>
      </c>
      <c r="Z122" s="7">
        <v>61.42</v>
      </c>
      <c r="AA122" s="7">
        <v>-307.10000000000002</v>
      </c>
      <c r="AB122" s="7">
        <v>-307.10000000000002</v>
      </c>
      <c r="AV122"/>
      <c r="AW122"/>
      <c r="AX122"/>
      <c r="AY122"/>
      <c r="AZ122"/>
      <c r="BA122"/>
    </row>
    <row r="123" spans="1:53" s="6" customFormat="1" x14ac:dyDescent="0.25">
      <c r="A123" s="6">
        <v>2032929558</v>
      </c>
      <c r="B123" s="6" t="s">
        <v>1102</v>
      </c>
      <c r="C123" s="6" t="s">
        <v>1103</v>
      </c>
      <c r="E123" s="6" t="s">
        <v>51</v>
      </c>
      <c r="G123" s="6" t="s">
        <v>363</v>
      </c>
      <c r="H123" s="6" t="s">
        <v>364</v>
      </c>
      <c r="J123" s="6">
        <v>649163</v>
      </c>
      <c r="K123" s="6" t="s">
        <v>827</v>
      </c>
      <c r="L123" s="6" t="s">
        <v>828</v>
      </c>
      <c r="M123" s="6" t="str">
        <f t="shared" si="6"/>
        <v>Colleen Jerger</v>
      </c>
      <c r="N123" s="6" t="s">
        <v>144</v>
      </c>
      <c r="O123" s="5">
        <v>46023</v>
      </c>
      <c r="P123" s="5">
        <v>46062</v>
      </c>
      <c r="R123" s="7">
        <v>0</v>
      </c>
      <c r="X123" s="6">
        <f>96.9/48.45</f>
        <v>2</v>
      </c>
      <c r="Y123" s="7">
        <v>290.7</v>
      </c>
      <c r="Z123" s="7">
        <v>96.9</v>
      </c>
      <c r="AA123" s="7">
        <v>-193.8</v>
      </c>
      <c r="AB123" s="7">
        <v>-193.8</v>
      </c>
    </row>
    <row r="124" spans="1:53" s="6" customFormat="1" x14ac:dyDescent="0.25">
      <c r="A124" s="6">
        <v>2032850725</v>
      </c>
      <c r="B124" s="6" t="s">
        <v>919</v>
      </c>
      <c r="C124" s="6" t="s">
        <v>920</v>
      </c>
      <c r="E124" s="6" t="s">
        <v>51</v>
      </c>
      <c r="G124" s="6" t="s">
        <v>383</v>
      </c>
      <c r="H124" s="6" t="s">
        <v>384</v>
      </c>
      <c r="J124" s="6">
        <v>649163</v>
      </c>
      <c r="K124" s="6" t="s">
        <v>372</v>
      </c>
      <c r="L124" s="6" t="s">
        <v>373</v>
      </c>
      <c r="M124" s="6" t="str">
        <f t="shared" si="6"/>
        <v>VICTOR FUENTES</v>
      </c>
      <c r="N124" s="6" t="s">
        <v>144</v>
      </c>
      <c r="O124" s="5">
        <v>46054</v>
      </c>
      <c r="P124" s="5">
        <v>46062</v>
      </c>
      <c r="R124" s="7">
        <v>0</v>
      </c>
      <c r="X124" s="6">
        <v>1</v>
      </c>
      <c r="Y124" s="7">
        <v>204.78</v>
      </c>
      <c r="Z124" s="7">
        <v>34.130000000000003</v>
      </c>
      <c r="AA124" s="7">
        <v>-170.65</v>
      </c>
      <c r="AB124" s="7">
        <v>-170.65</v>
      </c>
    </row>
    <row r="125" spans="1:53" s="6" customFormat="1" x14ac:dyDescent="0.25">
      <c r="A125" s="6">
        <v>2032590100</v>
      </c>
      <c r="B125" s="6" t="s">
        <v>446</v>
      </c>
      <c r="C125" s="6" t="s">
        <v>65</v>
      </c>
      <c r="E125" s="6" t="s">
        <v>51</v>
      </c>
      <c r="G125" s="6" t="s">
        <v>53</v>
      </c>
      <c r="H125" s="6" t="s">
        <v>54</v>
      </c>
      <c r="J125" s="6">
        <v>649163</v>
      </c>
      <c r="K125" s="6" t="s">
        <v>67</v>
      </c>
      <c r="L125" s="6" t="s">
        <v>68</v>
      </c>
      <c r="M125" s="6" t="str">
        <f t="shared" si="6"/>
        <v>Matthew Sherman</v>
      </c>
      <c r="N125" s="6" t="s">
        <v>144</v>
      </c>
      <c r="O125" s="5">
        <v>46023</v>
      </c>
      <c r="P125" s="5">
        <v>46062</v>
      </c>
      <c r="R125" s="7">
        <v>0</v>
      </c>
      <c r="X125" s="6">
        <f>63.22/31.61</f>
        <v>2</v>
      </c>
      <c r="Y125" s="7">
        <v>189.66</v>
      </c>
      <c r="Z125" s="7">
        <v>63.22</v>
      </c>
      <c r="AA125" s="7">
        <v>-126.44</v>
      </c>
      <c r="AB125" s="7">
        <v>-126.44</v>
      </c>
      <c r="AV125"/>
      <c r="AW125"/>
      <c r="AX125"/>
      <c r="AY125"/>
      <c r="AZ125"/>
      <c r="BA125"/>
    </row>
    <row r="126" spans="1:53" s="6" customFormat="1" x14ac:dyDescent="0.25">
      <c r="A126" s="6">
        <v>2033397215</v>
      </c>
      <c r="B126" s="6" t="s">
        <v>620</v>
      </c>
      <c r="C126" s="6" t="s">
        <v>539</v>
      </c>
      <c r="E126" s="6" t="s">
        <v>51</v>
      </c>
      <c r="G126" s="6" t="s">
        <v>383</v>
      </c>
      <c r="H126" s="6" t="s">
        <v>384</v>
      </c>
      <c r="J126" s="6">
        <v>649163</v>
      </c>
      <c r="K126" s="6" t="s">
        <v>405</v>
      </c>
      <c r="L126" s="6" t="s">
        <v>406</v>
      </c>
      <c r="M126" s="6" t="str">
        <f t="shared" si="6"/>
        <v>Brittany Oliver</v>
      </c>
      <c r="N126" s="6" t="s">
        <v>144</v>
      </c>
      <c r="O126" s="5">
        <v>46052</v>
      </c>
      <c r="P126" s="5">
        <v>46062</v>
      </c>
      <c r="R126" s="7">
        <v>0</v>
      </c>
      <c r="X126" s="6">
        <v>1</v>
      </c>
      <c r="Y126" s="7">
        <v>76.02</v>
      </c>
      <c r="Z126" s="7">
        <v>12.67</v>
      </c>
      <c r="AA126" s="7">
        <v>-63.35</v>
      </c>
      <c r="AB126" s="7">
        <v>-63.35</v>
      </c>
      <c r="AV126"/>
      <c r="AW126"/>
      <c r="AX126"/>
      <c r="AY126"/>
      <c r="AZ126"/>
      <c r="BA126"/>
    </row>
    <row r="127" spans="1:53" s="6" customFormat="1" x14ac:dyDescent="0.25">
      <c r="A127" s="6">
        <v>2033397216</v>
      </c>
      <c r="B127" s="6" t="s">
        <v>620</v>
      </c>
      <c r="C127" s="6" t="s">
        <v>539</v>
      </c>
      <c r="E127" s="6" t="s">
        <v>51</v>
      </c>
      <c r="G127" s="6" t="s">
        <v>383</v>
      </c>
      <c r="H127" s="6" t="s">
        <v>843</v>
      </c>
      <c r="J127" s="6">
        <v>649163</v>
      </c>
      <c r="K127" s="6" t="s">
        <v>405</v>
      </c>
      <c r="L127" s="6" t="s">
        <v>406</v>
      </c>
      <c r="M127" s="6" t="str">
        <f t="shared" si="6"/>
        <v>Brittany Oliver</v>
      </c>
      <c r="N127" s="6" t="s">
        <v>144</v>
      </c>
      <c r="O127" s="5">
        <v>46052</v>
      </c>
      <c r="P127" s="5">
        <v>46062</v>
      </c>
      <c r="R127" s="7">
        <v>0</v>
      </c>
      <c r="X127" s="6">
        <v>1</v>
      </c>
      <c r="Y127" s="7">
        <v>74.34</v>
      </c>
      <c r="Z127" s="7">
        <v>12.39</v>
      </c>
      <c r="AA127" s="7">
        <v>-61.95</v>
      </c>
      <c r="AB127" s="7">
        <v>-61.95</v>
      </c>
    </row>
    <row r="128" spans="1:53" s="6" customFormat="1" x14ac:dyDescent="0.25">
      <c r="A128" s="6">
        <v>2030359371</v>
      </c>
      <c r="B128" s="6" t="s">
        <v>1315</v>
      </c>
      <c r="C128" s="6" t="s">
        <v>1316</v>
      </c>
      <c r="E128" s="6" t="s">
        <v>51</v>
      </c>
      <c r="G128" s="6" t="s">
        <v>383</v>
      </c>
      <c r="H128" s="6" t="s">
        <v>385</v>
      </c>
      <c r="J128" s="6">
        <v>767312</v>
      </c>
      <c r="K128" s="6" t="s">
        <v>310</v>
      </c>
      <c r="L128" s="6" t="s">
        <v>311</v>
      </c>
      <c r="M128" s="6" t="str">
        <f t="shared" si="6"/>
        <v>THOMAS PARDUE</v>
      </c>
      <c r="N128" s="6" t="s">
        <v>144</v>
      </c>
      <c r="O128" s="5">
        <v>45879</v>
      </c>
      <c r="P128" s="5">
        <v>46062</v>
      </c>
      <c r="R128" s="7">
        <v>0</v>
      </c>
      <c r="X128" s="6">
        <f>168.4/33.68</f>
        <v>5</v>
      </c>
      <c r="Y128" s="7">
        <v>202.07</v>
      </c>
      <c r="Z128" s="7">
        <v>168.4</v>
      </c>
      <c r="AA128" s="7">
        <v>-33.67</v>
      </c>
      <c r="AB128" s="7">
        <v>-33.67</v>
      </c>
      <c r="AV128"/>
      <c r="AW128"/>
      <c r="AX128"/>
      <c r="AY128"/>
      <c r="AZ128"/>
      <c r="BA128"/>
    </row>
    <row r="129" spans="1:53" s="6" customFormat="1" x14ac:dyDescent="0.25">
      <c r="A129" s="6">
        <v>2033397217</v>
      </c>
      <c r="B129" s="6" t="s">
        <v>620</v>
      </c>
      <c r="C129" s="6" t="s">
        <v>539</v>
      </c>
      <c r="E129" s="6" t="s">
        <v>51</v>
      </c>
      <c r="G129" s="6" t="s">
        <v>350</v>
      </c>
      <c r="H129" s="6" t="s">
        <v>354</v>
      </c>
      <c r="J129" s="6">
        <v>649163</v>
      </c>
      <c r="K129" s="6" t="s">
        <v>405</v>
      </c>
      <c r="L129" s="6" t="s">
        <v>406</v>
      </c>
      <c r="M129" s="6" t="str">
        <f t="shared" si="6"/>
        <v>Brittany Oliver</v>
      </c>
      <c r="N129" s="6" t="s">
        <v>144</v>
      </c>
      <c r="O129" s="5">
        <v>46052</v>
      </c>
      <c r="P129" s="5">
        <v>46062</v>
      </c>
      <c r="R129" s="7">
        <v>0</v>
      </c>
      <c r="X129" s="6">
        <v>1</v>
      </c>
      <c r="Y129" s="7">
        <v>34.200000000000003</v>
      </c>
      <c r="Z129" s="7">
        <v>5.7</v>
      </c>
      <c r="AA129" s="7">
        <v>-28.5</v>
      </c>
      <c r="AB129" s="7">
        <v>-28.5</v>
      </c>
    </row>
    <row r="130" spans="1:53" s="6" customFormat="1" x14ac:dyDescent="0.25">
      <c r="A130" s="6">
        <v>2033397214</v>
      </c>
      <c r="B130" s="6" t="s">
        <v>620</v>
      </c>
      <c r="C130" s="6" t="s">
        <v>539</v>
      </c>
      <c r="E130" s="6" t="s">
        <v>51</v>
      </c>
      <c r="G130" s="6" t="s">
        <v>378</v>
      </c>
      <c r="H130" s="6" t="s">
        <v>381</v>
      </c>
      <c r="J130" s="6">
        <v>649163</v>
      </c>
      <c r="K130" s="6" t="s">
        <v>405</v>
      </c>
      <c r="L130" s="6" t="s">
        <v>406</v>
      </c>
      <c r="M130" s="6" t="str">
        <f t="shared" si="6"/>
        <v>Brittany Oliver</v>
      </c>
      <c r="N130" s="6" t="s">
        <v>144</v>
      </c>
      <c r="O130" s="5">
        <v>46052</v>
      </c>
      <c r="P130" s="5">
        <v>46062</v>
      </c>
      <c r="R130" s="7">
        <v>0</v>
      </c>
      <c r="X130" s="6">
        <v>1</v>
      </c>
      <c r="Y130" s="7">
        <v>16.14</v>
      </c>
      <c r="Z130" s="7">
        <v>2.69</v>
      </c>
      <c r="AA130" s="7">
        <v>-13.45</v>
      </c>
      <c r="AB130" s="7">
        <v>-13.45</v>
      </c>
    </row>
    <row r="131" spans="1:53" x14ac:dyDescent="0.25">
      <c r="A131" s="6">
        <v>2030359370</v>
      </c>
      <c r="B131" s="6" t="s">
        <v>1315</v>
      </c>
      <c r="C131" s="6" t="s">
        <v>1316</v>
      </c>
      <c r="D131" s="6"/>
      <c r="E131" s="6" t="s">
        <v>51</v>
      </c>
      <c r="F131" s="6"/>
      <c r="G131" s="6" t="s">
        <v>383</v>
      </c>
      <c r="H131" s="6" t="s">
        <v>843</v>
      </c>
      <c r="I131" s="6"/>
      <c r="J131" s="6">
        <v>767312</v>
      </c>
      <c r="K131" s="6" t="s">
        <v>310</v>
      </c>
      <c r="L131" s="6" t="s">
        <v>311</v>
      </c>
      <c r="M131" s="6" t="str">
        <f t="shared" si="6"/>
        <v>THOMAS PARDUE</v>
      </c>
      <c r="N131" s="6" t="s">
        <v>144</v>
      </c>
      <c r="O131" s="5">
        <v>45879</v>
      </c>
      <c r="P131" s="5">
        <v>46062</v>
      </c>
      <c r="Q131" s="6"/>
      <c r="R131" s="7">
        <v>0</v>
      </c>
      <c r="S131" s="6"/>
      <c r="T131" s="6"/>
      <c r="U131" s="6"/>
      <c r="V131" s="6"/>
      <c r="W131" s="6"/>
      <c r="X131" s="6">
        <f>33.05/6.61</f>
        <v>4.9999999999999991</v>
      </c>
      <c r="Y131" s="7">
        <v>39.64</v>
      </c>
      <c r="Z131" s="7">
        <v>33.049999999999997</v>
      </c>
      <c r="AA131" s="7">
        <v>-6.59</v>
      </c>
      <c r="AB131" s="7">
        <v>-6.59</v>
      </c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53" s="11" customFormat="1" x14ac:dyDescent="0.25">
      <c r="A132" s="8">
        <v>2030254850</v>
      </c>
      <c r="B132" s="8" t="s">
        <v>743</v>
      </c>
      <c r="C132" s="8" t="s">
        <v>1313</v>
      </c>
      <c r="D132" s="8"/>
      <c r="E132" s="8" t="s">
        <v>51</v>
      </c>
      <c r="F132" s="8"/>
      <c r="G132" s="8" t="s">
        <v>378</v>
      </c>
      <c r="H132" s="8" t="s">
        <v>381</v>
      </c>
      <c r="I132" s="8"/>
      <c r="J132" s="8">
        <v>768887</v>
      </c>
      <c r="K132" s="8" t="s">
        <v>295</v>
      </c>
      <c r="L132" s="8" t="s">
        <v>296</v>
      </c>
      <c r="M132" s="8" t="str">
        <f t="shared" si="6"/>
        <v>ANDREA PETRUNGARO</v>
      </c>
      <c r="N132" s="8" t="s">
        <v>144</v>
      </c>
      <c r="O132" s="9">
        <v>45870</v>
      </c>
      <c r="P132" s="9">
        <v>46062</v>
      </c>
      <c r="Q132" s="8"/>
      <c r="R132" s="10">
        <v>0</v>
      </c>
      <c r="S132" s="8"/>
      <c r="T132" s="8"/>
      <c r="U132" s="8"/>
      <c r="V132" s="8"/>
      <c r="W132" s="8"/>
      <c r="X132" s="8">
        <v>6</v>
      </c>
      <c r="Y132" s="10">
        <v>16.170000000000002</v>
      </c>
      <c r="Z132" s="10">
        <v>16.149999999999999</v>
      </c>
      <c r="AA132" s="10">
        <v>-0.02</v>
      </c>
      <c r="AB132" s="10">
        <v>-0.02</v>
      </c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</row>
    <row r="133" spans="1:53" s="6" customFormat="1" x14ac:dyDescent="0.25">
      <c r="A133" s="6">
        <v>2030240611</v>
      </c>
      <c r="B133" s="6" t="s">
        <v>762</v>
      </c>
      <c r="C133" s="6" t="s">
        <v>763</v>
      </c>
      <c r="E133" s="6" t="s">
        <v>51</v>
      </c>
      <c r="G133" s="6" t="s">
        <v>383</v>
      </c>
      <c r="H133" s="6" t="s">
        <v>385</v>
      </c>
      <c r="J133" s="6">
        <v>649163</v>
      </c>
      <c r="K133" s="6" t="s">
        <v>569</v>
      </c>
      <c r="L133" s="6" t="s">
        <v>570</v>
      </c>
      <c r="M133" s="6" t="str">
        <f t="shared" si="6"/>
        <v>Andrew Choi</v>
      </c>
      <c r="N133" s="6" t="s">
        <v>144</v>
      </c>
      <c r="O133" s="5">
        <v>45901</v>
      </c>
      <c r="P133" s="5">
        <v>46062</v>
      </c>
      <c r="R133" s="7">
        <v>0</v>
      </c>
      <c r="Y133" s="7">
        <v>881.55</v>
      </c>
      <c r="Z133" s="7">
        <v>881.53</v>
      </c>
      <c r="AA133" s="7">
        <v>-0.02</v>
      </c>
      <c r="AB133" s="7">
        <v>-0.02</v>
      </c>
    </row>
    <row r="134" spans="1:53" s="6" customFormat="1" x14ac:dyDescent="0.25">
      <c r="A134" s="6">
        <v>2030254847</v>
      </c>
      <c r="B134" s="6" t="s">
        <v>743</v>
      </c>
      <c r="C134" s="6" t="s">
        <v>1313</v>
      </c>
      <c r="E134" s="6" t="s">
        <v>51</v>
      </c>
      <c r="G134" s="6" t="s">
        <v>378</v>
      </c>
      <c r="H134" s="6" t="s">
        <v>380</v>
      </c>
      <c r="J134" s="6">
        <v>768887</v>
      </c>
      <c r="K134" s="6" t="s">
        <v>295</v>
      </c>
      <c r="L134" s="6" t="s">
        <v>296</v>
      </c>
      <c r="M134" s="6" t="str">
        <f t="shared" si="6"/>
        <v>ANDREA PETRUNGARO</v>
      </c>
      <c r="N134" s="6" t="s">
        <v>144</v>
      </c>
      <c r="O134" s="5">
        <v>45870</v>
      </c>
      <c r="P134" s="5">
        <v>46062</v>
      </c>
      <c r="R134" s="7">
        <v>0</v>
      </c>
      <c r="Y134" s="7">
        <v>413.59</v>
      </c>
      <c r="Z134" s="7">
        <v>413.58</v>
      </c>
      <c r="AA134" s="7">
        <v>-0.01</v>
      </c>
      <c r="AB134" s="7">
        <v>-0.01</v>
      </c>
    </row>
    <row r="135" spans="1:53" s="6" customFormat="1" x14ac:dyDescent="0.25">
      <c r="A135" s="6">
        <v>2030254848</v>
      </c>
      <c r="B135" s="6" t="s">
        <v>743</v>
      </c>
      <c r="C135" s="6" t="s">
        <v>1313</v>
      </c>
      <c r="E135" s="6" t="s">
        <v>51</v>
      </c>
      <c r="G135" s="6" t="s">
        <v>383</v>
      </c>
      <c r="H135" s="6" t="s">
        <v>384</v>
      </c>
      <c r="J135" s="6">
        <v>768887</v>
      </c>
      <c r="K135" s="6" t="s">
        <v>295</v>
      </c>
      <c r="L135" s="6" t="s">
        <v>296</v>
      </c>
      <c r="M135" s="6" t="str">
        <f t="shared" si="6"/>
        <v>ANDREA PETRUNGARO</v>
      </c>
      <c r="N135" s="6" t="s">
        <v>144</v>
      </c>
      <c r="O135" s="5">
        <v>45870</v>
      </c>
      <c r="P135" s="5">
        <v>46062</v>
      </c>
      <c r="R135" s="7">
        <v>0</v>
      </c>
      <c r="Y135" s="7">
        <v>305.58999999999997</v>
      </c>
      <c r="Z135" s="7">
        <v>305.58</v>
      </c>
      <c r="AA135" s="7">
        <v>-0.01</v>
      </c>
      <c r="AB135" s="7">
        <v>-0.01</v>
      </c>
    </row>
    <row r="136" spans="1:53" s="6" customFormat="1" x14ac:dyDescent="0.25">
      <c r="A136" s="6">
        <v>2029844784</v>
      </c>
      <c r="B136" s="6" t="s">
        <v>211</v>
      </c>
      <c r="C136" s="6" t="s">
        <v>294</v>
      </c>
      <c r="E136" s="6" t="s">
        <v>51</v>
      </c>
      <c r="G136" s="6" t="s">
        <v>378</v>
      </c>
      <c r="H136" s="6" t="s">
        <v>380</v>
      </c>
      <c r="J136" s="6">
        <v>649163</v>
      </c>
      <c r="K136" s="6" t="s">
        <v>295</v>
      </c>
      <c r="L136" s="6" t="s">
        <v>296</v>
      </c>
      <c r="M136" s="6" t="str">
        <f t="shared" si="6"/>
        <v>ANDREA PETRUNGARO</v>
      </c>
      <c r="N136" s="6" t="s">
        <v>144</v>
      </c>
      <c r="O136" s="5">
        <v>45849</v>
      </c>
      <c r="P136" s="5">
        <v>46062</v>
      </c>
      <c r="R136" s="7">
        <v>0</v>
      </c>
      <c r="Y136" s="7">
        <v>1039.6600000000001</v>
      </c>
      <c r="Z136" s="7">
        <v>1039.6600000000001</v>
      </c>
      <c r="AA136" s="7">
        <v>0</v>
      </c>
      <c r="AB136" s="7">
        <v>0</v>
      </c>
    </row>
    <row r="137" spans="1:53" s="6" customFormat="1" x14ac:dyDescent="0.25">
      <c r="A137" s="6">
        <v>2029844786</v>
      </c>
      <c r="B137" s="6" t="s">
        <v>211</v>
      </c>
      <c r="C137" s="6" t="s">
        <v>294</v>
      </c>
      <c r="E137" s="6" t="s">
        <v>51</v>
      </c>
      <c r="G137" s="6" t="s">
        <v>350</v>
      </c>
      <c r="H137" s="6" t="s">
        <v>354</v>
      </c>
      <c r="J137" s="6">
        <v>649163</v>
      </c>
      <c r="K137" s="6" t="s">
        <v>295</v>
      </c>
      <c r="L137" s="6" t="s">
        <v>296</v>
      </c>
      <c r="M137" s="6" t="str">
        <f t="shared" si="6"/>
        <v>ANDREA PETRUNGARO</v>
      </c>
      <c r="N137" s="6" t="s">
        <v>144</v>
      </c>
      <c r="O137" s="5">
        <v>45849</v>
      </c>
      <c r="P137" s="5">
        <v>46062</v>
      </c>
      <c r="R137" s="7">
        <v>0</v>
      </c>
      <c r="Y137" s="7">
        <v>34.200000000000003</v>
      </c>
      <c r="Z137" s="7">
        <v>34.200000000000003</v>
      </c>
      <c r="AA137" s="7">
        <v>0</v>
      </c>
      <c r="AB137" s="7">
        <v>0</v>
      </c>
    </row>
    <row r="138" spans="1:53" x14ac:dyDescent="0.25">
      <c r="A138" s="6">
        <v>2029844783</v>
      </c>
      <c r="B138" s="6" t="s">
        <v>211</v>
      </c>
      <c r="C138" s="6" t="s">
        <v>294</v>
      </c>
      <c r="D138" s="6"/>
      <c r="E138" s="6" t="s">
        <v>51</v>
      </c>
      <c r="F138" s="6"/>
      <c r="G138" s="6" t="s">
        <v>383</v>
      </c>
      <c r="H138" s="6" t="s">
        <v>384</v>
      </c>
      <c r="I138" s="6"/>
      <c r="J138" s="6">
        <v>649163</v>
      </c>
      <c r="K138" s="6" t="s">
        <v>295</v>
      </c>
      <c r="L138" s="6" t="s">
        <v>296</v>
      </c>
      <c r="M138" s="6" t="str">
        <f t="shared" si="6"/>
        <v>ANDREA PETRUNGARO</v>
      </c>
      <c r="N138" s="6" t="s">
        <v>144</v>
      </c>
      <c r="O138" s="5">
        <v>45849</v>
      </c>
      <c r="P138" s="5">
        <v>46062</v>
      </c>
      <c r="Q138" s="6"/>
      <c r="R138" s="7">
        <v>0</v>
      </c>
      <c r="S138" s="6"/>
      <c r="T138" s="6"/>
      <c r="U138" s="6"/>
      <c r="V138" s="6"/>
      <c r="W138" s="6"/>
      <c r="X138" s="6"/>
      <c r="Y138" s="7">
        <v>533.05999999999995</v>
      </c>
      <c r="Z138" s="7">
        <v>533.05999999999995</v>
      </c>
      <c r="AA138" s="7">
        <v>0</v>
      </c>
      <c r="AB138" s="7">
        <v>0</v>
      </c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</row>
    <row r="139" spans="1:53" x14ac:dyDescent="0.25">
      <c r="A139" s="6">
        <v>2029844785</v>
      </c>
      <c r="B139" s="6" t="s">
        <v>211</v>
      </c>
      <c r="C139" s="6" t="s">
        <v>294</v>
      </c>
      <c r="D139" s="6"/>
      <c r="E139" s="6" t="s">
        <v>51</v>
      </c>
      <c r="F139" s="6"/>
      <c r="G139" s="6" t="s">
        <v>378</v>
      </c>
      <c r="H139" s="6" t="s">
        <v>381</v>
      </c>
      <c r="I139" s="6"/>
      <c r="J139" s="6">
        <v>649163</v>
      </c>
      <c r="K139" s="6" t="s">
        <v>295</v>
      </c>
      <c r="L139" s="6" t="s">
        <v>296</v>
      </c>
      <c r="M139" s="6" t="str">
        <f t="shared" si="6"/>
        <v>ANDREA PETRUNGARO</v>
      </c>
      <c r="N139" s="6" t="s">
        <v>144</v>
      </c>
      <c r="O139" s="5">
        <v>45849</v>
      </c>
      <c r="P139" s="5">
        <v>46062</v>
      </c>
      <c r="Q139" s="6"/>
      <c r="R139" s="7">
        <v>0</v>
      </c>
      <c r="S139" s="6"/>
      <c r="T139" s="6"/>
      <c r="U139" s="6"/>
      <c r="V139" s="6"/>
      <c r="W139" s="6"/>
      <c r="X139" s="6"/>
      <c r="Y139" s="7">
        <v>16.170000000000002</v>
      </c>
      <c r="Z139" s="7">
        <v>16.170000000000002</v>
      </c>
      <c r="AA139" s="7">
        <v>0</v>
      </c>
      <c r="AB139" s="7">
        <v>0</v>
      </c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</row>
    <row r="140" spans="1:53" x14ac:dyDescent="0.25">
      <c r="A140" s="6">
        <v>2030254849</v>
      </c>
      <c r="B140" s="6" t="s">
        <v>743</v>
      </c>
      <c r="C140" s="6" t="s">
        <v>1313</v>
      </c>
      <c r="D140" s="6"/>
      <c r="E140" s="6" t="s">
        <v>51</v>
      </c>
      <c r="F140" s="6"/>
      <c r="G140" s="6" t="s">
        <v>378</v>
      </c>
      <c r="H140" s="6" t="s">
        <v>379</v>
      </c>
      <c r="I140" s="6"/>
      <c r="J140" s="6">
        <v>768887</v>
      </c>
      <c r="K140" s="6" t="s">
        <v>295</v>
      </c>
      <c r="L140" s="6" t="s">
        <v>296</v>
      </c>
      <c r="M140" s="6" t="str">
        <f t="shared" si="6"/>
        <v>ANDREA PETRUNGARO</v>
      </c>
      <c r="N140" s="6" t="s">
        <v>144</v>
      </c>
      <c r="O140" s="5">
        <v>45870</v>
      </c>
      <c r="P140" s="5">
        <v>46062</v>
      </c>
      <c r="Q140" s="6"/>
      <c r="R140" s="7">
        <v>0</v>
      </c>
      <c r="S140" s="6"/>
      <c r="T140" s="6"/>
      <c r="U140" s="6"/>
      <c r="V140" s="6"/>
      <c r="W140" s="6"/>
      <c r="X140" s="6"/>
      <c r="Y140" s="7">
        <v>36.82</v>
      </c>
      <c r="Z140" s="7">
        <v>36.82</v>
      </c>
      <c r="AA140" s="7">
        <v>0</v>
      </c>
      <c r="AB140" s="7">
        <v>0</v>
      </c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</row>
    <row r="141" spans="1:53" x14ac:dyDescent="0.25">
      <c r="A141" s="6">
        <v>2030254851</v>
      </c>
      <c r="B141" s="6" t="s">
        <v>743</v>
      </c>
      <c r="C141" s="6" t="s">
        <v>1313</v>
      </c>
      <c r="D141" s="6"/>
      <c r="E141" s="6" t="s">
        <v>51</v>
      </c>
      <c r="F141" s="6"/>
      <c r="G141" s="6" t="s">
        <v>350</v>
      </c>
      <c r="H141" s="6" t="s">
        <v>354</v>
      </c>
      <c r="I141" s="6"/>
      <c r="J141" s="6">
        <v>768887</v>
      </c>
      <c r="K141" s="6" t="s">
        <v>295</v>
      </c>
      <c r="L141" s="6" t="s">
        <v>296</v>
      </c>
      <c r="M141" s="6" t="str">
        <f t="shared" si="6"/>
        <v>ANDREA PETRUNGARO</v>
      </c>
      <c r="N141" s="6" t="s">
        <v>144</v>
      </c>
      <c r="O141" s="5">
        <v>45870</v>
      </c>
      <c r="P141" s="5">
        <v>46062</v>
      </c>
      <c r="Q141" s="6"/>
      <c r="R141" s="7">
        <v>0</v>
      </c>
      <c r="S141" s="6"/>
      <c r="T141" s="6"/>
      <c r="U141" s="6"/>
      <c r="V141" s="6"/>
      <c r="W141" s="6"/>
      <c r="X141" s="6"/>
      <c r="Y141" s="7">
        <v>34.200000000000003</v>
      </c>
      <c r="Z141" s="7">
        <v>34.200000000000003</v>
      </c>
      <c r="AA141" s="7">
        <v>0</v>
      </c>
      <c r="AB141" s="7">
        <v>0</v>
      </c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</row>
    <row r="142" spans="1:53" x14ac:dyDescent="0.25">
      <c r="A142" s="6">
        <v>2028520983</v>
      </c>
      <c r="B142" s="6" t="s">
        <v>531</v>
      </c>
      <c r="C142" s="6" t="s">
        <v>712</v>
      </c>
      <c r="D142" s="6"/>
      <c r="E142" s="6" t="s">
        <v>51</v>
      </c>
      <c r="F142" s="6"/>
      <c r="G142" s="6" t="s">
        <v>383</v>
      </c>
      <c r="H142" s="6" t="s">
        <v>384</v>
      </c>
      <c r="I142" s="6"/>
      <c r="J142" s="6">
        <v>649163</v>
      </c>
      <c r="K142" s="6" t="s">
        <v>569</v>
      </c>
      <c r="L142" s="6" t="s">
        <v>570</v>
      </c>
      <c r="M142" s="6" t="str">
        <f t="shared" si="6"/>
        <v>Andrew Choi</v>
      </c>
      <c r="N142" s="6" t="s">
        <v>144</v>
      </c>
      <c r="O142" s="5">
        <v>45778</v>
      </c>
      <c r="P142" s="5">
        <v>46062</v>
      </c>
      <c r="Q142" s="6"/>
      <c r="R142" s="7">
        <v>0</v>
      </c>
      <c r="S142" s="6"/>
      <c r="T142" s="6"/>
      <c r="U142" s="6"/>
      <c r="V142" s="6"/>
      <c r="W142" s="6"/>
      <c r="X142" s="6"/>
      <c r="Y142" s="7">
        <v>0</v>
      </c>
      <c r="Z142" s="7">
        <v>0</v>
      </c>
      <c r="AA142" s="7">
        <v>0</v>
      </c>
      <c r="AB142" s="7">
        <v>0</v>
      </c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</row>
    <row r="143" spans="1:53" s="6" customFormat="1" x14ac:dyDescent="0.25">
      <c r="A143" s="6">
        <v>2030240610</v>
      </c>
      <c r="B143" s="6" t="s">
        <v>762</v>
      </c>
      <c r="C143" s="6" t="s">
        <v>763</v>
      </c>
      <c r="E143" s="6" t="s">
        <v>51</v>
      </c>
      <c r="G143" s="6" t="s">
        <v>363</v>
      </c>
      <c r="H143" s="6" t="s">
        <v>364</v>
      </c>
      <c r="J143" s="6">
        <v>649163</v>
      </c>
      <c r="K143" s="6" t="s">
        <v>569</v>
      </c>
      <c r="L143" s="6" t="s">
        <v>570</v>
      </c>
      <c r="M143" s="6" t="str">
        <f t="shared" si="6"/>
        <v>Andrew Choi</v>
      </c>
      <c r="N143" s="6" t="s">
        <v>144</v>
      </c>
      <c r="O143" s="5">
        <v>45901</v>
      </c>
      <c r="P143" s="5">
        <v>46062</v>
      </c>
      <c r="R143" s="7">
        <v>0</v>
      </c>
      <c r="Y143" s="7">
        <v>174.33</v>
      </c>
      <c r="Z143" s="7">
        <v>174.33</v>
      </c>
      <c r="AA143" s="7">
        <v>0</v>
      </c>
      <c r="AB143" s="7">
        <v>0</v>
      </c>
    </row>
    <row r="144" spans="1:53" s="6" customFormat="1" x14ac:dyDescent="0.25">
      <c r="A144" s="6">
        <v>2030240612</v>
      </c>
      <c r="B144" s="6" t="s">
        <v>762</v>
      </c>
      <c r="C144" s="6" t="s">
        <v>763</v>
      </c>
      <c r="E144" s="6" t="s">
        <v>51</v>
      </c>
      <c r="G144" s="6" t="s">
        <v>383</v>
      </c>
      <c r="H144" s="6" t="s">
        <v>384</v>
      </c>
      <c r="J144" s="6">
        <v>649163</v>
      </c>
      <c r="K144" s="6" t="s">
        <v>569</v>
      </c>
      <c r="L144" s="6" t="s">
        <v>570</v>
      </c>
      <c r="M144" s="6" t="str">
        <f t="shared" si="6"/>
        <v>Andrew Choi</v>
      </c>
      <c r="N144" s="6" t="s">
        <v>144</v>
      </c>
      <c r="O144" s="5">
        <v>45901</v>
      </c>
      <c r="P144" s="5">
        <v>46062</v>
      </c>
      <c r="R144" s="7">
        <v>0</v>
      </c>
      <c r="Y144" s="7">
        <v>256.54000000000002</v>
      </c>
      <c r="Z144" s="7">
        <v>256.54000000000002</v>
      </c>
      <c r="AA144" s="7">
        <v>0</v>
      </c>
      <c r="AB144" s="7">
        <v>0</v>
      </c>
    </row>
    <row r="145" spans="1:53" x14ac:dyDescent="0.25">
      <c r="A145" s="6">
        <v>2032974284</v>
      </c>
      <c r="B145" s="6" t="s">
        <v>1327</v>
      </c>
      <c r="C145" s="6" t="s">
        <v>1328</v>
      </c>
      <c r="D145" s="6"/>
      <c r="E145" s="6" t="s">
        <v>51</v>
      </c>
      <c r="F145" s="6"/>
      <c r="G145" s="6" t="s">
        <v>130</v>
      </c>
      <c r="H145" s="6" t="s">
        <v>148</v>
      </c>
      <c r="I145" s="6"/>
      <c r="J145" s="6">
        <v>875334</v>
      </c>
      <c r="K145" s="6" t="s">
        <v>827</v>
      </c>
      <c r="L145" s="6" t="s">
        <v>828</v>
      </c>
      <c r="M145" s="6" t="str">
        <f t="shared" si="6"/>
        <v>Colleen Jerger</v>
      </c>
      <c r="N145" s="6" t="s">
        <v>144</v>
      </c>
      <c r="O145" s="5">
        <v>46027</v>
      </c>
      <c r="P145" s="5">
        <v>46062</v>
      </c>
      <c r="Q145" s="6"/>
      <c r="R145" s="7">
        <v>0</v>
      </c>
      <c r="S145" s="6"/>
      <c r="T145" s="6"/>
      <c r="U145" s="6"/>
      <c r="V145" s="6"/>
      <c r="W145" s="6"/>
      <c r="X145" s="6"/>
      <c r="Y145" s="7">
        <v>0</v>
      </c>
      <c r="Z145" s="7">
        <v>0</v>
      </c>
      <c r="AA145" s="7">
        <v>0</v>
      </c>
      <c r="AB145" s="7">
        <v>0</v>
      </c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</row>
    <row r="146" spans="1:53" x14ac:dyDescent="0.25">
      <c r="A146" s="6">
        <v>2033109903</v>
      </c>
      <c r="B146" s="6" t="s">
        <v>960</v>
      </c>
      <c r="C146" s="6" t="s">
        <v>961</v>
      </c>
      <c r="D146" s="6"/>
      <c r="E146" s="6" t="s">
        <v>51</v>
      </c>
      <c r="F146" s="6"/>
      <c r="G146" s="6" t="s">
        <v>383</v>
      </c>
      <c r="H146" s="6" t="s">
        <v>384</v>
      </c>
      <c r="I146" s="6"/>
      <c r="J146" s="6">
        <v>649163</v>
      </c>
      <c r="K146" s="6" t="s">
        <v>275</v>
      </c>
      <c r="L146" s="6" t="s">
        <v>276</v>
      </c>
      <c r="M146" s="6" t="str">
        <f t="shared" si="6"/>
        <v>Heather Geske</v>
      </c>
      <c r="N146" s="6" t="s">
        <v>144</v>
      </c>
      <c r="O146" s="5">
        <v>46054</v>
      </c>
      <c r="P146" s="5">
        <v>46062</v>
      </c>
      <c r="Q146" s="6"/>
      <c r="R146" s="7">
        <v>0</v>
      </c>
      <c r="S146" s="6"/>
      <c r="T146" s="6"/>
      <c r="U146" s="6"/>
      <c r="V146" s="6"/>
      <c r="W146" s="6"/>
      <c r="X146" s="6"/>
      <c r="Y146" s="7">
        <v>0</v>
      </c>
      <c r="Z146" s="7">
        <v>0</v>
      </c>
      <c r="AA146" s="7">
        <v>0</v>
      </c>
      <c r="AB146" s="7">
        <v>0</v>
      </c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53" x14ac:dyDescent="0.25">
      <c r="A147" s="6">
        <v>2029955371</v>
      </c>
      <c r="B147" s="6" t="s">
        <v>759</v>
      </c>
      <c r="C147" s="6" t="s">
        <v>622</v>
      </c>
      <c r="D147" s="6"/>
      <c r="E147" s="6" t="s">
        <v>51</v>
      </c>
      <c r="F147" s="6"/>
      <c r="G147" s="6" t="s">
        <v>363</v>
      </c>
      <c r="H147" s="6" t="s">
        <v>364</v>
      </c>
      <c r="I147" s="6"/>
      <c r="J147" s="6">
        <v>649163</v>
      </c>
      <c r="K147" s="6" t="s">
        <v>563</v>
      </c>
      <c r="L147" s="6" t="s">
        <v>564</v>
      </c>
      <c r="M147" s="6" t="str">
        <f t="shared" si="6"/>
        <v>Joel Lee</v>
      </c>
      <c r="N147" s="6" t="s">
        <v>144</v>
      </c>
      <c r="O147" s="5">
        <v>45853</v>
      </c>
      <c r="P147" s="5">
        <v>46062</v>
      </c>
      <c r="Q147" s="6"/>
      <c r="R147" s="7">
        <v>0</v>
      </c>
      <c r="S147" s="6"/>
      <c r="T147" s="6"/>
      <c r="U147" s="6"/>
      <c r="V147" s="6"/>
      <c r="W147" s="6"/>
      <c r="X147" s="6"/>
      <c r="Y147" s="7">
        <v>143.15</v>
      </c>
      <c r="Z147" s="7">
        <v>143.15</v>
      </c>
      <c r="AA147" s="7">
        <v>0</v>
      </c>
      <c r="AB147" s="7">
        <v>0</v>
      </c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53" x14ac:dyDescent="0.25">
      <c r="A148" s="6">
        <v>2029955373</v>
      </c>
      <c r="B148" s="6" t="s">
        <v>759</v>
      </c>
      <c r="C148" s="6" t="s">
        <v>622</v>
      </c>
      <c r="D148" s="6"/>
      <c r="E148" s="6" t="s">
        <v>51</v>
      </c>
      <c r="F148" s="6"/>
      <c r="G148" s="6" t="s">
        <v>72</v>
      </c>
      <c r="H148" s="6" t="s">
        <v>455</v>
      </c>
      <c r="I148" s="6"/>
      <c r="J148" s="6">
        <v>649163</v>
      </c>
      <c r="K148" s="6" t="s">
        <v>563</v>
      </c>
      <c r="L148" s="6" t="s">
        <v>564</v>
      </c>
      <c r="M148" s="6" t="str">
        <f t="shared" si="6"/>
        <v>Joel Lee</v>
      </c>
      <c r="N148" s="6" t="s">
        <v>144</v>
      </c>
      <c r="O148" s="5">
        <v>45853</v>
      </c>
      <c r="P148" s="5">
        <v>46062</v>
      </c>
      <c r="Q148" s="6"/>
      <c r="R148" s="7">
        <v>0</v>
      </c>
      <c r="S148" s="6"/>
      <c r="T148" s="6"/>
      <c r="U148" s="6"/>
      <c r="V148" s="6"/>
      <c r="W148" s="6"/>
      <c r="X148" s="6"/>
      <c r="Y148" s="7">
        <v>116.92</v>
      </c>
      <c r="Z148" s="7">
        <v>116.92</v>
      </c>
      <c r="AA148" s="7">
        <v>0</v>
      </c>
      <c r="AB148" s="7">
        <v>0</v>
      </c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53" x14ac:dyDescent="0.25">
      <c r="A149" s="6">
        <v>2029955372</v>
      </c>
      <c r="B149" s="6" t="s">
        <v>759</v>
      </c>
      <c r="C149" s="6" t="s">
        <v>622</v>
      </c>
      <c r="D149" s="6"/>
      <c r="E149" s="6" t="s">
        <v>51</v>
      </c>
      <c r="F149" s="6"/>
      <c r="G149" s="6" t="s">
        <v>383</v>
      </c>
      <c r="H149" s="6" t="s">
        <v>384</v>
      </c>
      <c r="I149" s="6"/>
      <c r="J149" s="6">
        <v>649163</v>
      </c>
      <c r="K149" s="6" t="s">
        <v>563</v>
      </c>
      <c r="L149" s="6" t="s">
        <v>564</v>
      </c>
      <c r="M149" s="6" t="str">
        <f t="shared" si="6"/>
        <v>Joel Lee</v>
      </c>
      <c r="N149" s="6" t="s">
        <v>144</v>
      </c>
      <c r="O149" s="5">
        <v>45853</v>
      </c>
      <c r="P149" s="5">
        <v>46062</v>
      </c>
      <c r="Q149" s="6"/>
      <c r="R149" s="7">
        <v>0</v>
      </c>
      <c r="S149" s="6"/>
      <c r="T149" s="6"/>
      <c r="U149" s="6"/>
      <c r="V149" s="6"/>
      <c r="W149" s="6"/>
      <c r="X149" s="6"/>
      <c r="Y149" s="7">
        <v>40.74</v>
      </c>
      <c r="Z149" s="7">
        <v>40.74</v>
      </c>
      <c r="AA149" s="7">
        <v>0</v>
      </c>
      <c r="AB149" s="7">
        <v>0</v>
      </c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53" x14ac:dyDescent="0.25">
      <c r="A150" s="6">
        <v>2029955374</v>
      </c>
      <c r="B150" s="6" t="s">
        <v>759</v>
      </c>
      <c r="C150" s="6" t="s">
        <v>622</v>
      </c>
      <c r="D150" s="6"/>
      <c r="E150" s="6" t="s">
        <v>51</v>
      </c>
      <c r="F150" s="6"/>
      <c r="G150" s="6" t="s">
        <v>378</v>
      </c>
      <c r="H150" s="6" t="s">
        <v>379</v>
      </c>
      <c r="I150" s="6"/>
      <c r="J150" s="6">
        <v>649163</v>
      </c>
      <c r="K150" s="6" t="s">
        <v>563</v>
      </c>
      <c r="L150" s="6" t="s">
        <v>564</v>
      </c>
      <c r="M150" s="6" t="str">
        <f t="shared" ref="M150:M181" si="7">CONCATENATE(L150," ",K150)</f>
        <v>Joel Lee</v>
      </c>
      <c r="N150" s="6" t="s">
        <v>144</v>
      </c>
      <c r="O150" s="5">
        <v>45853</v>
      </c>
      <c r="P150" s="5">
        <v>46062</v>
      </c>
      <c r="Q150" s="6"/>
      <c r="R150" s="7">
        <v>0</v>
      </c>
      <c r="S150" s="6"/>
      <c r="T150" s="6"/>
      <c r="U150" s="6"/>
      <c r="V150" s="6"/>
      <c r="W150" s="6"/>
      <c r="X150" s="6"/>
      <c r="Y150" s="7">
        <v>75.95</v>
      </c>
      <c r="Z150" s="7">
        <v>75.95</v>
      </c>
      <c r="AA150" s="7">
        <v>0</v>
      </c>
      <c r="AB150" s="7">
        <v>0</v>
      </c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</row>
    <row r="151" spans="1:53" x14ac:dyDescent="0.25">
      <c r="A151" s="6">
        <v>2028942347</v>
      </c>
      <c r="B151" s="6" t="s">
        <v>1254</v>
      </c>
      <c r="C151" s="6" t="s">
        <v>1255</v>
      </c>
      <c r="D151" s="6"/>
      <c r="E151" s="6" t="s">
        <v>51</v>
      </c>
      <c r="F151" s="6"/>
      <c r="G151" s="6" t="s">
        <v>383</v>
      </c>
      <c r="H151" s="6" t="s">
        <v>384</v>
      </c>
      <c r="I151" s="6"/>
      <c r="J151" s="6">
        <v>649163</v>
      </c>
      <c r="K151" s="6" t="s">
        <v>108</v>
      </c>
      <c r="L151" s="6" t="s">
        <v>394</v>
      </c>
      <c r="M151" s="6" t="str">
        <f t="shared" si="7"/>
        <v>Richard Yale</v>
      </c>
      <c r="N151" s="6" t="s">
        <v>144</v>
      </c>
      <c r="O151" s="5">
        <v>45801</v>
      </c>
      <c r="P151" s="5">
        <v>46062</v>
      </c>
      <c r="Q151" s="6"/>
      <c r="R151" s="7">
        <v>0</v>
      </c>
      <c r="S151" s="6"/>
      <c r="T151" s="6"/>
      <c r="U151" s="6"/>
      <c r="V151" s="6"/>
      <c r="W151" s="6"/>
      <c r="X151" s="6"/>
      <c r="Y151" s="7">
        <v>808.96</v>
      </c>
      <c r="Z151" s="7">
        <v>808.96</v>
      </c>
      <c r="AA151" s="7">
        <v>0</v>
      </c>
      <c r="AB151" s="7">
        <v>0</v>
      </c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53" x14ac:dyDescent="0.25">
      <c r="A152" s="6">
        <v>2026187010</v>
      </c>
      <c r="B152" s="6" t="s">
        <v>533</v>
      </c>
      <c r="C152" s="6" t="s">
        <v>534</v>
      </c>
      <c r="D152" s="6"/>
      <c r="E152" s="6" t="s">
        <v>51</v>
      </c>
      <c r="F152" s="6"/>
      <c r="G152" s="6" t="s">
        <v>363</v>
      </c>
      <c r="H152" s="6" t="s">
        <v>364</v>
      </c>
      <c r="I152" s="6"/>
      <c r="J152" s="6">
        <v>649163</v>
      </c>
      <c r="K152" s="6" t="s">
        <v>310</v>
      </c>
      <c r="L152" s="6" t="s">
        <v>311</v>
      </c>
      <c r="M152" s="6" t="str">
        <f t="shared" si="7"/>
        <v>THOMAS PARDUE</v>
      </c>
      <c r="N152" s="6" t="s">
        <v>144</v>
      </c>
      <c r="O152" s="5">
        <v>45658</v>
      </c>
      <c r="P152" s="5">
        <v>46062</v>
      </c>
      <c r="Q152" s="6"/>
      <c r="R152" s="7">
        <v>0</v>
      </c>
      <c r="S152" s="6"/>
      <c r="T152" s="6"/>
      <c r="U152" s="6"/>
      <c r="V152" s="6"/>
      <c r="W152" s="6"/>
      <c r="X152" s="6"/>
      <c r="Y152" s="7">
        <v>0</v>
      </c>
      <c r="Z152" s="7">
        <v>0</v>
      </c>
      <c r="AA152" s="7">
        <v>0</v>
      </c>
      <c r="AB152" s="7">
        <v>0</v>
      </c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53" x14ac:dyDescent="0.25">
      <c r="A153" s="6">
        <v>2026187011</v>
      </c>
      <c r="B153" s="6" t="s">
        <v>533</v>
      </c>
      <c r="C153" s="6" t="s">
        <v>534</v>
      </c>
      <c r="D153" s="6"/>
      <c r="E153" s="6" t="s">
        <v>51</v>
      </c>
      <c r="F153" s="6"/>
      <c r="G153" s="6" t="s">
        <v>383</v>
      </c>
      <c r="H153" s="6" t="s">
        <v>384</v>
      </c>
      <c r="I153" s="6"/>
      <c r="J153" s="6">
        <v>649163</v>
      </c>
      <c r="K153" s="6" t="s">
        <v>310</v>
      </c>
      <c r="L153" s="6" t="s">
        <v>311</v>
      </c>
      <c r="M153" s="6" t="str">
        <f t="shared" si="7"/>
        <v>THOMAS PARDUE</v>
      </c>
      <c r="N153" s="6" t="s">
        <v>144</v>
      </c>
      <c r="O153" s="5">
        <v>45658</v>
      </c>
      <c r="P153" s="5">
        <v>46062</v>
      </c>
      <c r="Q153" s="6"/>
      <c r="R153" s="7">
        <v>0</v>
      </c>
      <c r="S153" s="6"/>
      <c r="T153" s="6"/>
      <c r="U153" s="6"/>
      <c r="V153" s="6"/>
      <c r="W153" s="6"/>
      <c r="X153" s="6"/>
      <c r="Y153" s="7">
        <v>0</v>
      </c>
      <c r="Z153" s="7">
        <v>0</v>
      </c>
      <c r="AA153" s="7">
        <v>0</v>
      </c>
      <c r="AB153" s="7">
        <v>0</v>
      </c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53" x14ac:dyDescent="0.25">
      <c r="A154" s="6">
        <v>2026187013</v>
      </c>
      <c r="B154" s="6" t="s">
        <v>533</v>
      </c>
      <c r="C154" s="6" t="s">
        <v>534</v>
      </c>
      <c r="D154" s="6"/>
      <c r="E154" s="6" t="s">
        <v>51</v>
      </c>
      <c r="F154" s="6"/>
      <c r="G154" s="6" t="s">
        <v>72</v>
      </c>
      <c r="H154" s="6" t="s">
        <v>455</v>
      </c>
      <c r="I154" s="6"/>
      <c r="J154" s="6">
        <v>649163</v>
      </c>
      <c r="K154" s="6" t="s">
        <v>310</v>
      </c>
      <c r="L154" s="6" t="s">
        <v>311</v>
      </c>
      <c r="M154" s="6" t="str">
        <f t="shared" si="7"/>
        <v>THOMAS PARDUE</v>
      </c>
      <c r="N154" s="6" t="s">
        <v>144</v>
      </c>
      <c r="O154" s="5">
        <v>45658</v>
      </c>
      <c r="P154" s="5">
        <v>46062</v>
      </c>
      <c r="Q154" s="6"/>
      <c r="R154" s="7">
        <v>0</v>
      </c>
      <c r="S154" s="6"/>
      <c r="T154" s="6"/>
      <c r="U154" s="6"/>
      <c r="V154" s="6"/>
      <c r="W154" s="6"/>
      <c r="X154" s="6"/>
      <c r="Y154" s="7">
        <v>0</v>
      </c>
      <c r="Z154" s="7">
        <v>0</v>
      </c>
      <c r="AA154" s="7">
        <v>0</v>
      </c>
      <c r="AB154" s="7">
        <v>0</v>
      </c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53" x14ac:dyDescent="0.25">
      <c r="A155" s="6">
        <v>2029938123</v>
      </c>
      <c r="B155" s="6" t="s">
        <v>1311</v>
      </c>
      <c r="C155" s="6" t="s">
        <v>1312</v>
      </c>
      <c r="D155" s="6"/>
      <c r="E155" s="6" t="s">
        <v>51</v>
      </c>
      <c r="F155" s="6"/>
      <c r="G155" s="6" t="s">
        <v>383</v>
      </c>
      <c r="H155" s="6" t="s">
        <v>384</v>
      </c>
      <c r="I155" s="6"/>
      <c r="J155" s="6">
        <v>767312</v>
      </c>
      <c r="K155" s="6" t="s">
        <v>310</v>
      </c>
      <c r="L155" s="6" t="s">
        <v>311</v>
      </c>
      <c r="M155" s="6" t="str">
        <f t="shared" si="7"/>
        <v>THOMAS PARDUE</v>
      </c>
      <c r="N155" s="6" t="s">
        <v>144</v>
      </c>
      <c r="O155" s="5">
        <v>45853</v>
      </c>
      <c r="P155" s="5">
        <v>46062</v>
      </c>
      <c r="Q155" s="6"/>
      <c r="R155" s="7">
        <v>0</v>
      </c>
      <c r="S155" s="6"/>
      <c r="T155" s="6"/>
      <c r="U155" s="6"/>
      <c r="V155" s="6"/>
      <c r="W155" s="6"/>
      <c r="X155" s="6"/>
      <c r="Y155" s="7">
        <v>318.77999999999997</v>
      </c>
      <c r="Z155" s="7">
        <v>318.77999999999997</v>
      </c>
      <c r="AA155" s="7">
        <v>0</v>
      </c>
      <c r="AB155" s="7">
        <v>0</v>
      </c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53" s="6" customFormat="1" x14ac:dyDescent="0.25">
      <c r="A156" s="6">
        <v>2029938125</v>
      </c>
      <c r="B156" s="6" t="s">
        <v>1311</v>
      </c>
      <c r="C156" s="6" t="s">
        <v>1312</v>
      </c>
      <c r="E156" s="6" t="s">
        <v>51</v>
      </c>
      <c r="G156" s="6" t="s">
        <v>363</v>
      </c>
      <c r="H156" s="6" t="s">
        <v>364</v>
      </c>
      <c r="J156" s="6">
        <v>767312</v>
      </c>
      <c r="K156" s="6" t="s">
        <v>310</v>
      </c>
      <c r="L156" s="6" t="s">
        <v>311</v>
      </c>
      <c r="M156" s="6" t="str">
        <f t="shared" si="7"/>
        <v>THOMAS PARDUE</v>
      </c>
      <c r="N156" s="6" t="s">
        <v>144</v>
      </c>
      <c r="O156" s="5">
        <v>45853</v>
      </c>
      <c r="P156" s="5">
        <v>46062</v>
      </c>
      <c r="R156" s="7">
        <v>0</v>
      </c>
      <c r="Y156" s="7">
        <v>248.87</v>
      </c>
      <c r="Z156" s="7">
        <v>248.87</v>
      </c>
      <c r="AA156" s="7">
        <v>0</v>
      </c>
      <c r="AB156" s="7">
        <v>0</v>
      </c>
      <c r="AV156"/>
      <c r="AW156"/>
      <c r="AX156"/>
      <c r="AY156"/>
      <c r="AZ156"/>
      <c r="BA156"/>
    </row>
    <row r="157" spans="1:53" s="6" customFormat="1" x14ac:dyDescent="0.25">
      <c r="A157" s="6">
        <v>2027787691</v>
      </c>
      <c r="B157" s="6" t="s">
        <v>699</v>
      </c>
      <c r="C157" s="6" t="s">
        <v>700</v>
      </c>
      <c r="E157" s="6" t="s">
        <v>51</v>
      </c>
      <c r="G157" s="6" t="s">
        <v>363</v>
      </c>
      <c r="H157" s="6" t="s">
        <v>364</v>
      </c>
      <c r="J157" s="6">
        <v>649163</v>
      </c>
      <c r="K157" s="6" t="s">
        <v>334</v>
      </c>
      <c r="L157" s="6" t="s">
        <v>335</v>
      </c>
      <c r="M157" s="6" t="str">
        <f t="shared" si="7"/>
        <v>Tom Serio</v>
      </c>
      <c r="N157" s="6" t="s">
        <v>144</v>
      </c>
      <c r="O157" s="5">
        <v>45748</v>
      </c>
      <c r="P157" s="5">
        <v>46062</v>
      </c>
      <c r="R157" s="7">
        <v>0</v>
      </c>
      <c r="Y157" s="7">
        <v>0</v>
      </c>
      <c r="Z157" s="7">
        <v>0</v>
      </c>
      <c r="AA157" s="7">
        <v>0</v>
      </c>
      <c r="AB157" s="7">
        <v>0</v>
      </c>
    </row>
    <row r="158" spans="1:53" x14ac:dyDescent="0.25">
      <c r="A158">
        <v>2033178395</v>
      </c>
      <c r="B158" t="s">
        <v>966</v>
      </c>
      <c r="C158" t="s">
        <v>967</v>
      </c>
      <c r="E158" t="s">
        <v>51</v>
      </c>
      <c r="G158" t="s">
        <v>72</v>
      </c>
      <c r="H158" t="s">
        <v>93</v>
      </c>
      <c r="J158">
        <v>649163</v>
      </c>
      <c r="K158" t="s">
        <v>74</v>
      </c>
      <c r="L158" t="s">
        <v>75</v>
      </c>
      <c r="M158" t="str">
        <f t="shared" si="7"/>
        <v>MATTHEW DAUGHERTY</v>
      </c>
      <c r="N158" t="s">
        <v>144</v>
      </c>
      <c r="O158" s="1">
        <v>46054</v>
      </c>
      <c r="P158" s="1">
        <v>46062</v>
      </c>
      <c r="R158" s="2">
        <v>0</v>
      </c>
      <c r="Y158" s="2">
        <v>904.5</v>
      </c>
      <c r="Z158" s="2">
        <v>150.75</v>
      </c>
      <c r="AA158" s="2">
        <v>-753.75</v>
      </c>
      <c r="AB158" s="2">
        <v>-753.75</v>
      </c>
    </row>
    <row r="159" spans="1:53" x14ac:dyDescent="0.25">
      <c r="A159">
        <v>2033126466</v>
      </c>
      <c r="B159" t="s">
        <v>965</v>
      </c>
      <c r="C159" t="s">
        <v>592</v>
      </c>
      <c r="E159" t="s">
        <v>51</v>
      </c>
      <c r="G159" t="s">
        <v>72</v>
      </c>
      <c r="H159" t="s">
        <v>93</v>
      </c>
      <c r="J159">
        <v>649163</v>
      </c>
      <c r="K159" t="s">
        <v>355</v>
      </c>
      <c r="L159" t="s">
        <v>356</v>
      </c>
      <c r="M159" t="str">
        <f t="shared" si="7"/>
        <v>Ronald Max</v>
      </c>
      <c r="N159" t="s">
        <v>144</v>
      </c>
      <c r="O159" s="1">
        <v>46054</v>
      </c>
      <c r="P159" s="1">
        <v>46062</v>
      </c>
      <c r="R159" s="2">
        <v>0</v>
      </c>
      <c r="Y159" s="2">
        <v>903.84</v>
      </c>
      <c r="Z159" s="2">
        <v>150.63999999999999</v>
      </c>
      <c r="AA159" s="2">
        <v>-753.2</v>
      </c>
      <c r="AB159" s="2">
        <v>-753.2</v>
      </c>
    </row>
    <row r="160" spans="1:53" x14ac:dyDescent="0.25">
      <c r="A160">
        <v>2033246168</v>
      </c>
      <c r="B160" t="s">
        <v>968</v>
      </c>
      <c r="C160" t="s">
        <v>969</v>
      </c>
      <c r="E160" t="s">
        <v>51</v>
      </c>
      <c r="G160" t="s">
        <v>72</v>
      </c>
      <c r="H160" t="s">
        <v>93</v>
      </c>
      <c r="J160">
        <v>649163</v>
      </c>
      <c r="K160" t="s">
        <v>74</v>
      </c>
      <c r="L160" t="s">
        <v>75</v>
      </c>
      <c r="M160" t="str">
        <f t="shared" si="7"/>
        <v>MATTHEW DAUGHERTY</v>
      </c>
      <c r="N160" t="s">
        <v>144</v>
      </c>
      <c r="O160" s="1">
        <v>46054</v>
      </c>
      <c r="P160" s="1">
        <v>46062</v>
      </c>
      <c r="R160" s="2">
        <v>0</v>
      </c>
      <c r="Y160" s="2">
        <v>511.02</v>
      </c>
      <c r="Z160" s="2">
        <v>85.17</v>
      </c>
      <c r="AA160" s="2">
        <v>-425.85</v>
      </c>
      <c r="AB160" s="2">
        <v>-425.85</v>
      </c>
    </row>
    <row r="161" spans="1:53" x14ac:dyDescent="0.25">
      <c r="A161">
        <v>2032093460</v>
      </c>
      <c r="B161" t="s">
        <v>812</v>
      </c>
      <c r="C161" t="s">
        <v>188</v>
      </c>
      <c r="E161" t="s">
        <v>51</v>
      </c>
      <c r="G161" t="s">
        <v>383</v>
      </c>
      <c r="H161" t="s">
        <v>384</v>
      </c>
      <c r="J161">
        <v>649163</v>
      </c>
      <c r="K161" t="s">
        <v>325</v>
      </c>
      <c r="L161" t="s">
        <v>326</v>
      </c>
      <c r="M161" t="str">
        <f t="shared" si="7"/>
        <v>JACOB YALE</v>
      </c>
      <c r="N161" t="s">
        <v>144</v>
      </c>
      <c r="O161" s="1">
        <v>46023</v>
      </c>
      <c r="P161" s="1">
        <v>46062</v>
      </c>
      <c r="R161" s="2">
        <v>0</v>
      </c>
      <c r="Y161" s="2">
        <v>582.48</v>
      </c>
      <c r="Z161" s="2">
        <v>194.16</v>
      </c>
      <c r="AA161" s="2">
        <v>-388.32</v>
      </c>
      <c r="AB161" s="2">
        <v>-388.32</v>
      </c>
    </row>
    <row r="162" spans="1:53" x14ac:dyDescent="0.25">
      <c r="A162">
        <v>2031949942</v>
      </c>
      <c r="B162" t="s">
        <v>1318</v>
      </c>
      <c r="C162" t="s">
        <v>1319</v>
      </c>
      <c r="E162" t="s">
        <v>51</v>
      </c>
      <c r="G162" t="s">
        <v>383</v>
      </c>
      <c r="H162" t="s">
        <v>384</v>
      </c>
      <c r="J162">
        <v>812656</v>
      </c>
      <c r="K162" t="s">
        <v>740</v>
      </c>
      <c r="L162" t="s">
        <v>741</v>
      </c>
      <c r="M162" t="str">
        <f t="shared" si="7"/>
        <v>GARY PORTUGAL</v>
      </c>
      <c r="N162" t="s">
        <v>144</v>
      </c>
      <c r="O162" s="1">
        <v>45965</v>
      </c>
      <c r="P162" s="1">
        <v>46062</v>
      </c>
      <c r="R162" s="2">
        <v>0</v>
      </c>
      <c r="Y162" s="2">
        <v>742.38</v>
      </c>
      <c r="Z162" s="2">
        <v>371.19</v>
      </c>
      <c r="AA162" s="2">
        <v>-371.19</v>
      </c>
      <c r="AB162" s="2">
        <v>-371.19</v>
      </c>
    </row>
    <row r="163" spans="1:53" x14ac:dyDescent="0.25">
      <c r="A163">
        <v>2033304950</v>
      </c>
      <c r="B163" t="s">
        <v>970</v>
      </c>
      <c r="C163" t="s">
        <v>891</v>
      </c>
      <c r="E163" t="s">
        <v>51</v>
      </c>
      <c r="G163" t="s">
        <v>383</v>
      </c>
      <c r="H163" t="s">
        <v>384</v>
      </c>
      <c r="J163">
        <v>649163</v>
      </c>
      <c r="K163" t="s">
        <v>162</v>
      </c>
      <c r="L163" t="s">
        <v>180</v>
      </c>
      <c r="M163" t="str">
        <f t="shared" si="7"/>
        <v>RYAN CALTAGIRONE</v>
      </c>
      <c r="N163" t="s">
        <v>144</v>
      </c>
      <c r="O163" s="1">
        <v>46051</v>
      </c>
      <c r="P163" s="1">
        <v>46062</v>
      </c>
      <c r="R163" s="2">
        <v>0</v>
      </c>
      <c r="Y163" s="2">
        <v>411</v>
      </c>
      <c r="Z163" s="2">
        <v>68.5</v>
      </c>
      <c r="AA163" s="2">
        <v>-342.5</v>
      </c>
      <c r="AB163" s="2">
        <v>-342.5</v>
      </c>
      <c r="AV163" s="6"/>
      <c r="AW163" s="6"/>
      <c r="AX163" s="6"/>
      <c r="AY163" s="6"/>
      <c r="AZ163" s="6"/>
      <c r="BA163" s="6"/>
    </row>
    <row r="164" spans="1:53" s="6" customFormat="1" x14ac:dyDescent="0.25">
      <c r="A164">
        <v>2033104452</v>
      </c>
      <c r="B164" t="s">
        <v>138</v>
      </c>
      <c r="C164" t="s">
        <v>139</v>
      </c>
      <c r="D164"/>
      <c r="E164" t="s">
        <v>51</v>
      </c>
      <c r="F164"/>
      <c r="G164" t="s">
        <v>130</v>
      </c>
      <c r="H164" t="s">
        <v>141</v>
      </c>
      <c r="I164"/>
      <c r="J164">
        <v>649163</v>
      </c>
      <c r="K164" t="s">
        <v>142</v>
      </c>
      <c r="L164" t="s">
        <v>143</v>
      </c>
      <c r="M164" t="str">
        <f t="shared" si="7"/>
        <v>Jennifer Halsaver</v>
      </c>
      <c r="N164" t="s">
        <v>144</v>
      </c>
      <c r="O164" s="1">
        <v>46035</v>
      </c>
      <c r="P164" s="1">
        <v>46062</v>
      </c>
      <c r="Q164"/>
      <c r="R164" s="2">
        <v>0</v>
      </c>
      <c r="S164"/>
      <c r="T164"/>
      <c r="U164"/>
      <c r="V164"/>
      <c r="W164"/>
      <c r="X164"/>
      <c r="Y164" s="2">
        <v>404.76</v>
      </c>
      <c r="Z164" s="2">
        <v>67.459999999999994</v>
      </c>
      <c r="AA164" s="2">
        <v>-337.3</v>
      </c>
      <c r="AB164" s="2">
        <v>-337.3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1:53" s="6" customFormat="1" x14ac:dyDescent="0.25">
      <c r="A165">
        <v>2033246167</v>
      </c>
      <c r="B165" t="s">
        <v>968</v>
      </c>
      <c r="C165" t="s">
        <v>969</v>
      </c>
      <c r="D165"/>
      <c r="E165" t="s">
        <v>51</v>
      </c>
      <c r="F165"/>
      <c r="G165" t="s">
        <v>383</v>
      </c>
      <c r="H165" t="s">
        <v>384</v>
      </c>
      <c r="I165"/>
      <c r="J165">
        <v>649163</v>
      </c>
      <c r="K165" t="s">
        <v>74</v>
      </c>
      <c r="L165" t="s">
        <v>75</v>
      </c>
      <c r="M165" t="str">
        <f t="shared" si="7"/>
        <v>MATTHEW DAUGHERTY</v>
      </c>
      <c r="N165" t="s">
        <v>144</v>
      </c>
      <c r="O165" s="1">
        <v>46054</v>
      </c>
      <c r="P165" s="1">
        <v>46062</v>
      </c>
      <c r="Q165"/>
      <c r="R165" s="2">
        <v>0</v>
      </c>
      <c r="S165"/>
      <c r="T165"/>
      <c r="U165"/>
      <c r="V165"/>
      <c r="W165"/>
      <c r="X165"/>
      <c r="Y165" s="2">
        <v>394.44</v>
      </c>
      <c r="Z165" s="2">
        <v>65.739999999999995</v>
      </c>
      <c r="AA165" s="2">
        <v>-328.7</v>
      </c>
      <c r="AB165" s="2">
        <v>-328.7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1:53" s="6" customFormat="1" x14ac:dyDescent="0.25">
      <c r="A166">
        <v>2033126465</v>
      </c>
      <c r="B166" t="s">
        <v>965</v>
      </c>
      <c r="C166" t="s">
        <v>592</v>
      </c>
      <c r="D166"/>
      <c r="E166" t="s">
        <v>51</v>
      </c>
      <c r="F166"/>
      <c r="G166" t="s">
        <v>383</v>
      </c>
      <c r="H166" t="s">
        <v>400</v>
      </c>
      <c r="I166"/>
      <c r="J166">
        <v>649163</v>
      </c>
      <c r="K166" t="s">
        <v>355</v>
      </c>
      <c r="L166" t="s">
        <v>356</v>
      </c>
      <c r="M166" t="str">
        <f t="shared" si="7"/>
        <v>Ronald Max</v>
      </c>
      <c r="N166" t="s">
        <v>144</v>
      </c>
      <c r="O166" s="1">
        <v>46054</v>
      </c>
      <c r="P166" s="1">
        <v>46062</v>
      </c>
      <c r="Q166"/>
      <c r="R166" s="2">
        <v>0</v>
      </c>
      <c r="S166"/>
      <c r="T166"/>
      <c r="U166"/>
      <c r="V166"/>
      <c r="W166"/>
      <c r="X166"/>
      <c r="Y166" s="2">
        <v>331.68</v>
      </c>
      <c r="Z166" s="2">
        <v>55.28</v>
      </c>
      <c r="AA166" s="2">
        <v>-276.39999999999998</v>
      </c>
      <c r="AB166" s="2">
        <v>-276.39999999999998</v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1:53" s="6" customFormat="1" x14ac:dyDescent="0.25">
      <c r="A167">
        <v>2033052910</v>
      </c>
      <c r="B167" t="s">
        <v>546</v>
      </c>
      <c r="C167" t="s">
        <v>943</v>
      </c>
      <c r="D167"/>
      <c r="E167" t="s">
        <v>51</v>
      </c>
      <c r="F167"/>
      <c r="G167" t="s">
        <v>72</v>
      </c>
      <c r="H167" t="s">
        <v>73</v>
      </c>
      <c r="I167"/>
      <c r="J167">
        <v>649163</v>
      </c>
      <c r="K167" t="s">
        <v>162</v>
      </c>
      <c r="L167" t="s">
        <v>180</v>
      </c>
      <c r="M167" t="str">
        <f t="shared" si="7"/>
        <v>RYAN CALTAGIRONE</v>
      </c>
      <c r="N167" t="s">
        <v>144</v>
      </c>
      <c r="O167" s="1">
        <v>46054</v>
      </c>
      <c r="P167" s="1">
        <v>46062</v>
      </c>
      <c r="Q167"/>
      <c r="R167" s="2">
        <v>0</v>
      </c>
      <c r="S167"/>
      <c r="T167"/>
      <c r="U167"/>
      <c r="V167"/>
      <c r="W167"/>
      <c r="X167"/>
      <c r="Y167" s="2">
        <v>304.32</v>
      </c>
      <c r="Z167" s="2">
        <v>50.72</v>
      </c>
      <c r="AA167" s="2">
        <v>-253.6</v>
      </c>
      <c r="AB167" s="2">
        <v>-253.6</v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</row>
    <row r="168" spans="1:53" x14ac:dyDescent="0.25">
      <c r="A168">
        <v>2032071365</v>
      </c>
      <c r="B168" t="s">
        <v>1322</v>
      </c>
      <c r="C168" t="s">
        <v>1323</v>
      </c>
      <c r="E168" t="s">
        <v>51</v>
      </c>
      <c r="G168" t="s">
        <v>383</v>
      </c>
      <c r="H168" t="s">
        <v>384</v>
      </c>
      <c r="J168">
        <v>822733</v>
      </c>
      <c r="K168" t="s">
        <v>442</v>
      </c>
      <c r="L168" t="s">
        <v>443</v>
      </c>
      <c r="M168" t="str">
        <f t="shared" si="7"/>
        <v>Christopher Brousseau</v>
      </c>
      <c r="N168" t="s">
        <v>144</v>
      </c>
      <c r="O168" s="1">
        <v>45972</v>
      </c>
      <c r="P168" s="1">
        <v>46062</v>
      </c>
      <c r="R168" s="2">
        <v>0</v>
      </c>
      <c r="Y168" s="2">
        <v>375.96</v>
      </c>
      <c r="Z168" s="2">
        <v>125.32</v>
      </c>
      <c r="AA168" s="2">
        <v>-250.64</v>
      </c>
      <c r="AB168" s="2">
        <v>-250.64</v>
      </c>
      <c r="AV168" s="6"/>
      <c r="AW168" s="6"/>
      <c r="AX168" s="6"/>
      <c r="AY168" s="6"/>
      <c r="AZ168" s="6"/>
      <c r="BA168" s="6"/>
    </row>
    <row r="169" spans="1:53" x14ac:dyDescent="0.25">
      <c r="A169">
        <v>2033160879</v>
      </c>
      <c r="B169" t="s">
        <v>453</v>
      </c>
      <c r="C169" t="s">
        <v>454</v>
      </c>
      <c r="E169" t="s">
        <v>51</v>
      </c>
      <c r="G169" t="s">
        <v>53</v>
      </c>
      <c r="H169" t="s">
        <v>54</v>
      </c>
      <c r="J169">
        <v>649163</v>
      </c>
      <c r="K169" t="s">
        <v>55</v>
      </c>
      <c r="L169" t="s">
        <v>56</v>
      </c>
      <c r="M169" t="str">
        <f t="shared" si="7"/>
        <v>John Rader</v>
      </c>
      <c r="N169" t="s">
        <v>144</v>
      </c>
      <c r="O169" s="1">
        <v>46054</v>
      </c>
      <c r="P169" s="1">
        <v>46062</v>
      </c>
      <c r="R169" s="2">
        <v>0</v>
      </c>
      <c r="Y169" s="2">
        <v>272.39999999999998</v>
      </c>
      <c r="Z169" s="2">
        <v>45.4</v>
      </c>
      <c r="AA169" s="2">
        <v>-227</v>
      </c>
      <c r="AB169" s="2">
        <v>-227</v>
      </c>
      <c r="AV169" s="6"/>
      <c r="AW169" s="6"/>
      <c r="AX169" s="6"/>
      <c r="AY169" s="6"/>
      <c r="AZ169" s="6"/>
      <c r="BA169" s="6"/>
    </row>
    <row r="170" spans="1:53" x14ac:dyDescent="0.25">
      <c r="A170">
        <v>2033374018</v>
      </c>
      <c r="B170" t="s">
        <v>342</v>
      </c>
      <c r="C170" t="s">
        <v>343</v>
      </c>
      <c r="E170" t="s">
        <v>51</v>
      </c>
      <c r="G170" t="s">
        <v>152</v>
      </c>
      <c r="H170" t="s">
        <v>153</v>
      </c>
      <c r="J170">
        <v>649163</v>
      </c>
      <c r="K170" t="s">
        <v>344</v>
      </c>
      <c r="L170" t="s">
        <v>345</v>
      </c>
      <c r="M170" t="str">
        <f t="shared" si="7"/>
        <v>BARRY BRENNER</v>
      </c>
      <c r="N170" t="s">
        <v>144</v>
      </c>
      <c r="O170" s="1">
        <v>46054</v>
      </c>
      <c r="P170" s="1">
        <v>46062</v>
      </c>
      <c r="R170" s="2">
        <v>0</v>
      </c>
      <c r="Y170" s="2">
        <v>241.32</v>
      </c>
      <c r="Z170" s="2">
        <v>40.22</v>
      </c>
      <c r="AA170" s="2">
        <v>-201.1</v>
      </c>
      <c r="AB170" s="2">
        <v>-201.1</v>
      </c>
    </row>
    <row r="171" spans="1:53" x14ac:dyDescent="0.25">
      <c r="A171">
        <v>2033052911</v>
      </c>
      <c r="B171" t="s">
        <v>546</v>
      </c>
      <c r="C171" t="s">
        <v>943</v>
      </c>
      <c r="E171" t="s">
        <v>51</v>
      </c>
      <c r="G171" t="s">
        <v>383</v>
      </c>
      <c r="H171" t="s">
        <v>384</v>
      </c>
      <c r="J171">
        <v>649163</v>
      </c>
      <c r="K171" t="s">
        <v>162</v>
      </c>
      <c r="L171" t="s">
        <v>180</v>
      </c>
      <c r="M171" t="str">
        <f t="shared" si="7"/>
        <v>RYAN CALTAGIRONE</v>
      </c>
      <c r="N171" t="s">
        <v>144</v>
      </c>
      <c r="O171" s="1">
        <v>46054</v>
      </c>
      <c r="P171" s="1">
        <v>46062</v>
      </c>
      <c r="R171" s="2">
        <v>0</v>
      </c>
      <c r="Y171" s="2">
        <v>160.02000000000001</v>
      </c>
      <c r="Z171" s="2">
        <v>26.67</v>
      </c>
      <c r="AA171" s="2">
        <v>-133.35</v>
      </c>
      <c r="AB171" s="2">
        <v>-133.35</v>
      </c>
      <c r="AV171" s="6"/>
      <c r="AW171" s="6"/>
      <c r="AX171" s="6"/>
      <c r="AY171" s="6"/>
      <c r="AZ171" s="6"/>
      <c r="BA171" s="6"/>
    </row>
    <row r="172" spans="1:53" x14ac:dyDescent="0.25">
      <c r="A172">
        <v>2032717785</v>
      </c>
      <c r="B172" t="s">
        <v>336</v>
      </c>
      <c r="C172" t="s">
        <v>337</v>
      </c>
      <c r="E172" t="s">
        <v>51</v>
      </c>
      <c r="G172" t="s">
        <v>152</v>
      </c>
      <c r="H172" t="s">
        <v>153</v>
      </c>
      <c r="J172">
        <v>649163</v>
      </c>
      <c r="K172" t="s">
        <v>154</v>
      </c>
      <c r="L172" t="s">
        <v>155</v>
      </c>
      <c r="M172" t="str">
        <f t="shared" si="7"/>
        <v>JASON HOFFMANN</v>
      </c>
      <c r="N172" t="s">
        <v>144</v>
      </c>
      <c r="O172" s="1">
        <v>46023</v>
      </c>
      <c r="P172" s="1">
        <v>46062</v>
      </c>
      <c r="R172" s="2">
        <v>0</v>
      </c>
      <c r="Y172" s="2">
        <v>195.78</v>
      </c>
      <c r="Z172" s="2">
        <v>65.260000000000005</v>
      </c>
      <c r="AA172" s="2">
        <v>-130.52000000000001</v>
      </c>
      <c r="AB172" s="2">
        <v>-130.52000000000001</v>
      </c>
    </row>
    <row r="173" spans="1:53" x14ac:dyDescent="0.25">
      <c r="A173">
        <v>2031383607</v>
      </c>
      <c r="B173" t="s">
        <v>1317</v>
      </c>
      <c r="C173" t="s">
        <v>537</v>
      </c>
      <c r="E173" t="s">
        <v>51</v>
      </c>
      <c r="G173" t="s">
        <v>72</v>
      </c>
      <c r="H173" t="s">
        <v>93</v>
      </c>
      <c r="J173">
        <v>823068</v>
      </c>
      <c r="K173" t="s">
        <v>355</v>
      </c>
      <c r="L173" t="s">
        <v>356</v>
      </c>
      <c r="M173" t="str">
        <f t="shared" si="7"/>
        <v>Ronald Max</v>
      </c>
      <c r="N173" t="s">
        <v>144</v>
      </c>
      <c r="O173" s="1">
        <v>45942</v>
      </c>
      <c r="P173" s="1">
        <v>46062</v>
      </c>
      <c r="R173" s="2">
        <v>0</v>
      </c>
      <c r="Y173" s="2">
        <v>367.8</v>
      </c>
      <c r="Z173" s="2">
        <v>245.2</v>
      </c>
      <c r="AA173" s="2">
        <v>-122.6</v>
      </c>
      <c r="AB173" s="2">
        <v>-122.6</v>
      </c>
    </row>
    <row r="174" spans="1:53" s="6" customFormat="1" x14ac:dyDescent="0.25">
      <c r="A174">
        <v>2032686878</v>
      </c>
      <c r="B174" t="s">
        <v>905</v>
      </c>
      <c r="C174" t="s">
        <v>176</v>
      </c>
      <c r="D174"/>
      <c r="E174" t="s">
        <v>51</v>
      </c>
      <c r="F174"/>
      <c r="G174" t="s">
        <v>363</v>
      </c>
      <c r="H174" t="s">
        <v>364</v>
      </c>
      <c r="I174"/>
      <c r="J174">
        <v>649163</v>
      </c>
      <c r="K174" t="s">
        <v>906</v>
      </c>
      <c r="L174" t="s">
        <v>907</v>
      </c>
      <c r="M174" t="str">
        <f t="shared" si="7"/>
        <v>Timothy Hodgman</v>
      </c>
      <c r="N174" t="s">
        <v>144</v>
      </c>
      <c r="O174" s="1">
        <v>46023</v>
      </c>
      <c r="P174" s="1">
        <v>46062</v>
      </c>
      <c r="Q174"/>
      <c r="R174" s="2">
        <v>0</v>
      </c>
      <c r="S174"/>
      <c r="T174"/>
      <c r="U174"/>
      <c r="V174"/>
      <c r="W174"/>
      <c r="X174"/>
      <c r="Y174" s="2">
        <v>182.4</v>
      </c>
      <c r="Z174" s="2">
        <v>60.8</v>
      </c>
      <c r="AA174" s="2">
        <v>-121.6</v>
      </c>
      <c r="AB174" s="2">
        <v>-121.6</v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</row>
    <row r="175" spans="1:53" x14ac:dyDescent="0.25">
      <c r="A175">
        <v>2033304951</v>
      </c>
      <c r="B175" t="s">
        <v>970</v>
      </c>
      <c r="C175" t="s">
        <v>891</v>
      </c>
      <c r="E175" t="s">
        <v>51</v>
      </c>
      <c r="G175" t="s">
        <v>363</v>
      </c>
      <c r="H175" t="s">
        <v>364</v>
      </c>
      <c r="J175">
        <v>649163</v>
      </c>
      <c r="K175" t="s">
        <v>162</v>
      </c>
      <c r="L175" t="s">
        <v>180</v>
      </c>
      <c r="M175" t="str">
        <f t="shared" si="7"/>
        <v>RYAN CALTAGIRONE</v>
      </c>
      <c r="N175" t="s">
        <v>144</v>
      </c>
      <c r="O175" s="1">
        <v>46051</v>
      </c>
      <c r="P175" s="1">
        <v>46062</v>
      </c>
      <c r="R175" s="2">
        <v>0</v>
      </c>
      <c r="Y175" s="2">
        <v>136.5</v>
      </c>
      <c r="Z175" s="2">
        <v>22.75</v>
      </c>
      <c r="AA175" s="2">
        <v>-113.75</v>
      </c>
      <c r="AB175" s="2">
        <v>-113.75</v>
      </c>
      <c r="AV175" s="6"/>
      <c r="AW175" s="6"/>
      <c r="AX175" s="6"/>
      <c r="AY175" s="6"/>
      <c r="AZ175" s="6"/>
      <c r="BA175" s="6"/>
    </row>
    <row r="176" spans="1:53" x14ac:dyDescent="0.25">
      <c r="A176">
        <v>2033178394</v>
      </c>
      <c r="B176" t="s">
        <v>966</v>
      </c>
      <c r="C176" t="s">
        <v>967</v>
      </c>
      <c r="E176" t="s">
        <v>51</v>
      </c>
      <c r="G176" t="s">
        <v>383</v>
      </c>
      <c r="H176" t="s">
        <v>384</v>
      </c>
      <c r="J176">
        <v>649163</v>
      </c>
      <c r="K176" t="s">
        <v>74</v>
      </c>
      <c r="L176" t="s">
        <v>75</v>
      </c>
      <c r="M176" t="str">
        <f t="shared" si="7"/>
        <v>MATTHEW DAUGHERTY</v>
      </c>
      <c r="N176" t="s">
        <v>144</v>
      </c>
      <c r="O176" s="1">
        <v>46054</v>
      </c>
      <c r="P176" s="1">
        <v>46062</v>
      </c>
      <c r="R176" s="2">
        <v>0</v>
      </c>
      <c r="Y176" s="2">
        <v>135.78</v>
      </c>
      <c r="Z176" s="2">
        <v>22.63</v>
      </c>
      <c r="AA176" s="2">
        <v>-113.15</v>
      </c>
      <c r="AB176" s="2">
        <v>-113.15</v>
      </c>
    </row>
    <row r="177" spans="1:53" x14ac:dyDescent="0.25">
      <c r="A177">
        <v>2030820713</v>
      </c>
      <c r="B177" t="s">
        <v>1046</v>
      </c>
      <c r="C177" t="s">
        <v>1047</v>
      </c>
      <c r="E177" t="s">
        <v>51</v>
      </c>
      <c r="G177" t="s">
        <v>72</v>
      </c>
      <c r="H177" t="s">
        <v>93</v>
      </c>
      <c r="J177">
        <v>649163</v>
      </c>
      <c r="K177" t="s">
        <v>80</v>
      </c>
      <c r="L177" t="s">
        <v>81</v>
      </c>
      <c r="M177" t="str">
        <f t="shared" si="7"/>
        <v>GREGORY TEIPEL</v>
      </c>
      <c r="N177" t="s">
        <v>144</v>
      </c>
      <c r="O177" s="1">
        <v>45936</v>
      </c>
      <c r="P177" s="1">
        <v>46062</v>
      </c>
      <c r="R177" s="2">
        <v>0</v>
      </c>
      <c r="Y177" s="2">
        <v>330.72</v>
      </c>
      <c r="Z177" s="2">
        <v>220.48</v>
      </c>
      <c r="AA177" s="2">
        <v>-110.24</v>
      </c>
      <c r="AB177" s="2">
        <v>-110.24</v>
      </c>
    </row>
    <row r="178" spans="1:53" x14ac:dyDescent="0.25">
      <c r="A178">
        <v>2032617231</v>
      </c>
      <c r="B178" t="s">
        <v>1326</v>
      </c>
      <c r="C178" t="s">
        <v>197</v>
      </c>
      <c r="E178" t="s">
        <v>51</v>
      </c>
      <c r="G178" t="s">
        <v>378</v>
      </c>
      <c r="H178" t="s">
        <v>379</v>
      </c>
      <c r="J178">
        <v>650218</v>
      </c>
      <c r="K178" t="s">
        <v>246</v>
      </c>
      <c r="L178" t="s">
        <v>195</v>
      </c>
      <c r="M178" t="str">
        <f t="shared" si="7"/>
        <v>CAROL FOLEY</v>
      </c>
      <c r="N178" t="s">
        <v>144</v>
      </c>
      <c r="O178" s="1">
        <v>46002</v>
      </c>
      <c r="P178" s="1">
        <v>46062</v>
      </c>
      <c r="R178" s="2">
        <v>0</v>
      </c>
      <c r="Y178" s="2">
        <v>121.2</v>
      </c>
      <c r="Z178" s="2">
        <v>20.2</v>
      </c>
      <c r="AA178" s="2">
        <v>-101</v>
      </c>
      <c r="AB178" s="2">
        <v>-101</v>
      </c>
    </row>
    <row r="179" spans="1:53" x14ac:dyDescent="0.25">
      <c r="A179">
        <v>2032686877</v>
      </c>
      <c r="B179" t="s">
        <v>905</v>
      </c>
      <c r="C179" t="s">
        <v>176</v>
      </c>
      <c r="E179" t="s">
        <v>51</v>
      </c>
      <c r="G179" t="s">
        <v>383</v>
      </c>
      <c r="H179" t="s">
        <v>384</v>
      </c>
      <c r="J179">
        <v>649163</v>
      </c>
      <c r="K179" t="s">
        <v>906</v>
      </c>
      <c r="L179" t="s">
        <v>907</v>
      </c>
      <c r="M179" t="str">
        <f t="shared" si="7"/>
        <v>Timothy Hodgman</v>
      </c>
      <c r="N179" t="s">
        <v>144</v>
      </c>
      <c r="O179" s="1">
        <v>46023</v>
      </c>
      <c r="P179" s="1">
        <v>46062</v>
      </c>
      <c r="R179" s="2">
        <v>0</v>
      </c>
      <c r="Y179" s="2">
        <v>142.80000000000001</v>
      </c>
      <c r="Z179" s="2">
        <v>47.6</v>
      </c>
      <c r="AA179" s="2">
        <v>-95.2</v>
      </c>
      <c r="AB179" s="2">
        <v>-95.2</v>
      </c>
      <c r="AV179" s="6"/>
      <c r="AW179" s="6"/>
      <c r="AX179" s="6"/>
      <c r="AY179" s="6"/>
      <c r="AZ179" s="6"/>
      <c r="BA179" s="6"/>
    </row>
    <row r="180" spans="1:53" s="6" customFormat="1" x14ac:dyDescent="0.25">
      <c r="A180">
        <v>2032617230</v>
      </c>
      <c r="B180" t="s">
        <v>1326</v>
      </c>
      <c r="C180" t="s">
        <v>197</v>
      </c>
      <c r="D180"/>
      <c r="E180" t="s">
        <v>51</v>
      </c>
      <c r="F180"/>
      <c r="G180" t="s">
        <v>363</v>
      </c>
      <c r="H180" t="s">
        <v>364</v>
      </c>
      <c r="I180"/>
      <c r="J180">
        <v>650218</v>
      </c>
      <c r="K180" t="s">
        <v>246</v>
      </c>
      <c r="L180" t="s">
        <v>195</v>
      </c>
      <c r="M180" t="str">
        <f t="shared" si="7"/>
        <v>CAROL FOLEY</v>
      </c>
      <c r="N180" t="s">
        <v>144</v>
      </c>
      <c r="O180" s="1">
        <v>46002</v>
      </c>
      <c r="P180" s="1">
        <v>46062</v>
      </c>
      <c r="Q180"/>
      <c r="R180" s="2">
        <v>0</v>
      </c>
      <c r="S180"/>
      <c r="T180"/>
      <c r="U180"/>
      <c r="V180"/>
      <c r="W180"/>
      <c r="X180"/>
      <c r="Y180" s="2">
        <v>102.18</v>
      </c>
      <c r="Z180" s="2">
        <v>17.03</v>
      </c>
      <c r="AA180" s="2">
        <v>-85.15</v>
      </c>
      <c r="AB180" s="2">
        <v>-85.15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1:53" s="6" customFormat="1" x14ac:dyDescent="0.25">
      <c r="A181">
        <v>2030820712</v>
      </c>
      <c r="B181" t="s">
        <v>1046</v>
      </c>
      <c r="C181" t="s">
        <v>1047</v>
      </c>
      <c r="D181"/>
      <c r="E181" t="s">
        <v>51</v>
      </c>
      <c r="F181"/>
      <c r="G181" t="s">
        <v>383</v>
      </c>
      <c r="H181" t="s">
        <v>384</v>
      </c>
      <c r="I181"/>
      <c r="J181">
        <v>649163</v>
      </c>
      <c r="K181" t="s">
        <v>80</v>
      </c>
      <c r="L181" t="s">
        <v>81</v>
      </c>
      <c r="M181" t="str">
        <f t="shared" si="7"/>
        <v>GREGORY TEIPEL</v>
      </c>
      <c r="N181" t="s">
        <v>144</v>
      </c>
      <c r="O181" s="1">
        <v>45936</v>
      </c>
      <c r="P181" s="1">
        <v>46062</v>
      </c>
      <c r="Q181"/>
      <c r="R181" s="2">
        <v>0</v>
      </c>
      <c r="S181"/>
      <c r="T181"/>
      <c r="U181"/>
      <c r="V181"/>
      <c r="W181"/>
      <c r="X181"/>
      <c r="Y181" s="2">
        <v>131.4</v>
      </c>
      <c r="Z181" s="2">
        <v>87.6</v>
      </c>
      <c r="AA181" s="2">
        <v>-43.8</v>
      </c>
      <c r="AB181" s="2">
        <v>-43.8</v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</row>
    <row r="182" spans="1:53" s="6" customFormat="1" x14ac:dyDescent="0.25">
      <c r="A182">
        <v>2033178396</v>
      </c>
      <c r="B182" t="s">
        <v>966</v>
      </c>
      <c r="C182" t="s">
        <v>967</v>
      </c>
      <c r="D182"/>
      <c r="E182" t="s">
        <v>51</v>
      </c>
      <c r="F182"/>
      <c r="G182" t="s">
        <v>363</v>
      </c>
      <c r="H182" t="s">
        <v>364</v>
      </c>
      <c r="I182"/>
      <c r="J182">
        <v>649163</v>
      </c>
      <c r="K182" t="s">
        <v>74</v>
      </c>
      <c r="L182" t="s">
        <v>75</v>
      </c>
      <c r="M182" t="str">
        <f t="shared" ref="M182:M213" si="8">CONCATENATE(L182," ",K182)</f>
        <v>MATTHEW DAUGHERTY</v>
      </c>
      <c r="N182" t="s">
        <v>144</v>
      </c>
      <c r="O182" s="1">
        <v>46054</v>
      </c>
      <c r="P182" s="1">
        <v>46062</v>
      </c>
      <c r="Q182"/>
      <c r="R182" s="2">
        <v>0</v>
      </c>
      <c r="S182"/>
      <c r="T182"/>
      <c r="U182"/>
      <c r="V182"/>
      <c r="W182"/>
      <c r="X182"/>
      <c r="Y182" s="2">
        <v>52.5</v>
      </c>
      <c r="Z182" s="2">
        <v>8.75</v>
      </c>
      <c r="AA182" s="2">
        <v>-43.75</v>
      </c>
      <c r="AB182" s="2">
        <v>-43.75</v>
      </c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1:53" s="6" customFormat="1" x14ac:dyDescent="0.25">
      <c r="A183">
        <v>2030232005</v>
      </c>
      <c r="B183" t="s">
        <v>1314</v>
      </c>
      <c r="C183" t="s">
        <v>923</v>
      </c>
      <c r="D183"/>
      <c r="E183" t="s">
        <v>51</v>
      </c>
      <c r="F183"/>
      <c r="G183" t="s">
        <v>383</v>
      </c>
      <c r="H183" t="s">
        <v>384</v>
      </c>
      <c r="I183"/>
      <c r="J183">
        <v>812656</v>
      </c>
      <c r="K183" t="s">
        <v>740</v>
      </c>
      <c r="L183" t="s">
        <v>741</v>
      </c>
      <c r="M183" t="str">
        <f t="shared" si="8"/>
        <v>GARY PORTUGAL</v>
      </c>
      <c r="N183" t="s">
        <v>144</v>
      </c>
      <c r="O183" s="1">
        <v>45880</v>
      </c>
      <c r="P183" s="1">
        <v>46062</v>
      </c>
      <c r="Q183"/>
      <c r="R183" s="2">
        <v>0</v>
      </c>
      <c r="S183"/>
      <c r="T183"/>
      <c r="U183"/>
      <c r="V183"/>
      <c r="W183"/>
      <c r="X183"/>
      <c r="Y183" s="2">
        <v>230.29</v>
      </c>
      <c r="Z183" s="2">
        <v>191.9</v>
      </c>
      <c r="AA183" s="2">
        <v>-38.39</v>
      </c>
      <c r="AB183" s="2">
        <v>-38.39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</row>
    <row r="184" spans="1:53" x14ac:dyDescent="0.25">
      <c r="A184">
        <v>2032534866</v>
      </c>
      <c r="B184" t="s">
        <v>1324</v>
      </c>
      <c r="C184" t="s">
        <v>1325</v>
      </c>
      <c r="E184" t="s">
        <v>51</v>
      </c>
      <c r="G184" t="s">
        <v>383</v>
      </c>
      <c r="H184" t="s">
        <v>384</v>
      </c>
      <c r="J184">
        <v>867497</v>
      </c>
      <c r="K184" t="s">
        <v>880</v>
      </c>
      <c r="L184" t="s">
        <v>881</v>
      </c>
      <c r="M184" t="str">
        <f t="shared" si="8"/>
        <v>Kenneth Weitzman</v>
      </c>
      <c r="N184" t="s">
        <v>144</v>
      </c>
      <c r="O184" s="1">
        <v>46001</v>
      </c>
      <c r="P184" s="1">
        <v>46062</v>
      </c>
      <c r="R184" s="2">
        <v>0</v>
      </c>
      <c r="Y184" s="2">
        <v>45.12</v>
      </c>
      <c r="Z184" s="2">
        <v>7.52</v>
      </c>
      <c r="AA184" s="2">
        <v>-37.6</v>
      </c>
      <c r="AB184" s="2">
        <v>-37.6</v>
      </c>
    </row>
    <row r="185" spans="1:53" x14ac:dyDescent="0.25">
      <c r="A185">
        <v>2031383608</v>
      </c>
      <c r="B185" t="s">
        <v>1317</v>
      </c>
      <c r="C185" t="s">
        <v>537</v>
      </c>
      <c r="E185" t="s">
        <v>51</v>
      </c>
      <c r="G185" t="s">
        <v>383</v>
      </c>
      <c r="H185" t="s">
        <v>400</v>
      </c>
      <c r="J185">
        <v>823068</v>
      </c>
      <c r="K185" t="s">
        <v>355</v>
      </c>
      <c r="L185" t="s">
        <v>356</v>
      </c>
      <c r="M185" t="str">
        <f t="shared" si="8"/>
        <v>Ronald Max</v>
      </c>
      <c r="N185" t="s">
        <v>144</v>
      </c>
      <c r="O185" s="1">
        <v>45942</v>
      </c>
      <c r="P185" s="1">
        <v>46062</v>
      </c>
      <c r="R185" s="2">
        <v>0</v>
      </c>
      <c r="Y185" s="2">
        <v>103.38</v>
      </c>
      <c r="Z185" s="2">
        <v>68.92</v>
      </c>
      <c r="AA185" s="2">
        <v>-34.46</v>
      </c>
      <c r="AB185" s="2">
        <v>-34.46</v>
      </c>
    </row>
    <row r="186" spans="1:53" x14ac:dyDescent="0.25">
      <c r="A186">
        <v>2031383606</v>
      </c>
      <c r="B186" t="s">
        <v>1317</v>
      </c>
      <c r="C186" t="s">
        <v>537</v>
      </c>
      <c r="E186" t="s">
        <v>51</v>
      </c>
      <c r="G186" t="s">
        <v>383</v>
      </c>
      <c r="H186" t="s">
        <v>843</v>
      </c>
      <c r="J186">
        <v>823068</v>
      </c>
      <c r="K186" t="s">
        <v>355</v>
      </c>
      <c r="L186" t="s">
        <v>356</v>
      </c>
      <c r="M186" t="str">
        <f t="shared" si="8"/>
        <v>Ronald Max</v>
      </c>
      <c r="N186" t="s">
        <v>144</v>
      </c>
      <c r="O186" s="1">
        <v>45942</v>
      </c>
      <c r="P186" s="1">
        <v>46062</v>
      </c>
      <c r="R186" s="2">
        <v>0</v>
      </c>
      <c r="Y186" s="2">
        <v>53.1</v>
      </c>
      <c r="Z186" s="2">
        <v>35.4</v>
      </c>
      <c r="AA186" s="2">
        <v>-17.7</v>
      </c>
      <c r="AB186" s="2">
        <v>-17.7</v>
      </c>
    </row>
    <row r="187" spans="1:53" x14ac:dyDescent="0.25">
      <c r="A187">
        <v>2033104451</v>
      </c>
      <c r="B187" t="s">
        <v>138</v>
      </c>
      <c r="C187" t="s">
        <v>139</v>
      </c>
      <c r="E187" t="s">
        <v>51</v>
      </c>
      <c r="G187" t="s">
        <v>350</v>
      </c>
      <c r="H187" t="s">
        <v>566</v>
      </c>
      <c r="J187">
        <v>649163</v>
      </c>
      <c r="K187" t="s">
        <v>142</v>
      </c>
      <c r="L187" t="s">
        <v>143</v>
      </c>
      <c r="M187" t="str">
        <f t="shared" si="8"/>
        <v>Jennifer Halsaver</v>
      </c>
      <c r="N187" t="s">
        <v>144</v>
      </c>
      <c r="O187" s="1">
        <v>46035</v>
      </c>
      <c r="P187" s="1">
        <v>46062</v>
      </c>
      <c r="R187" s="2">
        <v>0</v>
      </c>
      <c r="Y187" s="2">
        <v>17.100000000000001</v>
      </c>
      <c r="Z187" s="2">
        <v>2.85</v>
      </c>
      <c r="AA187" s="2">
        <v>-14.25</v>
      </c>
      <c r="AB187" s="2">
        <v>-14.25</v>
      </c>
    </row>
    <row r="188" spans="1:53" x14ac:dyDescent="0.25">
      <c r="A188">
        <v>2026189683</v>
      </c>
      <c r="B188" t="s">
        <v>1220</v>
      </c>
      <c r="C188" t="s">
        <v>999</v>
      </c>
      <c r="E188" t="s">
        <v>51</v>
      </c>
      <c r="G188" t="s">
        <v>383</v>
      </c>
      <c r="H188" t="s">
        <v>384</v>
      </c>
      <c r="J188">
        <v>649163</v>
      </c>
      <c r="K188" t="s">
        <v>1213</v>
      </c>
      <c r="L188" t="s">
        <v>683</v>
      </c>
      <c r="M188" t="str">
        <f t="shared" si="8"/>
        <v>ANDREW GOODMAN</v>
      </c>
      <c r="N188" t="s">
        <v>144</v>
      </c>
      <c r="O188" s="1">
        <v>45658</v>
      </c>
      <c r="P188" s="1">
        <v>46062</v>
      </c>
      <c r="R188" s="2">
        <v>0</v>
      </c>
      <c r="Y188" s="2">
        <v>0</v>
      </c>
      <c r="Z188" s="2">
        <v>0</v>
      </c>
      <c r="AA188" s="2">
        <v>0</v>
      </c>
      <c r="AB188" s="2">
        <v>0</v>
      </c>
    </row>
    <row r="189" spans="1:53" x14ac:dyDescent="0.25">
      <c r="A189">
        <v>2023372599</v>
      </c>
      <c r="B189" t="s">
        <v>641</v>
      </c>
      <c r="C189" t="s">
        <v>642</v>
      </c>
      <c r="E189" t="s">
        <v>51</v>
      </c>
      <c r="G189" t="s">
        <v>363</v>
      </c>
      <c r="H189" t="s">
        <v>364</v>
      </c>
      <c r="J189">
        <v>649163</v>
      </c>
      <c r="K189" t="s">
        <v>246</v>
      </c>
      <c r="L189" t="s">
        <v>195</v>
      </c>
      <c r="M189" t="str">
        <f t="shared" si="8"/>
        <v>CAROL FOLEY</v>
      </c>
      <c r="N189" t="s">
        <v>144</v>
      </c>
      <c r="O189" s="1">
        <v>45447</v>
      </c>
      <c r="P189" s="1">
        <v>46062</v>
      </c>
      <c r="R189" s="2">
        <v>0</v>
      </c>
      <c r="Y189" s="2">
        <v>0</v>
      </c>
      <c r="Z189" s="2">
        <v>0</v>
      </c>
      <c r="AA189" s="2">
        <v>0</v>
      </c>
      <c r="AB189" s="2">
        <v>0</v>
      </c>
    </row>
    <row r="190" spans="1:53" x14ac:dyDescent="0.25">
      <c r="A190">
        <v>2029410874</v>
      </c>
      <c r="B190" t="s">
        <v>1309</v>
      </c>
      <c r="C190" t="s">
        <v>1310</v>
      </c>
      <c r="E190" t="s">
        <v>51</v>
      </c>
      <c r="G190" t="s">
        <v>383</v>
      </c>
      <c r="H190" t="s">
        <v>384</v>
      </c>
      <c r="J190">
        <v>822733</v>
      </c>
      <c r="K190" t="s">
        <v>442</v>
      </c>
      <c r="L190" t="s">
        <v>443</v>
      </c>
      <c r="M190" t="str">
        <f t="shared" si="8"/>
        <v>Christopher Brousseau</v>
      </c>
      <c r="N190" t="s">
        <v>144</v>
      </c>
      <c r="O190" s="1">
        <v>45821</v>
      </c>
      <c r="P190" s="1">
        <v>46062</v>
      </c>
      <c r="R190" s="2">
        <v>0</v>
      </c>
      <c r="Y190" s="2">
        <v>204.79</v>
      </c>
      <c r="Z190" s="2">
        <v>204.79</v>
      </c>
      <c r="AA190" s="2">
        <v>0</v>
      </c>
      <c r="AB190" s="2">
        <v>0</v>
      </c>
    </row>
    <row r="191" spans="1:53" x14ac:dyDescent="0.25">
      <c r="A191">
        <v>2028963882</v>
      </c>
      <c r="B191" t="s">
        <v>1307</v>
      </c>
      <c r="C191" t="s">
        <v>1308</v>
      </c>
      <c r="E191" t="s">
        <v>51</v>
      </c>
      <c r="G191" t="s">
        <v>363</v>
      </c>
      <c r="H191" t="s">
        <v>364</v>
      </c>
      <c r="J191">
        <v>812656</v>
      </c>
      <c r="K191" t="s">
        <v>740</v>
      </c>
      <c r="L191" t="s">
        <v>741</v>
      </c>
      <c r="M191" t="str">
        <f t="shared" si="8"/>
        <v>GARY PORTUGAL</v>
      </c>
      <c r="N191" t="s">
        <v>144</v>
      </c>
      <c r="O191" s="1">
        <v>45801</v>
      </c>
      <c r="P191" s="1">
        <v>46062</v>
      </c>
      <c r="R191" s="2">
        <v>0</v>
      </c>
      <c r="Y191" s="2">
        <v>151.18</v>
      </c>
      <c r="Z191" s="2">
        <v>151.18</v>
      </c>
      <c r="AA191" s="2">
        <v>0</v>
      </c>
      <c r="AB191" s="2">
        <v>0</v>
      </c>
      <c r="AV191" s="6"/>
      <c r="AW191" s="6"/>
      <c r="AX191" s="6"/>
      <c r="AY191" s="6"/>
      <c r="AZ191" s="6"/>
      <c r="BA191" s="6"/>
    </row>
    <row r="192" spans="1:53" x14ac:dyDescent="0.25">
      <c r="A192">
        <v>2028963883</v>
      </c>
      <c r="B192" t="s">
        <v>1307</v>
      </c>
      <c r="C192" t="s">
        <v>1308</v>
      </c>
      <c r="E192" t="s">
        <v>51</v>
      </c>
      <c r="G192" t="s">
        <v>383</v>
      </c>
      <c r="H192" t="s">
        <v>384</v>
      </c>
      <c r="J192">
        <v>812656</v>
      </c>
      <c r="K192" t="s">
        <v>740</v>
      </c>
      <c r="L192" t="s">
        <v>741</v>
      </c>
      <c r="M192" t="str">
        <f t="shared" si="8"/>
        <v>GARY PORTUGAL</v>
      </c>
      <c r="N192" t="s">
        <v>144</v>
      </c>
      <c r="O192" s="1">
        <v>45801</v>
      </c>
      <c r="P192" s="1">
        <v>46062</v>
      </c>
      <c r="R192" s="2">
        <v>0</v>
      </c>
      <c r="Y192" s="2">
        <v>178</v>
      </c>
      <c r="Z192" s="2">
        <v>178</v>
      </c>
      <c r="AA192" s="2">
        <v>0</v>
      </c>
      <c r="AB192" s="2">
        <v>0</v>
      </c>
      <c r="AV192" s="6"/>
      <c r="AW192" s="6"/>
      <c r="AX192" s="6"/>
      <c r="AY192" s="6"/>
      <c r="AZ192" s="6"/>
      <c r="BA192" s="6"/>
    </row>
    <row r="193" spans="1:53" x14ac:dyDescent="0.25">
      <c r="A193">
        <v>2020855630</v>
      </c>
      <c r="B193" t="s">
        <v>467</v>
      </c>
      <c r="C193" t="s">
        <v>468</v>
      </c>
      <c r="E193" t="s">
        <v>51</v>
      </c>
      <c r="G193" t="s">
        <v>383</v>
      </c>
      <c r="H193" t="s">
        <v>385</v>
      </c>
      <c r="J193">
        <v>649163</v>
      </c>
      <c r="K193" t="s">
        <v>80</v>
      </c>
      <c r="L193" t="s">
        <v>81</v>
      </c>
      <c r="M193" t="str">
        <f t="shared" si="8"/>
        <v>GREGORY TEIPEL</v>
      </c>
      <c r="N193" t="s">
        <v>144</v>
      </c>
      <c r="O193" s="1">
        <v>45265</v>
      </c>
      <c r="P193" s="1">
        <v>46062</v>
      </c>
      <c r="R193" s="2">
        <v>0</v>
      </c>
      <c r="Y193" s="2">
        <v>0</v>
      </c>
      <c r="Z193" s="2">
        <v>0</v>
      </c>
      <c r="AA193" s="2">
        <v>0</v>
      </c>
      <c r="AB193" s="2">
        <v>0</v>
      </c>
    </row>
    <row r="194" spans="1:53" x14ac:dyDescent="0.25">
      <c r="A194">
        <v>2020855629</v>
      </c>
      <c r="B194" t="s">
        <v>467</v>
      </c>
      <c r="C194" t="s">
        <v>468</v>
      </c>
      <c r="E194" t="s">
        <v>51</v>
      </c>
      <c r="G194" t="s">
        <v>72</v>
      </c>
      <c r="H194" t="s">
        <v>79</v>
      </c>
      <c r="J194">
        <v>649163</v>
      </c>
      <c r="K194" t="s">
        <v>80</v>
      </c>
      <c r="L194" t="s">
        <v>81</v>
      </c>
      <c r="M194" t="str">
        <f t="shared" si="8"/>
        <v>GREGORY TEIPEL</v>
      </c>
      <c r="N194" t="s">
        <v>144</v>
      </c>
      <c r="O194" s="1">
        <v>45265</v>
      </c>
      <c r="P194" s="1">
        <v>46062</v>
      </c>
      <c r="R194" s="2">
        <v>0</v>
      </c>
      <c r="Y194" s="2">
        <v>0</v>
      </c>
      <c r="Z194" s="2">
        <v>0</v>
      </c>
      <c r="AA194" s="2">
        <v>0</v>
      </c>
      <c r="AB194" s="2">
        <v>0</v>
      </c>
    </row>
    <row r="195" spans="1:53" x14ac:dyDescent="0.25">
      <c r="A195">
        <v>2029031424</v>
      </c>
      <c r="B195" t="s">
        <v>110</v>
      </c>
      <c r="C195" t="s">
        <v>1007</v>
      </c>
      <c r="E195" t="s">
        <v>51</v>
      </c>
      <c r="G195" t="s">
        <v>72</v>
      </c>
      <c r="H195" t="s">
        <v>79</v>
      </c>
      <c r="J195">
        <v>649163</v>
      </c>
      <c r="K195" t="s">
        <v>80</v>
      </c>
      <c r="L195" t="s">
        <v>81</v>
      </c>
      <c r="M195" t="str">
        <f t="shared" si="8"/>
        <v>GREGORY TEIPEL</v>
      </c>
      <c r="N195" t="s">
        <v>144</v>
      </c>
      <c r="O195" s="1">
        <v>45815</v>
      </c>
      <c r="P195" s="1">
        <v>46062</v>
      </c>
      <c r="R195" s="2">
        <v>0</v>
      </c>
      <c r="Y195" s="2">
        <v>737.1</v>
      </c>
      <c r="Z195" s="2">
        <v>737.1</v>
      </c>
      <c r="AA195" s="2">
        <v>0</v>
      </c>
      <c r="AB195" s="2">
        <v>0</v>
      </c>
    </row>
    <row r="196" spans="1:53" x14ac:dyDescent="0.25">
      <c r="A196">
        <v>2029787707</v>
      </c>
      <c r="B196" t="s">
        <v>281</v>
      </c>
      <c r="C196" t="s">
        <v>430</v>
      </c>
      <c r="E196" t="s">
        <v>51</v>
      </c>
      <c r="G196" t="s">
        <v>363</v>
      </c>
      <c r="H196" t="s">
        <v>364</v>
      </c>
      <c r="J196">
        <v>649163</v>
      </c>
      <c r="K196" t="s">
        <v>80</v>
      </c>
      <c r="L196" t="s">
        <v>81</v>
      </c>
      <c r="M196" t="str">
        <f t="shared" si="8"/>
        <v>GREGORY TEIPEL</v>
      </c>
      <c r="N196" t="s">
        <v>144</v>
      </c>
      <c r="O196" s="1">
        <v>45870</v>
      </c>
      <c r="P196" s="1">
        <v>46062</v>
      </c>
      <c r="R196" s="2">
        <v>0</v>
      </c>
      <c r="Y196" s="2">
        <v>134.26</v>
      </c>
      <c r="Z196" s="2">
        <v>134.26</v>
      </c>
      <c r="AA196" s="2">
        <v>0</v>
      </c>
      <c r="AB196" s="2">
        <v>0</v>
      </c>
    </row>
    <row r="197" spans="1:53" x14ac:dyDescent="0.25">
      <c r="A197">
        <v>2029787708</v>
      </c>
      <c r="B197" t="s">
        <v>281</v>
      </c>
      <c r="C197" t="s">
        <v>430</v>
      </c>
      <c r="E197" t="s">
        <v>51</v>
      </c>
      <c r="G197" t="s">
        <v>53</v>
      </c>
      <c r="H197" t="s">
        <v>54</v>
      </c>
      <c r="J197">
        <v>649163</v>
      </c>
      <c r="K197" t="s">
        <v>80</v>
      </c>
      <c r="L197" t="s">
        <v>81</v>
      </c>
      <c r="M197" t="str">
        <f t="shared" si="8"/>
        <v>GREGORY TEIPEL</v>
      </c>
      <c r="N197" t="s">
        <v>144</v>
      </c>
      <c r="O197" s="1">
        <v>45870</v>
      </c>
      <c r="P197" s="1">
        <v>46062</v>
      </c>
      <c r="R197" s="2">
        <v>0</v>
      </c>
      <c r="Y197" s="2">
        <v>189.68</v>
      </c>
      <c r="Z197" s="2">
        <v>189.68</v>
      </c>
      <c r="AA197" s="2">
        <v>0</v>
      </c>
      <c r="AB197" s="2">
        <v>0</v>
      </c>
    </row>
    <row r="198" spans="1:53" x14ac:dyDescent="0.25">
      <c r="A198">
        <v>2030762531</v>
      </c>
      <c r="B198" t="s">
        <v>571</v>
      </c>
      <c r="C198" t="s">
        <v>185</v>
      </c>
      <c r="E198" t="s">
        <v>51</v>
      </c>
      <c r="G198" t="s">
        <v>383</v>
      </c>
      <c r="H198" t="s">
        <v>384</v>
      </c>
      <c r="J198">
        <v>649163</v>
      </c>
      <c r="K198" t="s">
        <v>315</v>
      </c>
      <c r="L198" t="s">
        <v>316</v>
      </c>
      <c r="M198" t="str">
        <f t="shared" si="8"/>
        <v>Jill Shepard</v>
      </c>
      <c r="N198" t="s">
        <v>144</v>
      </c>
      <c r="O198" s="1">
        <v>45899</v>
      </c>
      <c r="P198" s="1">
        <v>46062</v>
      </c>
      <c r="R198" s="2">
        <v>0</v>
      </c>
      <c r="Y198" s="2">
        <v>128.13999999999999</v>
      </c>
      <c r="Z198" s="2">
        <v>128.13999999999999</v>
      </c>
      <c r="AA198" s="2">
        <v>0</v>
      </c>
      <c r="AB198" s="2">
        <v>0</v>
      </c>
      <c r="AV198" s="6"/>
      <c r="AW198" s="6"/>
      <c r="AX198" s="6"/>
      <c r="AY198" s="6"/>
      <c r="AZ198" s="6"/>
      <c r="BA198" s="6"/>
    </row>
    <row r="199" spans="1:53" x14ac:dyDescent="0.25">
      <c r="A199">
        <v>2030762532</v>
      </c>
      <c r="B199" t="s">
        <v>571</v>
      </c>
      <c r="C199" t="s">
        <v>185</v>
      </c>
      <c r="E199" t="s">
        <v>51</v>
      </c>
      <c r="G199" t="s">
        <v>350</v>
      </c>
      <c r="H199" t="s">
        <v>566</v>
      </c>
      <c r="J199">
        <v>649163</v>
      </c>
      <c r="K199" t="s">
        <v>315</v>
      </c>
      <c r="L199" t="s">
        <v>316</v>
      </c>
      <c r="M199" t="str">
        <f t="shared" si="8"/>
        <v>Jill Shepard</v>
      </c>
      <c r="N199" t="s">
        <v>144</v>
      </c>
      <c r="O199" s="1">
        <v>45899</v>
      </c>
      <c r="P199" s="1">
        <v>46062</v>
      </c>
      <c r="R199" s="2">
        <v>0</v>
      </c>
      <c r="Y199" s="2">
        <v>8.5500000000000007</v>
      </c>
      <c r="Z199" s="2">
        <v>8.5500000000000007</v>
      </c>
      <c r="AA199" s="2">
        <v>0</v>
      </c>
      <c r="AB199" s="2">
        <v>0</v>
      </c>
      <c r="AV199" s="6"/>
      <c r="AW199" s="6"/>
      <c r="AX199" s="6"/>
      <c r="AY199" s="6"/>
      <c r="AZ199" s="6"/>
      <c r="BA199" s="6"/>
    </row>
    <row r="200" spans="1:53" x14ac:dyDescent="0.25">
      <c r="A200">
        <v>2022693239</v>
      </c>
      <c r="B200" t="s">
        <v>416</v>
      </c>
      <c r="C200" t="s">
        <v>240</v>
      </c>
      <c r="E200" t="s">
        <v>51</v>
      </c>
      <c r="G200" t="s">
        <v>363</v>
      </c>
      <c r="H200" t="s">
        <v>364</v>
      </c>
      <c r="J200">
        <v>649163</v>
      </c>
      <c r="K200" t="s">
        <v>239</v>
      </c>
      <c r="L200" t="s">
        <v>240</v>
      </c>
      <c r="M200" t="str">
        <f t="shared" si="8"/>
        <v>JOHN ROKEN</v>
      </c>
      <c r="N200" t="s">
        <v>144</v>
      </c>
      <c r="O200" s="1">
        <v>45413</v>
      </c>
      <c r="P200" s="1">
        <v>46062</v>
      </c>
      <c r="R200" s="2">
        <v>0</v>
      </c>
      <c r="Y200" s="2">
        <v>0</v>
      </c>
      <c r="Z200" s="2">
        <v>0</v>
      </c>
      <c r="AA200" s="2">
        <v>0</v>
      </c>
      <c r="AB200" s="2">
        <v>0</v>
      </c>
      <c r="AV200" s="6"/>
      <c r="AW200" s="6"/>
      <c r="AX200" s="6"/>
      <c r="AY200" s="6"/>
      <c r="AZ200" s="6"/>
      <c r="BA200" s="6"/>
    </row>
    <row r="201" spans="1:53" s="6" customFormat="1" x14ac:dyDescent="0.25">
      <c r="A201">
        <v>2022693240</v>
      </c>
      <c r="B201" t="s">
        <v>416</v>
      </c>
      <c r="C201" t="s">
        <v>240</v>
      </c>
      <c r="D201"/>
      <c r="E201" t="s">
        <v>51</v>
      </c>
      <c r="F201"/>
      <c r="G201" t="s">
        <v>53</v>
      </c>
      <c r="H201" t="s">
        <v>54</v>
      </c>
      <c r="I201"/>
      <c r="J201">
        <v>649163</v>
      </c>
      <c r="K201" t="s">
        <v>239</v>
      </c>
      <c r="L201" t="s">
        <v>240</v>
      </c>
      <c r="M201" t="str">
        <f t="shared" si="8"/>
        <v>JOHN ROKEN</v>
      </c>
      <c r="N201" t="s">
        <v>144</v>
      </c>
      <c r="O201" s="1">
        <v>45413</v>
      </c>
      <c r="P201" s="1">
        <v>46062</v>
      </c>
      <c r="Q201"/>
      <c r="R201" s="2">
        <v>0</v>
      </c>
      <c r="S201"/>
      <c r="T201"/>
      <c r="U201"/>
      <c r="V201"/>
      <c r="W201"/>
      <c r="X201"/>
      <c r="Y201" s="2">
        <v>0</v>
      </c>
      <c r="Z201" s="2">
        <v>0</v>
      </c>
      <c r="AA201" s="2">
        <v>0</v>
      </c>
      <c r="AB201" s="2">
        <v>0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1:53" s="6" customFormat="1" x14ac:dyDescent="0.25">
      <c r="A202">
        <v>2022693241</v>
      </c>
      <c r="B202" t="s">
        <v>416</v>
      </c>
      <c r="C202" t="s">
        <v>240</v>
      </c>
      <c r="D202"/>
      <c r="E202" t="s">
        <v>51</v>
      </c>
      <c r="F202"/>
      <c r="G202" t="s">
        <v>378</v>
      </c>
      <c r="H202" t="s">
        <v>379</v>
      </c>
      <c r="I202"/>
      <c r="J202">
        <v>649163</v>
      </c>
      <c r="K202" t="s">
        <v>239</v>
      </c>
      <c r="L202" t="s">
        <v>240</v>
      </c>
      <c r="M202" t="str">
        <f t="shared" si="8"/>
        <v>JOHN ROKEN</v>
      </c>
      <c r="N202" t="s">
        <v>144</v>
      </c>
      <c r="O202" s="1">
        <v>45413</v>
      </c>
      <c r="P202" s="1">
        <v>46062</v>
      </c>
      <c r="Q202"/>
      <c r="R202" s="2">
        <v>0</v>
      </c>
      <c r="S202"/>
      <c r="T202"/>
      <c r="U202"/>
      <c r="V202"/>
      <c r="W202"/>
      <c r="X202"/>
      <c r="Y202" s="2">
        <v>0</v>
      </c>
      <c r="Z202" s="2">
        <v>0</v>
      </c>
      <c r="AA202" s="2">
        <v>0</v>
      </c>
      <c r="AB202" s="2">
        <v>0</v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1:53" s="6" customFormat="1" x14ac:dyDescent="0.25">
      <c r="A203">
        <v>2017036876</v>
      </c>
      <c r="B203" t="s">
        <v>547</v>
      </c>
      <c r="C203" t="s">
        <v>622</v>
      </c>
      <c r="D203"/>
      <c r="E203" t="s">
        <v>51</v>
      </c>
      <c r="F203"/>
      <c r="G203" t="s">
        <v>363</v>
      </c>
      <c r="H203" t="s">
        <v>364</v>
      </c>
      <c r="I203"/>
      <c r="J203">
        <v>649163</v>
      </c>
      <c r="K203" t="s">
        <v>162</v>
      </c>
      <c r="L203" t="s">
        <v>163</v>
      </c>
      <c r="M203" t="str">
        <f t="shared" si="8"/>
        <v>KATELENN CALTAGIRONE</v>
      </c>
      <c r="N203" t="s">
        <v>144</v>
      </c>
      <c r="O203" s="1">
        <v>44927</v>
      </c>
      <c r="P203" s="1">
        <v>46062</v>
      </c>
      <c r="Q203"/>
      <c r="R203" s="2">
        <v>0</v>
      </c>
      <c r="S203"/>
      <c r="T203"/>
      <c r="U203"/>
      <c r="V203"/>
      <c r="W203"/>
      <c r="X203"/>
      <c r="Y203" s="2">
        <v>0</v>
      </c>
      <c r="Z203" s="2">
        <v>0</v>
      </c>
      <c r="AA203" s="2">
        <v>0</v>
      </c>
      <c r="AB203" s="2">
        <v>0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1:53" s="6" customFormat="1" x14ac:dyDescent="0.25">
      <c r="A204">
        <v>2024384777</v>
      </c>
      <c r="B204" t="s">
        <v>823</v>
      </c>
      <c r="C204" t="s">
        <v>537</v>
      </c>
      <c r="D204"/>
      <c r="E204" t="s">
        <v>51</v>
      </c>
      <c r="F204"/>
      <c r="G204" t="s">
        <v>72</v>
      </c>
      <c r="H204" t="s">
        <v>455</v>
      </c>
      <c r="I204"/>
      <c r="J204">
        <v>673059</v>
      </c>
      <c r="K204" t="s">
        <v>162</v>
      </c>
      <c r="L204" t="s">
        <v>180</v>
      </c>
      <c r="M204" t="str">
        <f t="shared" si="8"/>
        <v>RYAN CALTAGIRONE</v>
      </c>
      <c r="N204" t="s">
        <v>144</v>
      </c>
      <c r="O204" s="1">
        <v>45536</v>
      </c>
      <c r="P204" s="1">
        <v>46062</v>
      </c>
      <c r="Q204"/>
      <c r="R204" s="2">
        <v>0</v>
      </c>
      <c r="S204"/>
      <c r="T204"/>
      <c r="U204"/>
      <c r="V204"/>
      <c r="W204"/>
      <c r="X204"/>
      <c r="Y204" s="2">
        <v>0</v>
      </c>
      <c r="Z204" s="2">
        <v>0</v>
      </c>
      <c r="AA204" s="2">
        <v>0</v>
      </c>
      <c r="AB204" s="2">
        <v>0</v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1:53" s="6" customFormat="1" x14ac:dyDescent="0.25">
      <c r="A205">
        <v>2024384775</v>
      </c>
      <c r="B205" t="s">
        <v>823</v>
      </c>
      <c r="C205" t="s">
        <v>537</v>
      </c>
      <c r="D205"/>
      <c r="E205" t="s">
        <v>51</v>
      </c>
      <c r="F205"/>
      <c r="G205" t="s">
        <v>383</v>
      </c>
      <c r="H205" t="s">
        <v>384</v>
      </c>
      <c r="I205"/>
      <c r="J205">
        <v>673059</v>
      </c>
      <c r="K205" t="s">
        <v>162</v>
      </c>
      <c r="L205" t="s">
        <v>180</v>
      </c>
      <c r="M205" t="str">
        <f t="shared" si="8"/>
        <v>RYAN CALTAGIRONE</v>
      </c>
      <c r="N205" t="s">
        <v>144</v>
      </c>
      <c r="O205" s="1">
        <v>45536</v>
      </c>
      <c r="P205" s="1">
        <v>46062</v>
      </c>
      <c r="Q205"/>
      <c r="R205" s="2">
        <v>0</v>
      </c>
      <c r="S205"/>
      <c r="T205"/>
      <c r="U205"/>
      <c r="V205"/>
      <c r="W205"/>
      <c r="X205"/>
      <c r="Y205" s="2">
        <v>0</v>
      </c>
      <c r="Z205" s="2">
        <v>0</v>
      </c>
      <c r="AA205" s="2">
        <v>0</v>
      </c>
      <c r="AB205" s="2">
        <v>0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1:53" s="6" customFormat="1" x14ac:dyDescent="0.25">
      <c r="A206">
        <v>2024384776</v>
      </c>
      <c r="B206" t="s">
        <v>823</v>
      </c>
      <c r="C206" t="s">
        <v>537</v>
      </c>
      <c r="D206"/>
      <c r="E206" t="s">
        <v>51</v>
      </c>
      <c r="F206"/>
      <c r="G206" t="s">
        <v>383</v>
      </c>
      <c r="H206" t="s">
        <v>1172</v>
      </c>
      <c r="I206"/>
      <c r="J206">
        <v>673059</v>
      </c>
      <c r="K206" t="s">
        <v>162</v>
      </c>
      <c r="L206" t="s">
        <v>180</v>
      </c>
      <c r="M206" t="str">
        <f t="shared" si="8"/>
        <v>RYAN CALTAGIRONE</v>
      </c>
      <c r="N206" t="s">
        <v>144</v>
      </c>
      <c r="O206" s="1">
        <v>45536</v>
      </c>
      <c r="P206" s="1">
        <v>46062</v>
      </c>
      <c r="Q206"/>
      <c r="R206" s="2">
        <v>0</v>
      </c>
      <c r="S206"/>
      <c r="T206"/>
      <c r="U206"/>
      <c r="V206"/>
      <c r="W206"/>
      <c r="X206"/>
      <c r="Y206" s="2">
        <v>0</v>
      </c>
      <c r="Z206" s="2">
        <v>0</v>
      </c>
      <c r="AA206" s="2">
        <v>0</v>
      </c>
      <c r="AB206" s="2">
        <v>0</v>
      </c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1:53" s="6" customFormat="1" x14ac:dyDescent="0.25">
      <c r="A207">
        <v>2020544339</v>
      </c>
      <c r="B207" t="s">
        <v>1306</v>
      </c>
      <c r="C207" t="s">
        <v>304</v>
      </c>
      <c r="D207"/>
      <c r="E207" t="s">
        <v>51</v>
      </c>
      <c r="F207"/>
      <c r="G207" t="s">
        <v>363</v>
      </c>
      <c r="H207" t="s">
        <v>364</v>
      </c>
      <c r="I207"/>
      <c r="J207">
        <v>673059</v>
      </c>
      <c r="K207" t="s">
        <v>162</v>
      </c>
      <c r="L207" t="s">
        <v>180</v>
      </c>
      <c r="M207" t="str">
        <f t="shared" si="8"/>
        <v>RYAN CALTAGIRONE</v>
      </c>
      <c r="N207" t="s">
        <v>144</v>
      </c>
      <c r="O207" s="1">
        <v>45231</v>
      </c>
      <c r="P207" s="1">
        <v>46062</v>
      </c>
      <c r="Q207"/>
      <c r="R207" s="2">
        <v>0</v>
      </c>
      <c r="S207"/>
      <c r="T207"/>
      <c r="U207"/>
      <c r="V207"/>
      <c r="W207"/>
      <c r="X207"/>
      <c r="Y207" s="2">
        <v>0</v>
      </c>
      <c r="Z207" s="2">
        <v>0</v>
      </c>
      <c r="AA207" s="2">
        <v>0</v>
      </c>
      <c r="AB207" s="2">
        <v>0</v>
      </c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</row>
    <row r="208" spans="1:53" x14ac:dyDescent="0.25">
      <c r="A208">
        <v>2024225541</v>
      </c>
      <c r="B208" t="s">
        <v>974</v>
      </c>
      <c r="C208" t="s">
        <v>975</v>
      </c>
      <c r="E208" t="s">
        <v>51</v>
      </c>
      <c r="G208" t="s">
        <v>130</v>
      </c>
      <c r="H208" t="s">
        <v>976</v>
      </c>
      <c r="J208">
        <v>649163</v>
      </c>
      <c r="K208" t="s">
        <v>162</v>
      </c>
      <c r="L208" t="s">
        <v>180</v>
      </c>
      <c r="M208" t="str">
        <f t="shared" si="8"/>
        <v>RYAN CALTAGIRONE</v>
      </c>
      <c r="N208" t="s">
        <v>144</v>
      </c>
      <c r="O208" s="1">
        <v>45656</v>
      </c>
      <c r="P208" s="1">
        <v>46062</v>
      </c>
      <c r="R208" s="2">
        <v>0</v>
      </c>
      <c r="Y208" s="2">
        <v>0</v>
      </c>
      <c r="Z208" s="2">
        <v>0</v>
      </c>
      <c r="AA208" s="2">
        <v>0</v>
      </c>
      <c r="AB208" s="2">
        <v>0</v>
      </c>
      <c r="AV208" s="6"/>
      <c r="AW208" s="6"/>
      <c r="AX208" s="6"/>
      <c r="AY208" s="6"/>
      <c r="AZ208" s="6"/>
      <c r="BA208" s="6"/>
    </row>
    <row r="209" spans="1:53" x14ac:dyDescent="0.25">
      <c r="A209">
        <v>2024225542</v>
      </c>
      <c r="B209" t="s">
        <v>974</v>
      </c>
      <c r="C209" t="s">
        <v>975</v>
      </c>
      <c r="E209" t="s">
        <v>51</v>
      </c>
      <c r="G209" t="s">
        <v>350</v>
      </c>
      <c r="H209" t="s">
        <v>574</v>
      </c>
      <c r="J209">
        <v>649163</v>
      </c>
      <c r="K209" t="s">
        <v>162</v>
      </c>
      <c r="L209" t="s">
        <v>180</v>
      </c>
      <c r="M209" t="str">
        <f t="shared" si="8"/>
        <v>RYAN CALTAGIRONE</v>
      </c>
      <c r="N209" t="s">
        <v>144</v>
      </c>
      <c r="O209" s="1">
        <v>45656</v>
      </c>
      <c r="P209" s="1">
        <v>46062</v>
      </c>
      <c r="R209" s="2">
        <v>0</v>
      </c>
      <c r="Y209" s="2">
        <v>0</v>
      </c>
      <c r="Z209" s="2">
        <v>0</v>
      </c>
      <c r="AA209" s="2">
        <v>0</v>
      </c>
      <c r="AB209" s="2">
        <v>0</v>
      </c>
      <c r="AV209" s="6"/>
      <c r="AW209" s="6"/>
      <c r="AX209" s="6"/>
      <c r="AY209" s="6"/>
      <c r="AZ209" s="6"/>
      <c r="BA209" s="6"/>
    </row>
    <row r="210" spans="1:53" s="6" customFormat="1" x14ac:dyDescent="0.25">
      <c r="A210">
        <v>2029772059</v>
      </c>
      <c r="B210" t="s">
        <v>339</v>
      </c>
      <c r="C210" t="s">
        <v>747</v>
      </c>
      <c r="D210"/>
      <c r="E210" t="s">
        <v>51</v>
      </c>
      <c r="F210"/>
      <c r="G210" t="s">
        <v>363</v>
      </c>
      <c r="H210" t="s">
        <v>364</v>
      </c>
      <c r="I210"/>
      <c r="J210">
        <v>649163</v>
      </c>
      <c r="K210" t="s">
        <v>340</v>
      </c>
      <c r="L210" t="s">
        <v>341</v>
      </c>
      <c r="M210" t="str">
        <f t="shared" si="8"/>
        <v>Saadia Abdul</v>
      </c>
      <c r="N210" t="s">
        <v>144</v>
      </c>
      <c r="O210" s="1">
        <v>45841</v>
      </c>
      <c r="P210" s="1">
        <v>46062</v>
      </c>
      <c r="Q210"/>
      <c r="R210" s="2">
        <v>0</v>
      </c>
      <c r="S210"/>
      <c r="T210"/>
      <c r="U210"/>
      <c r="V210"/>
      <c r="W210"/>
      <c r="X210"/>
      <c r="Y210" s="2">
        <v>174.33</v>
      </c>
      <c r="Z210" s="2">
        <v>174.33</v>
      </c>
      <c r="AA210" s="2">
        <v>0</v>
      </c>
      <c r="AB210" s="2">
        <v>0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1:53" s="6" customFormat="1" x14ac:dyDescent="0.25">
      <c r="A211">
        <v>2029772060</v>
      </c>
      <c r="B211" t="s">
        <v>339</v>
      </c>
      <c r="C211" t="s">
        <v>747</v>
      </c>
      <c r="D211"/>
      <c r="E211" t="s">
        <v>51</v>
      </c>
      <c r="F211"/>
      <c r="G211" t="s">
        <v>383</v>
      </c>
      <c r="H211" t="s">
        <v>384</v>
      </c>
      <c r="I211"/>
      <c r="J211">
        <v>649163</v>
      </c>
      <c r="K211" t="s">
        <v>340</v>
      </c>
      <c r="L211" t="s">
        <v>341</v>
      </c>
      <c r="M211" t="str">
        <f t="shared" si="8"/>
        <v>Saadia Abdul</v>
      </c>
      <c r="N211" t="s">
        <v>144</v>
      </c>
      <c r="O211" s="1">
        <v>45841</v>
      </c>
      <c r="P211" s="1">
        <v>46062</v>
      </c>
      <c r="Q211"/>
      <c r="R211" s="2">
        <v>0</v>
      </c>
      <c r="S211"/>
      <c r="T211"/>
      <c r="U211"/>
      <c r="V211"/>
      <c r="W211"/>
      <c r="X211"/>
      <c r="Y211" s="2">
        <v>256.54000000000002</v>
      </c>
      <c r="Z211" s="2">
        <v>256.54000000000002</v>
      </c>
      <c r="AA211" s="2">
        <v>0</v>
      </c>
      <c r="AB211" s="2">
        <v>0</v>
      </c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</sheetData>
  <sortState xmlns:xlrd2="http://schemas.microsoft.com/office/spreadsheetml/2017/richdata2" ref="A2:BA114">
    <sortCondition ref="I2:I1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NB</vt:lpstr>
      <vt:lpstr>RN</vt:lpstr>
      <vt:lpstr>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2026-02-16T08:54:06Z</dcterms:created>
  <dcterms:modified xsi:type="dcterms:W3CDTF">2026-02-16T18:53:24Z</dcterms:modified>
</cp:coreProperties>
</file>